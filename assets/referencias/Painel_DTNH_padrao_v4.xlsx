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IA-ME" sheetId="1" state="visible" r:id="rId1"/>
    <sheet name="PARAMETROS" sheetId="2" state="visible" r:id="rId2"/>
    <sheet name="PAINEL" sheetId="3" state="visible" r:id="rId3"/>
    <sheet name="QUALIDADE E GOVERNANÇA" sheetId="4" state="visible" r:id="rId4"/>
    <sheet name="MATRIZ" sheetId="5" state="visible" r:id="rId5"/>
    <sheet name="PLANO_DE_ACAO" sheetId="6" state="visible" r:id="rId6"/>
    <sheet name="NPS DISCENTES" sheetId="7" state="visible" r:id="rId7"/>
    <sheet name="MATRICULAS ATIVAS" sheetId="8" state="visible" r:id="rId8"/>
    <sheet name="FREQUÊNCIA MÉDIA" sheetId="9" state="visible" r:id="rId9"/>
    <sheet name="METAS" sheetId="10" state="visible" r:id="rId10"/>
    <sheet name="CURSOS" sheetId="11" state="visible" r:id="rId11"/>
    <sheet name="DISCIPLINAS" sheetId="12" state="visible" r:id="rId12"/>
    <sheet name="INDICADORES" sheetId="13" state="visible" r:id="rId13"/>
    <sheet name="CALC" sheetId="14" state="visible" r:id="rId14"/>
    <sheet name="LISTAS DE APOIO" sheetId="15" state="visible" r:id="rId15"/>
    <sheet name="DIM_PERIODO" sheetId="16" state="visible" r:id="rId16"/>
    <sheet name="DIM_MES" sheetId="17" state="visible" r:id="rId17"/>
  </sheets>
  <definedNames>
    <definedName name="DIS_CURSO" hidden="0" function="0" vbProcedure="0">DISCIPLINAS!$A$5:$A$101</definedName>
    <definedName name="LST_CURSOS" hidden="0" function="0" vbProcedure="0">CURSOS!$A$5:$A$13</definedName>
    <definedName name="LST_DISCIPLINAS" hidden="0" function="0" vbProcedure="0">DISCIPLINAS!$B$5:$B$101</definedName>
    <definedName name="LST_PER_DTNH_01" hidden="0" function="0" vbProcedure="0">DIM_PERIODO!$A$5:$A$52</definedName>
    <definedName name="LST_PER_DTNH_02" hidden="0" function="0" vbProcedure="0">DIM_PERIODO!$A$5:$A$52</definedName>
    <definedName name="LST_PER_DTNH_03" hidden="0" function="0" vbProcedure="0">DIM_PERIODO!$A$5:$A$52</definedName>
    <definedName name="_xlnm._FilterDatabase" localSheetId="3" hidden="1">'QUALIDADE E GOVERNANÇA'!$A$5:$F$8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0.0"/>
    <numFmt numFmtId="166" formatCode="\+0.0;\-0.0;0.0"/>
    <numFmt numFmtId="167" formatCode="0.0%"/>
    <numFmt numFmtId="168" formatCode="\+0.0%;\-0.0%;0.0%"/>
    <numFmt numFmtId="169" formatCode="dd/mm/yyyy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45233"/>
      <sz val="15"/>
    </font>
    <font>
      <name val="Arial"/>
      <charset val="1"/>
      <family val="0"/>
      <i val="1"/>
      <color rgb="FF5A5A5A"/>
      <sz val="9"/>
    </font>
    <font>
      <name val="Arial"/>
      <charset val="1"/>
      <family val="0"/>
      <b val="1"/>
      <color rgb="FF045233"/>
      <sz val="11"/>
    </font>
    <font>
      <name val="Arial"/>
      <charset val="1"/>
      <family val="0"/>
      <color rgb="FF000000"/>
      <sz val="10"/>
    </font>
    <font>
      <name val="Cambria"/>
      <charset val="1"/>
      <family val="0"/>
      <b val="1"/>
      <color rgb="FF1F1F1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A8A8A8"/>
      <sz val="8"/>
    </font>
    <font>
      <name val="Arial"/>
      <charset val="1"/>
      <family val="0"/>
      <color rgb="FFA8A8A8"/>
      <sz val="8"/>
    </font>
    <font>
      <name val="Arial"/>
      <charset val="1"/>
      <family val="0"/>
      <b val="1"/>
      <color rgb="FF5A5A5A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000000"/>
      <sz val="14"/>
    </font>
    <font>
      <name val="Arial"/>
      <charset val="1"/>
      <family val="0"/>
      <color rgb="FF000000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0000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00563F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045233"/>
      <sz val="12"/>
    </font>
    <font>
      <name val="Arial"/>
      <charset val="1"/>
      <family val="0"/>
      <color rgb="FF000000"/>
      <sz val="8"/>
    </font>
    <font>
      <name val="Arial"/>
      <charset val="1"/>
      <family val="0"/>
      <color rgb="FF5A5A5A"/>
      <sz val="9"/>
    </font>
    <font>
      <name val="Arial"/>
      <charset val="1"/>
      <family val="0"/>
      <b val="1"/>
      <i val="1"/>
      <color rgb="FF000000"/>
      <sz val="10"/>
    </font>
    <font>
      <name val="Cambria"/>
      <charset val="1"/>
      <family val="0"/>
      <color rgb="FF006100"/>
      <sz val="11"/>
    </font>
    <font>
      <name val="Arial"/>
      <charset val="1"/>
      <family val="0"/>
      <color rgb="FFA8A8A8"/>
      <sz val="9"/>
    </font>
    <font>
      <name val="Arial"/>
      <charset val="1"/>
      <family val="0"/>
      <b val="1"/>
      <color rgb="FF0B7A54"/>
      <sz val="10"/>
    </font>
  </fonts>
  <fills count="12">
    <fill>
      <patternFill/>
    </fill>
    <fill>
      <patternFill patternType="gray125"/>
    </fill>
    <fill>
      <patternFill patternType="solid">
        <fgColor rgb="FFFFF2CC"/>
        <bgColor rgb="FFFFEBD2"/>
      </patternFill>
    </fill>
    <fill>
      <patternFill patternType="solid">
        <fgColor rgb="FFF5F6F5"/>
        <bgColor rgb="FFEAF2FA"/>
      </patternFill>
    </fill>
    <fill>
      <patternFill patternType="solid">
        <fgColor rgb="FFFFF6DC"/>
        <bgColor rgb="FFFFF2CC"/>
      </patternFill>
    </fill>
    <fill>
      <patternFill patternType="solid">
        <fgColor rgb="FFE8F1ED"/>
        <bgColor rgb="FFEAF2FA"/>
      </patternFill>
    </fill>
    <fill>
      <patternFill patternType="solid">
        <fgColor rgb="FFEAF2FA"/>
        <bgColor rgb="FFE8F1ED"/>
      </patternFill>
    </fill>
    <fill>
      <patternFill patternType="solid">
        <fgColor rgb="FF045233"/>
        <bgColor rgb="FF00563F"/>
      </patternFill>
    </fill>
    <fill>
      <patternFill patternType="solid">
        <fgColor rgb="FF0B7A54"/>
        <bgColor rgb="FF146B4A"/>
      </patternFill>
    </fill>
    <fill>
      <patternFill patternType="solid">
        <fgColor rgb="FF00563F"/>
        <bgColor rgb="FF045233"/>
      </patternFill>
    </fill>
    <fill>
      <patternFill patternType="solid">
        <fgColor rgb="FFF4CCCC"/>
        <bgColor rgb="FFFBDDDD"/>
      </patternFill>
    </fill>
    <fill>
      <patternFill patternType="solid">
        <fgColor rgb="FFE2F0D9"/>
        <bgColor rgb="FFE8F1ED"/>
      </patternFill>
    </fill>
  </fills>
  <borders count="13">
    <border>
      <left/>
      <right/>
      <top/>
      <bottom/>
      <diagonal/>
    </border>
    <border>
      <left style="thin">
        <color rgb="FFD2D8D5"/>
      </left>
      <right style="thin">
        <color rgb="FFD2D8D5"/>
      </right>
      <top style="thin">
        <color rgb="FFD2D8D5"/>
      </top>
      <bottom style="thin">
        <color rgb="FFD2D8D5"/>
      </bottom>
      <diagonal/>
    </border>
    <border>
      <left style="thin">
        <color rgb="FF9BB3A8"/>
      </left>
      <right style="thin">
        <color rgb="FF9BB3A8"/>
      </right>
      <top style="thin">
        <color rgb="FF9BB3A8"/>
      </top>
      <bottom style="thin">
        <color rgb="FF9BB3A8"/>
      </bottom>
      <diagonal/>
    </border>
    <border>
      <left style="thin">
        <color rgb="FF9BB3A8"/>
      </left>
      <right style="thin">
        <color rgb="FFD2D8D5"/>
      </right>
      <top style="thin">
        <color rgb="FF9BB3A8"/>
      </top>
      <bottom style="thin">
        <color rgb="FF9BB3A8"/>
      </bottom>
      <diagonal/>
    </border>
    <border>
      <left style="thin">
        <color rgb="FFD2D8D5"/>
      </left>
      <right/>
      <top style="thin">
        <color rgb="FFD2D8D5"/>
      </top>
      <bottom style="thin">
        <color rgb="FFD2D8D5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D2D8D5"/>
      </top>
      <bottom/>
      <diagonal/>
    </border>
    <border>
      <left/>
      <right style="thin">
        <color rgb="FFD2D8D5"/>
      </right>
      <top style="thin">
        <color rgb="FFD2D8D5"/>
      </top>
      <bottom/>
      <diagonal/>
    </border>
    <border>
      <left/>
      <right/>
      <top style="thin">
        <color rgb="FFD2D8D5"/>
      </top>
      <bottom style="thin">
        <color rgb="FFD2D8D5"/>
      </bottom>
      <diagonal/>
    </border>
    <border>
      <left/>
      <right style="thin">
        <color rgb="FFD2D8D5"/>
      </right>
      <top style="thin">
        <color rgb="FFD2D8D5"/>
      </top>
      <bottom style="thin">
        <color rgb="FFD2D8D5"/>
      </bottom>
      <diagonal/>
    </border>
    <border>
      <left/>
      <right/>
      <top style="thin">
        <color rgb="FF9BB3A8"/>
      </top>
      <bottom/>
      <diagonal/>
    </border>
    <border>
      <left/>
      <right style="thin">
        <color rgb="FFD2D8D5"/>
      </right>
      <top style="thin">
        <color rgb="FF9BB3A8"/>
      </top>
      <bottom/>
      <diagonal/>
    </border>
    <border>
      <left/>
      <right style="thin">
        <color rgb="FFD2D8D5"/>
      </right>
      <top style="thin">
        <color rgb="FF9BB3A8"/>
      </top>
      <bottom style="thin">
        <color rgb="FF9BB3A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5" borderId="3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165" fontId="17" fillId="5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 wrapText="1"/>
    </xf>
    <xf numFmtId="165" fontId="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8" fontId="18" fillId="0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8" fontId="19" fillId="0" borderId="1" applyAlignment="1" pivotButton="0" quotePrefix="0" xfId="0">
      <alignment horizontal="center" vertical="center" wrapText="1"/>
    </xf>
    <xf numFmtId="167" fontId="19" fillId="0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0" fontId="25" fillId="9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 wrapText="1"/>
    </xf>
    <xf numFmtId="0" fontId="27" fillId="0" borderId="0" applyAlignment="1" pivotButton="0" quotePrefix="0" xfId="0">
      <alignment horizontal="general" vertical="bottom"/>
    </xf>
    <xf numFmtId="0" fontId="28" fillId="9" borderId="0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29" fillId="0" borderId="5" applyAlignment="1" pivotButton="0" quotePrefix="0" xfId="0">
      <alignment horizontal="general" vertical="center" wrapText="1"/>
    </xf>
    <xf numFmtId="0" fontId="0" fillId="1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1" fillId="0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168" fontId="21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center" wrapText="1"/>
    </xf>
    <xf numFmtId="169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general" vertical="center" wrapText="1"/>
    </xf>
    <xf numFmtId="0" fontId="1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center" vertical="center" wrapText="1"/>
    </xf>
    <xf numFmtId="1" fontId="35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 wrapText="1"/>
    </xf>
    <xf numFmtId="167" fontId="9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center" wrapText="1"/>
    </xf>
    <xf numFmtId="165" fontId="10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7" fontId="32" fillId="0" borderId="1" applyAlignment="1" pivotButton="0" quotePrefix="0" xfId="0">
      <alignment horizontal="center" vertical="center" wrapText="1"/>
    </xf>
    <xf numFmtId="168" fontId="21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167" fontId="21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 wrapText="1"/>
    </xf>
    <xf numFmtId="164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9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center" wrapText="1"/>
    </xf>
    <xf numFmtId="0" fontId="14" fillId="5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7" borderId="4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165" fontId="17" fillId="5" borderId="1" applyAlignment="1" pivotButton="0" quotePrefix="0" xfId="0">
      <alignment horizontal="center" vertical="center" wrapText="1"/>
    </xf>
    <xf numFmtId="165" fontId="18" fillId="0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center" vertical="center" wrapText="1"/>
    </xf>
    <xf numFmtId="165" fontId="10" fillId="6" borderId="1" applyAlignment="1" pivotButton="0" quotePrefix="0" xfId="0">
      <alignment horizontal="center" vertical="center" wrapText="1"/>
    </xf>
    <xf numFmtId="165" fontId="18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 wrapText="1"/>
    </xf>
    <xf numFmtId="165" fontId="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168" fontId="18" fillId="0" borderId="1" applyAlignment="1" pivotButton="0" quotePrefix="0" xfId="0">
      <alignment horizontal="center" vertical="center" wrapText="1"/>
    </xf>
    <xf numFmtId="167" fontId="10" fillId="6" borderId="1" applyAlignment="1" pivotButton="0" quotePrefix="0" xfId="0">
      <alignment horizontal="center" vertical="center" wrapText="1"/>
    </xf>
    <xf numFmtId="167" fontId="18" fillId="6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8" fontId="19" fillId="0" borderId="1" applyAlignment="1" pivotButton="0" quotePrefix="0" xfId="0">
      <alignment horizontal="center" vertical="center" wrapText="1"/>
    </xf>
    <xf numFmtId="167" fontId="19" fillId="0" borderId="1" applyAlignment="1" pivotButton="0" quotePrefix="0" xfId="0">
      <alignment horizontal="center" vertical="center" wrapText="1"/>
    </xf>
    <xf numFmtId="167" fontId="17" fillId="5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7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bottom" wrapText="1"/>
    </xf>
    <xf numFmtId="0" fontId="25" fillId="9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 wrapText="1"/>
    </xf>
    <xf numFmtId="0" fontId="27" fillId="0" borderId="0" applyAlignment="1" pivotButton="0" quotePrefix="0" xfId="0">
      <alignment horizontal="general" vertical="bottom"/>
    </xf>
    <xf numFmtId="0" fontId="28" fillId="9" borderId="0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center" wrapText="1"/>
    </xf>
    <xf numFmtId="0" fontId="29" fillId="0" borderId="5" applyAlignment="1" pivotButton="0" quotePrefix="0" xfId="0">
      <alignment horizontal="general" vertical="center" wrapText="1"/>
    </xf>
    <xf numFmtId="0" fontId="0" fillId="10" borderId="5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0" fillId="0" borderId="0" applyAlignment="1" pivotButton="0" quotePrefix="0" xfId="0">
      <alignment horizontal="general" vertical="center" wrapText="1"/>
    </xf>
    <xf numFmtId="0" fontId="20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1" fillId="0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3" fontId="21" fillId="5" borderId="1" applyAlignment="1" pivotButton="0" quotePrefix="0" xfId="0">
      <alignment horizontal="center" vertical="center" wrapText="1"/>
    </xf>
    <xf numFmtId="168" fontId="21" fillId="0" borderId="1" applyAlignment="1" pivotButton="0" quotePrefix="0" xfId="0">
      <alignment horizontal="center" vertical="center" wrapText="1"/>
    </xf>
    <xf numFmtId="167" fontId="31" fillId="0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general" vertical="center" wrapText="1"/>
    </xf>
    <xf numFmtId="0" fontId="21" fillId="0" borderId="1" applyAlignment="1" pivotButton="0" quotePrefix="0" xfId="0">
      <alignment horizontal="general" vertical="center" wrapText="1"/>
    </xf>
    <xf numFmtId="0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general" vertical="center" wrapTex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/>
    </xf>
    <xf numFmtId="0" fontId="19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center" wrapText="1"/>
    </xf>
    <xf numFmtId="169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34" fillId="11" borderId="0" applyAlignment="1" pivotButton="0" quotePrefix="0" xfId="0">
      <alignment horizontal="general" vertical="center" wrapText="1"/>
    </xf>
    <xf numFmtId="0" fontId="1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center" vertical="center" wrapText="1"/>
    </xf>
    <xf numFmtId="1" fontId="35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center" wrapText="1"/>
    </xf>
    <xf numFmtId="167" fontId="9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center" vertical="center" wrapText="1"/>
    </xf>
    <xf numFmtId="165" fontId="19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  <xf numFmtId="167" fontId="21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general" vertical="center" wrapText="1"/>
    </xf>
    <xf numFmtId="165" fontId="10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7" fontId="32" fillId="0" borderId="1" applyAlignment="1" pivotButton="0" quotePrefix="0" xfId="0">
      <alignment horizontal="center" vertical="center" wrapText="1"/>
    </xf>
    <xf numFmtId="168" fontId="21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35" fillId="0" borderId="1" applyAlignment="1" pivotButton="0" quotePrefix="0" xfId="0">
      <alignment horizontal="center" vertical="center" wrapText="1"/>
    </xf>
    <xf numFmtId="167" fontId="21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3" fontId="32" fillId="0" borderId="1" applyAlignment="1" pivotButton="0" quotePrefix="0" xfId="0">
      <alignment horizontal="center" vertical="center" wrapText="1"/>
    </xf>
    <xf numFmtId="167" fontId="21" fillId="6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ont>
        <name val="Arial"/>
        <charset val="1"/>
        <family val="0"/>
        <b val="1"/>
        <color rgb="FFA21C1C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46B4A"/>
      </font>
      <fill>
        <patternFill>
          <bgColor rgb="FFE8F1ED"/>
        </patternFill>
      </fill>
    </dxf>
    <dxf>
      <font>
        <name val="Arial"/>
        <charset val="1"/>
        <family val="0"/>
        <b val="1"/>
        <color rgb="FF9A5000"/>
      </font>
      <fill>
        <patternFill>
          <bgColor rgb="FFFFEBD2"/>
        </patternFill>
      </fill>
    </dxf>
    <dxf>
      <fill>
        <patternFill patternType="solid">
          <fgColor rgb="FF0056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ont>
        <name val="Arial"/>
        <charset val="1"/>
        <family val="0"/>
        <b val="1"/>
        <color rgb="FFA21C1C"/>
        <sz val="10"/>
      </font>
      <fill>
        <patternFill>
          <bgColor rgb="FFFBDDDD"/>
        </patternFill>
      </fill>
    </dxf>
    <dxf>
      <font>
        <name val="Arial"/>
        <charset val="1"/>
        <family val="0"/>
        <b val="1"/>
        <color rgb="FF146B4A"/>
        <sz val="10"/>
      </font>
      <fill>
        <patternFill>
          <bgColor rgb="FFE8F1ED"/>
        </patternFill>
      </fill>
    </dxf>
    <dxf>
      <fill>
        <patternFill patternType="solid">
          <fgColor rgb="FF045233"/>
          <bgColor rgb="FF000000"/>
        </patternFill>
      </fill>
    </dxf>
    <dxf>
      <fill>
        <patternFill patternType="solid">
          <fgColor rgb="FFFFF6D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D2"/>
      <rgbColor rgb="FFFF00FF"/>
      <rgbColor rgb="FF00FFFF"/>
      <rgbColor rgb="FF9C0006"/>
      <rgbColor rgb="FF006100"/>
      <rgbColor rgb="FF000080"/>
      <rgbColor rgb="FF9A5000"/>
      <rgbColor rgb="FF800080"/>
      <rgbColor rgb="FF0B7A54"/>
      <rgbColor rgb="FFB7B7B7"/>
      <rgbColor rgb="FF878787"/>
      <rgbColor rgb="FFA8A8A8"/>
      <rgbColor rgb="FFC0392B"/>
      <rgbColor rgb="FFFFF6DC"/>
      <rgbColor rgb="FFEAF2FA"/>
      <rgbColor rgb="FF660066"/>
      <rgbColor rgb="FFFF8080"/>
      <rgbColor rgb="FF0066CC"/>
      <rgbColor rgb="FFD2D8D5"/>
      <rgbColor rgb="FF000080"/>
      <rgbColor rgb="FFFF00FF"/>
      <rgbColor rgb="FFF5F6F5"/>
      <rgbColor rgb="FF00FFFF"/>
      <rgbColor rgb="FF800080"/>
      <rgbColor rgb="FF800000"/>
      <rgbColor rgb="FF146B4A"/>
      <rgbColor rgb="FF0000FF"/>
      <rgbColor rgb="FF00CCFF"/>
      <rgbColor rgb="FFE8F1ED"/>
      <rgbColor rgb="FFE2F0D9"/>
      <rgbColor rgb="FFFFF2CC"/>
      <rgbColor rgb="FF9BB3A8"/>
      <rgbColor rgb="FFFBDDDD"/>
      <rgbColor rgb="FFD9D9D9"/>
      <rgbColor rgb="FFF4CCCC"/>
      <rgbColor rgb="FF3366FF"/>
      <rgbColor rgb="FF33CCCC"/>
      <rgbColor rgb="FFC6E0B4"/>
      <rgbColor rgb="FFFFCC00"/>
      <rgbColor rgb="FFFF9900"/>
      <rgbColor rgb="FFFF6600"/>
      <rgbColor rgb="FF5A5A5A"/>
      <rgbColor rgb="FFA5A5A5"/>
      <rgbColor rgb="FF045233"/>
      <rgbColor rgb="FF6FA88F"/>
      <rgbColor rgb="FF00563F"/>
      <rgbColor rgb="FF333300"/>
      <rgbColor rgb="FFA21C1C"/>
      <rgbColor rgb="FF993366"/>
      <rgbColor rgb="FF555555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DTNH-01 — mês a mês na janela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CALC!H21</f>
              <strCache>
                <ptCount val="1"/>
                <pt idx="0">
                  <v>Valor apurado</v>
                </pt>
              </strCache>
            </strRef>
          </tx>
          <spPr>
            <a:solidFill>
              <a:srgbClr val="6fa88f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CALC!$A$22:$A$33</f>
              <strCache>
                <ptCount val="12"/>
                <pt idx="0">
                  <v>2026-06</v>
                </pt>
                <pt idx="1">
                  <v>2026-07</v>
                </pt>
                <pt idx="2">
                  <v>2026-08</v>
                </pt>
                <pt idx="3">
                  <v>2026-09</v>
                </pt>
                <pt idx="4">
                  <v>2026-10</v>
                </pt>
                <pt idx="5">
                  <v>2026-11</v>
                </pt>
                <pt idx="6">
                  <v>2026-12</v>
                </pt>
                <pt idx="7">
                  <v>2027-01</v>
                </pt>
                <pt idx="8">
                  <v>2027-02</v>
                </pt>
                <pt idx="9">
                  <v>2027-03</v>
                </pt>
                <pt idx="10">
                  <v>2027-04</v>
                </pt>
                <pt idx="11">
                  <v>2027-05</v>
                </pt>
              </strCache>
            </strRef>
          </cat>
          <val>
            <numRef>
              <f>CALC!$H$22:$H$33</f>
              <numCache>
                <formatCode>0.0</formatCode>
                <ptCount val="12"/>
                <pt idx="0">
                  <v>34.5498783454988</v>
                </pt>
                <pt idx="1">
                  <v>36.5139949109415</v>
                </pt>
                <pt idx="2">
                  <v>41.1300919842313</v>
                </pt>
              </numCache>
            </numRef>
          </val>
        </ser>
        <gapWidth val="60"/>
        <overlap val="0"/>
        <axId val="47850290"/>
        <axId val="14169144"/>
      </barChart>
      <lineChart>
        <grouping val="standard"/>
        <varyColors val="0"/>
        <ser>
          <idx val="1"/>
          <order val="1"/>
          <tx>
            <strRef>
              <f>CALC!I21</f>
              <strCache>
                <ptCount val="1"/>
                <pt idx="0">
                  <v>Meta no mês</v>
                </pt>
              </strCache>
            </strRef>
          </tx>
          <spPr>
            <a:solidFill>
              <a:srgbClr val="c0392b"/>
            </a:solidFill>
            <a:ln w="21960">
              <a:solidFill>
                <a:srgbClr val="c0392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CALC!$A$22:$A$33</f>
              <strCache>
                <ptCount val="12"/>
                <pt idx="0">
                  <v>2026-06</v>
                </pt>
                <pt idx="1">
                  <v>2026-07</v>
                </pt>
                <pt idx="2">
                  <v>2026-08</v>
                </pt>
                <pt idx="3">
                  <v>2026-09</v>
                </pt>
                <pt idx="4">
                  <v>2026-10</v>
                </pt>
                <pt idx="5">
                  <v>2026-11</v>
                </pt>
                <pt idx="6">
                  <v>2026-12</v>
                </pt>
                <pt idx="7">
                  <v>2027-01</v>
                </pt>
                <pt idx="8">
                  <v>2027-02</v>
                </pt>
                <pt idx="9">
                  <v>2027-03</v>
                </pt>
                <pt idx="10">
                  <v>2027-04</v>
                </pt>
                <pt idx="11">
                  <v>2027-05</v>
                </pt>
              </strCache>
            </strRef>
          </cat>
          <val>
            <numRef>
              <f>CALC!$I$22:$I$33</f>
              <numCache>
                <formatCode>0.0</formatCode>
                <ptCount val="12"/>
                <pt idx="0">
                  <v>40</v>
                </pt>
                <pt idx="1">
                  <v>40</v>
                </pt>
                <pt idx="2">
                  <v>40</v>
                </pt>
                <pt idx="3">
                  <v>40</v>
                </pt>
                <pt idx="4">
                  <v>40</v>
                </pt>
                <pt idx="5">
                  <v>40</v>
                </pt>
                <pt idx="6">
                  <v>40</v>
                </pt>
                <pt idx="7">
                  <v>40</v>
                </pt>
                <pt idx="8">
                  <v>40</v>
                </pt>
                <pt idx="9">
                  <v>40</v>
                </pt>
                <pt idx="10">
                  <v>40</v>
                </pt>
                <pt idx="11">
                  <v>40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0"/>
        <axId val="47850290"/>
        <axId val="14169144"/>
      </lineChart>
      <catAx>
        <axId val="4785029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4169144"/>
        <crosses val="autoZero"/>
        <auto val="1"/>
        <lblAlgn val="ctr"/>
        <lblOffset val="100"/>
        <noMultiLvlLbl val="0"/>
      </catAx>
      <valAx>
        <axId val="14169144"/>
        <scaling>
          <orientation val="minMax"/>
        </scaling>
        <delete val="0"/>
        <axPos val="l"/>
        <numFmt formatCode="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785029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DTNH-02 — variação mês a mês na janela (contra a meta de variação)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CALC!G54</f>
              <strCache>
                <ptCount val="1"/>
                <pt idx="0">
                  <v>Variação vs mês anterior</v>
                </pt>
              </strCache>
            </strRef>
          </tx>
          <spPr>
            <a:solidFill>
              <a:srgbClr val="6fa88f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CALC!$A$55:$A$66</f>
              <strCache>
                <ptCount val="12"/>
                <pt idx="0">
                  <v>2026-06</v>
                </pt>
                <pt idx="1">
                  <v>2026-07</v>
                </pt>
                <pt idx="2">
                  <v>2026-08</v>
                </pt>
                <pt idx="3">
                  <v>2026-09</v>
                </pt>
                <pt idx="4">
                  <v>2026-10</v>
                </pt>
                <pt idx="5">
                  <v>2026-11</v>
                </pt>
                <pt idx="6">
                  <v>2026-12</v>
                </pt>
                <pt idx="7">
                  <v>2027-01</v>
                </pt>
                <pt idx="8">
                  <v>2027-02</v>
                </pt>
                <pt idx="9">
                  <v>2027-03</v>
                </pt>
                <pt idx="10">
                  <v>2027-04</v>
                </pt>
                <pt idx="11">
                  <v>2027-05</v>
                </pt>
              </strCache>
            </strRef>
          </cat>
          <val>
            <numRef>
              <f>CALC!$G$55:$G$66</f>
              <numCache>
                <formatCode>\+0.0%;\-0.0%;0.0%</formatCode>
                <ptCount val="12"/>
                <pt idx="1">
                  <v>-0.0204587724736516</v>
                </pt>
                <pt idx="2">
                  <v>-0.0075949367088608</v>
                </pt>
              </numCache>
            </numRef>
          </val>
        </ser>
        <gapWidth val="60"/>
        <overlap val="0"/>
        <axId val="87209315"/>
        <axId val="75956177"/>
      </barChart>
      <lineChart>
        <grouping val="standard"/>
        <varyColors val="0"/>
        <ser>
          <idx val="1"/>
          <order val="1"/>
          <tx>
            <strRef>
              <f>CALC!F54</f>
              <strCache>
                <ptCount val="1"/>
                <pt idx="0">
                  <v>Meta no mês</v>
                </pt>
              </strCache>
            </strRef>
          </tx>
          <spPr>
            <a:solidFill>
              <a:srgbClr val="c0392b"/>
            </a:solidFill>
            <a:ln w="21960">
              <a:solidFill>
                <a:srgbClr val="c0392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CALC!$A$55:$A$66</f>
              <strCache>
                <ptCount val="12"/>
                <pt idx="0">
                  <v>2026-06</v>
                </pt>
                <pt idx="1">
                  <v>2026-07</v>
                </pt>
                <pt idx="2">
                  <v>2026-08</v>
                </pt>
                <pt idx="3">
                  <v>2026-09</v>
                </pt>
                <pt idx="4">
                  <v>2026-10</v>
                </pt>
                <pt idx="5">
                  <v>2026-11</v>
                </pt>
                <pt idx="6">
                  <v>2026-12</v>
                </pt>
                <pt idx="7">
                  <v>2027-01</v>
                </pt>
                <pt idx="8">
                  <v>2027-02</v>
                </pt>
                <pt idx="9">
                  <v>2027-03</v>
                </pt>
                <pt idx="10">
                  <v>2027-04</v>
                </pt>
                <pt idx="11">
                  <v>2027-05</v>
                </pt>
              </strCache>
            </strRef>
          </cat>
          <val>
            <numRef>
              <f>CALC!$F$55:$F$66</f>
              <numCache>
                <formatCode>0.0%</formatCode>
                <ptCount val="12"/>
                <pt idx="0">
                  <v>-0.015</v>
                </pt>
                <pt idx="1">
                  <v>-0.015</v>
                </pt>
                <pt idx="2">
                  <v>-0.015</v>
                </pt>
                <pt idx="3">
                  <v>-0.015</v>
                </pt>
                <pt idx="4">
                  <v>-0.015</v>
                </pt>
                <pt idx="5">
                  <v>-0.015</v>
                </pt>
                <pt idx="6">
                  <v>-0.015</v>
                </pt>
                <pt idx="7">
                  <v>-0.015</v>
                </pt>
                <pt idx="8">
                  <v>-0.015</v>
                </pt>
                <pt idx="9">
                  <v>-0.015</v>
                </pt>
                <pt idx="10">
                  <v>-0.015</v>
                </pt>
                <pt idx="11">
                  <v>-0.015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0"/>
        <axId val="87209315"/>
        <axId val="75956177"/>
      </lineChart>
      <catAx>
        <axId val="8720931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75956177"/>
        <crosses val="autoZero"/>
        <auto val="1"/>
        <lblAlgn val="ctr"/>
        <lblOffset val="100"/>
        <noMultiLvlLbl val="0"/>
      </catAx>
      <valAx>
        <axId val="75956177"/>
        <scaling>
          <orientation val="minMax"/>
        </scaling>
        <delete val="0"/>
        <axPos val="l"/>
        <numFmt formatCode="0.0%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720931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DTNH-03 — mês a mês na janela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CALC!F87</f>
              <strCache>
                <ptCount val="1"/>
                <pt idx="0">
                  <v>Valor apurado</v>
                </pt>
              </strCache>
            </strRef>
          </tx>
          <spPr>
            <a:solidFill>
              <a:srgbClr val="6fa88f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CALC!$A$88:$A$99</f>
              <strCache>
                <ptCount val="12"/>
                <pt idx="0">
                  <v>2026-06</v>
                </pt>
                <pt idx="1">
                  <v>2026-07</v>
                </pt>
                <pt idx="2">
                  <v>2026-08</v>
                </pt>
                <pt idx="3">
                  <v>2026-09</v>
                </pt>
                <pt idx="4">
                  <v>2026-10</v>
                </pt>
                <pt idx="5">
                  <v>2026-11</v>
                </pt>
                <pt idx="6">
                  <v>2026-12</v>
                </pt>
                <pt idx="7">
                  <v>2027-01</v>
                </pt>
                <pt idx="8">
                  <v>2027-02</v>
                </pt>
                <pt idx="9">
                  <v>2027-03</v>
                </pt>
                <pt idx="10">
                  <v>2027-04</v>
                </pt>
                <pt idx="11">
                  <v>2027-05</v>
                </pt>
              </strCache>
            </strRef>
          </cat>
          <val>
            <numRef>
              <f>CALC!$F$88:$F$99</f>
              <numCache>
                <formatCode>0.0%</formatCode>
                <ptCount val="12"/>
                <pt idx="0">
                  <v>0.780069595946847</v>
                </pt>
                <pt idx="1">
                  <v>0.762506070908208</v>
                </pt>
                <pt idx="2">
                  <v>0.762506070908208</v>
                </pt>
                <pt idx="3">
                  <v>0.762506070908208</v>
                </pt>
                <pt idx="4">
                  <v>0.762506070908208</v>
                </pt>
                <pt idx="5">
                  <v>0.762506070908208</v>
                </pt>
                <pt idx="6">
                  <v>0.762506070908208</v>
                </pt>
              </numCache>
            </numRef>
          </val>
        </ser>
        <gapWidth val="60"/>
        <overlap val="0"/>
        <axId val="31628188"/>
        <axId val="76686953"/>
      </barChart>
      <lineChart>
        <grouping val="standard"/>
        <varyColors val="0"/>
        <ser>
          <idx val="1"/>
          <order val="1"/>
          <tx>
            <strRef>
              <f>CALC!G87</f>
              <strCache>
                <ptCount val="1"/>
                <pt idx="0">
                  <v>Meta no mês</v>
                </pt>
              </strCache>
            </strRef>
          </tx>
          <spPr>
            <a:solidFill>
              <a:srgbClr val="c0392b"/>
            </a:solidFill>
            <a:ln w="21960">
              <a:solidFill>
                <a:srgbClr val="c0392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CALC!$A$88:$A$99</f>
              <strCache>
                <ptCount val="12"/>
                <pt idx="0">
                  <v>2026-06</v>
                </pt>
                <pt idx="1">
                  <v>2026-07</v>
                </pt>
                <pt idx="2">
                  <v>2026-08</v>
                </pt>
                <pt idx="3">
                  <v>2026-09</v>
                </pt>
                <pt idx="4">
                  <v>2026-10</v>
                </pt>
                <pt idx="5">
                  <v>2026-11</v>
                </pt>
                <pt idx="6">
                  <v>2026-12</v>
                </pt>
                <pt idx="7">
                  <v>2027-01</v>
                </pt>
                <pt idx="8">
                  <v>2027-02</v>
                </pt>
                <pt idx="9">
                  <v>2027-03</v>
                </pt>
                <pt idx="10">
                  <v>2027-04</v>
                </pt>
                <pt idx="11">
                  <v>2027-05</v>
                </pt>
              </strCache>
            </strRef>
          </cat>
          <val>
            <numRef>
              <f>CALC!$G$88:$G$99</f>
              <numCache>
                <formatCode>0.0%</formatCode>
                <ptCount val="12"/>
                <pt idx="0">
                  <v>0.72</v>
                </pt>
                <pt idx="1">
                  <v>0.72</v>
                </pt>
                <pt idx="2">
                  <v>0.75</v>
                </pt>
                <pt idx="3">
                  <v>0.75</v>
                </pt>
                <pt idx="4">
                  <v>0.75</v>
                </pt>
                <pt idx="5">
                  <v>0.75</v>
                </pt>
                <pt idx="6">
                  <v>0.75</v>
                </pt>
                <pt idx="7">
                  <v>0.75</v>
                </pt>
                <pt idx="8">
                  <v>0.75</v>
                </pt>
                <pt idx="9">
                  <v>0.75</v>
                </pt>
                <pt idx="10">
                  <v>0.75</v>
                </pt>
                <pt idx="11">
                  <v>0.75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0"/>
        <axId val="31628188"/>
        <axId val="76686953"/>
      </lineChart>
      <catAx>
        <axId val="3162818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76686953"/>
        <crosses val="autoZero"/>
        <auto val="1"/>
        <lblAlgn val="ctr"/>
        <lblOffset val="100"/>
        <noMultiLvlLbl val="0"/>
      </catAx>
      <valAx>
        <axId val="76686953"/>
        <scaling>
          <orientation val="minMax"/>
        </scaling>
        <delete val="0"/>
        <axPos val="l"/>
        <numFmt formatCode="0.0%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1628188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9</row>
      <rowOff>97200</rowOff>
    </from>
    <to>
      <col>6</col>
      <colOff>143280</colOff>
      <row>23</row>
      <rowOff>93600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0</colOff>
      <row>40</row>
      <rowOff>3600</rowOff>
    </from>
    <to>
      <col>6</col>
      <colOff>143280</colOff>
      <row>53</row>
      <rowOff>190800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0</col>
      <colOff>0</colOff>
      <row>70</row>
      <rowOff>291600</rowOff>
    </from>
    <to>
      <col>6</col>
      <colOff>143280</colOff>
      <row>84</row>
      <rowOff>97560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3" displayName="Tabela3" ref="A4:J1200" headerRowCount="1" totalsRowCount="0" totalsRowShown="0">
  <autoFilter ref="A4:J1200"/>
  <tableColumns count="10">
    <tableColumn id="1" name="Período"/>
    <tableColumn id="2" name="Curso"/>
    <tableColumn id="3" name="Respondentes"/>
    <tableColumn id="4" name="Promotores (9-10)"/>
    <tableColumn id="5" name="Neutros (7-8)"/>
    <tableColumn id="6" name="Detratores (0-6)"/>
    <tableColumn id="7" name="Valor da Linha"/>
    <tableColumn id="8" name="Data do lançamento"/>
    <tableColumn id="9" name="Lançado por"/>
    <tableColumn id="10" name="Validação da linha"/>
  </tableColumns>
</table>
</file>

<file path=xl/tables/table2.xml><?xml version="1.0" encoding="utf-8"?>
<table xmlns="http://schemas.openxmlformats.org/spreadsheetml/2006/main" id="2" name="Tabela36" displayName="Tabela36" ref="A4:G1200" headerRowCount="1" totalsRowCount="0" totalsRowShown="0">
  <autoFilter ref="A4:G1200"/>
  <tableColumns count="7">
    <tableColumn id="1" name="Período"/>
    <tableColumn id="2" name="Curso"/>
    <tableColumn id="3" name="Matrículas Ativas"/>
    <tableColumn id="4" name="Valor da Linha"/>
    <tableColumn id="5" name="Data de Lançamento"/>
    <tableColumn id="6" name="Lançado por"/>
    <tableColumn id="7" name="Validação da linha"/>
  </tableColumns>
</table>
</file>

<file path=xl/tables/table3.xml><?xml version="1.0" encoding="utf-8"?>
<table xmlns="http://schemas.openxmlformats.org/spreadsheetml/2006/main" id="3" name="Tabela367" displayName="Tabela367" ref="A4:I1200" headerRowCount="1" totalsRowCount="0" totalsRowShown="0">
  <autoFilter ref="A4:I1200"/>
  <tableColumns count="9">
    <tableColumn id="1" name="Período"/>
    <tableColumn id="2" name="Curso"/>
    <tableColumn id="3" name="Disciplina"/>
    <tableColumn id="4" name="Presenças Previstas"/>
    <tableColumn id="5" name="Presenças Registradas"/>
    <tableColumn id="6" name="Valor da Linha"/>
    <tableColumn id="7" name="Data de Lançamento"/>
    <tableColumn id="8" name="Lançado Por"/>
    <tableColumn id="9" name="Validação da linh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B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30" min="1" max="1"/>
    <col width="116" customWidth="1" style="130" min="2" max="2"/>
  </cols>
  <sheetData>
    <row r="1" ht="24" customHeight="1" s="131">
      <c r="A1" s="132" t="inlineStr">
        <is>
          <t>PAINEL DE GESTÃO POR DADOS — DTNH · v4</t>
        </is>
      </c>
    </row>
    <row r="2" ht="30" customHeight="1" s="131">
      <c r="A2" s="133" t="inlineStr">
        <is>
          <t>Periodicidade de alimentação variável e frequência por disciplina.</t>
        </is>
      </c>
    </row>
    <row r="4" ht="21.75" customHeight="1" s="131">
      <c r="B4" s="134" t="inlineStr">
        <is>
          <t>1. Cada KPI tem seu próprio grão de alimentação</t>
        </is>
      </c>
    </row>
    <row r="5" ht="40.5" customHeight="1" s="131">
      <c r="B5" s="135" t="inlineStr">
        <is>
          <t>A coluna 'Mês' das abas de entrada usa a competência de cada KPI. A periodicidade institucional é declarada na aba INDICADORES, coluna 'Periodicidade de alimentação'.</t>
        </is>
      </c>
    </row>
    <row r="6" ht="27.75" customHeight="1" s="131">
      <c r="B6" s="135" t="inlineStr">
        <is>
          <t>•  Semanal: 2026-08-W1 até 2026-08-W5</t>
        </is>
      </c>
    </row>
    <row r="7" ht="27.75" customHeight="1" s="131">
      <c r="B7" s="135" t="inlineStr">
        <is>
          <t>•  Quinzenal: 2026-08-Q1 e 2026-08-Q2</t>
        </is>
      </c>
    </row>
    <row r="8" ht="27.75" customHeight="1" s="131">
      <c r="B8" s="135" t="inlineStr">
        <is>
          <t>•  Mensal: 2026-08</t>
        </is>
      </c>
    </row>
    <row r="9" ht="51.75" customHeight="1" s="131">
      <c r="B9" s="136" t="inlineStr">
        <is>
          <t>Regra de integridade: para um mesmo KPI, curso e competência, não duplique lançamentos. Mudanças de periodicidade devem valer somente para competências futuras e ser registradas na governança do painel.</t>
        </is>
      </c>
    </row>
    <row r="10" ht="51.75" customHeight="1" s="131">
      <c r="B10" s="136" t="inlineStr">
        <is>
          <t>KPIs de estoque, como Matrículas Ativas, representam uma fotografia mensal de fechamento. A Frequência Média do Data UNIVC também é alimentada por competência mensal.</t>
        </is>
      </c>
    </row>
    <row r="11" ht="40.5" customHeight="1" s="131">
      <c r="B11" s="135" t="inlineStr">
        <is>
          <t>Semestral funciona diferente: o CALC usa o código do semestre, e o valor apurado do semestre aparece igual nos seis meses. É a propagação que você pediu — uma alimentação, vários meses exibidos.</t>
        </is>
      </c>
    </row>
    <row r="12" ht="15" customHeight="1" s="131">
      <c r="B12" s="135" t="n"/>
    </row>
    <row r="13" ht="21.75" customHeight="1" s="131">
      <c r="B13" s="134" t="inlineStr">
        <is>
          <t>2. Como está configurado agora</t>
        </is>
      </c>
    </row>
    <row r="14" ht="27.75" customHeight="1" s="131">
      <c r="B14" s="135" t="inlineStr">
        <is>
          <t>•  DTNH-01 NPS Discente — alimentação mensal, detalhe por curso.</t>
        </is>
      </c>
    </row>
    <row r="15" ht="27.75" customHeight="1" s="131">
      <c r="B15" s="135" t="inlineStr">
        <is>
          <t>•  DTNH-02 Matrículas Ativas — alimentação mensal, detalhe por curso.</t>
        </is>
      </c>
    </row>
    <row r="16" ht="27.75" customHeight="1" s="131">
      <c r="B16" s="135" t="inlineStr">
        <is>
          <t>•  DTNH-03 Frequência Média — alimentação MENSAL, detalhe por CURSO E DISCIPLINA.</t>
        </is>
      </c>
    </row>
    <row r="17" ht="54" customHeight="1" s="131">
      <c r="B17" s="135" t="inlineStr">
        <is>
          <t>Para alterar a periodicidade de um KPI, revise a coluna 'Periodicidade de alimentação' na aba INDICADORES e a validação da coluna Período na respectiva aba de entrada.</t>
        </is>
      </c>
    </row>
    <row r="18" ht="15" customHeight="1" s="131">
      <c r="B18" s="135" t="n"/>
    </row>
    <row r="19" ht="21.75" customHeight="1" s="131">
      <c r="B19" s="134" t="inlineStr">
        <is>
          <t>3. Frequência por disciplina</t>
        </is>
      </c>
    </row>
    <row r="20" ht="54" customHeight="1" s="131">
      <c r="B20" s="135" t="inlineStr">
        <is>
          <t>A aba FREQUÊNCIA MÉDIA ganhou a coluna Disciplina, entre Curso e Presenças Previstas. A aba DISCIPLINAS cadastra as aulas de cada curso — Direito com Direito Constitucional, Legislação Trabalhista e assim por diante. A lista que veio é ponto de partida: substitua pela grade curricular real.</t>
        </is>
      </c>
    </row>
    <row r="21" ht="40.5" customHeight="1" s="131">
      <c r="B21" s="135" t="inlineStr">
        <is>
          <t>NPS e matrículas continuam só por curso, sem coluna de disciplina, porque não faz sentido perguntar satisfação ou contar matrícula por aula.</t>
        </is>
      </c>
    </row>
    <row r="22" ht="66.75" customHeight="1" s="131">
      <c r="B22" s="135" t="inlineStr">
        <is>
          <t>As metas aceitam três níveis de recorte: TOTAL para a área, o nome do curso, ou 'Curso » Disciplina'. A herança desce da disciplina para o curso e do curso para a área — se a disciplina não tem meta própria, vale a do curso; se o curso não tem, vale a da área. A coluna 'Recorte para METAS' da aba DISCIPLINAS já monta o texto pronto para copiar.</t>
        </is>
      </c>
    </row>
    <row r="23" ht="15" customHeight="1" s="131">
      <c r="B23" s="135" t="n"/>
    </row>
    <row r="24" ht="21.75" customHeight="1" s="131">
      <c r="B24" s="134" t="inlineStr">
        <is>
          <t>4. O que ver no painel</t>
        </is>
      </c>
    </row>
    <row r="25" ht="27.75" customHeight="1" s="131">
      <c r="B25" s="135" t="inlineStr">
        <is>
          <t>•  Cartão de cada KPI, com periodicidade e contagem de lançamentos da competência.</t>
        </is>
      </c>
    </row>
    <row r="26" ht="40.5" customHeight="1" s="131">
      <c r="B26" s="135" t="inlineStr">
        <is>
          <t>•  Bloco 'Dentro do mês — por semana' na frequência: semana a semana, para a área e para o curso em foco. A linha 'mês inteiro' captura lançamentos feitos no código do mês, sem detalhe semanal.</t>
        </is>
      </c>
    </row>
    <row r="27" ht="40.5" customHeight="1" s="131">
      <c r="B27" s="135" t="inlineStr">
        <is>
          <t>•  Bloco 'Por disciplina', que respeita o Curso em foco escolhido em PARAMETROS. Com '(todos)' mostra todas as disciplinas de todos os cursos.</t>
        </is>
      </c>
    </row>
    <row r="28" ht="27.75" customHeight="1" s="131">
      <c r="B28" s="135" t="inlineStr">
        <is>
          <t>•  Na MATRIZ, além de curso × mês, uma matriz de disciplinas do curso em foco ao longo da janela.</t>
        </is>
      </c>
    </row>
    <row r="29" ht="15" customHeight="1" s="131">
      <c r="B29" s="135" t="n"/>
    </row>
    <row r="30" ht="21.75" customHeight="1" s="131">
      <c r="B30" s="134" t="inlineStr">
        <is>
          <t>5. Os lançamentos antigos continuam valendo</t>
        </is>
      </c>
    </row>
    <row r="31" ht="79.5" customHeight="1" s="131">
      <c r="B31" s="135" t="inlineStr">
        <is>
          <t>Os 27 registros de frequência que existiam estavam no código do mês (2026-08) e sem disciplina. Eles não foram convertidos nem descartados: o critério 2026-08* também casa com o mês exato, então o total do mês continua correto. No bloco por disciplina eles aparecem na linha '(sem disciplina informada)', e no bloco semanal na linha 'mês inteiro'. Conforme você passar a lançar por semana e por disciplina, essas duas linhas vão esvaziando.</t>
        </is>
      </c>
    </row>
    <row r="32" ht="15" customHeight="1" s="131">
      <c r="B32" s="135" t="n"/>
    </row>
    <row r="33" ht="21.75" customHeight="1" s="131">
      <c r="B33" s="134" t="inlineStr">
        <is>
          <t>6. Diagnóstico novo em PARAMETROS</t>
        </is>
      </c>
    </row>
    <row r="34" ht="27.75" customHeight="1" s="131">
      <c r="B34" s="135" t="inlineStr">
        <is>
          <t>•  Quantos lançamentos semanais e quantos de mês inteiro existem no mês de referência.</t>
        </is>
      </c>
    </row>
    <row r="35" ht="27.75" customHeight="1" s="131">
      <c r="B35" s="135" t="inlineStr">
        <is>
          <t>•  Quantos lançamentos do mês têm disciplina informada.</t>
        </is>
      </c>
    </row>
    <row r="36" ht="27.75" customHeight="1" s="131">
      <c r="B36" s="135" t="inlineStr">
        <is>
          <t>•  Curso em foco, que comanda os blocos de semana e de disciplina.</t>
        </is>
      </c>
    </row>
    <row r="37" ht="15" customHeight="1" s="131">
      <c r="B37" s="135" t="n"/>
    </row>
    <row r="38" ht="21.75" customHeight="1" s="131">
      <c r="B38" s="134" t="inlineStr">
        <is>
          <t>Cuidados que permanecem</t>
        </is>
      </c>
    </row>
    <row r="39" ht="27.75" customHeight="1" s="131">
      <c r="B39" s="135" t="inlineStr">
        <is>
          <t>•  Os status usam ARRED em 6 casas, para não dar 'Atenção' falso quando o valor bate a meta exatamente.</t>
        </is>
      </c>
    </row>
    <row r="40" ht="40.5" customHeight="1" s="131">
      <c r="B40" s="135" t="inlineStr">
        <is>
          <t>•  Evite referência de coluna inteira dentro de fórmulas que vivam na mesma coluna — é o que produz referência circular, e o SEERRO esconde.</t>
        </is>
      </c>
    </row>
    <row r="41" ht="27.75" customHeight="1" s="131">
      <c r="B41" s="135" t="inlineStr">
        <is>
          <t>•  Nunca apague linhas de CURSOS ou DISCIPLINAS: marque Ativo = N e preencha a vigência de fim.</t>
        </is>
      </c>
    </row>
    <row r="42" ht="27.75" customHeight="1" s="131">
      <c r="B42" s="135" t="inlineStr">
        <is>
          <t>•  Para mudar meta, acrescente linha com nova vigência; jamais sobrescreva.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F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130" min="1" max="1"/>
    <col width="18" customWidth="1" style="130" min="2" max="2"/>
    <col width="4" customWidth="1" style="130" min="3" max="3"/>
    <col width="26" customWidth="1" style="130" min="4" max="4"/>
    <col width="20" customWidth="1" style="130" min="5" max="5"/>
    <col width="62" customWidth="1" style="130" min="6" max="6"/>
  </cols>
  <sheetData>
    <row r="1" ht="24" customHeight="1" s="131">
      <c r="A1" s="132" t="inlineStr">
        <is>
          <t>PARÂMETROS DO PAINEL</t>
        </is>
      </c>
    </row>
    <row r="2" ht="30" customHeight="1" s="131">
      <c r="A2" s="133" t="inlineStr">
        <is>
          <t>Só as células amarelas são editáveis. Todas têm lista suspensa — não digite à mão.</t>
        </is>
      </c>
    </row>
    <row r="4" ht="15" customHeight="1" s="131">
      <c r="A4" s="137" t="inlineStr">
        <is>
          <t>SELEÇÃO</t>
        </is>
      </c>
    </row>
    <row r="5" ht="21.75" customHeight="1" s="131">
      <c r="A5" s="138" t="inlineStr">
        <is>
          <t>Diretoria</t>
        </is>
      </c>
      <c r="B5" s="139" t="inlineStr">
        <is>
          <t>DTNH</t>
        </is>
      </c>
      <c r="D5" s="140" t="n"/>
    </row>
    <row r="6" ht="21.75" customHeight="1" s="131">
      <c r="A6" s="138" t="inlineStr">
        <is>
          <t>Início da operação</t>
        </is>
      </c>
      <c r="B6" s="141" t="inlineStr">
        <is>
          <t>2026-06</t>
        </is>
      </c>
      <c r="D6" s="140" t="inlineStr">
        <is>
          <t>Primeiro mês alimentado.</t>
        </is>
      </c>
    </row>
    <row r="7" ht="21.75" customHeight="1" s="131">
      <c r="A7" s="138" t="inlineStr">
        <is>
          <t>Mês de referência</t>
        </is>
      </c>
      <c r="B7" s="141" t="inlineStr">
        <is>
          <t>2026-08</t>
        </is>
      </c>
      <c r="D7" s="140" t="inlineStr">
        <is>
          <t>O mês analisado.</t>
        </is>
      </c>
    </row>
    <row r="8" ht="21.75" customHeight="1" s="131">
      <c r="A8" s="138" t="inlineStr">
        <is>
          <t>Mês de comparação</t>
        </is>
      </c>
      <c r="B8" s="141" t="inlineStr">
        <is>
          <t>2026-07</t>
        </is>
      </c>
      <c r="D8" s="140" t="inlineStr">
        <is>
          <t>Pode ficar vazio.</t>
        </is>
      </c>
    </row>
    <row r="9" ht="21.75" customHeight="1" s="131">
      <c r="A9" s="138" t="inlineStr">
        <is>
          <t>Janela — de</t>
        </is>
      </c>
      <c r="B9" s="141" t="inlineStr">
        <is>
          <t>2026-06</t>
        </is>
      </c>
      <c r="D9" s="140" t="inlineStr">
        <is>
          <t>Primeiro mês do gráfico e da matriz.</t>
        </is>
      </c>
    </row>
    <row r="10" ht="21.75" customHeight="1" s="131">
      <c r="A10" s="138" t="inlineStr">
        <is>
          <t>Janela — até</t>
        </is>
      </c>
      <c r="B10" s="141" t="inlineStr">
        <is>
          <t>2027-05</t>
        </is>
      </c>
      <c r="D10" s="140" t="inlineStr">
        <is>
          <t>Último mês. Pode ser posterior à referência.</t>
        </is>
      </c>
    </row>
    <row r="11" ht="21.75" customHeight="1" s="131">
      <c r="A11" s="138" t="inlineStr">
        <is>
          <t>Curso em foco</t>
        </is>
      </c>
      <c r="B11" s="141" t="inlineStr">
        <is>
          <t>(todos)</t>
        </is>
      </c>
      <c r="D11" s="140" t="inlineStr">
        <is>
          <t>Usado no detalhe semanal e por disciplina. '(todos)' soma a área.</t>
        </is>
      </c>
    </row>
    <row r="12" ht="15" customHeight="1" s="131">
      <c r="A12" s="137" t="inlineStr">
        <is>
          <t>JANELA EFETIVA</t>
        </is>
      </c>
    </row>
    <row r="13" ht="21.75" customHeight="1" s="131">
      <c r="A13" s="138" t="inlineStr">
        <is>
          <t>Janela efetiva — de</t>
        </is>
      </c>
      <c r="B13" s="142">
        <f>IF(IFERROR(VALUE(SUBSTITUTE($B$9,"-","")),0)&lt;IFERROR(VALUE(SUBSTITUTE($B$6,"-","")),0),$B$6,$B$9)</f>
        <v/>
      </c>
      <c r="D13" s="140" t="inlineStr">
        <is>
          <t>Recuada para o início da operação, se necessário.</t>
        </is>
      </c>
    </row>
    <row r="14" ht="15" customHeight="1" s="131">
      <c r="A14" s="138" t="inlineStr">
        <is>
          <t>Janela efetiva — até</t>
        </is>
      </c>
      <c r="B14" s="142">
        <f>IF(IFERROR(VALUE(SUBSTITUTE($B$10,"-","")),0)&lt;IFERROR(VALUE(SUBSTITUTE($B$13,"-","")),0),$B$13,$B$10)</f>
        <v/>
      </c>
      <c r="D14" s="140" t="n"/>
    </row>
    <row r="15" ht="15" customHeight="1" s="131">
      <c r="A15" s="138" t="inlineStr">
        <is>
          <t>Meses na janela</t>
        </is>
      </c>
      <c r="B15" s="142">
        <f>(VALUE(LEFT($B$14,4))-VALUE(LEFT($B$13,4)))*12+VALUE(RIGHT($B$14,2))-VALUE(RIGHT($B$13,2))+1</f>
        <v/>
      </c>
      <c r="D15" s="140" t="n"/>
    </row>
    <row r="17" ht="15" customHeight="1" s="131">
      <c r="A17" s="143" t="inlineStr">
        <is>
          <t>aux · data da referência</t>
        </is>
      </c>
      <c r="B17" s="144">
        <f>IF($B$7="","",DATE(VALUE(LEFT($B$7,4)),VALUE(RIGHT($B$7,2)),1))</f>
        <v/>
      </c>
    </row>
    <row r="18" ht="15" customHeight="1" s="131">
      <c r="A18" s="143" t="inlineStr">
        <is>
          <t>aux · data do início da janela</t>
        </is>
      </c>
      <c r="B18" s="144">
        <f>IF($B$13="","",DATE(VALUE(LEFT($B$13,4)),VALUE(RIGHT($B$13,2)),1))</f>
        <v/>
      </c>
    </row>
    <row r="19" ht="15" customHeight="1" s="131">
      <c r="A19" s="143" t="inlineStr">
        <is>
          <t>aux · chave do fim da janela</t>
        </is>
      </c>
      <c r="B19" s="145">
        <f>IFERROR(VALUE(SUBSTITUTE($B$14,"-","")),0)</f>
        <v/>
      </c>
    </row>
    <row r="21" ht="21.75" customHeight="1" s="131">
      <c r="A21" s="137" t="inlineStr">
        <is>
          <t>ATALHOS</t>
        </is>
      </c>
      <c r="D21" s="140" t="inlineStr">
        <is>
          <t>Copie o valor para o campo correspondente.</t>
        </is>
      </c>
    </row>
    <row r="22" ht="15" customHeight="1" s="131">
      <c r="A22" s="146" t="inlineStr">
        <is>
          <t>Mês anterior à referência</t>
        </is>
      </c>
      <c r="B22" s="147">
        <f>IF($B$7="","",YEAR(EDATE($B$17,-1))&amp;"-"&amp;IF(MONTH(EDATE($B$17,-1))&lt;10,"0","")&amp;MONTH(EDATE($B$17,-1)))</f>
        <v/>
      </c>
    </row>
    <row r="23" ht="15" customHeight="1" s="131">
      <c r="A23" s="146" t="inlineStr">
        <is>
          <t>Mesmo mês do ano anterior</t>
        </is>
      </c>
      <c r="B23" s="147">
        <f>IF($B$7="","",YEAR(EDATE($B$17,-12))&amp;"-"&amp;IF(MONTH(EDATE($B$17,-12))&lt;10,"0","")&amp;MONTH(EDATE($B$17,-12)))</f>
        <v/>
      </c>
    </row>
    <row r="24" ht="15" customHeight="1" s="131">
      <c r="A24" s="146" t="inlineStr">
        <is>
          <t>Primeiro mês com dado</t>
        </is>
      </c>
      <c r="B24" s="147">
        <f>IF(MIN(DIM_MES!$G$5:$G$148)=999999,"—",INDEX(DIM_MES!$B$5:$B$148,MATCH(MIN(DIM_MES!$G$5:$G$148),DIM_MES!$G$5:$G$148,0)))</f>
        <v/>
      </c>
    </row>
    <row r="25" ht="15" customHeight="1" s="131">
      <c r="A25" s="146" t="inlineStr">
        <is>
          <t>Último mês com dado</t>
        </is>
      </c>
      <c r="B25" s="147">
        <f>IF(MAX(DIM_MES!$H$5:$H$148)=0,"—",INDEX(DIM_MES!$B$5:$B$148,MATCH(MAX(DIM_MES!$H$5:$H$148),DIM_MES!$H$5:$H$148,0)))</f>
        <v/>
      </c>
    </row>
    <row r="26" ht="15" customHeight="1" s="131">
      <c r="A26" s="146" t="inlineStr">
        <is>
          <t>Semestre da referência</t>
        </is>
      </c>
      <c r="B26" s="147">
        <f>IF($B$7="","",LEFT($B$7,4)&amp;"-SEM"&amp;IF(VALUE(RIGHT($B$7,2))&lt;=6,1,2))</f>
        <v/>
      </c>
    </row>
    <row r="27" ht="15" customHeight="1" s="131">
      <c r="A27" s="146" t="inlineStr">
        <is>
          <t>Semanas da referência</t>
        </is>
      </c>
      <c r="B27" s="147">
        <f>IF($B$7="","",$B$7&amp;"-W1 … "&amp;$B$7&amp;"-W5")</f>
        <v/>
      </c>
      <c r="C27" s="148" t="n"/>
      <c r="D27" s="149" t="n"/>
    </row>
    <row r="30" ht="15" customHeight="1" s="131">
      <c r="A30" s="137" t="inlineStr">
        <is>
          <t>DIAGNÓSTICO</t>
        </is>
      </c>
    </row>
    <row r="31" ht="15" customHeight="1" s="131">
      <c r="A31" s="146" t="inlineStr">
        <is>
          <t>Mês de referência tem dado?</t>
        </is>
      </c>
      <c r="B31" s="150">
        <f>IF($B$7="","sem mês escolhido",IF(IFERROR(INDEX(DIM_MES!$F$5:$F$148,MATCH($B$7,DIM_MES!$B$5:$B$148,0)),0)&gt;0,"OK — há lançamentos","SEM DADO neste mês"))</f>
        <v/>
      </c>
      <c r="C31" s="148" t="n"/>
      <c r="D31" s="148" t="n"/>
      <c r="E31" s="149" t="n"/>
    </row>
    <row r="32" ht="15" customHeight="1" s="131">
      <c r="A32" s="146" t="inlineStr">
        <is>
          <t>Mês de comparação tem dado?</t>
        </is>
      </c>
      <c r="B32" s="150">
        <f>IF($B$8="","(sem comparação)",IF(IFERROR(INDEX(DIM_MES!$F$5:$F$148,MATCH($B$8,DIM_MES!$B$5:$B$148,0)),0)&gt;0,"OK — há lançamentos","SEM DADO neste mês"))</f>
        <v/>
      </c>
      <c r="C32" s="148" t="n"/>
      <c r="D32" s="148" t="n"/>
      <c r="E32" s="149" t="n"/>
    </row>
    <row r="33" ht="15" customHeight="1" s="131">
      <c r="A33" s="146" t="inlineStr">
        <is>
          <t>Referência está dentro da janela?</t>
        </is>
      </c>
      <c r="B33" s="150">
        <f>IF($B$7="","—",IF(AND(IFERROR(VALUE(SUBSTITUTE($B$7,"-","")),0)&gt;=IFERROR(VALUE(SUBSTITUTE($B$13,"-","")),0),IFERROR(VALUE(SUBSTITUTE($B$7,"-","")),0)&lt;=IFERROR(VALUE(SUBSTITUTE($B$14,"-","")),0)),"OK — dentro da janela","FORA DA JANELA — o gráfico não mostra o mês analisado"))</f>
        <v/>
      </c>
      <c r="C33" s="148" t="n"/>
      <c r="D33" s="148" t="n"/>
      <c r="E33" s="149" t="n"/>
    </row>
    <row r="34" ht="15" customHeight="1" s="131">
      <c r="A34" s="146" t="inlineStr">
        <is>
          <t>Tamanho da janela</t>
        </is>
      </c>
      <c r="B34" s="150">
        <f>IF($B$15&gt;12,"EXCEDE 12 MESES — só os primeiros 12 aparecem",$B$15&amp;" meses, dentro do limite de 12")</f>
        <v/>
      </c>
      <c r="C34" s="148" t="n"/>
      <c r="D34" s="148" t="n"/>
      <c r="E34" s="149" t="n"/>
    </row>
    <row r="35" ht="15" customHeight="1" s="131">
      <c r="A35" s="146" t="inlineStr">
        <is>
          <t>Meses vazios na janela</t>
        </is>
      </c>
      <c r="B35" s="150">
        <f>IF(SUMPRODUCT((DIM_MES!$E$5:$E$148&gt;=IFERROR(VALUE(SUBSTITUTE($B$13,"-","")),0))*(DIM_MES!$E$5:$E$148&lt;=IFERROR(VALUE(SUBSTITUTE($B$14,"-","")),0))*(DIM_MES!$F$5:$F$148=0))=0,"OK — nenhum mês vazio",SUMPRODUCT((DIM_MES!$E$5:$E$148&gt;=IFERROR(VALUE(SUBSTITUTE($B$13,"-","")),0))*(DIM_MES!$E$5:$E$148&lt;=IFERROR(VALUE(SUBSTITUTE($B$14,"-","")),0))*(DIM_MES!$F$5:$F$148=0))&amp;" meses vazios — estreite a janela")</f>
        <v/>
      </c>
      <c r="C35" s="148" t="n"/>
      <c r="D35" s="148" t="n"/>
      <c r="E35" s="149" t="n"/>
    </row>
    <row r="36" ht="15" customHeight="1" s="131">
      <c r="A36" s="146" t="inlineStr">
        <is>
          <t>Semanas lançadas na frequência</t>
        </is>
      </c>
      <c r="B36" s="150">
        <f>COUNTIFS(Tabela367[Período],$B$7&amp;"-W*")&amp;" lançamentos semanais · "&amp;COUNTIFS(Tabela367[Período],$B$7)&amp;" lançamentos de mês inteiro"</f>
        <v/>
      </c>
      <c r="C36" s="148" t="n"/>
      <c r="D36" s="148" t="n"/>
      <c r="E36" s="149" t="n"/>
    </row>
    <row r="37" ht="15" customHeight="1" s="131">
      <c r="A37" s="146" t="inlineStr">
        <is>
          <t>Frequência com disciplina informada</t>
        </is>
      </c>
      <c r="B37" s="150">
        <f>COUNTIFS(Tabela367[Período],$B$7&amp;"*",Tabela367[Disciplina],"&lt;&gt;")&amp;" de "&amp;COUNTIFS(Tabela367[Período],$B$7&amp;"*")&amp;" lançamentos do mês"</f>
        <v/>
      </c>
      <c r="C37" s="148" t="n"/>
      <c r="D37" s="148" t="n"/>
      <c r="E37" s="149" t="n"/>
    </row>
  </sheetData>
  <mergeCells count="17">
    <mergeCell ref="B31:E31"/>
    <mergeCell ref="A2:F2"/>
    <mergeCell ref="D11:F11"/>
    <mergeCell ref="B35:E35"/>
    <mergeCell ref="D5:F5"/>
    <mergeCell ref="D10:F10"/>
    <mergeCell ref="A1:F1"/>
    <mergeCell ref="B34:E34"/>
    <mergeCell ref="B27:D27"/>
    <mergeCell ref="B33:E33"/>
    <mergeCell ref="D9:F9"/>
    <mergeCell ref="B37:E37"/>
    <mergeCell ref="D7:F7"/>
    <mergeCell ref="D8:F8"/>
    <mergeCell ref="D6:F6"/>
    <mergeCell ref="B36:E36"/>
    <mergeCell ref="B32:E32"/>
  </mergeCells>
  <conditionalFormatting sqref="B31">
    <cfRule type="expression" rank="0" priority="2" equalAverage="0" aboveAverage="0" dxfId="0" text="" percent="0" bottom="0">
      <formula>ISNUMBER(SEARCH("SEM DADO",$B31))</formula>
    </cfRule>
    <cfRule type="expression" rank="0" priority="3" equalAverage="0" aboveAverage="0" dxfId="0" text="" percent="0" bottom="0">
      <formula>ISNUMBER(SEARCH("FORA DA JANELA",$B31))</formula>
    </cfRule>
    <cfRule type="expression" rank="0" priority="4" equalAverage="0" aboveAverage="0" dxfId="0" text="" percent="0" bottom="0">
      <formula>ISNUMBER(SEARCH("EXCEDE",$B31))</formula>
    </cfRule>
    <cfRule type="expression" rank="0" priority="5" equalAverage="0" aboveAverage="0" dxfId="1" text="" percent="0" bottom="0">
      <formula>ISNUMBER(SEARCH("OK",$B31))</formula>
    </cfRule>
  </conditionalFormatting>
  <conditionalFormatting sqref="B32">
    <cfRule type="expression" rank="0" priority="6" equalAverage="0" aboveAverage="0" dxfId="0" text="" percent="0" bottom="0">
      <formula>ISNUMBER(SEARCH("SEM DADO",$B32))</formula>
    </cfRule>
    <cfRule type="expression" rank="0" priority="7" equalAverage="0" aboveAverage="0" dxfId="0" text="" percent="0" bottom="0">
      <formula>ISNUMBER(SEARCH("FORA DA JANELA",$B32))</formula>
    </cfRule>
    <cfRule type="expression" rank="0" priority="8" equalAverage="0" aboveAverage="0" dxfId="0" text="" percent="0" bottom="0">
      <formula>ISNUMBER(SEARCH("EXCEDE",$B32))</formula>
    </cfRule>
    <cfRule type="expression" rank="0" priority="9" equalAverage="0" aboveAverage="0" dxfId="1" text="" percent="0" bottom="0">
      <formula>ISNUMBER(SEARCH("OK",$B32))</formula>
    </cfRule>
  </conditionalFormatting>
  <conditionalFormatting sqref="B33">
    <cfRule type="expression" rank="0" priority="10" equalAverage="0" aboveAverage="0" dxfId="0" text="" percent="0" bottom="0">
      <formula>ISNUMBER(SEARCH("SEM DADO",$B33))</formula>
    </cfRule>
    <cfRule type="expression" rank="0" priority="11" equalAverage="0" aboveAverage="0" dxfId="0" text="" percent="0" bottom="0">
      <formula>ISNUMBER(SEARCH("FORA DA JANELA",$B33))</formula>
    </cfRule>
    <cfRule type="expression" rank="0" priority="12" equalAverage="0" aboveAverage="0" dxfId="0" text="" percent="0" bottom="0">
      <formula>ISNUMBER(SEARCH("EXCEDE",$B33))</formula>
    </cfRule>
    <cfRule type="expression" rank="0" priority="13" equalAverage="0" aboveAverage="0" dxfId="1" text="" percent="0" bottom="0">
      <formula>ISNUMBER(SEARCH("OK",$B33))</formula>
    </cfRule>
  </conditionalFormatting>
  <conditionalFormatting sqref="B34">
    <cfRule type="expression" rank="0" priority="14" equalAverage="0" aboveAverage="0" dxfId="0" text="" percent="0" bottom="0">
      <formula>ISNUMBER(SEARCH("SEM DADO",$B34))</formula>
    </cfRule>
    <cfRule type="expression" rank="0" priority="15" equalAverage="0" aboveAverage="0" dxfId="0" text="" percent="0" bottom="0">
      <formula>ISNUMBER(SEARCH("FORA DA JANELA",$B34))</formula>
    </cfRule>
    <cfRule type="expression" rank="0" priority="16" equalAverage="0" aboveAverage="0" dxfId="0" text="" percent="0" bottom="0">
      <formula>ISNUMBER(SEARCH("EXCEDE",$B34))</formula>
    </cfRule>
    <cfRule type="expression" rank="0" priority="17" equalAverage="0" aboveAverage="0" dxfId="1" text="" percent="0" bottom="0">
      <formula>ISNUMBER(SEARCH("OK",$B34))</formula>
    </cfRule>
  </conditionalFormatting>
  <conditionalFormatting sqref="B35">
    <cfRule type="expression" rank="0" priority="18" equalAverage="0" aboveAverage="0" dxfId="0" text="" percent="0" bottom="0">
      <formula>ISNUMBER(SEARCH("SEM DADO",$B35))</formula>
    </cfRule>
    <cfRule type="expression" rank="0" priority="19" equalAverage="0" aboveAverage="0" dxfId="0" text="" percent="0" bottom="0">
      <formula>ISNUMBER(SEARCH("FORA DA JANELA",$B35))</formula>
    </cfRule>
    <cfRule type="expression" rank="0" priority="20" equalAverage="0" aboveAverage="0" dxfId="0" text="" percent="0" bottom="0">
      <formula>ISNUMBER(SEARCH("EXCEDE",$B35))</formula>
    </cfRule>
    <cfRule type="expression" rank="0" priority="21" equalAverage="0" aboveAverage="0" dxfId="1" text="" percent="0" bottom="0">
      <formula>ISNUMBER(SEARCH("OK",$B35))</formula>
    </cfRule>
  </conditionalFormatting>
  <conditionalFormatting sqref="B36">
    <cfRule type="expression" rank="0" priority="22" equalAverage="0" aboveAverage="0" dxfId="0" text="" percent="0" bottom="0">
      <formula>ISNUMBER(SEARCH("SEM DADO",$B36))</formula>
    </cfRule>
    <cfRule type="expression" rank="0" priority="23" equalAverage="0" aboveAverage="0" dxfId="0" text="" percent="0" bottom="0">
      <formula>ISNUMBER(SEARCH("FORA DA JANELA",$B36))</formula>
    </cfRule>
    <cfRule type="expression" rank="0" priority="24" equalAverage="0" aboveAverage="0" dxfId="0" text="" percent="0" bottom="0">
      <formula>ISNUMBER(SEARCH("EXCEDE",$B36))</formula>
    </cfRule>
    <cfRule type="expression" rank="0" priority="25" equalAverage="0" aboveAverage="0" dxfId="1" text="" percent="0" bottom="0">
      <formula>ISNUMBER(SEARCH("OK",$B36))</formula>
    </cfRule>
  </conditionalFormatting>
  <conditionalFormatting sqref="B37">
    <cfRule type="expression" rank="0" priority="26" equalAverage="0" aboveAverage="0" dxfId="0" text="" percent="0" bottom="0">
      <formula>ISNUMBER(SEARCH("SEM DADO",$B37))</formula>
    </cfRule>
    <cfRule type="expression" rank="0" priority="27" equalAverage="0" aboveAverage="0" dxfId="0" text="" percent="0" bottom="0">
      <formula>ISNUMBER(SEARCH("FORA DA JANELA",$B37))</formula>
    </cfRule>
    <cfRule type="expression" rank="0" priority="28" equalAverage="0" aboveAverage="0" dxfId="0" text="" percent="0" bottom="0">
      <formula>ISNUMBER(SEARCH("EXCEDE",$B37))</formula>
    </cfRule>
    <cfRule type="expression" rank="0" priority="29" equalAverage="0" aboveAverage="0" dxfId="1" text="" percent="0" bottom="0">
      <formula>ISNUMBER(SEARCH("OK",$B37))</formula>
    </cfRule>
  </conditionalFormatting>
  <dataValidations count="6">
    <dataValidation sqref="B6" showDropDown="0" showInputMessage="0" showErrorMessage="0" allowBlank="1" type="list" errorStyle="stop" operator="between">
      <formula1>DIM_MES!$B$5:$B$148</formula1>
      <formula2>0</formula2>
    </dataValidation>
    <dataValidation sqref="B7" showDropDown="0" showInputMessage="0" showErrorMessage="0" allowBlank="1" type="list" errorStyle="stop" operator="between">
      <formula1>DIM_MES!$B$5:$B$148</formula1>
      <formula2>0</formula2>
    </dataValidation>
    <dataValidation sqref="B8" showDropDown="0" showInputMessage="0" showErrorMessage="0" allowBlank="1" type="list" errorStyle="stop" operator="between">
      <formula1>DIM_MES!$B$5:$B$148</formula1>
      <formula2>0</formula2>
    </dataValidation>
    <dataValidation sqref="B9" showDropDown="0" showInputMessage="0" showErrorMessage="0" allowBlank="1" type="list" errorStyle="stop" operator="between">
      <formula1>DIM_MES!$B$5:$B$148</formula1>
      <formula2>0</formula2>
    </dataValidation>
    <dataValidation sqref="B10" showDropDown="0" showInputMessage="0" showErrorMessage="0" allowBlank="1" type="list" errorStyle="stop" operator="between">
      <formula1>DIM_MES!$B$5:$B$148</formula1>
      <formula2>0</formula2>
    </dataValidation>
    <dataValidation sqref="B11" showDropDown="0" showInputMessage="0" showErrorMessage="0" allowBlank="1" type="list" errorStyle="stop" operator="between">
      <formula1>'LISTAS DE APOIO'!$H$5:$H$14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K1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6" customWidth="1" style="130" min="1" max="1"/>
    <col width="15" customWidth="1" style="130" min="2" max="3"/>
    <col width="13" customWidth="1" style="130" min="4" max="7"/>
    <col width="12" customWidth="1" style="130" min="8" max="8"/>
    <col width="20" customWidth="1" style="130" min="9" max="9"/>
    <col width="22" customWidth="1" style="130" min="10" max="10"/>
    <col width="13" customWidth="1" style="130" min="11" max="11"/>
  </cols>
  <sheetData>
    <row r="1" ht="24" customHeight="1" s="131">
      <c r="A1" s="132" t="inlineStr">
        <is>
          <t>PAINEL DE GESTÃO — DTNH</t>
        </is>
      </c>
    </row>
    <row r="2" ht="30" customHeight="1" s="131">
      <c r="A2" s="133" t="inlineStr">
        <is>
          <t>Leitura do mês. Todos os números vêm de CALC; para mudar o recorte, use PARAMETROS.</t>
        </is>
      </c>
    </row>
    <row r="4" ht="21.75" customHeight="1" s="131">
      <c r="A4" s="151" t="inlineStr">
        <is>
          <t>Mês de referência</t>
        </is>
      </c>
      <c r="D4" s="151" t="inlineStr">
        <is>
          <t>Mês de comparação</t>
        </is>
      </c>
      <c r="G4" s="151" t="inlineStr">
        <is>
          <t>Janela</t>
        </is>
      </c>
      <c r="J4" s="151" t="inlineStr">
        <is>
          <t>Curso em foco</t>
        </is>
      </c>
    </row>
    <row r="5" ht="24" customHeight="1" s="131">
      <c r="A5" s="152">
        <f>PARAMETROS!$B$7</f>
        <v/>
      </c>
      <c r="B5" s="153" t="n"/>
      <c r="D5" s="152">
        <f>IF(PARAMETROS!$B$8="","(sem)",PARAMETROS!$B$8)</f>
        <v/>
      </c>
      <c r="E5" s="153" t="n"/>
      <c r="G5" s="152">
        <f>PARAMETROS!$B$13&amp;"  a  "&amp;PARAMETROS!$B$14</f>
        <v/>
      </c>
      <c r="H5" s="153" t="n"/>
      <c r="J5" s="152">
        <f>PARAMETROS!$B$11</f>
        <v/>
      </c>
      <c r="K5" s="153" t="n"/>
    </row>
    <row r="7" ht="24" customHeight="1" s="131">
      <c r="A7" s="154" t="inlineStr">
        <is>
          <t xml:space="preserve">   DTNH-01   ·   NPS Discente da Área   ·   alimentação mensal   ·   detalhe por curso</t>
        </is>
      </c>
      <c r="B7" s="148" t="n"/>
      <c r="C7" s="148" t="n"/>
      <c r="D7" s="148" t="n"/>
      <c r="E7" s="148" t="n"/>
      <c r="F7" s="148" t="n"/>
      <c r="G7" s="148" t="n"/>
      <c r="H7" s="148" t="n"/>
      <c r="I7" s="148" t="n"/>
      <c r="J7" s="148" t="n"/>
      <c r="K7" s="148" t="n"/>
    </row>
    <row r="8" ht="30" customHeight="1" s="131">
      <c r="A8" s="155" t="inlineStr">
        <is>
          <t>Valor na referência</t>
        </is>
      </c>
      <c r="B8" s="155" t="inlineStr">
        <is>
          <t>Valor na comparação</t>
        </is>
      </c>
      <c r="C8" s="155" t="inlineStr">
        <is>
          <t>Variação</t>
        </is>
      </c>
      <c r="D8" s="155" t="inlineStr">
        <is>
          <t>Meta vigente</t>
        </is>
      </c>
      <c r="E8" s="155" t="inlineStr">
        <is>
          <t>Limiar de atenção</t>
        </is>
      </c>
      <c r="F8" s="155" t="inlineStr">
        <is>
          <t>Falta p/ a meta</t>
        </is>
      </c>
      <c r="G8" s="155" t="inlineStr">
        <is>
          <t>Falta p/ o limiar</t>
        </is>
      </c>
      <c r="H8" s="155" t="inlineStr">
        <is>
          <t>Atingimento</t>
        </is>
      </c>
      <c r="I8" s="155" t="inlineStr">
        <is>
          <t>Status</t>
        </is>
      </c>
      <c r="J8" s="155" t="inlineStr">
        <is>
          <t>Situação</t>
        </is>
      </c>
      <c r="K8" s="155" t="inlineStr">
        <is>
          <t>Lançamentos</t>
        </is>
      </c>
    </row>
    <row r="9" ht="30" customHeight="1" s="131">
      <c r="A9" s="156">
        <f>CALC!$B$37</f>
        <v/>
      </c>
      <c r="B9" s="157">
        <f>CALC!$C$37</f>
        <v/>
      </c>
      <c r="C9" s="158">
        <f>CALC!$D$37</f>
        <v/>
      </c>
      <c r="D9" s="159">
        <f>CALC!$E$37</f>
        <v/>
      </c>
      <c r="E9" s="160">
        <f>CALC!$F$37</f>
        <v/>
      </c>
      <c r="F9" s="161">
        <f>CALC!$G$37</f>
        <v/>
      </c>
      <c r="G9" s="161">
        <f>CALC!$H$37</f>
        <v/>
      </c>
      <c r="H9" s="162">
        <f>CALC!$I$37</f>
        <v/>
      </c>
      <c r="I9" s="163">
        <f>CALC!$J$37</f>
        <v/>
      </c>
      <c r="J9" s="164">
        <f>CALC!$K$37</f>
        <v/>
      </c>
      <c r="K9" s="165">
        <f>CALC!$L$37</f>
        <v/>
      </c>
    </row>
    <row r="26" ht="25.5" customHeight="1" s="131">
      <c r="A26" s="166" t="inlineStr">
        <is>
          <t>Curso</t>
        </is>
      </c>
      <c r="B26" s="166" t="inlineStr">
        <is>
          <t>Referência</t>
        </is>
      </c>
      <c r="C26" s="166" t="inlineStr">
        <is>
          <t>Comparação</t>
        </is>
      </c>
      <c r="D26" s="166" t="inlineStr">
        <is>
          <t>Variação</t>
        </is>
      </c>
      <c r="E26" s="166" t="inlineStr">
        <is>
          <t>Meta</t>
        </is>
      </c>
      <c r="F26" s="166" t="inlineStr">
        <is>
          <t>Status</t>
        </is>
      </c>
    </row>
    <row r="27" ht="15" customHeight="1" s="131">
      <c r="A27" s="167">
        <f>CALC!$A$41</f>
        <v/>
      </c>
      <c r="B27" s="168">
        <f>CALC!$F$41</f>
        <v/>
      </c>
      <c r="C27" s="169">
        <f>CALC!$G$41</f>
        <v/>
      </c>
      <c r="D27" s="170">
        <f>CALC!$H$41</f>
        <v/>
      </c>
      <c r="E27" s="169">
        <f>CALC!$I$41</f>
        <v/>
      </c>
      <c r="F27" s="171">
        <f>CALC!$K$41</f>
        <v/>
      </c>
    </row>
    <row r="28" ht="15" customHeight="1" s="131">
      <c r="A28" s="167">
        <f>CALC!$A$42</f>
        <v/>
      </c>
      <c r="B28" s="168">
        <f>CALC!$F$42</f>
        <v/>
      </c>
      <c r="C28" s="169">
        <f>CALC!$G$42</f>
        <v/>
      </c>
      <c r="D28" s="170">
        <f>CALC!$H$42</f>
        <v/>
      </c>
      <c r="E28" s="169">
        <f>CALC!$I$42</f>
        <v/>
      </c>
      <c r="F28" s="171">
        <f>CALC!$K$42</f>
        <v/>
      </c>
    </row>
    <row r="29" ht="21.75" customHeight="1" s="131">
      <c r="A29" s="167">
        <f>CALC!$A$43</f>
        <v/>
      </c>
      <c r="B29" s="168">
        <f>CALC!$F$43</f>
        <v/>
      </c>
      <c r="C29" s="169">
        <f>CALC!$G$43</f>
        <v/>
      </c>
      <c r="D29" s="170">
        <f>CALC!$H$43</f>
        <v/>
      </c>
      <c r="E29" s="169">
        <f>CALC!$I$43</f>
        <v/>
      </c>
      <c r="F29" s="171">
        <f>CALC!$K$43</f>
        <v/>
      </c>
    </row>
    <row r="30" ht="15" customHeight="1" s="131">
      <c r="A30" s="167">
        <f>CALC!$A$44</f>
        <v/>
      </c>
      <c r="B30" s="168">
        <f>CALC!$F$44</f>
        <v/>
      </c>
      <c r="C30" s="169">
        <f>CALC!$G$44</f>
        <v/>
      </c>
      <c r="D30" s="170">
        <f>CALC!$H$44</f>
        <v/>
      </c>
      <c r="E30" s="169">
        <f>CALC!$I$44</f>
        <v/>
      </c>
      <c r="F30" s="171">
        <f>CALC!$K$44</f>
        <v/>
      </c>
    </row>
    <row r="31" ht="15" customHeight="1" s="131">
      <c r="A31" s="167">
        <f>CALC!$A$45</f>
        <v/>
      </c>
      <c r="B31" s="168">
        <f>CALC!$F$45</f>
        <v/>
      </c>
      <c r="C31" s="169">
        <f>CALC!$G$45</f>
        <v/>
      </c>
      <c r="D31" s="170">
        <f>CALC!$H$45</f>
        <v/>
      </c>
      <c r="E31" s="169">
        <f>CALC!$I$45</f>
        <v/>
      </c>
      <c r="F31" s="171">
        <f>CALC!$K$45</f>
        <v/>
      </c>
    </row>
    <row r="32" ht="15" customHeight="1" s="131">
      <c r="A32" s="167">
        <f>CALC!$A$46</f>
        <v/>
      </c>
      <c r="B32" s="168">
        <f>CALC!$F$46</f>
        <v/>
      </c>
      <c r="C32" s="169">
        <f>CALC!$G$46</f>
        <v/>
      </c>
      <c r="D32" s="170">
        <f>CALC!$H$46</f>
        <v/>
      </c>
      <c r="E32" s="169">
        <f>CALC!$I$46</f>
        <v/>
      </c>
      <c r="F32" s="171">
        <f>CALC!$K$46</f>
        <v/>
      </c>
    </row>
    <row r="33" ht="15" customHeight="1" s="131">
      <c r="A33" s="167">
        <f>CALC!$A$47</f>
        <v/>
      </c>
      <c r="B33" s="168">
        <f>CALC!$F$47</f>
        <v/>
      </c>
      <c r="C33" s="169">
        <f>CALC!$G$47</f>
        <v/>
      </c>
      <c r="D33" s="170">
        <f>CALC!$H$47</f>
        <v/>
      </c>
      <c r="E33" s="169">
        <f>CALC!$I$47</f>
        <v/>
      </c>
      <c r="F33" s="171">
        <f>CALC!$K$47</f>
        <v/>
      </c>
    </row>
    <row r="34" ht="15" customHeight="1" s="131">
      <c r="A34" s="167">
        <f>CALC!$A$48</f>
        <v/>
      </c>
      <c r="B34" s="168">
        <f>CALC!$F$48</f>
        <v/>
      </c>
      <c r="C34" s="169">
        <f>CALC!$G$48</f>
        <v/>
      </c>
      <c r="D34" s="170">
        <f>CALC!$H$48</f>
        <v/>
      </c>
      <c r="E34" s="169">
        <f>CALC!$I$48</f>
        <v/>
      </c>
      <c r="F34" s="171">
        <f>CALC!$K$48</f>
        <v/>
      </c>
    </row>
    <row r="35" ht="15" customHeight="1" s="131">
      <c r="A35" s="167">
        <f>CALC!$A$49</f>
        <v/>
      </c>
      <c r="B35" s="168">
        <f>CALC!$F$49</f>
        <v/>
      </c>
      <c r="C35" s="169">
        <f>CALC!$G$49</f>
        <v/>
      </c>
      <c r="D35" s="170">
        <f>CALC!$H$49</f>
        <v/>
      </c>
      <c r="E35" s="169">
        <f>CALC!$I$49</f>
        <v/>
      </c>
      <c r="F35" s="171">
        <f>CALC!$K$49</f>
        <v/>
      </c>
    </row>
    <row r="38" ht="24" customHeight="1" s="131">
      <c r="A38" s="154" t="inlineStr">
        <is>
          <t xml:space="preserve">   DTNH-02   ·   Matrículas Ativas por Curso   ·   alimentação mensal   ·   detalhe por curso</t>
        </is>
      </c>
      <c r="B38" s="148" t="n"/>
      <c r="C38" s="148" t="n"/>
      <c r="D38" s="148" t="n"/>
      <c r="E38" s="148" t="n"/>
      <c r="F38" s="148" t="n"/>
      <c r="G38" s="148" t="n"/>
      <c r="H38" s="148" t="n"/>
      <c r="I38" s="148" t="n"/>
      <c r="J38" s="148" t="n"/>
      <c r="K38" s="148" t="n"/>
    </row>
    <row r="39" ht="30" customHeight="1" s="131">
      <c r="A39" s="155" t="inlineStr">
        <is>
          <t>Valor na referência</t>
        </is>
      </c>
      <c r="B39" s="155" t="inlineStr">
        <is>
          <t>Valor na comparação</t>
        </is>
      </c>
      <c r="C39" s="155" t="inlineStr">
        <is>
          <t>Variação</t>
        </is>
      </c>
      <c r="D39" s="155" t="inlineStr">
        <is>
          <t>Meta vigente</t>
        </is>
      </c>
      <c r="E39" s="155" t="inlineStr">
        <is>
          <t>Limiar de atenção</t>
        </is>
      </c>
      <c r="F39" s="155" t="inlineStr">
        <is>
          <t>Falta p/ a meta</t>
        </is>
      </c>
      <c r="G39" s="155" t="inlineStr">
        <is>
          <t>Falta p/ o limiar</t>
        </is>
      </c>
      <c r="H39" s="155" t="inlineStr">
        <is>
          <t>Atingimento</t>
        </is>
      </c>
      <c r="I39" s="155" t="inlineStr">
        <is>
          <t>Status</t>
        </is>
      </c>
      <c r="J39" s="155" t="inlineStr">
        <is>
          <t>Situação</t>
        </is>
      </c>
      <c r="K39" s="155" t="inlineStr">
        <is>
          <t>Lançamentos</t>
        </is>
      </c>
    </row>
    <row r="40" ht="30" customHeight="1" s="131">
      <c r="A40" s="172">
        <f>CALC!$B$70</f>
        <v/>
      </c>
      <c r="B40" s="173">
        <f>CALC!$C$70</f>
        <v/>
      </c>
      <c r="C40" s="174">
        <f>CALC!$D$70</f>
        <v/>
      </c>
      <c r="D40" s="175">
        <f>CALC!$E$70</f>
        <v/>
      </c>
      <c r="E40" s="176">
        <f>CALC!$F$70</f>
        <v/>
      </c>
      <c r="F40" s="177">
        <f>CALC!$G$70</f>
        <v/>
      </c>
      <c r="G40" s="177">
        <f>CALC!$H$70</f>
        <v/>
      </c>
      <c r="H40" s="162">
        <f>CALC!$I$70</f>
        <v/>
      </c>
      <c r="I40" s="163">
        <f>CALC!$J$70</f>
        <v/>
      </c>
      <c r="J40" s="164">
        <f>CALC!$K$70</f>
        <v/>
      </c>
      <c r="K40" s="165">
        <f>CALC!$L$70</f>
        <v/>
      </c>
    </row>
    <row r="57" ht="25.5" customHeight="1" s="131">
      <c r="A57" s="166" t="inlineStr">
        <is>
          <t>Curso</t>
        </is>
      </c>
      <c r="B57" s="166" t="inlineStr">
        <is>
          <t>Referência</t>
        </is>
      </c>
      <c r="C57" s="166" t="inlineStr">
        <is>
          <t>Comparação</t>
        </is>
      </c>
      <c r="D57" s="166" t="inlineStr">
        <is>
          <t>Variação</t>
        </is>
      </c>
      <c r="E57" s="166" t="inlineStr">
        <is>
          <t>Meta</t>
        </is>
      </c>
      <c r="F57" s="166" t="inlineStr">
        <is>
          <t>Status</t>
        </is>
      </c>
    </row>
    <row r="58" ht="15" customHeight="1" s="131">
      <c r="A58" s="167">
        <f>CALC!$A$74</f>
        <v/>
      </c>
      <c r="B58" s="178">
        <f>CALC!$C$74</f>
        <v/>
      </c>
      <c r="C58" s="179">
        <f>CALC!$D$74</f>
        <v/>
      </c>
      <c r="D58" s="180">
        <f>CALC!$E$74</f>
        <v/>
      </c>
      <c r="E58" s="181">
        <f>CALC!$F$74</f>
        <v/>
      </c>
      <c r="F58" s="171">
        <f>CALC!$H$74</f>
        <v/>
      </c>
    </row>
    <row r="59" ht="15" customHeight="1" s="131">
      <c r="A59" s="167">
        <f>CALC!$A$75</f>
        <v/>
      </c>
      <c r="B59" s="178">
        <f>CALC!$C$75</f>
        <v/>
      </c>
      <c r="C59" s="179">
        <f>CALC!$D$75</f>
        <v/>
      </c>
      <c r="D59" s="180">
        <f>CALC!$E$75</f>
        <v/>
      </c>
      <c r="E59" s="181">
        <f>CALC!$F$75</f>
        <v/>
      </c>
      <c r="F59" s="171">
        <f>CALC!$H$75</f>
        <v/>
      </c>
    </row>
    <row r="60" ht="21.75" customHeight="1" s="131">
      <c r="A60" s="167">
        <f>CALC!$A$76</f>
        <v/>
      </c>
      <c r="B60" s="178">
        <f>CALC!$C$76</f>
        <v/>
      </c>
      <c r="C60" s="179">
        <f>CALC!$D$76</f>
        <v/>
      </c>
      <c r="D60" s="180">
        <f>CALC!$E$76</f>
        <v/>
      </c>
      <c r="E60" s="181">
        <f>CALC!$F$76</f>
        <v/>
      </c>
      <c r="F60" s="171">
        <f>CALC!$H$76</f>
        <v/>
      </c>
    </row>
    <row r="61" ht="15" customHeight="1" s="131">
      <c r="A61" s="167">
        <f>CALC!$A$77</f>
        <v/>
      </c>
      <c r="B61" s="178">
        <f>CALC!$C$77</f>
        <v/>
      </c>
      <c r="C61" s="179">
        <f>CALC!$D$77</f>
        <v/>
      </c>
      <c r="D61" s="180">
        <f>CALC!$E$77</f>
        <v/>
      </c>
      <c r="E61" s="181">
        <f>CALC!$F$77</f>
        <v/>
      </c>
      <c r="F61" s="171">
        <f>CALC!$H$77</f>
        <v/>
      </c>
    </row>
    <row r="62" ht="15" customHeight="1" s="131">
      <c r="A62" s="167">
        <f>CALC!$A$78</f>
        <v/>
      </c>
      <c r="B62" s="178">
        <f>CALC!$C$78</f>
        <v/>
      </c>
      <c r="C62" s="179">
        <f>CALC!$D$78</f>
        <v/>
      </c>
      <c r="D62" s="180">
        <f>CALC!$E$78</f>
        <v/>
      </c>
      <c r="E62" s="181">
        <f>CALC!$F$78</f>
        <v/>
      </c>
      <c r="F62" s="171">
        <f>CALC!$H$78</f>
        <v/>
      </c>
    </row>
    <row r="63" ht="15" customHeight="1" s="131">
      <c r="A63" s="167">
        <f>CALC!$A$79</f>
        <v/>
      </c>
      <c r="B63" s="178">
        <f>CALC!$C$79</f>
        <v/>
      </c>
      <c r="C63" s="179">
        <f>CALC!$D$79</f>
        <v/>
      </c>
      <c r="D63" s="180">
        <f>CALC!$E$79</f>
        <v/>
      </c>
      <c r="E63" s="181">
        <f>CALC!$F$79</f>
        <v/>
      </c>
      <c r="F63" s="171">
        <f>CALC!$H$79</f>
        <v/>
      </c>
    </row>
    <row r="64" ht="15" customHeight="1" s="131">
      <c r="A64" s="167">
        <f>CALC!$A$80</f>
        <v/>
      </c>
      <c r="B64" s="178">
        <f>CALC!$C$80</f>
        <v/>
      </c>
      <c r="C64" s="179">
        <f>CALC!$D$80</f>
        <v/>
      </c>
      <c r="D64" s="180">
        <f>CALC!$E$80</f>
        <v/>
      </c>
      <c r="E64" s="181">
        <f>CALC!$F$80</f>
        <v/>
      </c>
      <c r="F64" s="171">
        <f>CALC!$H$80</f>
        <v/>
      </c>
    </row>
    <row r="65" ht="15" customHeight="1" s="131">
      <c r="A65" s="167">
        <f>CALC!$A$81</f>
        <v/>
      </c>
      <c r="B65" s="178">
        <f>CALC!$C$81</f>
        <v/>
      </c>
      <c r="C65" s="179">
        <f>CALC!$D$81</f>
        <v/>
      </c>
      <c r="D65" s="180">
        <f>CALC!$E$81</f>
        <v/>
      </c>
      <c r="E65" s="181">
        <f>CALC!$F$81</f>
        <v/>
      </c>
      <c r="F65" s="171">
        <f>CALC!$H$81</f>
        <v/>
      </c>
    </row>
    <row r="66" ht="15" customHeight="1" s="131">
      <c r="A66" s="167">
        <f>CALC!$A$82</f>
        <v/>
      </c>
      <c r="B66" s="178">
        <f>CALC!$C$82</f>
        <v/>
      </c>
      <c r="C66" s="179">
        <f>CALC!$D$82</f>
        <v/>
      </c>
      <c r="D66" s="180">
        <f>CALC!$E$82</f>
        <v/>
      </c>
      <c r="E66" s="181">
        <f>CALC!$F$82</f>
        <v/>
      </c>
      <c r="F66" s="171">
        <f>CALC!$H$82</f>
        <v/>
      </c>
    </row>
    <row r="69" ht="24" customHeight="1" s="131">
      <c r="A69" s="154" t="inlineStr">
        <is>
          <t xml:space="preserve">   DTNH-03   ·   Frequência Média Discente   ·   alimentação mensal   ·   detalhe por curso e disciplina</t>
        </is>
      </c>
      <c r="B69" s="148" t="n"/>
      <c r="C69" s="148" t="n"/>
      <c r="D69" s="148" t="n"/>
      <c r="E69" s="148" t="n"/>
      <c r="F69" s="148" t="n"/>
      <c r="G69" s="148" t="n"/>
      <c r="H69" s="148" t="n"/>
      <c r="I69" s="148" t="n"/>
      <c r="J69" s="148" t="n"/>
      <c r="K69" s="148" t="n"/>
    </row>
    <row r="70" ht="30" customHeight="1" s="131">
      <c r="A70" s="155" t="inlineStr">
        <is>
          <t>Valor na referência</t>
        </is>
      </c>
      <c r="B70" s="155" t="inlineStr">
        <is>
          <t>Valor na comparação</t>
        </is>
      </c>
      <c r="C70" s="155" t="inlineStr">
        <is>
          <t>Variação</t>
        </is>
      </c>
      <c r="D70" s="155" t="inlineStr">
        <is>
          <t>Meta vigente</t>
        </is>
      </c>
      <c r="E70" s="155" t="inlineStr">
        <is>
          <t>Limiar de atenção</t>
        </is>
      </c>
      <c r="F70" s="155" t="inlineStr">
        <is>
          <t>Falta p/ a meta</t>
        </is>
      </c>
      <c r="G70" s="155" t="inlineStr">
        <is>
          <t>Falta p/ o limiar</t>
        </is>
      </c>
      <c r="H70" s="155" t="inlineStr">
        <is>
          <t>Atingimento</t>
        </is>
      </c>
      <c r="I70" s="155" t="inlineStr">
        <is>
          <t>Status</t>
        </is>
      </c>
      <c r="J70" s="155" t="inlineStr">
        <is>
          <t>Situação</t>
        </is>
      </c>
      <c r="K70" s="155" t="inlineStr">
        <is>
          <t>Lançamentos</t>
        </is>
      </c>
    </row>
    <row r="71" ht="30" customHeight="1" s="131">
      <c r="A71" s="182">
        <f>CALC!$B$103</f>
        <v/>
      </c>
      <c r="B71" s="183">
        <f>CALC!$C$103</f>
        <v/>
      </c>
      <c r="C71" s="174">
        <f>CALC!$D$103</f>
        <v/>
      </c>
      <c r="D71" s="175">
        <f>CALC!$E$103</f>
        <v/>
      </c>
      <c r="E71" s="176">
        <f>CALC!$F$103</f>
        <v/>
      </c>
      <c r="F71" s="177">
        <f>CALC!$G$103</f>
        <v/>
      </c>
      <c r="G71" s="177">
        <f>CALC!$H$103</f>
        <v/>
      </c>
      <c r="H71" s="162">
        <f>CALC!$I$103</f>
        <v/>
      </c>
      <c r="I71" s="163">
        <f>CALC!$J$103</f>
        <v/>
      </c>
      <c r="J71" s="164">
        <f>CALC!$K$103</f>
        <v/>
      </c>
      <c r="K71" s="165">
        <f>CALC!$L$103</f>
        <v/>
      </c>
    </row>
    <row r="88" ht="25.5" customHeight="1" s="131">
      <c r="A88" s="166" t="inlineStr">
        <is>
          <t>Curso</t>
        </is>
      </c>
      <c r="B88" s="166" t="inlineStr">
        <is>
          <t>Referência</t>
        </is>
      </c>
      <c r="C88" s="166" t="inlineStr">
        <is>
          <t>Comparação</t>
        </is>
      </c>
      <c r="D88" s="166" t="inlineStr">
        <is>
          <t>Variação</t>
        </is>
      </c>
      <c r="E88" s="166" t="inlineStr">
        <is>
          <t>Meta</t>
        </is>
      </c>
      <c r="F88" s="166" t="inlineStr">
        <is>
          <t>Status</t>
        </is>
      </c>
    </row>
    <row r="89" ht="15" customHeight="1" s="131">
      <c r="A89" s="167">
        <f>CALC!$A$107</f>
        <v/>
      </c>
      <c r="B89" s="184">
        <f>CALC!$D$107</f>
        <v/>
      </c>
      <c r="C89" s="181">
        <f>CALC!$E$107</f>
        <v/>
      </c>
      <c r="D89" s="180">
        <f>CALC!$F$107</f>
        <v/>
      </c>
      <c r="E89" s="181">
        <f>CALC!$G$107</f>
        <v/>
      </c>
      <c r="F89" s="171">
        <f>CALC!$I$107</f>
        <v/>
      </c>
    </row>
    <row r="90" ht="15" customHeight="1" s="131">
      <c r="A90" s="167">
        <f>CALC!$A$108</f>
        <v/>
      </c>
      <c r="B90" s="184">
        <f>CALC!$D$108</f>
        <v/>
      </c>
      <c r="C90" s="181">
        <f>CALC!$E$108</f>
        <v/>
      </c>
      <c r="D90" s="180">
        <f>CALC!$F$108</f>
        <v/>
      </c>
      <c r="E90" s="181">
        <f>CALC!$G$108</f>
        <v/>
      </c>
      <c r="F90" s="171">
        <f>CALC!$I$108</f>
        <v/>
      </c>
    </row>
    <row r="91" ht="21.75" customHeight="1" s="131">
      <c r="A91" s="167">
        <f>CALC!$A$109</f>
        <v/>
      </c>
      <c r="B91" s="184">
        <f>CALC!$D$109</f>
        <v/>
      </c>
      <c r="C91" s="181">
        <f>CALC!$E$109</f>
        <v/>
      </c>
      <c r="D91" s="180">
        <f>CALC!$F$109</f>
        <v/>
      </c>
      <c r="E91" s="181">
        <f>CALC!$G$109</f>
        <v/>
      </c>
      <c r="F91" s="171">
        <f>CALC!$I$109</f>
        <v/>
      </c>
    </row>
    <row r="92" ht="15" customHeight="1" s="131">
      <c r="A92" s="167">
        <f>CALC!$A$110</f>
        <v/>
      </c>
      <c r="B92" s="184">
        <f>CALC!$D$110</f>
        <v/>
      </c>
      <c r="C92" s="181">
        <f>CALC!$E$110</f>
        <v/>
      </c>
      <c r="D92" s="180">
        <f>CALC!$F$110</f>
        <v/>
      </c>
      <c r="E92" s="181">
        <f>CALC!$G$110</f>
        <v/>
      </c>
      <c r="F92" s="171">
        <f>CALC!$I$110</f>
        <v/>
      </c>
    </row>
    <row r="93" ht="15" customHeight="1" s="131">
      <c r="A93" s="167">
        <f>CALC!$A$111</f>
        <v/>
      </c>
      <c r="B93" s="184">
        <f>CALC!$D$111</f>
        <v/>
      </c>
      <c r="C93" s="181">
        <f>CALC!$E$111</f>
        <v/>
      </c>
      <c r="D93" s="180">
        <f>CALC!$F$111</f>
        <v/>
      </c>
      <c r="E93" s="181">
        <f>CALC!$G$111</f>
        <v/>
      </c>
      <c r="F93" s="171">
        <f>CALC!$I$111</f>
        <v/>
      </c>
    </row>
    <row r="94" ht="15" customHeight="1" s="131">
      <c r="A94" s="167">
        <f>CALC!$A$112</f>
        <v/>
      </c>
      <c r="B94" s="184">
        <f>CALC!$D$112</f>
        <v/>
      </c>
      <c r="C94" s="181">
        <f>CALC!$E$112</f>
        <v/>
      </c>
      <c r="D94" s="180">
        <f>CALC!$F$112</f>
        <v/>
      </c>
      <c r="E94" s="181">
        <f>CALC!$G$112</f>
        <v/>
      </c>
      <c r="F94" s="171">
        <f>CALC!$I$112</f>
        <v/>
      </c>
    </row>
    <row r="95" ht="15" customHeight="1" s="131">
      <c r="A95" s="167">
        <f>CALC!$A$113</f>
        <v/>
      </c>
      <c r="B95" s="184">
        <f>CALC!$D$113</f>
        <v/>
      </c>
      <c r="C95" s="181">
        <f>CALC!$E$113</f>
        <v/>
      </c>
      <c r="D95" s="180">
        <f>CALC!$F$113</f>
        <v/>
      </c>
      <c r="E95" s="181">
        <f>CALC!$G$113</f>
        <v/>
      </c>
      <c r="F95" s="171">
        <f>CALC!$I$113</f>
        <v/>
      </c>
    </row>
    <row r="96" ht="15" customHeight="1" s="131">
      <c r="A96" s="167">
        <f>CALC!$A$114</f>
        <v/>
      </c>
      <c r="B96" s="184">
        <f>CALC!$D$114</f>
        <v/>
      </c>
      <c r="C96" s="181">
        <f>CALC!$E$114</f>
        <v/>
      </c>
      <c r="D96" s="180">
        <f>CALC!$F$114</f>
        <v/>
      </c>
      <c r="E96" s="181">
        <f>CALC!$G$114</f>
        <v/>
      </c>
      <c r="F96" s="171">
        <f>CALC!$I$114</f>
        <v/>
      </c>
    </row>
    <row r="97" ht="15" customHeight="1" s="131">
      <c r="A97" s="167">
        <f>CALC!$A$115</f>
        <v/>
      </c>
      <c r="B97" s="184">
        <f>CALC!$D$115</f>
        <v/>
      </c>
      <c r="C97" s="181">
        <f>CALC!$E$115</f>
        <v/>
      </c>
      <c r="D97" s="180">
        <f>CALC!$F$115</f>
        <v/>
      </c>
      <c r="E97" s="181">
        <f>CALC!$G$115</f>
        <v/>
      </c>
      <c r="F97" s="171">
        <f>CALC!$I$115</f>
        <v/>
      </c>
    </row>
    <row r="100" ht="63.75" customHeight="1" s="131">
      <c r="A100" s="137" t="inlineStr">
        <is>
          <t>De onde vem o dado do mês</t>
        </is>
      </c>
      <c r="D100" s="140" t="inlineStr">
        <is>
          <t>auditoria dos sub-períodos: só as linhas do grão usado ficam preenchidas</t>
        </is>
      </c>
    </row>
    <row r="101" ht="25.5" customHeight="1" s="131">
      <c r="A101" s="166" t="inlineStr">
        <is>
          <t>Período</t>
        </is>
      </c>
      <c r="B101" s="166" t="inlineStr">
        <is>
          <t>Rótulo</t>
        </is>
      </c>
      <c r="C101" s="166" t="inlineStr">
        <is>
          <t>Previstas</t>
        </is>
      </c>
      <c r="D101" s="166" t="inlineStr">
        <is>
          <t>Registradas</t>
        </is>
      </c>
      <c r="E101" s="166" t="inlineStr">
        <is>
          <t>Valor da área</t>
        </is>
      </c>
      <c r="F101" s="166" t="inlineStr">
        <is>
          <t>Lançamentos</t>
        </is>
      </c>
      <c r="G101" s="166" t="inlineStr">
        <is>
          <t>Valor do curso em foco</t>
        </is>
      </c>
    </row>
    <row r="102" ht="15" customHeight="1" s="131">
      <c r="A102" s="164">
        <f>CALC!$A$163</f>
        <v/>
      </c>
      <c r="B102" s="167">
        <f>CALC!$B$163</f>
        <v/>
      </c>
      <c r="C102" s="179">
        <f>CALC!$C$163</f>
        <v/>
      </c>
      <c r="D102" s="179">
        <f>CALC!$D$163</f>
        <v/>
      </c>
      <c r="E102" s="185">
        <f>CALC!$E$163</f>
        <v/>
      </c>
      <c r="F102" s="186">
        <f>CALC!$F$163</f>
        <v/>
      </c>
      <c r="G102" s="187">
        <f>CALC!$I$163</f>
        <v/>
      </c>
    </row>
    <row r="103" ht="15" customHeight="1" s="131">
      <c r="A103" s="164">
        <f>CALC!$A$164</f>
        <v/>
      </c>
      <c r="B103" s="167">
        <f>CALC!$B$164</f>
        <v/>
      </c>
      <c r="C103" s="179">
        <f>CALC!$C$164</f>
        <v/>
      </c>
      <c r="D103" s="179">
        <f>CALC!$D$164</f>
        <v/>
      </c>
      <c r="E103" s="185">
        <f>CALC!$E$164</f>
        <v/>
      </c>
      <c r="F103" s="186">
        <f>CALC!$F$164</f>
        <v/>
      </c>
      <c r="G103" s="187">
        <f>CALC!$I$164</f>
        <v/>
      </c>
    </row>
    <row r="104" ht="15" customHeight="1" s="131">
      <c r="A104" s="164">
        <f>CALC!$A$165</f>
        <v/>
      </c>
      <c r="B104" s="167">
        <f>CALC!$B$165</f>
        <v/>
      </c>
      <c r="C104" s="179">
        <f>CALC!$C$165</f>
        <v/>
      </c>
      <c r="D104" s="179">
        <f>CALC!$D$165</f>
        <v/>
      </c>
      <c r="E104" s="185">
        <f>CALC!$E$165</f>
        <v/>
      </c>
      <c r="F104" s="186">
        <f>CALC!$F$165</f>
        <v/>
      </c>
      <c r="G104" s="187">
        <f>CALC!$I$165</f>
        <v/>
      </c>
    </row>
    <row r="105" ht="15" customHeight="1" s="131">
      <c r="A105" s="164">
        <f>CALC!$A$166</f>
        <v/>
      </c>
      <c r="B105" s="167">
        <f>CALC!$B$166</f>
        <v/>
      </c>
      <c r="C105" s="179">
        <f>CALC!$C$166</f>
        <v/>
      </c>
      <c r="D105" s="179">
        <f>CALC!$D$166</f>
        <v/>
      </c>
      <c r="E105" s="185">
        <f>CALC!$E$166</f>
        <v/>
      </c>
      <c r="F105" s="186">
        <f>CALC!$F$166</f>
        <v/>
      </c>
      <c r="G105" s="187">
        <f>CALC!$I$166</f>
        <v/>
      </c>
    </row>
    <row r="106" ht="15" customHeight="1" s="131">
      <c r="A106" s="164">
        <f>CALC!$A$167</f>
        <v/>
      </c>
      <c r="B106" s="167">
        <f>CALC!$B$167</f>
        <v/>
      </c>
      <c r="C106" s="179">
        <f>CALC!$C$167</f>
        <v/>
      </c>
      <c r="D106" s="179">
        <f>CALC!$D$167</f>
        <v/>
      </c>
      <c r="E106" s="185">
        <f>CALC!$E$167</f>
        <v/>
      </c>
      <c r="F106" s="186">
        <f>CALC!$F$167</f>
        <v/>
      </c>
      <c r="G106" s="187">
        <f>CALC!$I$167</f>
        <v/>
      </c>
    </row>
    <row r="107" ht="15" customHeight="1" s="131">
      <c r="A107" s="164">
        <f>CALC!$A$168</f>
        <v/>
      </c>
      <c r="B107" s="167">
        <f>CALC!$B$168</f>
        <v/>
      </c>
      <c r="C107" s="179">
        <f>CALC!$C$168</f>
        <v/>
      </c>
      <c r="D107" s="179">
        <f>CALC!$D$168</f>
        <v/>
      </c>
      <c r="E107" s="185">
        <f>CALC!$E$168</f>
        <v/>
      </c>
      <c r="F107" s="186">
        <f>CALC!$F$168</f>
        <v/>
      </c>
      <c r="G107" s="187">
        <f>CALC!$I$168</f>
        <v/>
      </c>
    </row>
    <row r="108" ht="15" customHeight="1" s="131">
      <c r="A108" s="164">
        <f>CALC!$A$169</f>
        <v/>
      </c>
      <c r="B108" s="167">
        <f>CALC!$B$169</f>
        <v/>
      </c>
      <c r="C108" s="179">
        <f>CALC!$C$169</f>
        <v/>
      </c>
      <c r="D108" s="179">
        <f>CALC!$D$169</f>
        <v/>
      </c>
      <c r="E108" s="185">
        <f>CALC!$E$169</f>
        <v/>
      </c>
      <c r="F108" s="186">
        <f>CALC!$F$169</f>
        <v/>
      </c>
      <c r="G108" s="187">
        <f>CALC!$I$169</f>
        <v/>
      </c>
    </row>
    <row r="109" ht="15" customHeight="1" s="131">
      <c r="A109" s="164">
        <f>CALC!$A$170</f>
        <v/>
      </c>
      <c r="B109" s="167">
        <f>CALC!$B$170</f>
        <v/>
      </c>
      <c r="C109" s="179">
        <f>CALC!$C$170</f>
        <v/>
      </c>
      <c r="D109" s="179">
        <f>CALC!$D$170</f>
        <v/>
      </c>
      <c r="E109" s="185">
        <f>CALC!$E$170</f>
        <v/>
      </c>
      <c r="F109" s="186">
        <f>CALC!$F$170</f>
        <v/>
      </c>
      <c r="G109" s="187">
        <f>CALC!$I$170</f>
        <v/>
      </c>
    </row>
    <row r="110" ht="21.75" customHeight="1" s="131">
      <c r="A110" s="164">
        <f>CALC!$A$171</f>
        <v/>
      </c>
      <c r="B110" s="167">
        <f>CALC!$B$171</f>
        <v/>
      </c>
      <c r="C110" s="179">
        <f>CALC!$C$171</f>
        <v/>
      </c>
      <c r="D110" s="179">
        <f>CALC!$D$171</f>
        <v/>
      </c>
      <c r="E110" s="185">
        <f>CALC!$E$171</f>
        <v/>
      </c>
      <c r="F110" s="186">
        <f>CALC!$F$171</f>
        <v/>
      </c>
      <c r="G110" s="187">
        <f>CALC!$I$171</f>
        <v/>
      </c>
    </row>
    <row r="112" ht="15" customHeight="1" s="131">
      <c r="A112" s="140" t="inlineStr">
        <is>
          <t>A frequência é apurada por competência mensal. Cada lançamento deve usar o mês de referência (AAAA-MM), com consolidação ponderada pelas presenças previstas.</t>
        </is>
      </c>
    </row>
    <row r="114" ht="42.75" customHeight="1" s="131">
      <c r="A114" s="137" t="inlineStr">
        <is>
          <t>Por disciplina — mês de referência</t>
        </is>
      </c>
      <c r="D114" s="140" t="inlineStr">
        <is>
          <t>mostra só o curso em foco; '(todos)' mostra tudo</t>
        </is>
      </c>
    </row>
    <row r="115" ht="25.5" customHeight="1" s="131">
      <c r="A115" s="166" t="inlineStr">
        <is>
          <t>Curso</t>
        </is>
      </c>
      <c r="B115" s="166" t="inlineStr">
        <is>
          <t>Disciplina</t>
        </is>
      </c>
      <c r="C115" s="166" t="inlineStr">
        <is>
          <t>Previstas</t>
        </is>
      </c>
      <c r="D115" s="166" t="inlineStr">
        <is>
          <t>Registradas</t>
        </is>
      </c>
      <c r="E115" s="166" t="inlineStr">
        <is>
          <t>Valor</t>
        </is>
      </c>
      <c r="F115" s="166" t="inlineStr">
        <is>
          <t>Meta</t>
        </is>
      </c>
      <c r="G115" s="166" t="inlineStr">
        <is>
          <t>Status</t>
        </is>
      </c>
    </row>
    <row r="116" ht="21.75" customHeight="1" s="131">
      <c r="A116" s="167">
        <f>CALC!$A$121</f>
        <v/>
      </c>
      <c r="B116" s="167">
        <f>CALC!$B$121</f>
        <v/>
      </c>
      <c r="C116" s="179">
        <f>CALC!$C$121</f>
        <v/>
      </c>
      <c r="D116" s="179">
        <f>CALC!$D$121</f>
        <v/>
      </c>
      <c r="E116" s="185">
        <f>CALC!$E$121</f>
        <v/>
      </c>
      <c r="F116" s="181">
        <f>CALC!$F$121</f>
        <v/>
      </c>
      <c r="G116" s="171">
        <f>CALC!$H$121</f>
        <v/>
      </c>
    </row>
    <row r="117" ht="15" customHeight="1" s="131">
      <c r="A117" s="167">
        <f>CALC!$A$122</f>
        <v/>
      </c>
      <c r="B117" s="167">
        <f>CALC!$B$122</f>
        <v/>
      </c>
      <c r="C117" s="179">
        <f>CALC!$C$122</f>
        <v/>
      </c>
      <c r="D117" s="179">
        <f>CALC!$D$122</f>
        <v/>
      </c>
      <c r="E117" s="185">
        <f>CALC!$E$122</f>
        <v/>
      </c>
      <c r="F117" s="181">
        <f>CALC!$F$122</f>
        <v/>
      </c>
      <c r="G117" s="171">
        <f>CALC!$H$122</f>
        <v/>
      </c>
    </row>
    <row r="118" ht="15" customHeight="1" s="131">
      <c r="A118" s="167">
        <f>CALC!$A$123</f>
        <v/>
      </c>
      <c r="B118" s="167">
        <f>CALC!$B$123</f>
        <v/>
      </c>
      <c r="C118" s="179">
        <f>CALC!$C$123</f>
        <v/>
      </c>
      <c r="D118" s="179">
        <f>CALC!$D$123</f>
        <v/>
      </c>
      <c r="E118" s="185">
        <f>CALC!$E$123</f>
        <v/>
      </c>
      <c r="F118" s="181">
        <f>CALC!$F$123</f>
        <v/>
      </c>
      <c r="G118" s="171">
        <f>CALC!$H$123</f>
        <v/>
      </c>
    </row>
    <row r="119" ht="21.75" customHeight="1" s="131">
      <c r="A119" s="167">
        <f>CALC!$A$124</f>
        <v/>
      </c>
      <c r="B119" s="167">
        <f>CALC!$B$124</f>
        <v/>
      </c>
      <c r="C119" s="179">
        <f>CALC!$C$124</f>
        <v/>
      </c>
      <c r="D119" s="179">
        <f>CALC!$D$124</f>
        <v/>
      </c>
      <c r="E119" s="185">
        <f>CALC!$E$124</f>
        <v/>
      </c>
      <c r="F119" s="181">
        <f>CALC!$F$124</f>
        <v/>
      </c>
      <c r="G119" s="171">
        <f>CALC!$H$124</f>
        <v/>
      </c>
    </row>
    <row r="120" ht="15" customHeight="1" s="131">
      <c r="A120" s="167">
        <f>CALC!$A$125</f>
        <v/>
      </c>
      <c r="B120" s="167">
        <f>CALC!$B$125</f>
        <v/>
      </c>
      <c r="C120" s="179">
        <f>CALC!$C$125</f>
        <v/>
      </c>
      <c r="D120" s="179">
        <f>CALC!$D$125</f>
        <v/>
      </c>
      <c r="E120" s="185">
        <f>CALC!$E$125</f>
        <v/>
      </c>
      <c r="F120" s="181">
        <f>CALC!$F$125</f>
        <v/>
      </c>
      <c r="G120" s="171">
        <f>CALC!$H$125</f>
        <v/>
      </c>
    </row>
    <row r="121" ht="21.75" customHeight="1" s="131">
      <c r="A121" s="167">
        <f>CALC!$A$126</f>
        <v/>
      </c>
      <c r="B121" s="167">
        <f>CALC!$B$126</f>
        <v/>
      </c>
      <c r="C121" s="179">
        <f>CALC!$C$126</f>
        <v/>
      </c>
      <c r="D121" s="179">
        <f>CALC!$D$126</f>
        <v/>
      </c>
      <c r="E121" s="185">
        <f>CALC!$E$126</f>
        <v/>
      </c>
      <c r="F121" s="181">
        <f>CALC!$F$126</f>
        <v/>
      </c>
      <c r="G121" s="171">
        <f>CALC!$H$126</f>
        <v/>
      </c>
    </row>
    <row r="122" ht="15" customHeight="1" s="131">
      <c r="A122" s="167">
        <f>CALC!$A$127</f>
        <v/>
      </c>
      <c r="B122" s="167">
        <f>CALC!$B$127</f>
        <v/>
      </c>
      <c r="C122" s="179">
        <f>CALC!$C$127</f>
        <v/>
      </c>
      <c r="D122" s="179">
        <f>CALC!$D$127</f>
        <v/>
      </c>
      <c r="E122" s="185">
        <f>CALC!$E$127</f>
        <v/>
      </c>
      <c r="F122" s="181">
        <f>CALC!$F$127</f>
        <v/>
      </c>
      <c r="G122" s="171">
        <f>CALC!$H$127</f>
        <v/>
      </c>
    </row>
    <row r="123" ht="21.75" customHeight="1" s="131">
      <c r="A123" s="167">
        <f>CALC!$A$128</f>
        <v/>
      </c>
      <c r="B123" s="167">
        <f>CALC!$B$128</f>
        <v/>
      </c>
      <c r="C123" s="179">
        <f>CALC!$C$128</f>
        <v/>
      </c>
      <c r="D123" s="179">
        <f>CALC!$D$128</f>
        <v/>
      </c>
      <c r="E123" s="185">
        <f>CALC!$E$128</f>
        <v/>
      </c>
      <c r="F123" s="181">
        <f>CALC!$F$128</f>
        <v/>
      </c>
      <c r="G123" s="171">
        <f>CALC!$H$128</f>
        <v/>
      </c>
    </row>
    <row r="124" ht="32.25" customHeight="1" s="131">
      <c r="A124" s="167">
        <f>CALC!$A$129</f>
        <v/>
      </c>
      <c r="B124" s="167">
        <f>CALC!$B$129</f>
        <v/>
      </c>
      <c r="C124" s="179">
        <f>CALC!$C$129</f>
        <v/>
      </c>
      <c r="D124" s="179">
        <f>CALC!$D$129</f>
        <v/>
      </c>
      <c r="E124" s="185">
        <f>CALC!$E$129</f>
        <v/>
      </c>
      <c r="F124" s="181">
        <f>CALC!$F$129</f>
        <v/>
      </c>
      <c r="G124" s="171">
        <f>CALC!$H$129</f>
        <v/>
      </c>
    </row>
    <row r="125" ht="21.75" customHeight="1" s="131">
      <c r="A125" s="167">
        <f>CALC!$A$130</f>
        <v/>
      </c>
      <c r="B125" s="167">
        <f>CALC!$B$130</f>
        <v/>
      </c>
      <c r="C125" s="179">
        <f>CALC!$C$130</f>
        <v/>
      </c>
      <c r="D125" s="179">
        <f>CALC!$D$130</f>
        <v/>
      </c>
      <c r="E125" s="185">
        <f>CALC!$E$130</f>
        <v/>
      </c>
      <c r="F125" s="181">
        <f>CALC!$F$130</f>
        <v/>
      </c>
      <c r="G125" s="171">
        <f>CALC!$H$130</f>
        <v/>
      </c>
    </row>
    <row r="126" ht="21.75" customHeight="1" s="131">
      <c r="A126" s="167">
        <f>CALC!$A$131</f>
        <v/>
      </c>
      <c r="B126" s="167">
        <f>CALC!$B$131</f>
        <v/>
      </c>
      <c r="C126" s="179">
        <f>CALC!$C$131</f>
        <v/>
      </c>
      <c r="D126" s="179">
        <f>CALC!$D$131</f>
        <v/>
      </c>
      <c r="E126" s="185">
        <f>CALC!$E$131</f>
        <v/>
      </c>
      <c r="F126" s="181">
        <f>CALC!$F$131</f>
        <v/>
      </c>
      <c r="G126" s="171">
        <f>CALC!$H$131</f>
        <v/>
      </c>
    </row>
    <row r="127" ht="21.75" customHeight="1" s="131">
      <c r="A127" s="167">
        <f>CALC!$A$132</f>
        <v/>
      </c>
      <c r="B127" s="167">
        <f>CALC!$B$132</f>
        <v/>
      </c>
      <c r="C127" s="179">
        <f>CALC!$C$132</f>
        <v/>
      </c>
      <c r="D127" s="179">
        <f>CALC!$D$132</f>
        <v/>
      </c>
      <c r="E127" s="185">
        <f>CALC!$E$132</f>
        <v/>
      </c>
      <c r="F127" s="181">
        <f>CALC!$F$132</f>
        <v/>
      </c>
      <c r="G127" s="171">
        <f>CALC!$H$132</f>
        <v/>
      </c>
    </row>
    <row r="128" ht="21.75" customHeight="1" s="131">
      <c r="A128" s="167">
        <f>CALC!$A$133</f>
        <v/>
      </c>
      <c r="B128" s="167">
        <f>CALC!$B$133</f>
        <v/>
      </c>
      <c r="C128" s="179">
        <f>CALC!$C$133</f>
        <v/>
      </c>
      <c r="D128" s="179">
        <f>CALC!$D$133</f>
        <v/>
      </c>
      <c r="E128" s="185">
        <f>CALC!$E$133</f>
        <v/>
      </c>
      <c r="F128" s="181">
        <f>CALC!$F$133</f>
        <v/>
      </c>
      <c r="G128" s="171">
        <f>CALC!$H$133</f>
        <v/>
      </c>
    </row>
    <row r="129" ht="21.75" customHeight="1" s="131">
      <c r="A129" s="167">
        <f>CALC!$A$134</f>
        <v/>
      </c>
      <c r="B129" s="167">
        <f>CALC!$B$134</f>
        <v/>
      </c>
      <c r="C129" s="179">
        <f>CALC!$C$134</f>
        <v/>
      </c>
      <c r="D129" s="179">
        <f>CALC!$D$134</f>
        <v/>
      </c>
      <c r="E129" s="185">
        <f>CALC!$E$134</f>
        <v/>
      </c>
      <c r="F129" s="181">
        <f>CALC!$F$134</f>
        <v/>
      </c>
      <c r="G129" s="171">
        <f>CALC!$H$134</f>
        <v/>
      </c>
    </row>
    <row r="130" ht="15" customHeight="1" s="131">
      <c r="A130" s="167">
        <f>CALC!$A$135</f>
        <v/>
      </c>
      <c r="B130" s="167">
        <f>CALC!$B$135</f>
        <v/>
      </c>
      <c r="C130" s="179">
        <f>CALC!$C$135</f>
        <v/>
      </c>
      <c r="D130" s="179">
        <f>CALC!$D$135</f>
        <v/>
      </c>
      <c r="E130" s="185">
        <f>CALC!$E$135</f>
        <v/>
      </c>
      <c r="F130" s="181">
        <f>CALC!$F$135</f>
        <v/>
      </c>
      <c r="G130" s="171">
        <f>CALC!$H$135</f>
        <v/>
      </c>
    </row>
    <row r="131" ht="15" customHeight="1" s="131">
      <c r="A131" s="167">
        <f>CALC!$A$136</f>
        <v/>
      </c>
      <c r="B131" s="167">
        <f>CALC!$B$136</f>
        <v/>
      </c>
      <c r="C131" s="179">
        <f>CALC!$C$136</f>
        <v/>
      </c>
      <c r="D131" s="179">
        <f>CALC!$D$136</f>
        <v/>
      </c>
      <c r="E131" s="185">
        <f>CALC!$E$136</f>
        <v/>
      </c>
      <c r="F131" s="181">
        <f>CALC!$F$136</f>
        <v/>
      </c>
      <c r="G131" s="171">
        <f>CALC!$H$136</f>
        <v/>
      </c>
    </row>
    <row r="132" ht="21.75" customHeight="1" s="131">
      <c r="A132" s="167">
        <f>CALC!$A$137</f>
        <v/>
      </c>
      <c r="B132" s="167">
        <f>CALC!$B$137</f>
        <v/>
      </c>
      <c r="C132" s="179">
        <f>CALC!$C$137</f>
        <v/>
      </c>
      <c r="D132" s="179">
        <f>CALC!$D$137</f>
        <v/>
      </c>
      <c r="E132" s="185">
        <f>CALC!$E$137</f>
        <v/>
      </c>
      <c r="F132" s="181">
        <f>CALC!$F$137</f>
        <v/>
      </c>
      <c r="G132" s="171">
        <f>CALC!$H$137</f>
        <v/>
      </c>
    </row>
    <row r="133" ht="21.75" customHeight="1" s="131">
      <c r="A133" s="167">
        <f>CALC!$A$138</f>
        <v/>
      </c>
      <c r="B133" s="167">
        <f>CALC!$B$138</f>
        <v/>
      </c>
      <c r="C133" s="179">
        <f>CALC!$C$138</f>
        <v/>
      </c>
      <c r="D133" s="179">
        <f>CALC!$D$138</f>
        <v/>
      </c>
      <c r="E133" s="185">
        <f>CALC!$E$138</f>
        <v/>
      </c>
      <c r="F133" s="181">
        <f>CALC!$F$138</f>
        <v/>
      </c>
      <c r="G133" s="171">
        <f>CALC!$H$138</f>
        <v/>
      </c>
    </row>
    <row r="134" ht="15" customHeight="1" s="131">
      <c r="A134" s="167">
        <f>CALC!$A$139</f>
        <v/>
      </c>
      <c r="B134" s="167">
        <f>CALC!$B$139</f>
        <v/>
      </c>
      <c r="C134" s="179">
        <f>CALC!$C$139</f>
        <v/>
      </c>
      <c r="D134" s="179">
        <f>CALC!$D$139</f>
        <v/>
      </c>
      <c r="E134" s="185">
        <f>CALC!$E$139</f>
        <v/>
      </c>
      <c r="F134" s="181">
        <f>CALC!$F$139</f>
        <v/>
      </c>
      <c r="G134" s="171">
        <f>CALC!$H$139</f>
        <v/>
      </c>
    </row>
    <row r="135" ht="21.75" customHeight="1" s="131">
      <c r="A135" s="167">
        <f>CALC!$A$140</f>
        <v/>
      </c>
      <c r="B135" s="167">
        <f>CALC!$B$140</f>
        <v/>
      </c>
      <c r="C135" s="179">
        <f>CALC!$C$140</f>
        <v/>
      </c>
      <c r="D135" s="179">
        <f>CALC!$D$140</f>
        <v/>
      </c>
      <c r="E135" s="185">
        <f>CALC!$E$140</f>
        <v/>
      </c>
      <c r="F135" s="181">
        <f>CALC!$F$140</f>
        <v/>
      </c>
      <c r="G135" s="171">
        <f>CALC!$H$140</f>
        <v/>
      </c>
    </row>
    <row r="136" ht="21.75" customHeight="1" s="131">
      <c r="A136" s="167">
        <f>CALC!$A$141</f>
        <v/>
      </c>
      <c r="B136" s="167">
        <f>CALC!$B$141</f>
        <v/>
      </c>
      <c r="C136" s="179">
        <f>CALC!$C$141</f>
        <v/>
      </c>
      <c r="D136" s="179">
        <f>CALC!$D$141</f>
        <v/>
      </c>
      <c r="E136" s="185">
        <f>CALC!$E$141</f>
        <v/>
      </c>
      <c r="F136" s="181">
        <f>CALC!$F$141</f>
        <v/>
      </c>
      <c r="G136" s="171">
        <f>CALC!$H$141</f>
        <v/>
      </c>
    </row>
    <row r="137" ht="21.75" customHeight="1" s="131">
      <c r="A137" s="167">
        <f>CALC!$A$142</f>
        <v/>
      </c>
      <c r="B137" s="167">
        <f>CALC!$B$142</f>
        <v/>
      </c>
      <c r="C137" s="179">
        <f>CALC!$C$142</f>
        <v/>
      </c>
      <c r="D137" s="179">
        <f>CALC!$D$142</f>
        <v/>
      </c>
      <c r="E137" s="185">
        <f>CALC!$E$142</f>
        <v/>
      </c>
      <c r="F137" s="181">
        <f>CALC!$F$142</f>
        <v/>
      </c>
      <c r="G137" s="171">
        <f>CALC!$H$142</f>
        <v/>
      </c>
    </row>
    <row r="138" ht="21.75" customHeight="1" s="131">
      <c r="A138" s="167">
        <f>CALC!$A$143</f>
        <v/>
      </c>
      <c r="B138" s="167">
        <f>CALC!$B$143</f>
        <v/>
      </c>
      <c r="C138" s="179">
        <f>CALC!$C$143</f>
        <v/>
      </c>
      <c r="D138" s="179">
        <f>CALC!$D$143</f>
        <v/>
      </c>
      <c r="E138" s="185">
        <f>CALC!$E$143</f>
        <v/>
      </c>
      <c r="F138" s="181">
        <f>CALC!$F$143</f>
        <v/>
      </c>
      <c r="G138" s="171">
        <f>CALC!$H$143</f>
        <v/>
      </c>
    </row>
    <row r="139" ht="21.75" customHeight="1" s="131">
      <c r="A139" s="167">
        <f>CALC!$A$144</f>
        <v/>
      </c>
      <c r="B139" s="167">
        <f>CALC!$B$144</f>
        <v/>
      </c>
      <c r="C139" s="179">
        <f>CALC!$C$144</f>
        <v/>
      </c>
      <c r="D139" s="179">
        <f>CALC!$D$144</f>
        <v/>
      </c>
      <c r="E139" s="185">
        <f>CALC!$E$144</f>
        <v/>
      </c>
      <c r="F139" s="181">
        <f>CALC!$F$144</f>
        <v/>
      </c>
      <c r="G139" s="171">
        <f>CALC!$H$144</f>
        <v/>
      </c>
    </row>
    <row r="140" ht="21.75" customHeight="1" s="131">
      <c r="A140" s="167">
        <f>CALC!$A$145</f>
        <v/>
      </c>
      <c r="B140" s="167">
        <f>CALC!$B$145</f>
        <v/>
      </c>
      <c r="C140" s="179">
        <f>CALC!$C$145</f>
        <v/>
      </c>
      <c r="D140" s="179">
        <f>CALC!$D$145</f>
        <v/>
      </c>
      <c r="E140" s="185">
        <f>CALC!$E$145</f>
        <v/>
      </c>
      <c r="F140" s="181">
        <f>CALC!$F$145</f>
        <v/>
      </c>
      <c r="G140" s="171">
        <f>CALC!$H$145</f>
        <v/>
      </c>
    </row>
    <row r="141" ht="15" customHeight="1" s="131">
      <c r="A141" s="167">
        <f>CALC!$A$146</f>
        <v/>
      </c>
      <c r="B141" s="167">
        <f>CALC!$B$146</f>
        <v/>
      </c>
      <c r="C141" s="179">
        <f>CALC!$C$146</f>
        <v/>
      </c>
      <c r="D141" s="179">
        <f>CALC!$D$146</f>
        <v/>
      </c>
      <c r="E141" s="185">
        <f>CALC!$E$146</f>
        <v/>
      </c>
      <c r="F141" s="181">
        <f>CALC!$F$146</f>
        <v/>
      </c>
      <c r="G141" s="171">
        <f>CALC!$H$146</f>
        <v/>
      </c>
    </row>
    <row r="142" ht="15" customHeight="1" s="131">
      <c r="A142" s="167">
        <f>CALC!$A$147</f>
        <v/>
      </c>
      <c r="B142" s="167">
        <f>CALC!$B$147</f>
        <v/>
      </c>
      <c r="C142" s="179">
        <f>CALC!$C$147</f>
        <v/>
      </c>
      <c r="D142" s="179">
        <f>CALC!$D$147</f>
        <v/>
      </c>
      <c r="E142" s="185">
        <f>CALC!$E$147</f>
        <v/>
      </c>
      <c r="F142" s="181">
        <f>CALC!$F$147</f>
        <v/>
      </c>
      <c r="G142" s="171">
        <f>CALC!$H$147</f>
        <v/>
      </c>
    </row>
    <row r="143" ht="21.75" customHeight="1" s="131">
      <c r="A143" s="167">
        <f>CALC!$A$148</f>
        <v/>
      </c>
      <c r="B143" s="167">
        <f>CALC!$B$148</f>
        <v/>
      </c>
      <c r="C143" s="179">
        <f>CALC!$C$148</f>
        <v/>
      </c>
      <c r="D143" s="179">
        <f>CALC!$D$148</f>
        <v/>
      </c>
      <c r="E143" s="185">
        <f>CALC!$E$148</f>
        <v/>
      </c>
      <c r="F143" s="181">
        <f>CALC!$F$148</f>
        <v/>
      </c>
      <c r="G143" s="171">
        <f>CALC!$H$148</f>
        <v/>
      </c>
    </row>
    <row r="144" ht="15" customHeight="1" s="131">
      <c r="A144" s="167">
        <f>CALC!$A$149</f>
        <v/>
      </c>
      <c r="B144" s="167">
        <f>CALC!$B$149</f>
        <v/>
      </c>
      <c r="C144" s="179">
        <f>CALC!$C$149</f>
        <v/>
      </c>
      <c r="D144" s="179">
        <f>CALC!$D$149</f>
        <v/>
      </c>
      <c r="E144" s="185">
        <f>CALC!$E$149</f>
        <v/>
      </c>
      <c r="F144" s="181">
        <f>CALC!$F$149</f>
        <v/>
      </c>
      <c r="G144" s="171">
        <f>CALC!$H$149</f>
        <v/>
      </c>
    </row>
    <row r="145" ht="21.75" customHeight="1" s="131">
      <c r="A145" s="167">
        <f>CALC!$A$150</f>
        <v/>
      </c>
      <c r="B145" s="167">
        <f>CALC!$B$150</f>
        <v/>
      </c>
      <c r="C145" s="179">
        <f>CALC!$C$150</f>
        <v/>
      </c>
      <c r="D145" s="179">
        <f>CALC!$D$150</f>
        <v/>
      </c>
      <c r="E145" s="185">
        <f>CALC!$E$150</f>
        <v/>
      </c>
      <c r="F145" s="181">
        <f>CALC!$F$150</f>
        <v/>
      </c>
      <c r="G145" s="171">
        <f>CALC!$H$150</f>
        <v/>
      </c>
    </row>
    <row r="146" ht="32.25" customHeight="1" s="131">
      <c r="A146" s="167">
        <f>CALC!$A$151</f>
        <v/>
      </c>
      <c r="B146" s="167">
        <f>CALC!$B$151</f>
        <v/>
      </c>
      <c r="C146" s="179">
        <f>CALC!$C$151</f>
        <v/>
      </c>
      <c r="D146" s="179">
        <f>CALC!$D$151</f>
        <v/>
      </c>
      <c r="E146" s="185">
        <f>CALC!$E$151</f>
        <v/>
      </c>
      <c r="F146" s="181">
        <f>CALC!$F$151</f>
        <v/>
      </c>
      <c r="G146" s="171">
        <f>CALC!$H$151</f>
        <v/>
      </c>
    </row>
    <row r="147" ht="21.75" customHeight="1" s="131">
      <c r="A147" s="167">
        <f>CALC!$A$152</f>
        <v/>
      </c>
      <c r="B147" s="167">
        <f>CALC!$B$152</f>
        <v/>
      </c>
      <c r="C147" s="179">
        <f>CALC!$C$152</f>
        <v/>
      </c>
      <c r="D147" s="179">
        <f>CALC!$D$152</f>
        <v/>
      </c>
      <c r="E147" s="185">
        <f>CALC!$E$152</f>
        <v/>
      </c>
      <c r="F147" s="181">
        <f>CALC!$F$152</f>
        <v/>
      </c>
      <c r="G147" s="171">
        <f>CALC!$H$152</f>
        <v/>
      </c>
    </row>
    <row r="148" ht="15" customHeight="1" s="131">
      <c r="A148" s="167">
        <f>CALC!$A$153</f>
        <v/>
      </c>
      <c r="B148" s="167">
        <f>CALC!$B$153</f>
        <v/>
      </c>
      <c r="C148" s="179">
        <f>CALC!$C$153</f>
        <v/>
      </c>
      <c r="D148" s="179">
        <f>CALC!$D$153</f>
        <v/>
      </c>
      <c r="E148" s="185">
        <f>CALC!$E$153</f>
        <v/>
      </c>
      <c r="F148" s="181">
        <f>CALC!$F$153</f>
        <v/>
      </c>
      <c r="G148" s="171">
        <f>CALC!$H$153</f>
        <v/>
      </c>
    </row>
    <row r="149" ht="21.75" customHeight="1" s="131">
      <c r="A149" s="167">
        <f>CALC!$A$154</f>
        <v/>
      </c>
      <c r="B149" s="167">
        <f>CALC!$B$154</f>
        <v/>
      </c>
      <c r="C149" s="179">
        <f>CALC!$C$154</f>
        <v/>
      </c>
      <c r="D149" s="179">
        <f>CALC!$D$154</f>
        <v/>
      </c>
      <c r="E149" s="185">
        <f>CALC!$E$154</f>
        <v/>
      </c>
      <c r="F149" s="181">
        <f>CALC!$F$154</f>
        <v/>
      </c>
      <c r="G149" s="171">
        <f>CALC!$H$154</f>
        <v/>
      </c>
    </row>
    <row r="150" ht="15" customHeight="1" s="131">
      <c r="A150" s="167">
        <f>CALC!$A$155</f>
        <v/>
      </c>
      <c r="B150" s="167">
        <f>CALC!$B$155</f>
        <v/>
      </c>
      <c r="C150" s="179">
        <f>CALC!$C$155</f>
        <v/>
      </c>
      <c r="D150" s="179">
        <f>CALC!$D$155</f>
        <v/>
      </c>
      <c r="E150" s="185">
        <f>CALC!$E$155</f>
        <v/>
      </c>
      <c r="F150" s="181">
        <f>CALC!$F$155</f>
        <v/>
      </c>
      <c r="G150" s="171">
        <f>CALC!$H$155</f>
        <v/>
      </c>
    </row>
    <row r="151" ht="15" customHeight="1" s="131">
      <c r="A151" s="167">
        <f>CALC!$A$156</f>
        <v/>
      </c>
      <c r="B151" s="167">
        <f>CALC!$B$156</f>
        <v/>
      </c>
      <c r="C151" s="179">
        <f>CALC!$C$156</f>
        <v/>
      </c>
      <c r="D151" s="179">
        <f>CALC!$D$156</f>
        <v/>
      </c>
      <c r="E151" s="185">
        <f>CALC!$E$156</f>
        <v/>
      </c>
      <c r="F151" s="181">
        <f>CALC!$F$156</f>
        <v/>
      </c>
      <c r="G151" s="171">
        <f>CALC!$H$156</f>
        <v/>
      </c>
    </row>
    <row r="152" ht="21.75" customHeight="1" s="131">
      <c r="A152" s="167">
        <f>CALC!$A$157</f>
        <v/>
      </c>
      <c r="B152" s="167">
        <f>CALC!$B$157</f>
        <v/>
      </c>
      <c r="C152" s="179">
        <f>CALC!$C$157</f>
        <v/>
      </c>
      <c r="D152" s="179">
        <f>CALC!$D$157</f>
        <v/>
      </c>
      <c r="E152" s="185">
        <f>CALC!$E$157</f>
        <v/>
      </c>
      <c r="F152" s="181">
        <f>CALC!$F$157</f>
        <v/>
      </c>
      <c r="G152" s="171">
        <f>CALC!$H$157</f>
        <v/>
      </c>
    </row>
    <row r="153" ht="15" customHeight="1" s="131">
      <c r="A153" s="167">
        <f>CALC!$A$158</f>
        <v/>
      </c>
      <c r="B153" s="167">
        <f>CALC!$B$158</f>
        <v/>
      </c>
      <c r="C153" s="179">
        <f>CALC!$C$158</f>
        <v/>
      </c>
      <c r="D153" s="179">
        <f>CALC!$D$158</f>
        <v/>
      </c>
      <c r="E153" s="185">
        <f>CALC!$E$158</f>
        <v/>
      </c>
      <c r="F153" s="181">
        <f>CALC!$F$158</f>
        <v/>
      </c>
      <c r="G153" s="171">
        <f>CALC!$H$158</f>
        <v/>
      </c>
    </row>
    <row r="154" ht="27.75" customHeight="1" s="131">
      <c r="A154" s="188" t="inlineStr">
        <is>
          <t>Antes da reunião gerencial, confirme que a aba QUALIDADE E GOVERNANÇA apresenta zero erros nas bases de entrada.</t>
        </is>
      </c>
    </row>
    <row r="156" ht="42.75" customHeight="1" s="131">
      <c r="A156" s="140" t="inlineStr">
        <is>
          <t>Cada curso ao longo dos meses: aba MATRIZ. Recorte fora da meta exige linha em PLANO_DE_ACAO.</t>
        </is>
      </c>
    </row>
  </sheetData>
  <mergeCells count="11">
    <mergeCell ref="A69:K69"/>
    <mergeCell ref="J5:K5"/>
    <mergeCell ref="A154:K154"/>
    <mergeCell ref="A7:K7"/>
    <mergeCell ref="D5:E5"/>
    <mergeCell ref="A5:B5"/>
    <mergeCell ref="A2:K2"/>
    <mergeCell ref="G5:H5"/>
    <mergeCell ref="A38:K38"/>
    <mergeCell ref="A112:K112"/>
    <mergeCell ref="A1:K1"/>
  </mergeCells>
  <conditionalFormatting sqref="I9">
    <cfRule type="cellIs" rank="0" priority="2" equalAverage="0" operator="equal" aboveAverage="0" dxfId="1" text="" percent="0" bottom="0">
      <formula>"Dentro da meta"</formula>
    </cfRule>
    <cfRule type="cellIs" rank="0" priority="3" equalAverage="0" operator="equal" aboveAverage="0" dxfId="2" text="" percent="0" bottom="0">
      <formula>"Atenção"</formula>
    </cfRule>
    <cfRule type="cellIs" rank="0" priority="4" equalAverage="0" operator="equal" aboveAverage="0" dxfId="0" text="" percent="0" bottom="0">
      <formula>"Fora da meta"</formula>
    </cfRule>
  </conditionalFormatting>
  <conditionalFormatting sqref="F27:F35">
    <cfRule type="cellIs" rank="0" priority="5" equalAverage="0" operator="equal" aboveAverage="0" dxfId="1" text="" percent="0" bottom="0">
      <formula>"Dentro da meta"</formula>
    </cfRule>
    <cfRule type="cellIs" rank="0" priority="6" equalAverage="0" operator="equal" aboveAverage="0" dxfId="2" text="" percent="0" bottom="0">
      <formula>"Atenção"</formula>
    </cfRule>
    <cfRule type="cellIs" rank="0" priority="7" equalAverage="0" operator="equal" aboveAverage="0" dxfId="0" text="" percent="0" bottom="0">
      <formula>"Fora da meta"</formula>
    </cfRule>
  </conditionalFormatting>
  <conditionalFormatting sqref="I40">
    <cfRule type="cellIs" rank="0" priority="8" equalAverage="0" operator="equal" aboveAverage="0" dxfId="1" text="" percent="0" bottom="0">
      <formula>"Dentro da meta"</formula>
    </cfRule>
    <cfRule type="cellIs" rank="0" priority="9" equalAverage="0" operator="equal" aboveAverage="0" dxfId="2" text="" percent="0" bottom="0">
      <formula>"Atenção"</formula>
    </cfRule>
    <cfRule type="cellIs" rank="0" priority="10" equalAverage="0" operator="equal" aboveAverage="0" dxfId="0" text="" percent="0" bottom="0">
      <formula>"Fora da meta"</formula>
    </cfRule>
  </conditionalFormatting>
  <conditionalFormatting sqref="F58:F66">
    <cfRule type="cellIs" rank="0" priority="11" equalAverage="0" operator="equal" aboveAverage="0" dxfId="1" text="" percent="0" bottom="0">
      <formula>"Dentro da meta"</formula>
    </cfRule>
    <cfRule type="cellIs" rank="0" priority="12" equalAverage="0" operator="equal" aboveAverage="0" dxfId="2" text="" percent="0" bottom="0">
      <formula>"Atenção"</formula>
    </cfRule>
    <cfRule type="cellIs" rank="0" priority="13" equalAverage="0" operator="equal" aboveAverage="0" dxfId="0" text="" percent="0" bottom="0">
      <formula>"Fora da meta"</formula>
    </cfRule>
  </conditionalFormatting>
  <conditionalFormatting sqref="I71">
    <cfRule type="cellIs" rank="0" priority="14" equalAverage="0" operator="equal" aboveAverage="0" dxfId="1" text="" percent="0" bottom="0">
      <formula>"Dentro da meta"</formula>
    </cfRule>
    <cfRule type="cellIs" rank="0" priority="15" equalAverage="0" operator="equal" aboveAverage="0" dxfId="2" text="" percent="0" bottom="0">
      <formula>"Atenção"</formula>
    </cfRule>
    <cfRule type="cellIs" rank="0" priority="16" equalAverage="0" operator="equal" aboveAverage="0" dxfId="0" text="" percent="0" bottom="0">
      <formula>"Fora da meta"</formula>
    </cfRule>
  </conditionalFormatting>
  <conditionalFormatting sqref="F89:F97">
    <cfRule type="cellIs" rank="0" priority="17" equalAverage="0" operator="equal" aboveAverage="0" dxfId="1" text="" percent="0" bottom="0">
      <formula>"Dentro da meta"</formula>
    </cfRule>
    <cfRule type="cellIs" rank="0" priority="18" equalAverage="0" operator="equal" aboveAverage="0" dxfId="2" text="" percent="0" bottom="0">
      <formula>"Atenção"</formula>
    </cfRule>
    <cfRule type="cellIs" rank="0" priority="19" equalAverage="0" operator="equal" aboveAverage="0" dxfId="0" text="" percent="0" bottom="0">
      <formula>"Fora da meta"</formula>
    </cfRule>
  </conditionalFormatting>
  <conditionalFormatting sqref="G116:G153">
    <cfRule type="cellIs" rank="0" priority="20" equalAverage="0" operator="equal" aboveAverage="0" dxfId="1" text="" percent="0" bottom="0">
      <formula>"Dentro da meta"</formula>
    </cfRule>
    <cfRule type="cellIs" rank="0" priority="21" equalAverage="0" operator="equal" aboveAverage="0" dxfId="2" text="" percent="0" bottom="0">
      <formula>"Atenção"</formula>
    </cfRule>
    <cfRule type="cellIs" rank="0" priority="22" equalAverage="0" operator="equal" aboveAverage="0" dxfId="0" text="" percent="0" bottom="0">
      <formula>"Fora da meta"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130" min="1" max="1"/>
    <col width="43" customWidth="1" style="130" min="2" max="2"/>
    <col width="13" customWidth="1" style="130" min="3" max="3"/>
    <col width="34" customWidth="1" style="130" min="4" max="4"/>
    <col width="38" customWidth="1" style="130" min="5" max="5"/>
    <col width="18" customWidth="1" style="130" min="6" max="6"/>
  </cols>
  <sheetData>
    <row r="1" ht="30" customHeight="1" s="131">
      <c r="A1" s="189" t="inlineStr">
        <is>
          <t>QUALIDADE DOS DADOS E GOVERNANÇA DO PROTÓTIPO</t>
        </is>
      </c>
    </row>
    <row r="2" ht="15" customHeight="1" s="131">
      <c r="A2" s="190" t="inlineStr">
        <is>
          <t>Controles criados para reduzir dupla contagem, inconsistência de cadastro e decisões baseadas em dados incompletos.</t>
        </is>
      </c>
    </row>
    <row r="4" ht="15" customHeight="1" s="131">
      <c r="A4" s="191" t="inlineStr">
        <is>
          <t>CONTROLES AUTOMÁTICOS</t>
        </is>
      </c>
    </row>
    <row r="5" ht="36" customHeight="1" s="131">
      <c r="A5" s="192" t="inlineStr">
        <is>
          <t>Base</t>
        </is>
      </c>
      <c r="B5" s="192" t="inlineStr">
        <is>
          <t>Regra verificada</t>
        </is>
      </c>
      <c r="C5" s="192" t="inlineStr">
        <is>
          <t>Erros atuais</t>
        </is>
      </c>
      <c r="D5" s="192" t="inlineStr">
        <is>
          <t>Risco de gestão</t>
        </is>
      </c>
      <c r="E5" s="192" t="inlineStr">
        <is>
          <t>Ação recomendada</t>
        </is>
      </c>
      <c r="F5" s="192" t="inlineStr">
        <is>
          <t>Prioridade</t>
        </is>
      </c>
    </row>
    <row r="6" ht="36" customHeight="1" s="131">
      <c r="A6" s="193" t="inlineStr">
        <is>
          <t>NPS Discente</t>
        </is>
      </c>
      <c r="B6" s="193" t="inlineStr">
        <is>
          <t>Respondentes = promotores + neutros + detratores, sem negativos e sem chave duplicada</t>
        </is>
      </c>
      <c r="C6" s="194">
        <f>COUNTIF('NPS DISCENTES'!$J$5:$J$1200,"ERRO*")</f>
        <v/>
      </c>
      <c r="D6" s="193" t="inlineStr">
        <is>
          <t>NPS distorcido ou pesquisas contadas duas vezes</t>
        </is>
      </c>
      <c r="E6" s="193" t="inlineStr">
        <is>
          <t>Corrigir todas as linhas com erro antes da reunião de gestão</t>
        </is>
      </c>
      <c r="F6" s="195" t="inlineStr">
        <is>
          <t>Crítica</t>
        </is>
      </c>
    </row>
    <row r="7" ht="36" customHeight="1" s="131">
      <c r="A7" s="193" t="inlineStr">
        <is>
          <t>Matrículas Ativas</t>
        </is>
      </c>
      <c r="B7" s="193" t="inlineStr">
        <is>
          <t>Valor não negativo e apenas uma fotografia por período e curso</t>
        </is>
      </c>
      <c r="C7" s="194">
        <f>COUNTIF('MATRICULAS ATIVAS'!$G$5:$G$1200,"ERRO*")</f>
        <v/>
      </c>
      <c r="D7" s="193" t="inlineStr">
        <is>
          <t>Estoque inflado e comparação mensal incorreta</t>
        </is>
      </c>
      <c r="E7" s="193" t="inlineStr">
        <is>
          <t>Manter somente o fechamento oficial do mês</t>
        </is>
      </c>
      <c r="F7" s="195" t="inlineStr">
        <is>
          <t>Crítica</t>
        </is>
      </c>
    </row>
    <row r="8" ht="36" customHeight="1" s="131">
      <c r="A8" s="193" t="inlineStr">
        <is>
          <t>Frequência Média</t>
        </is>
      </c>
      <c r="B8" s="193" t="inlineStr">
        <is>
          <t>Registradas não superam previstas, chave única e disciplina vinculada ao curso</t>
        </is>
      </c>
      <c r="C8" s="194">
        <f>COUNTIF('FREQUÊNCIA MÉDIA'!$I$5:$I$1200,"ERRO*")</f>
        <v/>
      </c>
      <c r="D8" s="193" t="inlineStr">
        <is>
          <t>Taxa de frequência inválida e recorte acadêmico incorreto</t>
        </is>
      </c>
      <c r="E8" s="193" t="inlineStr">
        <is>
          <t>Corrigir vínculo e bases antes de publicar o KPI</t>
        </is>
      </c>
      <c r="F8" s="195" t="inlineStr">
        <is>
          <t>Crítica</t>
        </is>
      </c>
    </row>
    <row r="9" ht="36" customHeight="1" s="131"/>
    <row r="10" ht="36" customHeight="1" s="131"/>
    <row r="11" ht="36" customHeight="1" s="131">
      <c r="A11" s="191" t="inlineStr">
        <is>
          <t>AVALIAÇÃO DO DESENHO DO PAINEL</t>
        </is>
      </c>
    </row>
    <row r="12" ht="36" customHeight="1" s="131">
      <c r="A12" s="192" t="inlineStr">
        <is>
          <t>Tema</t>
        </is>
      </c>
      <c r="B12" s="192" t="inlineStr">
        <is>
          <t>Diagnóstico</t>
        </is>
      </c>
      <c r="C12" s="192" t="inlineStr">
        <is>
          <t>Decisão aplicada</t>
        </is>
      </c>
      <c r="D12" s="192" t="inlineStr">
        <is>
          <t>Próximo passo recomendado</t>
        </is>
      </c>
      <c r="E12" s="192" t="inlineStr">
        <is>
          <t>Prazo sugerido</t>
        </is>
      </c>
      <c r="F12" s="192" t="inlineStr">
        <is>
          <t>Responsável</t>
        </is>
      </c>
    </row>
    <row r="13" ht="36" customHeight="1" s="131">
      <c r="A13" s="196" t="inlineStr">
        <is>
          <t>Granularidade temporal</t>
        </is>
      </c>
      <c r="B13" s="196" t="inlineStr">
        <is>
          <t>A flexibilidade semanal, quinzenal, mensal e semestral é útil, porém a soma por prefixo permite dupla contagem quando há mês inteiro junto com subperíodos.</t>
        </is>
      </c>
      <c r="C13" s="196" t="inlineStr">
        <is>
          <t>Incluída regra explícita de competência e validação por KPI.</t>
        </is>
      </c>
      <c r="D13" s="196" t="inlineStr">
        <is>
          <t>Na próxima versão, substituir o modelo por competência + data inicial + data final e bloquear sobreposição de intervalos.</t>
        </is>
      </c>
      <c r="E13" s="196" t="inlineStr">
        <is>
          <t>Próxima versão</t>
        </is>
      </c>
      <c r="F13" s="196" t="inlineStr">
        <is>
          <t>Responsável técnico</t>
        </is>
      </c>
    </row>
    <row r="14" ht="36" customHeight="1" s="131">
      <c r="A14" s="196" t="inlineStr">
        <is>
          <t>Frequência mensal</t>
        </is>
      </c>
      <c r="B14" s="196" t="inlineStr">
        <is>
          <t>A frequência é corretamente ponderada por presenças previstas, porém repetir o mesmo resultado em seis meses pode ser interpretado como série mensal.</t>
        </is>
      </c>
      <c r="C14" s="196" t="inlineStr">
        <is>
          <t>A competência da frequência deve ser mensal (AAAA-MM) e única por curso e disciplina.</t>
        </is>
      </c>
      <c r="D14" s="196" t="inlineStr">
        <is>
          <t>No gráfico, utilizar um ponto por mês; períodos sem alimentação permanecem sem resultado.</t>
        </is>
      </c>
      <c r="E14" s="196" t="inlineStr">
        <is>
          <t>Curto prazo</t>
        </is>
      </c>
      <c r="F14" s="196" t="inlineStr">
        <is>
          <t>Responsável técnico</t>
        </is>
      </c>
    </row>
    <row r="15" ht="36" customHeight="1" s="131">
      <c r="A15" s="196" t="inlineStr">
        <is>
          <t>Matrículas ativas</t>
        </is>
      </c>
      <c r="B15" s="196" t="inlineStr">
        <is>
          <t>É KPI de estoque e deve representar a fotografia oficial do mês.</t>
        </is>
      </c>
      <c r="C15" s="196" t="inlineStr">
        <is>
          <t>Mantida alimentação mensal e reforçada a definição como fotografia de fechamento.</t>
        </is>
      </c>
      <c r="D15" s="196" t="inlineStr">
        <is>
          <t>Definir data oficial de corte e fonte institucional única, por exemplo Secretaria Acadêmica.</t>
        </is>
      </c>
      <c r="E15" s="196" t="inlineStr">
        <is>
          <t>Antes da implantação</t>
        </is>
      </c>
      <c r="F15" s="196" t="inlineStr">
        <is>
          <t>Diretoria + Secretaria</t>
        </is>
      </c>
    </row>
    <row r="16" ht="36" customHeight="1" s="131">
      <c r="A16" s="196" t="inlineStr">
        <is>
          <t>NPS</t>
        </is>
      </c>
      <c r="B16" s="196" t="inlineStr">
        <is>
          <t>A fórmula consolidada é ponderada por respondentes e está adequada. Faltava controle sobre composição e duplicidade.</t>
        </is>
      </c>
      <c r="C16" s="196" t="inlineStr">
        <is>
          <t>Adicionada validação automática em cada linha.</t>
        </is>
      </c>
      <c r="D16" s="196" t="inlineStr">
        <is>
          <t>Adicionar taxa de resposta e intervalo de confiança/amostra mínima para evitar decisões sobre amostras pequenas.</t>
        </is>
      </c>
      <c r="E16" s="196" t="inlineStr">
        <is>
          <t>Curto prazo</t>
        </is>
      </c>
      <c r="F16" s="196" t="inlineStr">
        <is>
          <t>CPA + Diretoria</t>
        </is>
      </c>
    </row>
    <row r="17" ht="36" customHeight="1" s="131">
      <c r="A17" s="196" t="inlineStr">
        <is>
          <t>Metas</t>
        </is>
      </c>
      <c r="B17" s="196" t="inlineStr">
        <is>
          <t>A estrutura permite meta total e específica por recorte, com vigência, mas as fórmulas são extensas e difíceis de auditar.</t>
        </is>
      </c>
      <c r="C17" s="196" t="inlineStr">
        <is>
          <t>Preservada para compatibilidade.</t>
        </is>
      </c>
      <c r="D17" s="196" t="inlineStr">
        <is>
          <t>Criar uma tabela de metas vigentes normalizada e uma coluna de chave única para simplificar cálculos e manutenção.</t>
        </is>
      </c>
      <c r="E17" s="196" t="inlineStr">
        <is>
          <t>Médio prazo</t>
        </is>
      </c>
      <c r="F17" s="196" t="inlineStr">
        <is>
          <t>Responsável técnico</t>
        </is>
      </c>
    </row>
    <row r="18" ht="36" customHeight="1" s="131">
      <c r="A18" s="196" t="inlineStr">
        <is>
          <t>Plano de ação</t>
        </is>
      </c>
      <c r="B18" s="196" t="inlineStr">
        <is>
          <t>A vinculação a recortes fora da meta é um ponto forte, porém quantidade de planos abertos não garante cobertura correta do mesmo recorte.</t>
        </is>
      </c>
      <c r="C18" s="196" t="inlineStr">
        <is>
          <t>Mantido o controle atual.</t>
        </is>
      </c>
      <c r="D18" s="196" t="inlineStr">
        <is>
          <t>Criar chave Mês + KPI + Recorte e comparar chaves, evitando que planos de um recorte sejam contabilizados em outro.</t>
        </is>
      </c>
      <c r="E18" s="196" t="inlineStr">
        <is>
          <t>Curto prazo</t>
        </is>
      </c>
      <c r="F18" s="196" t="inlineStr">
        <is>
          <t>Diretoria</t>
        </is>
      </c>
    </row>
    <row r="19" ht="36" customHeight="1" s="131">
      <c r="A19" s="196" t="inlineStr">
        <is>
          <t>Escopo de KPIs</t>
        </is>
      </c>
      <c r="B19" s="196" t="inlineStr">
        <is>
          <t>Três KPIs são adequados para o protótipo atual, mas a matriz institucional prevê expansão progressiva.</t>
        </is>
      </c>
      <c r="C19" s="196" t="inlineStr">
        <is>
          <t>Mantido o escopo enxuto para piloto.</t>
        </is>
      </c>
      <c r="D19" s="196" t="inlineStr">
        <is>
          <t>Após estabilizar dados, incorporar NPS Docente, cumprimento de registros, titulação docente, reprovação e produção acadêmica.</t>
        </is>
      </c>
      <c r="E19" s="196" t="inlineStr">
        <is>
          <t>Fase 2</t>
        </is>
      </c>
      <c r="F19" s="196" t="inlineStr">
        <is>
          <t>Reitoria + Diretoria</t>
        </is>
      </c>
    </row>
    <row r="20" ht="36" customHeight="1" s="131">
      <c r="A20" s="196" t="inlineStr">
        <is>
          <t>Cadastro de disciplinas</t>
        </is>
      </c>
      <c r="B20" s="196" t="inlineStr">
        <is>
          <t>A lista atual é declaradamente ilustrativa e não pode ser tratada como grade oficial.</t>
        </is>
      </c>
      <c r="C20" s="196" t="inlineStr">
        <is>
          <t>Incluído controle de vínculo curso-disciplina.</t>
        </is>
      </c>
      <c r="D20" s="196" t="inlineStr">
        <is>
          <t>Substituir por extração oficial da matriz curricular, com código da disciplina, turma, docente e vigência.</t>
        </is>
      </c>
      <c r="E20" s="196" t="inlineStr">
        <is>
          <t>Antes da implantação</t>
        </is>
      </c>
      <c r="F20" s="196" t="inlineStr">
        <is>
          <t>Secretaria Acadêmica</t>
        </is>
      </c>
    </row>
    <row r="21" ht="36" customHeight="1" s="131"/>
    <row r="22" ht="36" customHeight="1" s="131"/>
    <row r="23" ht="36" customHeight="1" s="131">
      <c r="A23" s="191" t="inlineStr">
        <is>
          <t>CRITÉRIOS DE LIBERAÇÃO PARA USO GERENCIAL</t>
        </is>
      </c>
    </row>
    <row r="24" ht="36" customHeight="1" s="131">
      <c r="A24" s="130" t="inlineStr">
        <is>
          <t>☐</t>
        </is>
      </c>
      <c r="B24" s="197" t="inlineStr">
        <is>
          <t>Zero linhas com erro nas três bases de entrada.</t>
        </is>
      </c>
    </row>
    <row r="25" ht="36" customHeight="1" s="131">
      <c r="A25" s="130" t="inlineStr">
        <is>
          <t>☐</t>
        </is>
      </c>
      <c r="B25" s="197" t="inlineStr">
        <is>
          <t>Fonte oficial, responsável e data de corte definidos para cada KPI.</t>
        </is>
      </c>
    </row>
    <row r="26" ht="36" customHeight="1" s="131">
      <c r="A26" s="130" t="inlineStr">
        <is>
          <t>☐</t>
        </is>
      </c>
      <c r="B26" s="197" t="inlineStr">
        <is>
          <t>Metas aprovadas e registradas com vigência.</t>
        </is>
      </c>
    </row>
    <row r="27" ht="36" customHeight="1" s="131">
      <c r="A27" s="130" t="inlineStr">
        <is>
          <t>☐</t>
        </is>
      </c>
      <c r="B27" s="197" t="inlineStr">
        <is>
          <t>Nenhuma competência com granularidades sobrepostas.</t>
        </is>
      </c>
    </row>
    <row r="28" ht="36" customHeight="1" s="131">
      <c r="A28" s="130" t="inlineStr">
        <is>
          <t>☐</t>
        </is>
      </c>
      <c r="B28" s="197" t="inlineStr">
        <is>
          <t>Planos de ação vinculados pela chave exata do recorte fora da meta.</t>
        </is>
      </c>
    </row>
    <row r="29" ht="36" customHeight="1" s="131">
      <c r="A29" s="130" t="inlineStr">
        <is>
          <t>☐</t>
        </is>
      </c>
      <c r="B29" s="197" t="inlineStr">
        <is>
          <t>Grade de disciplinas substituída pela base acadêmica oficial.</t>
        </is>
      </c>
    </row>
  </sheetData>
  <autoFilter ref="A5:F8"/>
  <mergeCells count="8">
    <mergeCell ref="A2:F2"/>
    <mergeCell ref="B29:F29"/>
    <mergeCell ref="B24:F24"/>
    <mergeCell ref="A1:F1"/>
    <mergeCell ref="B25:F25"/>
    <mergeCell ref="B28:F28"/>
    <mergeCell ref="B26:F26"/>
    <mergeCell ref="B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AD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8" customWidth="1" style="130" min="1" max="1"/>
    <col width="30" customWidth="1" style="130" min="2" max="2"/>
    <col width="11" customWidth="1" style="130" min="3" max="30"/>
  </cols>
  <sheetData>
    <row r="1" ht="24" customHeight="1" s="131">
      <c r="A1" s="132" t="inlineStr">
        <is>
          <t>CADA CURSO AO LONGO DOS MESES DA JANELA</t>
        </is>
      </c>
    </row>
    <row r="2" ht="30" customHeight="1" s="131">
      <c r="A2" s="133" t="inlineStr">
        <is>
          <t>Colunas em branco são meses fora da janela. Nas últimas colunas, a comparação entre o mês de referência e o de comparação. No DTNH-02 é a variação que define o status.</t>
        </is>
      </c>
    </row>
    <row r="4" ht="15" customHeight="1" s="131">
      <c r="A4" s="198" t="inlineStr">
        <is>
          <t>DTNH-01 — NPS Discente da Área</t>
        </is>
      </c>
    </row>
    <row r="5" ht="30" customHeight="1" s="131">
      <c r="A5" s="199" t="inlineStr">
        <is>
          <t>Curso</t>
        </is>
      </c>
      <c r="B5" s="200">
        <f>CALC!$B$22</f>
        <v/>
      </c>
      <c r="C5" s="200">
        <f>CALC!$B$23</f>
        <v/>
      </c>
      <c r="D5" s="200">
        <f>CALC!$B$24</f>
        <v/>
      </c>
      <c r="E5" s="200">
        <f>CALC!$B$25</f>
        <v/>
      </c>
      <c r="F5" s="200">
        <f>CALC!$B$26</f>
        <v/>
      </c>
      <c r="G5" s="200">
        <f>CALC!$B$27</f>
        <v/>
      </c>
      <c r="H5" s="200">
        <f>CALC!$B$28</f>
        <v/>
      </c>
      <c r="I5" s="200">
        <f>CALC!$B$29</f>
        <v/>
      </c>
      <c r="J5" s="200">
        <f>CALC!$B$30</f>
        <v/>
      </c>
      <c r="K5" s="200">
        <f>CALC!$B$31</f>
        <v/>
      </c>
      <c r="L5" s="200">
        <f>CALC!$B$32</f>
        <v/>
      </c>
      <c r="M5" s="200">
        <f>CALC!$B$33</f>
        <v/>
      </c>
      <c r="N5" s="166" t="inlineStr">
        <is>
          <t>Referência</t>
        </is>
      </c>
      <c r="O5" s="166" t="inlineStr">
        <is>
          <t>Comparação</t>
        </is>
      </c>
      <c r="P5" s="166" t="inlineStr">
        <is>
          <t>Variação</t>
        </is>
      </c>
      <c r="Q5" s="166" t="inlineStr">
        <is>
          <t>Meta</t>
        </is>
      </c>
      <c r="R5" s="166" t="inlineStr">
        <is>
          <t>Status</t>
        </is>
      </c>
    </row>
    <row r="6" ht="21.75" customHeight="1" s="131">
      <c r="A6" s="167">
        <f>CURSOS!$A$5</f>
        <v/>
      </c>
      <c r="B6" s="201">
        <f>IF(B$5="","",IF(COUNTIFS(Tabela3[Período],B$5,Tabela3[Curso],$A6)=0,"",IFERROR((SUMIFS(Tabela3[Promotores (9-10)],Tabela3[Período],B$5,Tabela3[Curso],$A6)-SUMIFS(Tabela3[Detratores (0-6)],Tabela3[Período],B$5,Tabela3[Curso],$A6))/SUMIFS(Tabela3[Respondentes],Tabela3[Período],B$5,Tabela3[Curso],$A6)*100,"")))</f>
        <v/>
      </c>
      <c r="C6" s="201">
        <f>IF(C$5="","",IF(COUNTIFS(Tabela3[Período],C$5,Tabela3[Curso],$A6)=0,"",IFERROR((SUMIFS(Tabela3[Promotores (9-10)],Tabela3[Período],C$5,Tabela3[Curso],$A6)-SUMIFS(Tabela3[Detratores (0-6)],Tabela3[Período],C$5,Tabela3[Curso],$A6))/SUMIFS(Tabela3[Respondentes],Tabela3[Período],C$5,Tabela3[Curso],$A6)*100,"")))</f>
        <v/>
      </c>
      <c r="D6" s="201">
        <f>IF(D$5="","",IF(COUNTIFS(Tabela3[Período],D$5,Tabela3[Curso],$A6)=0,"",IFERROR((SUMIFS(Tabela3[Promotores (9-10)],Tabela3[Período],D$5,Tabela3[Curso],$A6)-SUMIFS(Tabela3[Detratores (0-6)],Tabela3[Período],D$5,Tabela3[Curso],$A6))/SUMIFS(Tabela3[Respondentes],Tabela3[Período],D$5,Tabela3[Curso],$A6)*100,"")))</f>
        <v/>
      </c>
      <c r="E6" s="201">
        <f>IF(E$5="","",IF(COUNTIFS(Tabela3[Período],E$5,Tabela3[Curso],$A6)=0,"",IFERROR((SUMIFS(Tabela3[Promotores (9-10)],Tabela3[Período],E$5,Tabela3[Curso],$A6)-SUMIFS(Tabela3[Detratores (0-6)],Tabela3[Período],E$5,Tabela3[Curso],$A6))/SUMIFS(Tabela3[Respondentes],Tabela3[Período],E$5,Tabela3[Curso],$A6)*100,"")))</f>
        <v/>
      </c>
      <c r="F6" s="201">
        <f>IF(F$5="","",IF(COUNTIFS(Tabela3[Período],F$5,Tabela3[Curso],$A6)=0,"",IFERROR((SUMIFS(Tabela3[Promotores (9-10)],Tabela3[Período],F$5,Tabela3[Curso],$A6)-SUMIFS(Tabela3[Detratores (0-6)],Tabela3[Período],F$5,Tabela3[Curso],$A6))/SUMIFS(Tabela3[Respondentes],Tabela3[Período],F$5,Tabela3[Curso],$A6)*100,"")))</f>
        <v/>
      </c>
      <c r="G6" s="201">
        <f>IF(G$5="","",IF(COUNTIFS(Tabela3[Período],G$5,Tabela3[Curso],$A6)=0,"",IFERROR((SUMIFS(Tabela3[Promotores (9-10)],Tabela3[Período],G$5,Tabela3[Curso],$A6)-SUMIFS(Tabela3[Detratores (0-6)],Tabela3[Período],G$5,Tabela3[Curso],$A6))/SUMIFS(Tabela3[Respondentes],Tabela3[Período],G$5,Tabela3[Curso],$A6)*100,"")))</f>
        <v/>
      </c>
      <c r="H6" s="201">
        <f>IF(H$5="","",IF(COUNTIFS(Tabela3[Período],H$5,Tabela3[Curso],$A6)=0,"",IFERROR((SUMIFS(Tabela3[Promotores (9-10)],Tabela3[Período],H$5,Tabela3[Curso],$A6)-SUMIFS(Tabela3[Detratores (0-6)],Tabela3[Período],H$5,Tabela3[Curso],$A6))/SUMIFS(Tabela3[Respondentes],Tabela3[Período],H$5,Tabela3[Curso],$A6)*100,"")))</f>
        <v/>
      </c>
      <c r="I6" s="201">
        <f>IF(I$5="","",IF(COUNTIFS(Tabela3[Período],I$5,Tabela3[Curso],$A6)=0,"",IFERROR((SUMIFS(Tabela3[Promotores (9-10)],Tabela3[Período],I$5,Tabela3[Curso],$A6)-SUMIFS(Tabela3[Detratores (0-6)],Tabela3[Período],I$5,Tabela3[Curso],$A6))/SUMIFS(Tabela3[Respondentes],Tabela3[Período],I$5,Tabela3[Curso],$A6)*100,"")))</f>
        <v/>
      </c>
      <c r="J6" s="201">
        <f>IF(J$5="","",IF(COUNTIFS(Tabela3[Período],J$5,Tabela3[Curso],$A6)=0,"",IFERROR((SUMIFS(Tabela3[Promotores (9-10)],Tabela3[Período],J$5,Tabela3[Curso],$A6)-SUMIFS(Tabela3[Detratores (0-6)],Tabela3[Período],J$5,Tabela3[Curso],$A6))/SUMIFS(Tabela3[Respondentes],Tabela3[Período],J$5,Tabela3[Curso],$A6)*100,"")))</f>
        <v/>
      </c>
      <c r="K6" s="201">
        <f>IF(K$5="","",IF(COUNTIFS(Tabela3[Período],K$5,Tabela3[Curso],$A6)=0,"",IFERROR((SUMIFS(Tabela3[Promotores (9-10)],Tabela3[Período],K$5,Tabela3[Curso],$A6)-SUMIFS(Tabela3[Detratores (0-6)],Tabela3[Período],K$5,Tabela3[Curso],$A6))/SUMIFS(Tabela3[Respondentes],Tabela3[Período],K$5,Tabela3[Curso],$A6)*100,"")))</f>
        <v/>
      </c>
      <c r="L6" s="201">
        <f>IF(L$5="","",IF(COUNTIFS(Tabela3[Período],L$5,Tabela3[Curso],$A6)=0,"",IFERROR((SUMIFS(Tabela3[Promotores (9-10)],Tabela3[Período],L$5,Tabela3[Curso],$A6)-SUMIFS(Tabela3[Detratores (0-6)],Tabela3[Período],L$5,Tabela3[Curso],$A6))/SUMIFS(Tabela3[Respondentes],Tabela3[Período],L$5,Tabela3[Curso],$A6)*100,"")))</f>
        <v/>
      </c>
      <c r="M6" s="201">
        <f>IF(M$5="","",IF(COUNTIFS(Tabela3[Período],M$5,Tabela3[Curso],$A6)=0,"",IFERROR((SUMIFS(Tabela3[Promotores (9-10)],Tabela3[Período],M$5,Tabela3[Curso],$A6)-SUMIFS(Tabela3[Detratores (0-6)],Tabela3[Período],M$5,Tabela3[Curso],$A6))/SUMIFS(Tabela3[Respondentes],Tabela3[Período],M$5,Tabela3[Curso],$A6)*100,"")))</f>
        <v/>
      </c>
      <c r="N6" s="202">
        <f>IF(CALC!$N$37="","",IF(COUNTIFS(Tabela3[Período],CALC!$N$37,Tabela3[Curso],$A6)=0,"",IFERROR((SUMIFS(Tabela3[Promotores (9-10)],Tabela3[Período],CALC!$N$37,Tabela3[Curso],$A6)-SUMIFS(Tabela3[Detratores (0-6)],Tabela3[Período],CALC!$N$37,Tabela3[Curso],$A6))/SUMIFS(Tabela3[Respondentes],Tabela3[Período],CALC!$N$37,Tabela3[Curso],$A6)*100,"")))</f>
        <v/>
      </c>
      <c r="O6" s="169">
        <f>IF(CALC!$O$37="","",IF(COUNTIFS(Tabela3[Período],CALC!$O$37,Tabela3[Curso],$A6)=0,"",IFERROR((SUMIFS(Tabela3[Promotores (9-10)],Tabela3[Período],CALC!$O$37,Tabela3[Curso],$A6)-SUMIFS(Tabela3[Detratores (0-6)],Tabela3[Período],CALC!$O$37,Tabela3[Curso],$A6))/SUMIFS(Tabela3[Respondentes],Tabela3[Período],CALC!$O$37,Tabela3[Curso],$A6)*100,"")))</f>
        <v/>
      </c>
      <c r="P6" s="203">
        <f>IF(OR(N6="",O6=""),"",N6-O6)</f>
        <v/>
      </c>
      <c r="Q6" s="169">
        <f>IFERROR(INDEX(CALC!$B$8:$B$17,MATCH($A6,CALC!$A$8:$A$17,0)),"")</f>
        <v/>
      </c>
      <c r="R6" s="171">
        <f>IF(OR(N6="",Q6=""),"",IF(ROUND(N6,6)&gt;=ROUND(Q6,6),"Dentro da meta",IF(AND(IFERROR(IFERROR(INDEX(CALC!$C$8:$C$17,MATCH($A6,CALC!$A$8:$A$17,0)),""),"")&lt;&gt;"",ROUND(N6,6)&gt;=ROUND(IFERROR(IFERROR(INDEX(CALC!$C$8:$C$17,MATCH($A6,CALC!$A$8:$A$17,0)),""),""),6)),"Atenção","Fora da meta")))</f>
        <v/>
      </c>
    </row>
    <row r="7" ht="21.75" customHeight="1" s="131">
      <c r="A7" s="167">
        <f>CURSOS!$A$6</f>
        <v/>
      </c>
      <c r="B7" s="201">
        <f>IF(B$5="","",IF(COUNTIFS(Tabela3[Período],B$5,Tabela3[Curso],$A7)=0,"",IFERROR((SUMIFS(Tabela3[Promotores (9-10)],Tabela3[Período],B$5,Tabela3[Curso],$A7)-SUMIFS(Tabela3[Detratores (0-6)],Tabela3[Período],B$5,Tabela3[Curso],$A7))/SUMIFS(Tabela3[Respondentes],Tabela3[Período],B$5,Tabela3[Curso],$A7)*100,"")))</f>
        <v/>
      </c>
      <c r="C7" s="201">
        <f>IF(C$5="","",IF(COUNTIFS(Tabela3[Período],C$5,Tabela3[Curso],$A7)=0,"",IFERROR((SUMIFS(Tabela3[Promotores (9-10)],Tabela3[Período],C$5,Tabela3[Curso],$A7)-SUMIFS(Tabela3[Detratores (0-6)],Tabela3[Período],C$5,Tabela3[Curso],$A7))/SUMIFS(Tabela3[Respondentes],Tabela3[Período],C$5,Tabela3[Curso],$A7)*100,"")))</f>
        <v/>
      </c>
      <c r="D7" s="201">
        <f>IF(D$5="","",IF(COUNTIFS(Tabela3[Período],D$5,Tabela3[Curso],$A7)=0,"",IFERROR((SUMIFS(Tabela3[Promotores (9-10)],Tabela3[Período],D$5,Tabela3[Curso],$A7)-SUMIFS(Tabela3[Detratores (0-6)],Tabela3[Período],D$5,Tabela3[Curso],$A7))/SUMIFS(Tabela3[Respondentes],Tabela3[Período],D$5,Tabela3[Curso],$A7)*100,"")))</f>
        <v/>
      </c>
      <c r="E7" s="201">
        <f>IF(E$5="","",IF(COUNTIFS(Tabela3[Período],E$5,Tabela3[Curso],$A7)=0,"",IFERROR((SUMIFS(Tabela3[Promotores (9-10)],Tabela3[Período],E$5,Tabela3[Curso],$A7)-SUMIFS(Tabela3[Detratores (0-6)],Tabela3[Período],E$5,Tabela3[Curso],$A7))/SUMIFS(Tabela3[Respondentes],Tabela3[Período],E$5,Tabela3[Curso],$A7)*100,"")))</f>
        <v/>
      </c>
      <c r="F7" s="201">
        <f>IF(F$5="","",IF(COUNTIFS(Tabela3[Período],F$5,Tabela3[Curso],$A7)=0,"",IFERROR((SUMIFS(Tabela3[Promotores (9-10)],Tabela3[Período],F$5,Tabela3[Curso],$A7)-SUMIFS(Tabela3[Detratores (0-6)],Tabela3[Período],F$5,Tabela3[Curso],$A7))/SUMIFS(Tabela3[Respondentes],Tabela3[Período],F$5,Tabela3[Curso],$A7)*100,"")))</f>
        <v/>
      </c>
      <c r="G7" s="201">
        <f>IF(G$5="","",IF(COUNTIFS(Tabela3[Período],G$5,Tabela3[Curso],$A7)=0,"",IFERROR((SUMIFS(Tabela3[Promotores (9-10)],Tabela3[Período],G$5,Tabela3[Curso],$A7)-SUMIFS(Tabela3[Detratores (0-6)],Tabela3[Período],G$5,Tabela3[Curso],$A7))/SUMIFS(Tabela3[Respondentes],Tabela3[Período],G$5,Tabela3[Curso],$A7)*100,"")))</f>
        <v/>
      </c>
      <c r="H7" s="201">
        <f>IF(H$5="","",IF(COUNTIFS(Tabela3[Período],H$5,Tabela3[Curso],$A7)=0,"",IFERROR((SUMIFS(Tabela3[Promotores (9-10)],Tabela3[Período],H$5,Tabela3[Curso],$A7)-SUMIFS(Tabela3[Detratores (0-6)],Tabela3[Período],H$5,Tabela3[Curso],$A7))/SUMIFS(Tabela3[Respondentes],Tabela3[Período],H$5,Tabela3[Curso],$A7)*100,"")))</f>
        <v/>
      </c>
      <c r="I7" s="201">
        <f>IF(I$5="","",IF(COUNTIFS(Tabela3[Período],I$5,Tabela3[Curso],$A7)=0,"",IFERROR((SUMIFS(Tabela3[Promotores (9-10)],Tabela3[Período],I$5,Tabela3[Curso],$A7)-SUMIFS(Tabela3[Detratores (0-6)],Tabela3[Período],I$5,Tabela3[Curso],$A7))/SUMIFS(Tabela3[Respondentes],Tabela3[Período],I$5,Tabela3[Curso],$A7)*100,"")))</f>
        <v/>
      </c>
      <c r="J7" s="201">
        <f>IF(J$5="","",IF(COUNTIFS(Tabela3[Período],J$5,Tabela3[Curso],$A7)=0,"",IFERROR((SUMIFS(Tabela3[Promotores (9-10)],Tabela3[Período],J$5,Tabela3[Curso],$A7)-SUMIFS(Tabela3[Detratores (0-6)],Tabela3[Período],J$5,Tabela3[Curso],$A7))/SUMIFS(Tabela3[Respondentes],Tabela3[Período],J$5,Tabela3[Curso],$A7)*100,"")))</f>
        <v/>
      </c>
      <c r="K7" s="201">
        <f>IF(K$5="","",IF(COUNTIFS(Tabela3[Período],K$5,Tabela3[Curso],$A7)=0,"",IFERROR((SUMIFS(Tabela3[Promotores (9-10)],Tabela3[Período],K$5,Tabela3[Curso],$A7)-SUMIFS(Tabela3[Detratores (0-6)],Tabela3[Período],K$5,Tabela3[Curso],$A7))/SUMIFS(Tabela3[Respondentes],Tabela3[Período],K$5,Tabela3[Curso],$A7)*100,"")))</f>
        <v/>
      </c>
      <c r="L7" s="201">
        <f>IF(L$5="","",IF(COUNTIFS(Tabela3[Período],L$5,Tabela3[Curso],$A7)=0,"",IFERROR((SUMIFS(Tabela3[Promotores (9-10)],Tabela3[Período],L$5,Tabela3[Curso],$A7)-SUMIFS(Tabela3[Detratores (0-6)],Tabela3[Período],L$5,Tabela3[Curso],$A7))/SUMIFS(Tabela3[Respondentes],Tabela3[Período],L$5,Tabela3[Curso],$A7)*100,"")))</f>
        <v/>
      </c>
      <c r="M7" s="201">
        <f>IF(M$5="","",IF(COUNTIFS(Tabela3[Período],M$5,Tabela3[Curso],$A7)=0,"",IFERROR((SUMIFS(Tabela3[Promotores (9-10)],Tabela3[Período],M$5,Tabela3[Curso],$A7)-SUMIFS(Tabela3[Detratores (0-6)],Tabela3[Período],M$5,Tabela3[Curso],$A7))/SUMIFS(Tabela3[Respondentes],Tabela3[Período],M$5,Tabela3[Curso],$A7)*100,"")))</f>
        <v/>
      </c>
      <c r="N7" s="202">
        <f>IF(CALC!$N$37="","",IF(COUNTIFS(Tabela3[Período],CALC!$N$37,Tabela3[Curso],$A7)=0,"",IFERROR((SUMIFS(Tabela3[Promotores (9-10)],Tabela3[Período],CALC!$N$37,Tabela3[Curso],$A7)-SUMIFS(Tabela3[Detratores (0-6)],Tabela3[Período],CALC!$N$37,Tabela3[Curso],$A7))/SUMIFS(Tabela3[Respondentes],Tabela3[Período],CALC!$N$37,Tabela3[Curso],$A7)*100,"")))</f>
        <v/>
      </c>
      <c r="O7" s="169">
        <f>IF(CALC!$O$37="","",IF(COUNTIFS(Tabela3[Período],CALC!$O$37,Tabela3[Curso],$A7)=0,"",IFERROR((SUMIFS(Tabela3[Promotores (9-10)],Tabela3[Período],CALC!$O$37,Tabela3[Curso],$A7)-SUMIFS(Tabela3[Detratores (0-6)],Tabela3[Período],CALC!$O$37,Tabela3[Curso],$A7))/SUMIFS(Tabela3[Respondentes],Tabela3[Período],CALC!$O$37,Tabela3[Curso],$A7)*100,"")))</f>
        <v/>
      </c>
      <c r="P7" s="203">
        <f>IF(OR(N7="",O7=""),"",N7-O7)</f>
        <v/>
      </c>
      <c r="Q7" s="169">
        <f>IFERROR(INDEX(CALC!$B$8:$B$17,MATCH($A7,CALC!$A$8:$A$17,0)),"")</f>
        <v/>
      </c>
      <c r="R7" s="171">
        <f>IF(OR(N7="",Q7=""),"",IF(ROUND(N7,6)&gt;=ROUND(Q7,6),"Dentro da meta",IF(AND(IFERROR(IFERROR(INDEX(CALC!$C$8:$C$17,MATCH($A7,CALC!$A$8:$A$17,0)),""),"")&lt;&gt;"",ROUND(N7,6)&gt;=ROUND(IFERROR(IFERROR(INDEX(CALC!$C$8:$C$17,MATCH($A7,CALC!$A$8:$A$17,0)),""),""),6)),"Atenção","Fora da meta")))</f>
        <v/>
      </c>
    </row>
    <row r="8" ht="15" customHeight="1" s="131">
      <c r="A8" s="167">
        <f>CURSOS!$A$7</f>
        <v/>
      </c>
      <c r="B8" s="201">
        <f>IF(B$5="","",IF(COUNTIFS(Tabela3[Período],B$5,Tabela3[Curso],$A8)=0,"",IFERROR((SUMIFS(Tabela3[Promotores (9-10)],Tabela3[Período],B$5,Tabela3[Curso],$A8)-SUMIFS(Tabela3[Detratores (0-6)],Tabela3[Período],B$5,Tabela3[Curso],$A8))/SUMIFS(Tabela3[Respondentes],Tabela3[Período],B$5,Tabela3[Curso],$A8)*100,"")))</f>
        <v/>
      </c>
      <c r="C8" s="201">
        <f>IF(C$5="","",IF(COUNTIFS(Tabela3[Período],C$5,Tabela3[Curso],$A8)=0,"",IFERROR((SUMIFS(Tabela3[Promotores (9-10)],Tabela3[Período],C$5,Tabela3[Curso],$A8)-SUMIFS(Tabela3[Detratores (0-6)],Tabela3[Período],C$5,Tabela3[Curso],$A8))/SUMIFS(Tabela3[Respondentes],Tabela3[Período],C$5,Tabela3[Curso],$A8)*100,"")))</f>
        <v/>
      </c>
      <c r="D8" s="201">
        <f>IF(D$5="","",IF(COUNTIFS(Tabela3[Período],D$5,Tabela3[Curso],$A8)=0,"",IFERROR((SUMIFS(Tabela3[Promotores (9-10)],Tabela3[Período],D$5,Tabela3[Curso],$A8)-SUMIFS(Tabela3[Detratores (0-6)],Tabela3[Período],D$5,Tabela3[Curso],$A8))/SUMIFS(Tabela3[Respondentes],Tabela3[Período],D$5,Tabela3[Curso],$A8)*100,"")))</f>
        <v/>
      </c>
      <c r="E8" s="201">
        <f>IF(E$5="","",IF(COUNTIFS(Tabela3[Período],E$5,Tabela3[Curso],$A8)=0,"",IFERROR((SUMIFS(Tabela3[Promotores (9-10)],Tabela3[Período],E$5,Tabela3[Curso],$A8)-SUMIFS(Tabela3[Detratores (0-6)],Tabela3[Período],E$5,Tabela3[Curso],$A8))/SUMIFS(Tabela3[Respondentes],Tabela3[Período],E$5,Tabela3[Curso],$A8)*100,"")))</f>
        <v/>
      </c>
      <c r="F8" s="201">
        <f>IF(F$5="","",IF(COUNTIFS(Tabela3[Período],F$5,Tabela3[Curso],$A8)=0,"",IFERROR((SUMIFS(Tabela3[Promotores (9-10)],Tabela3[Período],F$5,Tabela3[Curso],$A8)-SUMIFS(Tabela3[Detratores (0-6)],Tabela3[Período],F$5,Tabela3[Curso],$A8))/SUMIFS(Tabela3[Respondentes],Tabela3[Período],F$5,Tabela3[Curso],$A8)*100,"")))</f>
        <v/>
      </c>
      <c r="G8" s="201">
        <f>IF(G$5="","",IF(COUNTIFS(Tabela3[Período],G$5,Tabela3[Curso],$A8)=0,"",IFERROR((SUMIFS(Tabela3[Promotores (9-10)],Tabela3[Período],G$5,Tabela3[Curso],$A8)-SUMIFS(Tabela3[Detratores (0-6)],Tabela3[Período],G$5,Tabela3[Curso],$A8))/SUMIFS(Tabela3[Respondentes],Tabela3[Período],G$5,Tabela3[Curso],$A8)*100,"")))</f>
        <v/>
      </c>
      <c r="H8" s="201">
        <f>IF(H$5="","",IF(COUNTIFS(Tabela3[Período],H$5,Tabela3[Curso],$A8)=0,"",IFERROR((SUMIFS(Tabela3[Promotores (9-10)],Tabela3[Período],H$5,Tabela3[Curso],$A8)-SUMIFS(Tabela3[Detratores (0-6)],Tabela3[Período],H$5,Tabela3[Curso],$A8))/SUMIFS(Tabela3[Respondentes],Tabela3[Período],H$5,Tabela3[Curso],$A8)*100,"")))</f>
        <v/>
      </c>
      <c r="I8" s="201">
        <f>IF(I$5="","",IF(COUNTIFS(Tabela3[Período],I$5,Tabela3[Curso],$A8)=0,"",IFERROR((SUMIFS(Tabela3[Promotores (9-10)],Tabela3[Período],I$5,Tabela3[Curso],$A8)-SUMIFS(Tabela3[Detratores (0-6)],Tabela3[Período],I$5,Tabela3[Curso],$A8))/SUMIFS(Tabela3[Respondentes],Tabela3[Período],I$5,Tabela3[Curso],$A8)*100,"")))</f>
        <v/>
      </c>
      <c r="J8" s="201">
        <f>IF(J$5="","",IF(COUNTIFS(Tabela3[Período],J$5,Tabela3[Curso],$A8)=0,"",IFERROR((SUMIFS(Tabela3[Promotores (9-10)],Tabela3[Período],J$5,Tabela3[Curso],$A8)-SUMIFS(Tabela3[Detratores (0-6)],Tabela3[Período],J$5,Tabela3[Curso],$A8))/SUMIFS(Tabela3[Respondentes],Tabela3[Período],J$5,Tabela3[Curso],$A8)*100,"")))</f>
        <v/>
      </c>
      <c r="K8" s="201">
        <f>IF(K$5="","",IF(COUNTIFS(Tabela3[Período],K$5,Tabela3[Curso],$A8)=0,"",IFERROR((SUMIFS(Tabela3[Promotores (9-10)],Tabela3[Período],K$5,Tabela3[Curso],$A8)-SUMIFS(Tabela3[Detratores (0-6)],Tabela3[Período],K$5,Tabela3[Curso],$A8))/SUMIFS(Tabela3[Respondentes],Tabela3[Período],K$5,Tabela3[Curso],$A8)*100,"")))</f>
        <v/>
      </c>
      <c r="L8" s="201">
        <f>IF(L$5="","",IF(COUNTIFS(Tabela3[Período],L$5,Tabela3[Curso],$A8)=0,"",IFERROR((SUMIFS(Tabela3[Promotores (9-10)],Tabela3[Período],L$5,Tabela3[Curso],$A8)-SUMIFS(Tabela3[Detratores (0-6)],Tabela3[Período],L$5,Tabela3[Curso],$A8))/SUMIFS(Tabela3[Respondentes],Tabela3[Período],L$5,Tabela3[Curso],$A8)*100,"")))</f>
        <v/>
      </c>
      <c r="M8" s="201">
        <f>IF(M$5="","",IF(COUNTIFS(Tabela3[Período],M$5,Tabela3[Curso],$A8)=0,"",IFERROR((SUMIFS(Tabela3[Promotores (9-10)],Tabela3[Período],M$5,Tabela3[Curso],$A8)-SUMIFS(Tabela3[Detratores (0-6)],Tabela3[Período],M$5,Tabela3[Curso],$A8))/SUMIFS(Tabela3[Respondentes],Tabela3[Período],M$5,Tabela3[Curso],$A8)*100,"")))</f>
        <v/>
      </c>
      <c r="N8" s="202">
        <f>IF(CALC!$N$37="","",IF(COUNTIFS(Tabela3[Período],CALC!$N$37,Tabela3[Curso],$A8)=0,"",IFERROR((SUMIFS(Tabela3[Promotores (9-10)],Tabela3[Período],CALC!$N$37,Tabela3[Curso],$A8)-SUMIFS(Tabela3[Detratores (0-6)],Tabela3[Período],CALC!$N$37,Tabela3[Curso],$A8))/SUMIFS(Tabela3[Respondentes],Tabela3[Período],CALC!$N$37,Tabela3[Curso],$A8)*100,"")))</f>
        <v/>
      </c>
      <c r="O8" s="169">
        <f>IF(CALC!$O$37="","",IF(COUNTIFS(Tabela3[Período],CALC!$O$37,Tabela3[Curso],$A8)=0,"",IFERROR((SUMIFS(Tabela3[Promotores (9-10)],Tabela3[Período],CALC!$O$37,Tabela3[Curso],$A8)-SUMIFS(Tabela3[Detratores (0-6)],Tabela3[Período],CALC!$O$37,Tabela3[Curso],$A8))/SUMIFS(Tabela3[Respondentes],Tabela3[Período],CALC!$O$37,Tabela3[Curso],$A8)*100,"")))</f>
        <v/>
      </c>
      <c r="P8" s="203">
        <f>IF(OR(N8="",O8=""),"",N8-O8)</f>
        <v/>
      </c>
      <c r="Q8" s="169">
        <f>IFERROR(INDEX(CALC!$B$8:$B$17,MATCH($A8,CALC!$A$8:$A$17,0)),"")</f>
        <v/>
      </c>
      <c r="R8" s="171">
        <f>IF(OR(N8="",Q8=""),"",IF(ROUND(N8,6)&gt;=ROUND(Q8,6),"Dentro da meta",IF(AND(IFERROR(IFERROR(INDEX(CALC!$C$8:$C$17,MATCH($A8,CALC!$A$8:$A$17,0)),""),"")&lt;&gt;"",ROUND(N8,6)&gt;=ROUND(IFERROR(IFERROR(INDEX(CALC!$C$8:$C$17,MATCH($A8,CALC!$A$8:$A$17,0)),""),""),6)),"Atenção","Fora da meta")))</f>
        <v/>
      </c>
    </row>
    <row r="9" ht="15" customHeight="1" s="131">
      <c r="A9" s="167">
        <f>CURSOS!$A$8</f>
        <v/>
      </c>
      <c r="B9" s="201">
        <f>IF(B$5="","",IF(COUNTIFS(Tabela3[Período],B$5,Tabela3[Curso],$A9)=0,"",IFERROR((SUMIFS(Tabela3[Promotores (9-10)],Tabela3[Período],B$5,Tabela3[Curso],$A9)-SUMIFS(Tabela3[Detratores (0-6)],Tabela3[Período],B$5,Tabela3[Curso],$A9))/SUMIFS(Tabela3[Respondentes],Tabela3[Período],B$5,Tabela3[Curso],$A9)*100,"")))</f>
        <v/>
      </c>
      <c r="C9" s="201">
        <f>IF(C$5="","",IF(COUNTIFS(Tabela3[Período],C$5,Tabela3[Curso],$A9)=0,"",IFERROR((SUMIFS(Tabela3[Promotores (9-10)],Tabela3[Período],C$5,Tabela3[Curso],$A9)-SUMIFS(Tabela3[Detratores (0-6)],Tabela3[Período],C$5,Tabela3[Curso],$A9))/SUMIFS(Tabela3[Respondentes],Tabela3[Período],C$5,Tabela3[Curso],$A9)*100,"")))</f>
        <v/>
      </c>
      <c r="D9" s="201">
        <f>IF(D$5="","",IF(COUNTIFS(Tabela3[Período],D$5,Tabela3[Curso],$A9)=0,"",IFERROR((SUMIFS(Tabela3[Promotores (9-10)],Tabela3[Período],D$5,Tabela3[Curso],$A9)-SUMIFS(Tabela3[Detratores (0-6)],Tabela3[Período],D$5,Tabela3[Curso],$A9))/SUMIFS(Tabela3[Respondentes],Tabela3[Período],D$5,Tabela3[Curso],$A9)*100,"")))</f>
        <v/>
      </c>
      <c r="E9" s="201">
        <f>IF(E$5="","",IF(COUNTIFS(Tabela3[Período],E$5,Tabela3[Curso],$A9)=0,"",IFERROR((SUMIFS(Tabela3[Promotores (9-10)],Tabela3[Período],E$5,Tabela3[Curso],$A9)-SUMIFS(Tabela3[Detratores (0-6)],Tabela3[Período],E$5,Tabela3[Curso],$A9))/SUMIFS(Tabela3[Respondentes],Tabela3[Período],E$5,Tabela3[Curso],$A9)*100,"")))</f>
        <v/>
      </c>
      <c r="F9" s="201">
        <f>IF(F$5="","",IF(COUNTIFS(Tabela3[Período],F$5,Tabela3[Curso],$A9)=0,"",IFERROR((SUMIFS(Tabela3[Promotores (9-10)],Tabela3[Período],F$5,Tabela3[Curso],$A9)-SUMIFS(Tabela3[Detratores (0-6)],Tabela3[Período],F$5,Tabela3[Curso],$A9))/SUMIFS(Tabela3[Respondentes],Tabela3[Período],F$5,Tabela3[Curso],$A9)*100,"")))</f>
        <v/>
      </c>
      <c r="G9" s="201">
        <f>IF(G$5="","",IF(COUNTIFS(Tabela3[Período],G$5,Tabela3[Curso],$A9)=0,"",IFERROR((SUMIFS(Tabela3[Promotores (9-10)],Tabela3[Período],G$5,Tabela3[Curso],$A9)-SUMIFS(Tabela3[Detratores (0-6)],Tabela3[Período],G$5,Tabela3[Curso],$A9))/SUMIFS(Tabela3[Respondentes],Tabela3[Período],G$5,Tabela3[Curso],$A9)*100,"")))</f>
        <v/>
      </c>
      <c r="H9" s="201">
        <f>IF(H$5="","",IF(COUNTIFS(Tabela3[Período],H$5,Tabela3[Curso],$A9)=0,"",IFERROR((SUMIFS(Tabela3[Promotores (9-10)],Tabela3[Período],H$5,Tabela3[Curso],$A9)-SUMIFS(Tabela3[Detratores (0-6)],Tabela3[Período],H$5,Tabela3[Curso],$A9))/SUMIFS(Tabela3[Respondentes],Tabela3[Período],H$5,Tabela3[Curso],$A9)*100,"")))</f>
        <v/>
      </c>
      <c r="I9" s="201">
        <f>IF(I$5="","",IF(COUNTIFS(Tabela3[Período],I$5,Tabela3[Curso],$A9)=0,"",IFERROR((SUMIFS(Tabela3[Promotores (9-10)],Tabela3[Período],I$5,Tabela3[Curso],$A9)-SUMIFS(Tabela3[Detratores (0-6)],Tabela3[Período],I$5,Tabela3[Curso],$A9))/SUMIFS(Tabela3[Respondentes],Tabela3[Período],I$5,Tabela3[Curso],$A9)*100,"")))</f>
        <v/>
      </c>
      <c r="J9" s="201">
        <f>IF(J$5="","",IF(COUNTIFS(Tabela3[Período],J$5,Tabela3[Curso],$A9)=0,"",IFERROR((SUMIFS(Tabela3[Promotores (9-10)],Tabela3[Período],J$5,Tabela3[Curso],$A9)-SUMIFS(Tabela3[Detratores (0-6)],Tabela3[Período],J$5,Tabela3[Curso],$A9))/SUMIFS(Tabela3[Respondentes],Tabela3[Período],J$5,Tabela3[Curso],$A9)*100,"")))</f>
        <v/>
      </c>
      <c r="K9" s="201">
        <f>IF(K$5="","",IF(COUNTIFS(Tabela3[Período],K$5,Tabela3[Curso],$A9)=0,"",IFERROR((SUMIFS(Tabela3[Promotores (9-10)],Tabela3[Período],K$5,Tabela3[Curso],$A9)-SUMIFS(Tabela3[Detratores (0-6)],Tabela3[Período],K$5,Tabela3[Curso],$A9))/SUMIFS(Tabela3[Respondentes],Tabela3[Período],K$5,Tabela3[Curso],$A9)*100,"")))</f>
        <v/>
      </c>
      <c r="L9" s="201">
        <f>IF(L$5="","",IF(COUNTIFS(Tabela3[Período],L$5,Tabela3[Curso],$A9)=0,"",IFERROR((SUMIFS(Tabela3[Promotores (9-10)],Tabela3[Período],L$5,Tabela3[Curso],$A9)-SUMIFS(Tabela3[Detratores (0-6)],Tabela3[Período],L$5,Tabela3[Curso],$A9))/SUMIFS(Tabela3[Respondentes],Tabela3[Período],L$5,Tabela3[Curso],$A9)*100,"")))</f>
        <v/>
      </c>
      <c r="M9" s="201">
        <f>IF(M$5="","",IF(COUNTIFS(Tabela3[Período],M$5,Tabela3[Curso],$A9)=0,"",IFERROR((SUMIFS(Tabela3[Promotores (9-10)],Tabela3[Período],M$5,Tabela3[Curso],$A9)-SUMIFS(Tabela3[Detratores (0-6)],Tabela3[Período],M$5,Tabela3[Curso],$A9))/SUMIFS(Tabela3[Respondentes],Tabela3[Período],M$5,Tabela3[Curso],$A9)*100,"")))</f>
        <v/>
      </c>
      <c r="N9" s="202">
        <f>IF(CALC!$N$37="","",IF(COUNTIFS(Tabela3[Período],CALC!$N$37,Tabela3[Curso],$A9)=0,"",IFERROR((SUMIFS(Tabela3[Promotores (9-10)],Tabela3[Período],CALC!$N$37,Tabela3[Curso],$A9)-SUMIFS(Tabela3[Detratores (0-6)],Tabela3[Período],CALC!$N$37,Tabela3[Curso],$A9))/SUMIFS(Tabela3[Respondentes],Tabela3[Período],CALC!$N$37,Tabela3[Curso],$A9)*100,"")))</f>
        <v/>
      </c>
      <c r="O9" s="169">
        <f>IF(CALC!$O$37="","",IF(COUNTIFS(Tabela3[Período],CALC!$O$37,Tabela3[Curso],$A9)=0,"",IFERROR((SUMIFS(Tabela3[Promotores (9-10)],Tabela3[Período],CALC!$O$37,Tabela3[Curso],$A9)-SUMIFS(Tabela3[Detratores (0-6)],Tabela3[Período],CALC!$O$37,Tabela3[Curso],$A9))/SUMIFS(Tabela3[Respondentes],Tabela3[Período],CALC!$O$37,Tabela3[Curso],$A9)*100,"")))</f>
        <v/>
      </c>
      <c r="P9" s="203">
        <f>IF(OR(N9="",O9=""),"",N9-O9)</f>
        <v/>
      </c>
      <c r="Q9" s="169">
        <f>IFERROR(INDEX(CALC!$B$8:$B$17,MATCH($A9,CALC!$A$8:$A$17,0)),"")</f>
        <v/>
      </c>
      <c r="R9" s="171">
        <f>IF(OR(N9="",Q9=""),"",IF(ROUND(N9,6)&gt;=ROUND(Q9,6),"Dentro da meta",IF(AND(IFERROR(IFERROR(INDEX(CALC!$C$8:$C$17,MATCH($A9,CALC!$A$8:$A$17,0)),""),"")&lt;&gt;"",ROUND(N9,6)&gt;=ROUND(IFERROR(IFERROR(INDEX(CALC!$C$8:$C$17,MATCH($A9,CALC!$A$8:$A$17,0)),""),""),6)),"Atenção","Fora da meta")))</f>
        <v/>
      </c>
    </row>
    <row r="10" ht="15" customHeight="1" s="131">
      <c r="A10" s="167">
        <f>CURSOS!$A$9</f>
        <v/>
      </c>
      <c r="B10" s="201">
        <f>IF(B$5="","",IF(COUNTIFS(Tabela3[Período],B$5,Tabela3[Curso],$A10)=0,"",IFERROR((SUMIFS(Tabela3[Promotores (9-10)],Tabela3[Período],B$5,Tabela3[Curso],$A10)-SUMIFS(Tabela3[Detratores (0-6)],Tabela3[Período],B$5,Tabela3[Curso],$A10))/SUMIFS(Tabela3[Respondentes],Tabela3[Período],B$5,Tabela3[Curso],$A10)*100,"")))</f>
        <v/>
      </c>
      <c r="C10" s="201">
        <f>IF(C$5="","",IF(COUNTIFS(Tabela3[Período],C$5,Tabela3[Curso],$A10)=0,"",IFERROR((SUMIFS(Tabela3[Promotores (9-10)],Tabela3[Período],C$5,Tabela3[Curso],$A10)-SUMIFS(Tabela3[Detratores (0-6)],Tabela3[Período],C$5,Tabela3[Curso],$A10))/SUMIFS(Tabela3[Respondentes],Tabela3[Período],C$5,Tabela3[Curso],$A10)*100,"")))</f>
        <v/>
      </c>
      <c r="D10" s="201">
        <f>IF(D$5="","",IF(COUNTIFS(Tabela3[Período],D$5,Tabela3[Curso],$A10)=0,"",IFERROR((SUMIFS(Tabela3[Promotores (9-10)],Tabela3[Período],D$5,Tabela3[Curso],$A10)-SUMIFS(Tabela3[Detratores (0-6)],Tabela3[Período],D$5,Tabela3[Curso],$A10))/SUMIFS(Tabela3[Respondentes],Tabela3[Período],D$5,Tabela3[Curso],$A10)*100,"")))</f>
        <v/>
      </c>
      <c r="E10" s="201">
        <f>IF(E$5="","",IF(COUNTIFS(Tabela3[Período],E$5,Tabela3[Curso],$A10)=0,"",IFERROR((SUMIFS(Tabela3[Promotores (9-10)],Tabela3[Período],E$5,Tabela3[Curso],$A10)-SUMIFS(Tabela3[Detratores (0-6)],Tabela3[Período],E$5,Tabela3[Curso],$A10))/SUMIFS(Tabela3[Respondentes],Tabela3[Período],E$5,Tabela3[Curso],$A10)*100,"")))</f>
        <v/>
      </c>
      <c r="F10" s="201">
        <f>IF(F$5="","",IF(COUNTIFS(Tabela3[Período],F$5,Tabela3[Curso],$A10)=0,"",IFERROR((SUMIFS(Tabela3[Promotores (9-10)],Tabela3[Período],F$5,Tabela3[Curso],$A10)-SUMIFS(Tabela3[Detratores (0-6)],Tabela3[Período],F$5,Tabela3[Curso],$A10))/SUMIFS(Tabela3[Respondentes],Tabela3[Período],F$5,Tabela3[Curso],$A10)*100,"")))</f>
        <v/>
      </c>
      <c r="G10" s="201">
        <f>IF(G$5="","",IF(COUNTIFS(Tabela3[Período],G$5,Tabela3[Curso],$A10)=0,"",IFERROR((SUMIFS(Tabela3[Promotores (9-10)],Tabela3[Período],G$5,Tabela3[Curso],$A10)-SUMIFS(Tabela3[Detratores (0-6)],Tabela3[Período],G$5,Tabela3[Curso],$A10))/SUMIFS(Tabela3[Respondentes],Tabela3[Período],G$5,Tabela3[Curso],$A10)*100,"")))</f>
        <v/>
      </c>
      <c r="H10" s="201">
        <f>IF(H$5="","",IF(COUNTIFS(Tabela3[Período],H$5,Tabela3[Curso],$A10)=0,"",IFERROR((SUMIFS(Tabela3[Promotores (9-10)],Tabela3[Período],H$5,Tabela3[Curso],$A10)-SUMIFS(Tabela3[Detratores (0-6)],Tabela3[Período],H$5,Tabela3[Curso],$A10))/SUMIFS(Tabela3[Respondentes],Tabela3[Período],H$5,Tabela3[Curso],$A10)*100,"")))</f>
        <v/>
      </c>
      <c r="I10" s="201">
        <f>IF(I$5="","",IF(COUNTIFS(Tabela3[Período],I$5,Tabela3[Curso],$A10)=0,"",IFERROR((SUMIFS(Tabela3[Promotores (9-10)],Tabela3[Período],I$5,Tabela3[Curso],$A10)-SUMIFS(Tabela3[Detratores (0-6)],Tabela3[Período],I$5,Tabela3[Curso],$A10))/SUMIFS(Tabela3[Respondentes],Tabela3[Período],I$5,Tabela3[Curso],$A10)*100,"")))</f>
        <v/>
      </c>
      <c r="J10" s="201">
        <f>IF(J$5="","",IF(COUNTIFS(Tabela3[Período],J$5,Tabela3[Curso],$A10)=0,"",IFERROR((SUMIFS(Tabela3[Promotores (9-10)],Tabela3[Período],J$5,Tabela3[Curso],$A10)-SUMIFS(Tabela3[Detratores (0-6)],Tabela3[Período],J$5,Tabela3[Curso],$A10))/SUMIFS(Tabela3[Respondentes],Tabela3[Período],J$5,Tabela3[Curso],$A10)*100,"")))</f>
        <v/>
      </c>
      <c r="K10" s="201">
        <f>IF(K$5="","",IF(COUNTIFS(Tabela3[Período],K$5,Tabela3[Curso],$A10)=0,"",IFERROR((SUMIFS(Tabela3[Promotores (9-10)],Tabela3[Período],K$5,Tabela3[Curso],$A10)-SUMIFS(Tabela3[Detratores (0-6)],Tabela3[Período],K$5,Tabela3[Curso],$A10))/SUMIFS(Tabela3[Respondentes],Tabela3[Período],K$5,Tabela3[Curso],$A10)*100,"")))</f>
        <v/>
      </c>
      <c r="L10" s="201">
        <f>IF(L$5="","",IF(COUNTIFS(Tabela3[Período],L$5,Tabela3[Curso],$A10)=0,"",IFERROR((SUMIFS(Tabela3[Promotores (9-10)],Tabela3[Período],L$5,Tabela3[Curso],$A10)-SUMIFS(Tabela3[Detratores (0-6)],Tabela3[Período],L$5,Tabela3[Curso],$A10))/SUMIFS(Tabela3[Respondentes],Tabela3[Período],L$5,Tabela3[Curso],$A10)*100,"")))</f>
        <v/>
      </c>
      <c r="M10" s="201">
        <f>IF(M$5="","",IF(COUNTIFS(Tabela3[Período],M$5,Tabela3[Curso],$A10)=0,"",IFERROR((SUMIFS(Tabela3[Promotores (9-10)],Tabela3[Período],M$5,Tabela3[Curso],$A10)-SUMIFS(Tabela3[Detratores (0-6)],Tabela3[Período],M$5,Tabela3[Curso],$A10))/SUMIFS(Tabela3[Respondentes],Tabela3[Período],M$5,Tabela3[Curso],$A10)*100,"")))</f>
        <v/>
      </c>
      <c r="N10" s="202">
        <f>IF(CALC!$N$37="","",IF(COUNTIFS(Tabela3[Período],CALC!$N$37,Tabela3[Curso],$A10)=0,"",IFERROR((SUMIFS(Tabela3[Promotores (9-10)],Tabela3[Período],CALC!$N$37,Tabela3[Curso],$A10)-SUMIFS(Tabela3[Detratores (0-6)],Tabela3[Período],CALC!$N$37,Tabela3[Curso],$A10))/SUMIFS(Tabela3[Respondentes],Tabela3[Período],CALC!$N$37,Tabela3[Curso],$A10)*100,"")))</f>
        <v/>
      </c>
      <c r="O10" s="169">
        <f>IF(CALC!$O$37="","",IF(COUNTIFS(Tabela3[Período],CALC!$O$37,Tabela3[Curso],$A10)=0,"",IFERROR((SUMIFS(Tabela3[Promotores (9-10)],Tabela3[Período],CALC!$O$37,Tabela3[Curso],$A10)-SUMIFS(Tabela3[Detratores (0-6)],Tabela3[Período],CALC!$O$37,Tabela3[Curso],$A10))/SUMIFS(Tabela3[Respondentes],Tabela3[Período],CALC!$O$37,Tabela3[Curso],$A10)*100,"")))</f>
        <v/>
      </c>
      <c r="P10" s="203">
        <f>IF(OR(N10="",O10=""),"",N10-O10)</f>
        <v/>
      </c>
      <c r="Q10" s="169">
        <f>IFERROR(INDEX(CALC!$B$8:$B$17,MATCH($A10,CALC!$A$8:$A$17,0)),"")</f>
        <v/>
      </c>
      <c r="R10" s="171">
        <f>IF(OR(N10="",Q10=""),"",IF(ROUND(N10,6)&gt;=ROUND(Q10,6),"Dentro da meta",IF(AND(IFERROR(IFERROR(INDEX(CALC!$C$8:$C$17,MATCH($A10,CALC!$A$8:$A$17,0)),""),"")&lt;&gt;"",ROUND(N10,6)&gt;=ROUND(IFERROR(IFERROR(INDEX(CALC!$C$8:$C$17,MATCH($A10,CALC!$A$8:$A$17,0)),""),""),6)),"Atenção","Fora da meta")))</f>
        <v/>
      </c>
    </row>
    <row r="11" ht="15" customHeight="1" s="131">
      <c r="A11" s="167">
        <f>CURSOS!$A$10</f>
        <v/>
      </c>
      <c r="B11" s="201">
        <f>IF(B$5="","",IF(COUNTIFS(Tabela3[Período],B$5,Tabela3[Curso],$A11)=0,"",IFERROR((SUMIFS(Tabela3[Promotores (9-10)],Tabela3[Período],B$5,Tabela3[Curso],$A11)-SUMIFS(Tabela3[Detratores (0-6)],Tabela3[Período],B$5,Tabela3[Curso],$A11))/SUMIFS(Tabela3[Respondentes],Tabela3[Período],B$5,Tabela3[Curso],$A11)*100,"")))</f>
        <v/>
      </c>
      <c r="C11" s="201">
        <f>IF(C$5="","",IF(COUNTIFS(Tabela3[Período],C$5,Tabela3[Curso],$A11)=0,"",IFERROR((SUMIFS(Tabela3[Promotores (9-10)],Tabela3[Período],C$5,Tabela3[Curso],$A11)-SUMIFS(Tabela3[Detratores (0-6)],Tabela3[Período],C$5,Tabela3[Curso],$A11))/SUMIFS(Tabela3[Respondentes],Tabela3[Período],C$5,Tabela3[Curso],$A11)*100,"")))</f>
        <v/>
      </c>
      <c r="D11" s="201">
        <f>IF(D$5="","",IF(COUNTIFS(Tabela3[Período],D$5,Tabela3[Curso],$A11)=0,"",IFERROR((SUMIFS(Tabela3[Promotores (9-10)],Tabela3[Período],D$5,Tabela3[Curso],$A11)-SUMIFS(Tabela3[Detratores (0-6)],Tabela3[Período],D$5,Tabela3[Curso],$A11))/SUMIFS(Tabela3[Respondentes],Tabela3[Período],D$5,Tabela3[Curso],$A11)*100,"")))</f>
        <v/>
      </c>
      <c r="E11" s="201">
        <f>IF(E$5="","",IF(COUNTIFS(Tabela3[Período],E$5,Tabela3[Curso],$A11)=0,"",IFERROR((SUMIFS(Tabela3[Promotores (9-10)],Tabela3[Período],E$5,Tabela3[Curso],$A11)-SUMIFS(Tabela3[Detratores (0-6)],Tabela3[Período],E$5,Tabela3[Curso],$A11))/SUMIFS(Tabela3[Respondentes],Tabela3[Período],E$5,Tabela3[Curso],$A11)*100,"")))</f>
        <v/>
      </c>
      <c r="F11" s="201">
        <f>IF(F$5="","",IF(COUNTIFS(Tabela3[Período],F$5,Tabela3[Curso],$A11)=0,"",IFERROR((SUMIFS(Tabela3[Promotores (9-10)],Tabela3[Período],F$5,Tabela3[Curso],$A11)-SUMIFS(Tabela3[Detratores (0-6)],Tabela3[Período],F$5,Tabela3[Curso],$A11))/SUMIFS(Tabela3[Respondentes],Tabela3[Período],F$5,Tabela3[Curso],$A11)*100,"")))</f>
        <v/>
      </c>
      <c r="G11" s="201">
        <f>IF(G$5="","",IF(COUNTIFS(Tabela3[Período],G$5,Tabela3[Curso],$A11)=0,"",IFERROR((SUMIFS(Tabela3[Promotores (9-10)],Tabela3[Período],G$5,Tabela3[Curso],$A11)-SUMIFS(Tabela3[Detratores (0-6)],Tabela3[Período],G$5,Tabela3[Curso],$A11))/SUMIFS(Tabela3[Respondentes],Tabela3[Período],G$5,Tabela3[Curso],$A11)*100,"")))</f>
        <v/>
      </c>
      <c r="H11" s="201">
        <f>IF(H$5="","",IF(COUNTIFS(Tabela3[Período],H$5,Tabela3[Curso],$A11)=0,"",IFERROR((SUMIFS(Tabela3[Promotores (9-10)],Tabela3[Período],H$5,Tabela3[Curso],$A11)-SUMIFS(Tabela3[Detratores (0-6)],Tabela3[Período],H$5,Tabela3[Curso],$A11))/SUMIFS(Tabela3[Respondentes],Tabela3[Período],H$5,Tabela3[Curso],$A11)*100,"")))</f>
        <v/>
      </c>
      <c r="I11" s="201">
        <f>IF(I$5="","",IF(COUNTIFS(Tabela3[Período],I$5,Tabela3[Curso],$A11)=0,"",IFERROR((SUMIFS(Tabela3[Promotores (9-10)],Tabela3[Período],I$5,Tabela3[Curso],$A11)-SUMIFS(Tabela3[Detratores (0-6)],Tabela3[Período],I$5,Tabela3[Curso],$A11))/SUMIFS(Tabela3[Respondentes],Tabela3[Período],I$5,Tabela3[Curso],$A11)*100,"")))</f>
        <v/>
      </c>
      <c r="J11" s="201">
        <f>IF(J$5="","",IF(COUNTIFS(Tabela3[Período],J$5,Tabela3[Curso],$A11)=0,"",IFERROR((SUMIFS(Tabela3[Promotores (9-10)],Tabela3[Período],J$5,Tabela3[Curso],$A11)-SUMIFS(Tabela3[Detratores (0-6)],Tabela3[Período],J$5,Tabela3[Curso],$A11))/SUMIFS(Tabela3[Respondentes],Tabela3[Período],J$5,Tabela3[Curso],$A11)*100,"")))</f>
        <v/>
      </c>
      <c r="K11" s="201">
        <f>IF(K$5="","",IF(COUNTIFS(Tabela3[Período],K$5,Tabela3[Curso],$A11)=0,"",IFERROR((SUMIFS(Tabela3[Promotores (9-10)],Tabela3[Período],K$5,Tabela3[Curso],$A11)-SUMIFS(Tabela3[Detratores (0-6)],Tabela3[Período],K$5,Tabela3[Curso],$A11))/SUMIFS(Tabela3[Respondentes],Tabela3[Período],K$5,Tabela3[Curso],$A11)*100,"")))</f>
        <v/>
      </c>
      <c r="L11" s="201">
        <f>IF(L$5="","",IF(COUNTIFS(Tabela3[Período],L$5,Tabela3[Curso],$A11)=0,"",IFERROR((SUMIFS(Tabela3[Promotores (9-10)],Tabela3[Período],L$5,Tabela3[Curso],$A11)-SUMIFS(Tabela3[Detratores (0-6)],Tabela3[Período],L$5,Tabela3[Curso],$A11))/SUMIFS(Tabela3[Respondentes],Tabela3[Período],L$5,Tabela3[Curso],$A11)*100,"")))</f>
        <v/>
      </c>
      <c r="M11" s="201">
        <f>IF(M$5="","",IF(COUNTIFS(Tabela3[Período],M$5,Tabela3[Curso],$A11)=0,"",IFERROR((SUMIFS(Tabela3[Promotores (9-10)],Tabela3[Período],M$5,Tabela3[Curso],$A11)-SUMIFS(Tabela3[Detratores (0-6)],Tabela3[Período],M$5,Tabela3[Curso],$A11))/SUMIFS(Tabela3[Respondentes],Tabela3[Período],M$5,Tabela3[Curso],$A11)*100,"")))</f>
        <v/>
      </c>
      <c r="N11" s="202">
        <f>IF(CALC!$N$37="","",IF(COUNTIFS(Tabela3[Período],CALC!$N$37,Tabela3[Curso],$A11)=0,"",IFERROR((SUMIFS(Tabela3[Promotores (9-10)],Tabela3[Período],CALC!$N$37,Tabela3[Curso],$A11)-SUMIFS(Tabela3[Detratores (0-6)],Tabela3[Período],CALC!$N$37,Tabela3[Curso],$A11))/SUMIFS(Tabela3[Respondentes],Tabela3[Período],CALC!$N$37,Tabela3[Curso],$A11)*100,"")))</f>
        <v/>
      </c>
      <c r="O11" s="169">
        <f>IF(CALC!$O$37="","",IF(COUNTIFS(Tabela3[Período],CALC!$O$37,Tabela3[Curso],$A11)=0,"",IFERROR((SUMIFS(Tabela3[Promotores (9-10)],Tabela3[Período],CALC!$O$37,Tabela3[Curso],$A11)-SUMIFS(Tabela3[Detratores (0-6)],Tabela3[Período],CALC!$O$37,Tabela3[Curso],$A11))/SUMIFS(Tabela3[Respondentes],Tabela3[Período],CALC!$O$37,Tabela3[Curso],$A11)*100,"")))</f>
        <v/>
      </c>
      <c r="P11" s="203">
        <f>IF(OR(N11="",O11=""),"",N11-O11)</f>
        <v/>
      </c>
      <c r="Q11" s="169">
        <f>IFERROR(INDEX(CALC!$B$8:$B$17,MATCH($A11,CALC!$A$8:$A$17,0)),"")</f>
        <v/>
      </c>
      <c r="R11" s="171">
        <f>IF(OR(N11="",Q11=""),"",IF(ROUND(N11,6)&gt;=ROUND(Q11,6),"Dentro da meta",IF(AND(IFERROR(IFERROR(INDEX(CALC!$C$8:$C$17,MATCH($A11,CALC!$A$8:$A$17,0)),""),"")&lt;&gt;"",ROUND(N11,6)&gt;=ROUND(IFERROR(IFERROR(INDEX(CALC!$C$8:$C$17,MATCH($A11,CALC!$A$8:$A$17,0)),""),""),6)),"Atenção","Fora da meta")))</f>
        <v/>
      </c>
    </row>
    <row r="12" ht="21.75" customHeight="1" s="131">
      <c r="A12" s="167">
        <f>CURSOS!$A$11</f>
        <v/>
      </c>
      <c r="B12" s="201">
        <f>IF(B$5="","",IF(COUNTIFS(Tabela3[Período],B$5,Tabela3[Curso],$A12)=0,"",IFERROR((SUMIFS(Tabela3[Promotores (9-10)],Tabela3[Período],B$5,Tabela3[Curso],$A12)-SUMIFS(Tabela3[Detratores (0-6)],Tabela3[Período],B$5,Tabela3[Curso],$A12))/SUMIFS(Tabela3[Respondentes],Tabela3[Período],B$5,Tabela3[Curso],$A12)*100,"")))</f>
        <v/>
      </c>
      <c r="C12" s="201">
        <f>IF(C$5="","",IF(COUNTIFS(Tabela3[Período],C$5,Tabela3[Curso],$A12)=0,"",IFERROR((SUMIFS(Tabela3[Promotores (9-10)],Tabela3[Período],C$5,Tabela3[Curso],$A12)-SUMIFS(Tabela3[Detratores (0-6)],Tabela3[Período],C$5,Tabela3[Curso],$A12))/SUMIFS(Tabela3[Respondentes],Tabela3[Período],C$5,Tabela3[Curso],$A12)*100,"")))</f>
        <v/>
      </c>
      <c r="D12" s="201">
        <f>IF(D$5="","",IF(COUNTIFS(Tabela3[Período],D$5,Tabela3[Curso],$A12)=0,"",IFERROR((SUMIFS(Tabela3[Promotores (9-10)],Tabela3[Período],D$5,Tabela3[Curso],$A12)-SUMIFS(Tabela3[Detratores (0-6)],Tabela3[Período],D$5,Tabela3[Curso],$A12))/SUMIFS(Tabela3[Respondentes],Tabela3[Período],D$5,Tabela3[Curso],$A12)*100,"")))</f>
        <v/>
      </c>
      <c r="E12" s="201">
        <f>IF(E$5="","",IF(COUNTIFS(Tabela3[Período],E$5,Tabela3[Curso],$A12)=0,"",IFERROR((SUMIFS(Tabela3[Promotores (9-10)],Tabela3[Período],E$5,Tabela3[Curso],$A12)-SUMIFS(Tabela3[Detratores (0-6)],Tabela3[Período],E$5,Tabela3[Curso],$A12))/SUMIFS(Tabela3[Respondentes],Tabela3[Período],E$5,Tabela3[Curso],$A12)*100,"")))</f>
        <v/>
      </c>
      <c r="F12" s="201">
        <f>IF(F$5="","",IF(COUNTIFS(Tabela3[Período],F$5,Tabela3[Curso],$A12)=0,"",IFERROR((SUMIFS(Tabela3[Promotores (9-10)],Tabela3[Período],F$5,Tabela3[Curso],$A12)-SUMIFS(Tabela3[Detratores (0-6)],Tabela3[Período],F$5,Tabela3[Curso],$A12))/SUMIFS(Tabela3[Respondentes],Tabela3[Período],F$5,Tabela3[Curso],$A12)*100,"")))</f>
        <v/>
      </c>
      <c r="G12" s="201">
        <f>IF(G$5="","",IF(COUNTIFS(Tabela3[Período],G$5,Tabela3[Curso],$A12)=0,"",IFERROR((SUMIFS(Tabela3[Promotores (9-10)],Tabela3[Período],G$5,Tabela3[Curso],$A12)-SUMIFS(Tabela3[Detratores (0-6)],Tabela3[Período],G$5,Tabela3[Curso],$A12))/SUMIFS(Tabela3[Respondentes],Tabela3[Período],G$5,Tabela3[Curso],$A12)*100,"")))</f>
        <v/>
      </c>
      <c r="H12" s="201">
        <f>IF(H$5="","",IF(COUNTIFS(Tabela3[Período],H$5,Tabela3[Curso],$A12)=0,"",IFERROR((SUMIFS(Tabela3[Promotores (9-10)],Tabela3[Período],H$5,Tabela3[Curso],$A12)-SUMIFS(Tabela3[Detratores (0-6)],Tabela3[Período],H$5,Tabela3[Curso],$A12))/SUMIFS(Tabela3[Respondentes],Tabela3[Período],H$5,Tabela3[Curso],$A12)*100,"")))</f>
        <v/>
      </c>
      <c r="I12" s="201">
        <f>IF(I$5="","",IF(COUNTIFS(Tabela3[Período],I$5,Tabela3[Curso],$A12)=0,"",IFERROR((SUMIFS(Tabela3[Promotores (9-10)],Tabela3[Período],I$5,Tabela3[Curso],$A12)-SUMIFS(Tabela3[Detratores (0-6)],Tabela3[Período],I$5,Tabela3[Curso],$A12))/SUMIFS(Tabela3[Respondentes],Tabela3[Período],I$5,Tabela3[Curso],$A12)*100,"")))</f>
        <v/>
      </c>
      <c r="J12" s="201">
        <f>IF(J$5="","",IF(COUNTIFS(Tabela3[Período],J$5,Tabela3[Curso],$A12)=0,"",IFERROR((SUMIFS(Tabela3[Promotores (9-10)],Tabela3[Período],J$5,Tabela3[Curso],$A12)-SUMIFS(Tabela3[Detratores (0-6)],Tabela3[Período],J$5,Tabela3[Curso],$A12))/SUMIFS(Tabela3[Respondentes],Tabela3[Período],J$5,Tabela3[Curso],$A12)*100,"")))</f>
        <v/>
      </c>
      <c r="K12" s="201">
        <f>IF(K$5="","",IF(COUNTIFS(Tabela3[Período],K$5,Tabela3[Curso],$A12)=0,"",IFERROR((SUMIFS(Tabela3[Promotores (9-10)],Tabela3[Período],K$5,Tabela3[Curso],$A12)-SUMIFS(Tabela3[Detratores (0-6)],Tabela3[Período],K$5,Tabela3[Curso],$A12))/SUMIFS(Tabela3[Respondentes],Tabela3[Período],K$5,Tabela3[Curso],$A12)*100,"")))</f>
        <v/>
      </c>
      <c r="L12" s="201">
        <f>IF(L$5="","",IF(COUNTIFS(Tabela3[Período],L$5,Tabela3[Curso],$A12)=0,"",IFERROR((SUMIFS(Tabela3[Promotores (9-10)],Tabela3[Período],L$5,Tabela3[Curso],$A12)-SUMIFS(Tabela3[Detratores (0-6)],Tabela3[Período],L$5,Tabela3[Curso],$A12))/SUMIFS(Tabela3[Respondentes],Tabela3[Período],L$5,Tabela3[Curso],$A12)*100,"")))</f>
        <v/>
      </c>
      <c r="M12" s="201">
        <f>IF(M$5="","",IF(COUNTIFS(Tabela3[Período],M$5,Tabela3[Curso],$A12)=0,"",IFERROR((SUMIFS(Tabela3[Promotores (9-10)],Tabela3[Período],M$5,Tabela3[Curso],$A12)-SUMIFS(Tabela3[Detratores (0-6)],Tabela3[Período],M$5,Tabela3[Curso],$A12))/SUMIFS(Tabela3[Respondentes],Tabela3[Período],M$5,Tabela3[Curso],$A12)*100,"")))</f>
        <v/>
      </c>
      <c r="N12" s="202">
        <f>IF(CALC!$N$37="","",IF(COUNTIFS(Tabela3[Período],CALC!$N$37,Tabela3[Curso],$A12)=0,"",IFERROR((SUMIFS(Tabela3[Promotores (9-10)],Tabela3[Período],CALC!$N$37,Tabela3[Curso],$A12)-SUMIFS(Tabela3[Detratores (0-6)],Tabela3[Período],CALC!$N$37,Tabela3[Curso],$A12))/SUMIFS(Tabela3[Respondentes],Tabela3[Período],CALC!$N$37,Tabela3[Curso],$A12)*100,"")))</f>
        <v/>
      </c>
      <c r="O12" s="169">
        <f>IF(CALC!$O$37="","",IF(COUNTIFS(Tabela3[Período],CALC!$O$37,Tabela3[Curso],$A12)=0,"",IFERROR((SUMIFS(Tabela3[Promotores (9-10)],Tabela3[Período],CALC!$O$37,Tabela3[Curso],$A12)-SUMIFS(Tabela3[Detratores (0-6)],Tabela3[Período],CALC!$O$37,Tabela3[Curso],$A12))/SUMIFS(Tabela3[Respondentes],Tabela3[Período],CALC!$O$37,Tabela3[Curso],$A12)*100,"")))</f>
        <v/>
      </c>
      <c r="P12" s="203">
        <f>IF(OR(N12="",O12=""),"",N12-O12)</f>
        <v/>
      </c>
      <c r="Q12" s="169">
        <f>IFERROR(INDEX(CALC!$B$8:$B$17,MATCH($A12,CALC!$A$8:$A$17,0)),"")</f>
        <v/>
      </c>
      <c r="R12" s="171">
        <f>IF(OR(N12="",Q12=""),"",IF(ROUND(N12,6)&gt;=ROUND(Q12,6),"Dentro da meta",IF(AND(IFERROR(IFERROR(INDEX(CALC!$C$8:$C$17,MATCH($A12,CALC!$A$8:$A$17,0)),""),"")&lt;&gt;"",ROUND(N12,6)&gt;=ROUND(IFERROR(IFERROR(INDEX(CALC!$C$8:$C$17,MATCH($A12,CALC!$A$8:$A$17,0)),""),""),6)),"Atenção","Fora da meta")))</f>
        <v/>
      </c>
    </row>
    <row r="13" ht="21.75" customHeight="1" s="131">
      <c r="A13" s="167">
        <f>CURSOS!$A$12</f>
        <v/>
      </c>
      <c r="B13" s="201">
        <f>IF(B$5="","",IF(COUNTIFS(Tabela3[Período],B$5,Tabela3[Curso],$A13)=0,"",IFERROR((SUMIFS(Tabela3[Promotores (9-10)],Tabela3[Período],B$5,Tabela3[Curso],$A13)-SUMIFS(Tabela3[Detratores (0-6)],Tabela3[Período],B$5,Tabela3[Curso],$A13))/SUMIFS(Tabela3[Respondentes],Tabela3[Período],B$5,Tabela3[Curso],$A13)*100,"")))</f>
        <v/>
      </c>
      <c r="C13" s="201">
        <f>IF(C$5="","",IF(COUNTIFS(Tabela3[Período],C$5,Tabela3[Curso],$A13)=0,"",IFERROR((SUMIFS(Tabela3[Promotores (9-10)],Tabela3[Período],C$5,Tabela3[Curso],$A13)-SUMIFS(Tabela3[Detratores (0-6)],Tabela3[Período],C$5,Tabela3[Curso],$A13))/SUMIFS(Tabela3[Respondentes],Tabela3[Período],C$5,Tabela3[Curso],$A13)*100,"")))</f>
        <v/>
      </c>
      <c r="D13" s="201">
        <f>IF(D$5="","",IF(COUNTIFS(Tabela3[Período],D$5,Tabela3[Curso],$A13)=0,"",IFERROR((SUMIFS(Tabela3[Promotores (9-10)],Tabela3[Período],D$5,Tabela3[Curso],$A13)-SUMIFS(Tabela3[Detratores (0-6)],Tabela3[Período],D$5,Tabela3[Curso],$A13))/SUMIFS(Tabela3[Respondentes],Tabela3[Período],D$5,Tabela3[Curso],$A13)*100,"")))</f>
        <v/>
      </c>
      <c r="E13" s="201">
        <f>IF(E$5="","",IF(COUNTIFS(Tabela3[Período],E$5,Tabela3[Curso],$A13)=0,"",IFERROR((SUMIFS(Tabela3[Promotores (9-10)],Tabela3[Período],E$5,Tabela3[Curso],$A13)-SUMIFS(Tabela3[Detratores (0-6)],Tabela3[Período],E$5,Tabela3[Curso],$A13))/SUMIFS(Tabela3[Respondentes],Tabela3[Período],E$5,Tabela3[Curso],$A13)*100,"")))</f>
        <v/>
      </c>
      <c r="F13" s="201">
        <f>IF(F$5="","",IF(COUNTIFS(Tabela3[Período],F$5,Tabela3[Curso],$A13)=0,"",IFERROR((SUMIFS(Tabela3[Promotores (9-10)],Tabela3[Período],F$5,Tabela3[Curso],$A13)-SUMIFS(Tabela3[Detratores (0-6)],Tabela3[Período],F$5,Tabela3[Curso],$A13))/SUMIFS(Tabela3[Respondentes],Tabela3[Período],F$5,Tabela3[Curso],$A13)*100,"")))</f>
        <v/>
      </c>
      <c r="G13" s="201">
        <f>IF(G$5="","",IF(COUNTIFS(Tabela3[Período],G$5,Tabela3[Curso],$A13)=0,"",IFERROR((SUMIFS(Tabela3[Promotores (9-10)],Tabela3[Período],G$5,Tabela3[Curso],$A13)-SUMIFS(Tabela3[Detratores (0-6)],Tabela3[Período],G$5,Tabela3[Curso],$A13))/SUMIFS(Tabela3[Respondentes],Tabela3[Período],G$5,Tabela3[Curso],$A13)*100,"")))</f>
        <v/>
      </c>
      <c r="H13" s="201">
        <f>IF(H$5="","",IF(COUNTIFS(Tabela3[Período],H$5,Tabela3[Curso],$A13)=0,"",IFERROR((SUMIFS(Tabela3[Promotores (9-10)],Tabela3[Período],H$5,Tabela3[Curso],$A13)-SUMIFS(Tabela3[Detratores (0-6)],Tabela3[Período],H$5,Tabela3[Curso],$A13))/SUMIFS(Tabela3[Respondentes],Tabela3[Período],H$5,Tabela3[Curso],$A13)*100,"")))</f>
        <v/>
      </c>
      <c r="I13" s="201">
        <f>IF(I$5="","",IF(COUNTIFS(Tabela3[Período],I$5,Tabela3[Curso],$A13)=0,"",IFERROR((SUMIFS(Tabela3[Promotores (9-10)],Tabela3[Período],I$5,Tabela3[Curso],$A13)-SUMIFS(Tabela3[Detratores (0-6)],Tabela3[Período],I$5,Tabela3[Curso],$A13))/SUMIFS(Tabela3[Respondentes],Tabela3[Período],I$5,Tabela3[Curso],$A13)*100,"")))</f>
        <v/>
      </c>
      <c r="J13" s="201">
        <f>IF(J$5="","",IF(COUNTIFS(Tabela3[Período],J$5,Tabela3[Curso],$A13)=0,"",IFERROR((SUMIFS(Tabela3[Promotores (9-10)],Tabela3[Período],J$5,Tabela3[Curso],$A13)-SUMIFS(Tabela3[Detratores (0-6)],Tabela3[Período],J$5,Tabela3[Curso],$A13))/SUMIFS(Tabela3[Respondentes],Tabela3[Período],J$5,Tabela3[Curso],$A13)*100,"")))</f>
        <v/>
      </c>
      <c r="K13" s="201">
        <f>IF(K$5="","",IF(COUNTIFS(Tabela3[Período],K$5,Tabela3[Curso],$A13)=0,"",IFERROR((SUMIFS(Tabela3[Promotores (9-10)],Tabela3[Período],K$5,Tabela3[Curso],$A13)-SUMIFS(Tabela3[Detratores (0-6)],Tabela3[Período],K$5,Tabela3[Curso],$A13))/SUMIFS(Tabela3[Respondentes],Tabela3[Período],K$5,Tabela3[Curso],$A13)*100,"")))</f>
        <v/>
      </c>
      <c r="L13" s="201">
        <f>IF(L$5="","",IF(COUNTIFS(Tabela3[Período],L$5,Tabela3[Curso],$A13)=0,"",IFERROR((SUMIFS(Tabela3[Promotores (9-10)],Tabela3[Período],L$5,Tabela3[Curso],$A13)-SUMIFS(Tabela3[Detratores (0-6)],Tabela3[Período],L$5,Tabela3[Curso],$A13))/SUMIFS(Tabela3[Respondentes],Tabela3[Período],L$5,Tabela3[Curso],$A13)*100,"")))</f>
        <v/>
      </c>
      <c r="M13" s="201">
        <f>IF(M$5="","",IF(COUNTIFS(Tabela3[Período],M$5,Tabela3[Curso],$A13)=0,"",IFERROR((SUMIFS(Tabela3[Promotores (9-10)],Tabela3[Período],M$5,Tabela3[Curso],$A13)-SUMIFS(Tabela3[Detratores (0-6)],Tabela3[Período],M$5,Tabela3[Curso],$A13))/SUMIFS(Tabela3[Respondentes],Tabela3[Período],M$5,Tabela3[Curso],$A13)*100,"")))</f>
        <v/>
      </c>
      <c r="N13" s="202">
        <f>IF(CALC!$N$37="","",IF(COUNTIFS(Tabela3[Período],CALC!$N$37,Tabela3[Curso],$A13)=0,"",IFERROR((SUMIFS(Tabela3[Promotores (9-10)],Tabela3[Período],CALC!$N$37,Tabela3[Curso],$A13)-SUMIFS(Tabela3[Detratores (0-6)],Tabela3[Período],CALC!$N$37,Tabela3[Curso],$A13))/SUMIFS(Tabela3[Respondentes],Tabela3[Período],CALC!$N$37,Tabela3[Curso],$A13)*100,"")))</f>
        <v/>
      </c>
      <c r="O13" s="169">
        <f>IF(CALC!$O$37="","",IF(COUNTIFS(Tabela3[Período],CALC!$O$37,Tabela3[Curso],$A13)=0,"",IFERROR((SUMIFS(Tabela3[Promotores (9-10)],Tabela3[Período],CALC!$O$37,Tabela3[Curso],$A13)-SUMIFS(Tabela3[Detratores (0-6)],Tabela3[Período],CALC!$O$37,Tabela3[Curso],$A13))/SUMIFS(Tabela3[Respondentes],Tabela3[Período],CALC!$O$37,Tabela3[Curso],$A13)*100,"")))</f>
        <v/>
      </c>
      <c r="P13" s="203">
        <f>IF(OR(N13="",O13=""),"",N13-O13)</f>
        <v/>
      </c>
      <c r="Q13" s="169">
        <f>IFERROR(INDEX(CALC!$B$8:$B$17,MATCH($A13,CALC!$A$8:$A$17,0)),"")</f>
        <v/>
      </c>
      <c r="R13" s="171">
        <f>IF(OR(N13="",Q13=""),"",IF(ROUND(N13,6)&gt;=ROUND(Q13,6),"Dentro da meta",IF(AND(IFERROR(IFERROR(INDEX(CALC!$C$8:$C$17,MATCH($A13,CALC!$A$8:$A$17,0)),""),"")&lt;&gt;"",ROUND(N13,6)&gt;=ROUND(IFERROR(IFERROR(INDEX(CALC!$C$8:$C$17,MATCH($A13,CALC!$A$8:$A$17,0)),""),""),6)),"Atenção","Fora da meta")))</f>
        <v/>
      </c>
    </row>
    <row r="14" ht="21.75" customHeight="1" s="131">
      <c r="A14" s="167">
        <f>CURSOS!$A$13</f>
        <v/>
      </c>
      <c r="B14" s="201">
        <f>IF(B$5="","",IF(COUNTIFS(Tabela3[Período],B$5,Tabela3[Curso],$A14)=0,"",IFERROR((SUMIFS(Tabela3[Promotores (9-10)],Tabela3[Período],B$5,Tabela3[Curso],$A14)-SUMIFS(Tabela3[Detratores (0-6)],Tabela3[Período],B$5,Tabela3[Curso],$A14))/SUMIFS(Tabela3[Respondentes],Tabela3[Período],B$5,Tabela3[Curso],$A14)*100,"")))</f>
        <v/>
      </c>
      <c r="C14" s="201">
        <f>IF(C$5="","",IF(COUNTIFS(Tabela3[Período],C$5,Tabela3[Curso],$A14)=0,"",IFERROR((SUMIFS(Tabela3[Promotores (9-10)],Tabela3[Período],C$5,Tabela3[Curso],$A14)-SUMIFS(Tabela3[Detratores (0-6)],Tabela3[Período],C$5,Tabela3[Curso],$A14))/SUMIFS(Tabela3[Respondentes],Tabela3[Período],C$5,Tabela3[Curso],$A14)*100,"")))</f>
        <v/>
      </c>
      <c r="D14" s="201">
        <f>IF(D$5="","",IF(COUNTIFS(Tabela3[Período],D$5,Tabela3[Curso],$A14)=0,"",IFERROR((SUMIFS(Tabela3[Promotores (9-10)],Tabela3[Período],D$5,Tabela3[Curso],$A14)-SUMIFS(Tabela3[Detratores (0-6)],Tabela3[Período],D$5,Tabela3[Curso],$A14))/SUMIFS(Tabela3[Respondentes],Tabela3[Período],D$5,Tabela3[Curso],$A14)*100,"")))</f>
        <v/>
      </c>
      <c r="E14" s="201">
        <f>IF(E$5="","",IF(COUNTIFS(Tabela3[Período],E$5,Tabela3[Curso],$A14)=0,"",IFERROR((SUMIFS(Tabela3[Promotores (9-10)],Tabela3[Período],E$5,Tabela3[Curso],$A14)-SUMIFS(Tabela3[Detratores (0-6)],Tabela3[Período],E$5,Tabela3[Curso],$A14))/SUMIFS(Tabela3[Respondentes],Tabela3[Período],E$5,Tabela3[Curso],$A14)*100,"")))</f>
        <v/>
      </c>
      <c r="F14" s="201">
        <f>IF(F$5="","",IF(COUNTIFS(Tabela3[Período],F$5,Tabela3[Curso],$A14)=0,"",IFERROR((SUMIFS(Tabela3[Promotores (9-10)],Tabela3[Período],F$5,Tabela3[Curso],$A14)-SUMIFS(Tabela3[Detratores (0-6)],Tabela3[Período],F$5,Tabela3[Curso],$A14))/SUMIFS(Tabela3[Respondentes],Tabela3[Período],F$5,Tabela3[Curso],$A14)*100,"")))</f>
        <v/>
      </c>
      <c r="G14" s="201">
        <f>IF(G$5="","",IF(COUNTIFS(Tabela3[Período],G$5,Tabela3[Curso],$A14)=0,"",IFERROR((SUMIFS(Tabela3[Promotores (9-10)],Tabela3[Período],G$5,Tabela3[Curso],$A14)-SUMIFS(Tabela3[Detratores (0-6)],Tabela3[Período],G$5,Tabela3[Curso],$A14))/SUMIFS(Tabela3[Respondentes],Tabela3[Período],G$5,Tabela3[Curso],$A14)*100,"")))</f>
        <v/>
      </c>
      <c r="H14" s="201">
        <f>IF(H$5="","",IF(COUNTIFS(Tabela3[Período],H$5,Tabela3[Curso],$A14)=0,"",IFERROR((SUMIFS(Tabela3[Promotores (9-10)],Tabela3[Período],H$5,Tabela3[Curso],$A14)-SUMIFS(Tabela3[Detratores (0-6)],Tabela3[Período],H$5,Tabela3[Curso],$A14))/SUMIFS(Tabela3[Respondentes],Tabela3[Período],H$5,Tabela3[Curso],$A14)*100,"")))</f>
        <v/>
      </c>
      <c r="I14" s="201">
        <f>IF(I$5="","",IF(COUNTIFS(Tabela3[Período],I$5,Tabela3[Curso],$A14)=0,"",IFERROR((SUMIFS(Tabela3[Promotores (9-10)],Tabela3[Período],I$5,Tabela3[Curso],$A14)-SUMIFS(Tabela3[Detratores (0-6)],Tabela3[Período],I$5,Tabela3[Curso],$A14))/SUMIFS(Tabela3[Respondentes],Tabela3[Período],I$5,Tabela3[Curso],$A14)*100,"")))</f>
        <v/>
      </c>
      <c r="J14" s="201">
        <f>IF(J$5="","",IF(COUNTIFS(Tabela3[Período],J$5,Tabela3[Curso],$A14)=0,"",IFERROR((SUMIFS(Tabela3[Promotores (9-10)],Tabela3[Período],J$5,Tabela3[Curso],$A14)-SUMIFS(Tabela3[Detratores (0-6)],Tabela3[Período],J$5,Tabela3[Curso],$A14))/SUMIFS(Tabela3[Respondentes],Tabela3[Período],J$5,Tabela3[Curso],$A14)*100,"")))</f>
        <v/>
      </c>
      <c r="K14" s="201">
        <f>IF(K$5="","",IF(COUNTIFS(Tabela3[Período],K$5,Tabela3[Curso],$A14)=0,"",IFERROR((SUMIFS(Tabela3[Promotores (9-10)],Tabela3[Período],K$5,Tabela3[Curso],$A14)-SUMIFS(Tabela3[Detratores (0-6)],Tabela3[Período],K$5,Tabela3[Curso],$A14))/SUMIFS(Tabela3[Respondentes],Tabela3[Período],K$5,Tabela3[Curso],$A14)*100,"")))</f>
        <v/>
      </c>
      <c r="L14" s="201">
        <f>IF(L$5="","",IF(COUNTIFS(Tabela3[Período],L$5,Tabela3[Curso],$A14)=0,"",IFERROR((SUMIFS(Tabela3[Promotores (9-10)],Tabela3[Período],L$5,Tabela3[Curso],$A14)-SUMIFS(Tabela3[Detratores (0-6)],Tabela3[Período],L$5,Tabela3[Curso],$A14))/SUMIFS(Tabela3[Respondentes],Tabela3[Período],L$5,Tabela3[Curso],$A14)*100,"")))</f>
        <v/>
      </c>
      <c r="M14" s="201">
        <f>IF(M$5="","",IF(COUNTIFS(Tabela3[Período],M$5,Tabela3[Curso],$A14)=0,"",IFERROR((SUMIFS(Tabela3[Promotores (9-10)],Tabela3[Período],M$5,Tabela3[Curso],$A14)-SUMIFS(Tabela3[Detratores (0-6)],Tabela3[Período],M$5,Tabela3[Curso],$A14))/SUMIFS(Tabela3[Respondentes],Tabela3[Período],M$5,Tabela3[Curso],$A14)*100,"")))</f>
        <v/>
      </c>
      <c r="N14" s="202">
        <f>IF(CALC!$N$37="","",IF(COUNTIFS(Tabela3[Período],CALC!$N$37,Tabela3[Curso],$A14)=0,"",IFERROR((SUMIFS(Tabela3[Promotores (9-10)],Tabela3[Período],CALC!$N$37,Tabela3[Curso],$A14)-SUMIFS(Tabela3[Detratores (0-6)],Tabela3[Período],CALC!$N$37,Tabela3[Curso],$A14))/SUMIFS(Tabela3[Respondentes],Tabela3[Período],CALC!$N$37,Tabela3[Curso],$A14)*100,"")))</f>
        <v/>
      </c>
      <c r="O14" s="169">
        <f>IF(CALC!$O$37="","",IF(COUNTIFS(Tabela3[Período],CALC!$O$37,Tabela3[Curso],$A14)=0,"",IFERROR((SUMIFS(Tabela3[Promotores (9-10)],Tabela3[Período],CALC!$O$37,Tabela3[Curso],$A14)-SUMIFS(Tabela3[Detratores (0-6)],Tabela3[Período],CALC!$O$37,Tabela3[Curso],$A14))/SUMIFS(Tabela3[Respondentes],Tabela3[Período],CALC!$O$37,Tabela3[Curso],$A14)*100,"")))</f>
        <v/>
      </c>
      <c r="P14" s="203">
        <f>IF(OR(N14="",O14=""),"",N14-O14)</f>
        <v/>
      </c>
      <c r="Q14" s="169">
        <f>IFERROR(INDEX(CALC!$B$8:$B$17,MATCH($A14,CALC!$A$8:$A$17,0)),"")</f>
        <v/>
      </c>
      <c r="R14" s="171">
        <f>IF(OR(N14="",Q14=""),"",IF(ROUND(N14,6)&gt;=ROUND(Q14,6),"Dentro da meta",IF(AND(IFERROR(IFERROR(INDEX(CALC!$C$8:$C$17,MATCH($A14,CALC!$A$8:$A$17,0)),""),"")&lt;&gt;"",ROUND(N14,6)&gt;=ROUND(IFERROR(IFERROR(INDEX(CALC!$C$8:$C$17,MATCH($A14,CALC!$A$8:$A$17,0)),""),""),6)),"Atenção","Fora da meta")))</f>
        <v/>
      </c>
    </row>
    <row r="17" ht="26.25" customHeight="1" s="131">
      <c r="A17" s="198" t="inlineStr">
        <is>
          <t>DTNH-02 — Matrículas Ativas por Curso</t>
        </is>
      </c>
    </row>
    <row r="18" ht="30" customHeight="1" s="131">
      <c r="A18" s="199" t="inlineStr">
        <is>
          <t>Curso</t>
        </is>
      </c>
      <c r="B18" s="200">
        <f>CALC!$B$55</f>
        <v/>
      </c>
      <c r="C18" s="200">
        <f>CALC!$B$56</f>
        <v/>
      </c>
      <c r="D18" s="200">
        <f>CALC!$B$57</f>
        <v/>
      </c>
      <c r="E18" s="200">
        <f>CALC!$B$58</f>
        <v/>
      </c>
      <c r="F18" s="200">
        <f>CALC!$B$59</f>
        <v/>
      </c>
      <c r="G18" s="200">
        <f>CALC!$B$60</f>
        <v/>
      </c>
      <c r="H18" s="200">
        <f>CALC!$B$61</f>
        <v/>
      </c>
      <c r="I18" s="200">
        <f>CALC!$B$62</f>
        <v/>
      </c>
      <c r="J18" s="200">
        <f>CALC!$B$63</f>
        <v/>
      </c>
      <c r="K18" s="200">
        <f>CALC!$B$64</f>
        <v/>
      </c>
      <c r="L18" s="200">
        <f>CALC!$B$65</f>
        <v/>
      </c>
      <c r="M18" s="200">
        <f>CALC!$B$66</f>
        <v/>
      </c>
      <c r="N18" s="166" t="inlineStr">
        <is>
          <t>Referência</t>
        </is>
      </c>
      <c r="O18" s="166" t="inlineStr">
        <is>
          <t>Comparação</t>
        </is>
      </c>
      <c r="P18" s="166" t="inlineStr">
        <is>
          <t>Variação</t>
        </is>
      </c>
      <c r="Q18" s="166" t="inlineStr">
        <is>
          <t>Meta</t>
        </is>
      </c>
      <c r="R18" s="166" t="inlineStr">
        <is>
          <t>Status</t>
        </is>
      </c>
    </row>
    <row r="19" ht="15" customHeight="1" s="131">
      <c r="A19" s="167">
        <f>CURSOS!$A$5</f>
        <v/>
      </c>
      <c r="B19" s="204">
        <f>IF(B$18="","",IF(COUNTIFS(Tabela36[Período],B$18,Tabela36[Curso],$A19)=0,"",IFERROR(SUMIFS(Tabela36[Matrículas Ativas],Tabela36[Período],B$18,Tabela36[Curso],$A19),"")))</f>
        <v/>
      </c>
      <c r="C19" s="204">
        <f>IF(C$18="","",IF(COUNTIFS(Tabela36[Período],C$18,Tabela36[Curso],$A19)=0,"",IFERROR(SUMIFS(Tabela36[Matrículas Ativas],Tabela36[Período],C$18,Tabela36[Curso],$A19),"")))</f>
        <v/>
      </c>
      <c r="D19" s="204">
        <f>IF(D$18="","",IF(COUNTIFS(Tabela36[Período],D$18,Tabela36[Curso],$A19)=0,"",IFERROR(SUMIFS(Tabela36[Matrículas Ativas],Tabela36[Período],D$18,Tabela36[Curso],$A19),"")))</f>
        <v/>
      </c>
      <c r="E19" s="204">
        <f>IF(E$18="","",IF(COUNTIFS(Tabela36[Período],E$18,Tabela36[Curso],$A19)=0,"",IFERROR(SUMIFS(Tabela36[Matrículas Ativas],Tabela36[Período],E$18,Tabela36[Curso],$A19),"")))</f>
        <v/>
      </c>
      <c r="F19" s="204">
        <f>IF(F$18="","",IF(COUNTIFS(Tabela36[Período],F$18,Tabela36[Curso],$A19)=0,"",IFERROR(SUMIFS(Tabela36[Matrículas Ativas],Tabela36[Período],F$18,Tabela36[Curso],$A19),"")))</f>
        <v/>
      </c>
      <c r="G19" s="204">
        <f>IF(G$18="","",IF(COUNTIFS(Tabela36[Período],G$18,Tabela36[Curso],$A19)=0,"",IFERROR(SUMIFS(Tabela36[Matrículas Ativas],Tabela36[Período],G$18,Tabela36[Curso],$A19),"")))</f>
        <v/>
      </c>
      <c r="H19" s="204">
        <f>IF(H$18="","",IF(COUNTIFS(Tabela36[Período],H$18,Tabela36[Curso],$A19)=0,"",IFERROR(SUMIFS(Tabela36[Matrículas Ativas],Tabela36[Período],H$18,Tabela36[Curso],$A19),"")))</f>
        <v/>
      </c>
      <c r="I19" s="204">
        <f>IF(I$18="","",IF(COUNTIFS(Tabela36[Período],I$18,Tabela36[Curso],$A19)=0,"",IFERROR(SUMIFS(Tabela36[Matrículas Ativas],Tabela36[Período],I$18,Tabela36[Curso],$A19),"")))</f>
        <v/>
      </c>
      <c r="J19" s="204">
        <f>IF(J$18="","",IF(COUNTIFS(Tabela36[Período],J$18,Tabela36[Curso],$A19)=0,"",IFERROR(SUMIFS(Tabela36[Matrículas Ativas],Tabela36[Período],J$18,Tabela36[Curso],$A19),"")))</f>
        <v/>
      </c>
      <c r="K19" s="204">
        <f>IF(K$18="","",IF(COUNTIFS(Tabela36[Período],K$18,Tabela36[Curso],$A19)=0,"",IFERROR(SUMIFS(Tabela36[Matrículas Ativas],Tabela36[Período],K$18,Tabela36[Curso],$A19),"")))</f>
        <v/>
      </c>
      <c r="L19" s="204">
        <f>IF(L$18="","",IF(COUNTIFS(Tabela36[Período],L$18,Tabela36[Curso],$A19)=0,"",IFERROR(SUMIFS(Tabela36[Matrículas Ativas],Tabela36[Período],L$18,Tabela36[Curso],$A19),"")))</f>
        <v/>
      </c>
      <c r="M19" s="204">
        <f>IF(M$18="","",IF(COUNTIFS(Tabela36[Período],M$18,Tabela36[Curso],$A19)=0,"",IFERROR(SUMIFS(Tabela36[Matrículas Ativas],Tabela36[Período],M$18,Tabela36[Curso],$A19),"")))</f>
        <v/>
      </c>
      <c r="N19" s="205">
        <f>IF(CALC!$N$70="","",IF(COUNTIFS(Tabela36[Período],CALC!$N$70,Tabela36[Curso],$A19)=0,"",IFERROR(SUMIFS(Tabela36[Matrículas Ativas],Tabela36[Período],CALC!$N$70,Tabela36[Curso],$A19),"")))</f>
        <v/>
      </c>
      <c r="O19" s="179">
        <f>IF(CALC!$O$70="","",IF(COUNTIFS(Tabela36[Período],CALC!$O$70,Tabela36[Curso],$A19)=0,"",IFERROR(SUMIFS(Tabela36[Matrículas Ativas],Tabela36[Período],CALC!$O$70,Tabela36[Curso],$A19),"")))</f>
        <v/>
      </c>
      <c r="P19" s="206">
        <f>IFERROR(N19/O19-1,"")</f>
        <v/>
      </c>
      <c r="Q19" s="181">
        <f>IFERROR(INDEX(CALC!$D$8:$D$17,MATCH($A19,CALC!$A$8:$A$17,0)),"")</f>
        <v/>
      </c>
      <c r="R19" s="171">
        <f>IF(OR(N19="",O19="",O19=0,Q19=""),"",IF(ROUND(N19/O19-1,6)&gt;=ROUND(Q19,6),"Dentro da meta",IF(AND(IFERROR(IFERROR(INDEX(CALC!$E$8:$E$17,MATCH($A19,CALC!$A$8:$A$17,0)),""),"")&lt;&gt;"",ROUND(N19/O19-1,6)&gt;=ROUND(IFERROR(IFERROR(INDEX(CALC!$E$8:$E$17,MATCH($A19,CALC!$A$8:$A$17,0)),""),""),6)),"Atenção","Fora da meta")))</f>
        <v/>
      </c>
    </row>
    <row r="20" ht="21.75" customHeight="1" s="131">
      <c r="A20" s="167">
        <f>CURSOS!$A$6</f>
        <v/>
      </c>
      <c r="B20" s="204">
        <f>IF(B$18="","",IF(COUNTIFS(Tabela36[Período],B$18,Tabela36[Curso],$A20)=0,"",IFERROR(SUMIFS(Tabela36[Matrículas Ativas],Tabela36[Período],B$18,Tabela36[Curso],$A20),"")))</f>
        <v/>
      </c>
      <c r="C20" s="204">
        <f>IF(C$18="","",IF(COUNTIFS(Tabela36[Período],C$18,Tabela36[Curso],$A20)=0,"",IFERROR(SUMIFS(Tabela36[Matrículas Ativas],Tabela36[Período],C$18,Tabela36[Curso],$A20),"")))</f>
        <v/>
      </c>
      <c r="D20" s="204">
        <f>IF(D$18="","",IF(COUNTIFS(Tabela36[Período],D$18,Tabela36[Curso],$A20)=0,"",IFERROR(SUMIFS(Tabela36[Matrículas Ativas],Tabela36[Período],D$18,Tabela36[Curso],$A20),"")))</f>
        <v/>
      </c>
      <c r="E20" s="204">
        <f>IF(E$18="","",IF(COUNTIFS(Tabela36[Período],E$18,Tabela36[Curso],$A20)=0,"",IFERROR(SUMIFS(Tabela36[Matrículas Ativas],Tabela36[Período],E$18,Tabela36[Curso],$A20),"")))</f>
        <v/>
      </c>
      <c r="F20" s="204">
        <f>IF(F$18="","",IF(COUNTIFS(Tabela36[Período],F$18,Tabela36[Curso],$A20)=0,"",IFERROR(SUMIFS(Tabela36[Matrículas Ativas],Tabela36[Período],F$18,Tabela36[Curso],$A20),"")))</f>
        <v/>
      </c>
      <c r="G20" s="204">
        <f>IF(G$18="","",IF(COUNTIFS(Tabela36[Período],G$18,Tabela36[Curso],$A20)=0,"",IFERROR(SUMIFS(Tabela36[Matrículas Ativas],Tabela36[Período],G$18,Tabela36[Curso],$A20),"")))</f>
        <v/>
      </c>
      <c r="H20" s="204">
        <f>IF(H$18="","",IF(COUNTIFS(Tabela36[Período],H$18,Tabela36[Curso],$A20)=0,"",IFERROR(SUMIFS(Tabela36[Matrículas Ativas],Tabela36[Período],H$18,Tabela36[Curso],$A20),"")))</f>
        <v/>
      </c>
      <c r="I20" s="204">
        <f>IF(I$18="","",IF(COUNTIFS(Tabela36[Período],I$18,Tabela36[Curso],$A20)=0,"",IFERROR(SUMIFS(Tabela36[Matrículas Ativas],Tabela36[Período],I$18,Tabela36[Curso],$A20),"")))</f>
        <v/>
      </c>
      <c r="J20" s="204">
        <f>IF(J$18="","",IF(COUNTIFS(Tabela36[Período],J$18,Tabela36[Curso],$A20)=0,"",IFERROR(SUMIFS(Tabela36[Matrículas Ativas],Tabela36[Período],J$18,Tabela36[Curso],$A20),"")))</f>
        <v/>
      </c>
      <c r="K20" s="204">
        <f>IF(K$18="","",IF(COUNTIFS(Tabela36[Período],K$18,Tabela36[Curso],$A20)=0,"",IFERROR(SUMIFS(Tabela36[Matrículas Ativas],Tabela36[Período],K$18,Tabela36[Curso],$A20),"")))</f>
        <v/>
      </c>
      <c r="L20" s="204">
        <f>IF(L$18="","",IF(COUNTIFS(Tabela36[Período],L$18,Tabela36[Curso],$A20)=0,"",IFERROR(SUMIFS(Tabela36[Matrículas Ativas],Tabela36[Período],L$18,Tabela36[Curso],$A20),"")))</f>
        <v/>
      </c>
      <c r="M20" s="204">
        <f>IF(M$18="","",IF(COUNTIFS(Tabela36[Período],M$18,Tabela36[Curso],$A20)=0,"",IFERROR(SUMIFS(Tabela36[Matrículas Ativas],Tabela36[Período],M$18,Tabela36[Curso],$A20),"")))</f>
        <v/>
      </c>
      <c r="N20" s="205">
        <f>IF(CALC!$N$70="","",IF(COUNTIFS(Tabela36[Período],CALC!$N$70,Tabela36[Curso],$A20)=0,"",IFERROR(SUMIFS(Tabela36[Matrículas Ativas],Tabela36[Período],CALC!$N$70,Tabela36[Curso],$A20),"")))</f>
        <v/>
      </c>
      <c r="O20" s="179">
        <f>IF(CALC!$O$70="","",IF(COUNTIFS(Tabela36[Período],CALC!$O$70,Tabela36[Curso],$A20)=0,"",IFERROR(SUMIFS(Tabela36[Matrículas Ativas],Tabela36[Período],CALC!$O$70,Tabela36[Curso],$A20),"")))</f>
        <v/>
      </c>
      <c r="P20" s="206">
        <f>IFERROR(N20/O20-1,"")</f>
        <v/>
      </c>
      <c r="Q20" s="181">
        <f>IFERROR(INDEX(CALC!$D$8:$D$17,MATCH($A20,CALC!$A$8:$A$17,0)),"")</f>
        <v/>
      </c>
      <c r="R20" s="171">
        <f>IF(OR(N20="",O20="",O20=0,Q20=""),"",IF(ROUND(N20/O20-1,6)&gt;=ROUND(Q20,6),"Dentro da meta",IF(AND(IFERROR(IFERROR(INDEX(CALC!$E$8:$E$17,MATCH($A20,CALC!$A$8:$A$17,0)),""),"")&lt;&gt;"",ROUND(N20/O20-1,6)&gt;=ROUND(IFERROR(IFERROR(INDEX(CALC!$E$8:$E$17,MATCH($A20,CALC!$A$8:$A$17,0)),""),""),6)),"Atenção","Fora da meta")))</f>
        <v/>
      </c>
    </row>
    <row r="21" ht="21.75" customHeight="1" s="131">
      <c r="A21" s="167">
        <f>CURSOS!$A$7</f>
        <v/>
      </c>
      <c r="B21" s="204">
        <f>IF(B$18="","",IF(COUNTIFS(Tabela36[Período],B$18,Tabela36[Curso],$A21)=0,"",IFERROR(SUMIFS(Tabela36[Matrículas Ativas],Tabela36[Período],B$18,Tabela36[Curso],$A21),"")))</f>
        <v/>
      </c>
      <c r="C21" s="204">
        <f>IF(C$18="","",IF(COUNTIFS(Tabela36[Período],C$18,Tabela36[Curso],$A21)=0,"",IFERROR(SUMIFS(Tabela36[Matrículas Ativas],Tabela36[Período],C$18,Tabela36[Curso],$A21),"")))</f>
        <v/>
      </c>
      <c r="D21" s="204">
        <f>IF(D$18="","",IF(COUNTIFS(Tabela36[Período],D$18,Tabela36[Curso],$A21)=0,"",IFERROR(SUMIFS(Tabela36[Matrículas Ativas],Tabela36[Período],D$18,Tabela36[Curso],$A21),"")))</f>
        <v/>
      </c>
      <c r="E21" s="204">
        <f>IF(E$18="","",IF(COUNTIFS(Tabela36[Período],E$18,Tabela36[Curso],$A21)=0,"",IFERROR(SUMIFS(Tabela36[Matrículas Ativas],Tabela36[Período],E$18,Tabela36[Curso],$A21),"")))</f>
        <v/>
      </c>
      <c r="F21" s="204">
        <f>IF(F$18="","",IF(COUNTIFS(Tabela36[Período],F$18,Tabela36[Curso],$A21)=0,"",IFERROR(SUMIFS(Tabela36[Matrículas Ativas],Tabela36[Período],F$18,Tabela36[Curso],$A21),"")))</f>
        <v/>
      </c>
      <c r="G21" s="204">
        <f>IF(G$18="","",IF(COUNTIFS(Tabela36[Período],G$18,Tabela36[Curso],$A21)=0,"",IFERROR(SUMIFS(Tabela36[Matrículas Ativas],Tabela36[Período],G$18,Tabela36[Curso],$A21),"")))</f>
        <v/>
      </c>
      <c r="H21" s="204">
        <f>IF(H$18="","",IF(COUNTIFS(Tabela36[Período],H$18,Tabela36[Curso],$A21)=0,"",IFERROR(SUMIFS(Tabela36[Matrículas Ativas],Tabela36[Período],H$18,Tabela36[Curso],$A21),"")))</f>
        <v/>
      </c>
      <c r="I21" s="204">
        <f>IF(I$18="","",IF(COUNTIFS(Tabela36[Período],I$18,Tabela36[Curso],$A21)=0,"",IFERROR(SUMIFS(Tabela36[Matrículas Ativas],Tabela36[Período],I$18,Tabela36[Curso],$A21),"")))</f>
        <v/>
      </c>
      <c r="J21" s="204">
        <f>IF(J$18="","",IF(COUNTIFS(Tabela36[Período],J$18,Tabela36[Curso],$A21)=0,"",IFERROR(SUMIFS(Tabela36[Matrículas Ativas],Tabela36[Período],J$18,Tabela36[Curso],$A21),"")))</f>
        <v/>
      </c>
      <c r="K21" s="204">
        <f>IF(K$18="","",IF(COUNTIFS(Tabela36[Período],K$18,Tabela36[Curso],$A21)=0,"",IFERROR(SUMIFS(Tabela36[Matrículas Ativas],Tabela36[Período],K$18,Tabela36[Curso],$A21),"")))</f>
        <v/>
      </c>
      <c r="L21" s="204">
        <f>IF(L$18="","",IF(COUNTIFS(Tabela36[Período],L$18,Tabela36[Curso],$A21)=0,"",IFERROR(SUMIFS(Tabela36[Matrículas Ativas],Tabela36[Período],L$18,Tabela36[Curso],$A21),"")))</f>
        <v/>
      </c>
      <c r="M21" s="204">
        <f>IF(M$18="","",IF(COUNTIFS(Tabela36[Período],M$18,Tabela36[Curso],$A21)=0,"",IFERROR(SUMIFS(Tabela36[Matrículas Ativas],Tabela36[Período],M$18,Tabela36[Curso],$A21),"")))</f>
        <v/>
      </c>
      <c r="N21" s="205">
        <f>IF(CALC!$N$70="","",IF(COUNTIFS(Tabela36[Período],CALC!$N$70,Tabela36[Curso],$A21)=0,"",IFERROR(SUMIFS(Tabela36[Matrículas Ativas],Tabela36[Período],CALC!$N$70,Tabela36[Curso],$A21),"")))</f>
        <v/>
      </c>
      <c r="O21" s="179">
        <f>IF(CALC!$O$70="","",IF(COUNTIFS(Tabela36[Período],CALC!$O$70,Tabela36[Curso],$A21)=0,"",IFERROR(SUMIFS(Tabela36[Matrículas Ativas],Tabela36[Período],CALC!$O$70,Tabela36[Curso],$A21),"")))</f>
        <v/>
      </c>
      <c r="P21" s="206">
        <f>IFERROR(N21/O21-1,"")</f>
        <v/>
      </c>
      <c r="Q21" s="181">
        <f>IFERROR(INDEX(CALC!$D$8:$D$17,MATCH($A21,CALC!$A$8:$A$17,0)),"")</f>
        <v/>
      </c>
      <c r="R21" s="171">
        <f>IF(OR(N21="",O21="",O21=0,Q21=""),"",IF(ROUND(N21/O21-1,6)&gt;=ROUND(Q21,6),"Dentro da meta",IF(AND(IFERROR(IFERROR(INDEX(CALC!$E$8:$E$17,MATCH($A21,CALC!$A$8:$A$17,0)),""),"")&lt;&gt;"",ROUND(N21/O21-1,6)&gt;=ROUND(IFERROR(IFERROR(INDEX(CALC!$E$8:$E$17,MATCH($A21,CALC!$A$8:$A$17,0)),""),""),6)),"Atenção","Fora da meta")))</f>
        <v/>
      </c>
    </row>
    <row r="22" ht="15" customHeight="1" s="131">
      <c r="A22" s="167">
        <f>CURSOS!$A$8</f>
        <v/>
      </c>
      <c r="B22" s="204">
        <f>IF(B$18="","",IF(COUNTIFS(Tabela36[Período],B$18,Tabela36[Curso],$A22)=0,"",IFERROR(SUMIFS(Tabela36[Matrículas Ativas],Tabela36[Período],B$18,Tabela36[Curso],$A22),"")))</f>
        <v/>
      </c>
      <c r="C22" s="204">
        <f>IF(C$18="","",IF(COUNTIFS(Tabela36[Período],C$18,Tabela36[Curso],$A22)=0,"",IFERROR(SUMIFS(Tabela36[Matrículas Ativas],Tabela36[Período],C$18,Tabela36[Curso],$A22),"")))</f>
        <v/>
      </c>
      <c r="D22" s="204">
        <f>IF(D$18="","",IF(COUNTIFS(Tabela36[Período],D$18,Tabela36[Curso],$A22)=0,"",IFERROR(SUMIFS(Tabela36[Matrículas Ativas],Tabela36[Período],D$18,Tabela36[Curso],$A22),"")))</f>
        <v/>
      </c>
      <c r="E22" s="204">
        <f>IF(E$18="","",IF(COUNTIFS(Tabela36[Período],E$18,Tabela36[Curso],$A22)=0,"",IFERROR(SUMIFS(Tabela36[Matrículas Ativas],Tabela36[Período],E$18,Tabela36[Curso],$A22),"")))</f>
        <v/>
      </c>
      <c r="F22" s="204">
        <f>IF(F$18="","",IF(COUNTIFS(Tabela36[Período],F$18,Tabela36[Curso],$A22)=0,"",IFERROR(SUMIFS(Tabela36[Matrículas Ativas],Tabela36[Período],F$18,Tabela36[Curso],$A22),"")))</f>
        <v/>
      </c>
      <c r="G22" s="204">
        <f>IF(G$18="","",IF(COUNTIFS(Tabela36[Período],G$18,Tabela36[Curso],$A22)=0,"",IFERROR(SUMIFS(Tabela36[Matrículas Ativas],Tabela36[Período],G$18,Tabela36[Curso],$A22),"")))</f>
        <v/>
      </c>
      <c r="H22" s="204">
        <f>IF(H$18="","",IF(COUNTIFS(Tabela36[Período],H$18,Tabela36[Curso],$A22)=0,"",IFERROR(SUMIFS(Tabela36[Matrículas Ativas],Tabela36[Período],H$18,Tabela36[Curso],$A22),"")))</f>
        <v/>
      </c>
      <c r="I22" s="204">
        <f>IF(I$18="","",IF(COUNTIFS(Tabela36[Período],I$18,Tabela36[Curso],$A22)=0,"",IFERROR(SUMIFS(Tabela36[Matrículas Ativas],Tabela36[Período],I$18,Tabela36[Curso],$A22),"")))</f>
        <v/>
      </c>
      <c r="J22" s="204">
        <f>IF(J$18="","",IF(COUNTIFS(Tabela36[Período],J$18,Tabela36[Curso],$A22)=0,"",IFERROR(SUMIFS(Tabela36[Matrículas Ativas],Tabela36[Período],J$18,Tabela36[Curso],$A22),"")))</f>
        <v/>
      </c>
      <c r="K22" s="204">
        <f>IF(K$18="","",IF(COUNTIFS(Tabela36[Período],K$18,Tabela36[Curso],$A22)=0,"",IFERROR(SUMIFS(Tabela36[Matrículas Ativas],Tabela36[Período],K$18,Tabela36[Curso],$A22),"")))</f>
        <v/>
      </c>
      <c r="L22" s="204">
        <f>IF(L$18="","",IF(COUNTIFS(Tabela36[Período],L$18,Tabela36[Curso],$A22)=0,"",IFERROR(SUMIFS(Tabela36[Matrículas Ativas],Tabela36[Período],L$18,Tabela36[Curso],$A22),"")))</f>
        <v/>
      </c>
      <c r="M22" s="204">
        <f>IF(M$18="","",IF(COUNTIFS(Tabela36[Período],M$18,Tabela36[Curso],$A22)=0,"",IFERROR(SUMIFS(Tabela36[Matrículas Ativas],Tabela36[Período],M$18,Tabela36[Curso],$A22),"")))</f>
        <v/>
      </c>
      <c r="N22" s="205">
        <f>IF(CALC!$N$70="","",IF(COUNTIFS(Tabela36[Período],CALC!$N$70,Tabela36[Curso],$A22)=0,"",IFERROR(SUMIFS(Tabela36[Matrículas Ativas],Tabela36[Período],CALC!$N$70,Tabela36[Curso],$A22),"")))</f>
        <v/>
      </c>
      <c r="O22" s="179">
        <f>IF(CALC!$O$70="","",IF(COUNTIFS(Tabela36[Período],CALC!$O$70,Tabela36[Curso],$A22)=0,"",IFERROR(SUMIFS(Tabela36[Matrículas Ativas],Tabela36[Período],CALC!$O$70,Tabela36[Curso],$A22),"")))</f>
        <v/>
      </c>
      <c r="P22" s="206">
        <f>IFERROR(N22/O22-1,"")</f>
        <v/>
      </c>
      <c r="Q22" s="181">
        <f>IFERROR(INDEX(CALC!$D$8:$D$17,MATCH($A22,CALC!$A$8:$A$17,0)),"")</f>
        <v/>
      </c>
      <c r="R22" s="171">
        <f>IF(OR(N22="",O22="",O22=0,Q22=""),"",IF(ROUND(N22/O22-1,6)&gt;=ROUND(Q22,6),"Dentro da meta",IF(AND(IFERROR(IFERROR(INDEX(CALC!$E$8:$E$17,MATCH($A22,CALC!$A$8:$A$17,0)),""),"")&lt;&gt;"",ROUND(N22/O22-1,6)&gt;=ROUND(IFERROR(IFERROR(INDEX(CALC!$E$8:$E$17,MATCH($A22,CALC!$A$8:$A$17,0)),""),""),6)),"Atenção","Fora da meta")))</f>
        <v/>
      </c>
    </row>
    <row r="23" ht="21.75" customHeight="1" s="131">
      <c r="A23" s="167">
        <f>CURSOS!$A$9</f>
        <v/>
      </c>
      <c r="B23" s="204">
        <f>IF(B$18="","",IF(COUNTIFS(Tabela36[Período],B$18,Tabela36[Curso],$A23)=0,"",IFERROR(SUMIFS(Tabela36[Matrículas Ativas],Tabela36[Período],B$18,Tabela36[Curso],$A23),"")))</f>
        <v/>
      </c>
      <c r="C23" s="204">
        <f>IF(C$18="","",IF(COUNTIFS(Tabela36[Período],C$18,Tabela36[Curso],$A23)=0,"",IFERROR(SUMIFS(Tabela36[Matrículas Ativas],Tabela36[Período],C$18,Tabela36[Curso],$A23),"")))</f>
        <v/>
      </c>
      <c r="D23" s="204">
        <f>IF(D$18="","",IF(COUNTIFS(Tabela36[Período],D$18,Tabela36[Curso],$A23)=0,"",IFERROR(SUMIFS(Tabela36[Matrículas Ativas],Tabela36[Período],D$18,Tabela36[Curso],$A23),"")))</f>
        <v/>
      </c>
      <c r="E23" s="204">
        <f>IF(E$18="","",IF(COUNTIFS(Tabela36[Período],E$18,Tabela36[Curso],$A23)=0,"",IFERROR(SUMIFS(Tabela36[Matrículas Ativas],Tabela36[Período],E$18,Tabela36[Curso],$A23),"")))</f>
        <v/>
      </c>
      <c r="F23" s="204">
        <f>IF(F$18="","",IF(COUNTIFS(Tabela36[Período],F$18,Tabela36[Curso],$A23)=0,"",IFERROR(SUMIFS(Tabela36[Matrículas Ativas],Tabela36[Período],F$18,Tabela36[Curso],$A23),"")))</f>
        <v/>
      </c>
      <c r="G23" s="204">
        <f>IF(G$18="","",IF(COUNTIFS(Tabela36[Período],G$18,Tabela36[Curso],$A23)=0,"",IFERROR(SUMIFS(Tabela36[Matrículas Ativas],Tabela36[Período],G$18,Tabela36[Curso],$A23),"")))</f>
        <v/>
      </c>
      <c r="H23" s="204">
        <f>IF(H$18="","",IF(COUNTIFS(Tabela36[Período],H$18,Tabela36[Curso],$A23)=0,"",IFERROR(SUMIFS(Tabela36[Matrículas Ativas],Tabela36[Período],H$18,Tabela36[Curso],$A23),"")))</f>
        <v/>
      </c>
      <c r="I23" s="204">
        <f>IF(I$18="","",IF(COUNTIFS(Tabela36[Período],I$18,Tabela36[Curso],$A23)=0,"",IFERROR(SUMIFS(Tabela36[Matrículas Ativas],Tabela36[Período],I$18,Tabela36[Curso],$A23),"")))</f>
        <v/>
      </c>
      <c r="J23" s="204">
        <f>IF(J$18="","",IF(COUNTIFS(Tabela36[Período],J$18,Tabela36[Curso],$A23)=0,"",IFERROR(SUMIFS(Tabela36[Matrículas Ativas],Tabela36[Período],J$18,Tabela36[Curso],$A23),"")))</f>
        <v/>
      </c>
      <c r="K23" s="204">
        <f>IF(K$18="","",IF(COUNTIFS(Tabela36[Período],K$18,Tabela36[Curso],$A23)=0,"",IFERROR(SUMIFS(Tabela36[Matrículas Ativas],Tabela36[Período],K$18,Tabela36[Curso],$A23),"")))</f>
        <v/>
      </c>
      <c r="L23" s="204">
        <f>IF(L$18="","",IF(COUNTIFS(Tabela36[Período],L$18,Tabela36[Curso],$A23)=0,"",IFERROR(SUMIFS(Tabela36[Matrículas Ativas],Tabela36[Período],L$18,Tabela36[Curso],$A23),"")))</f>
        <v/>
      </c>
      <c r="M23" s="204">
        <f>IF(M$18="","",IF(COUNTIFS(Tabela36[Período],M$18,Tabela36[Curso],$A23)=0,"",IFERROR(SUMIFS(Tabela36[Matrículas Ativas],Tabela36[Período],M$18,Tabela36[Curso],$A23),"")))</f>
        <v/>
      </c>
      <c r="N23" s="205">
        <f>IF(CALC!$N$70="","",IF(COUNTIFS(Tabela36[Período],CALC!$N$70,Tabela36[Curso],$A23)=0,"",IFERROR(SUMIFS(Tabela36[Matrículas Ativas],Tabela36[Período],CALC!$N$70,Tabela36[Curso],$A23),"")))</f>
        <v/>
      </c>
      <c r="O23" s="179">
        <f>IF(CALC!$O$70="","",IF(COUNTIFS(Tabela36[Período],CALC!$O$70,Tabela36[Curso],$A23)=0,"",IFERROR(SUMIFS(Tabela36[Matrículas Ativas],Tabela36[Período],CALC!$O$70,Tabela36[Curso],$A23),"")))</f>
        <v/>
      </c>
      <c r="P23" s="206">
        <f>IFERROR(N23/O23-1,"")</f>
        <v/>
      </c>
      <c r="Q23" s="181">
        <f>IFERROR(INDEX(CALC!$D$8:$D$17,MATCH($A23,CALC!$A$8:$A$17,0)),"")</f>
        <v/>
      </c>
      <c r="R23" s="171">
        <f>IF(OR(N23="",O23="",O23=0,Q23=""),"",IF(ROUND(N23/O23-1,6)&gt;=ROUND(Q23,6),"Dentro da meta",IF(AND(IFERROR(IFERROR(INDEX(CALC!$E$8:$E$17,MATCH($A23,CALC!$A$8:$A$17,0)),""),"")&lt;&gt;"",ROUND(N23/O23-1,6)&gt;=ROUND(IFERROR(IFERROR(INDEX(CALC!$E$8:$E$17,MATCH($A23,CALC!$A$8:$A$17,0)),""),""),6)),"Atenção","Fora da meta")))</f>
        <v/>
      </c>
    </row>
    <row r="24" ht="21.75" customHeight="1" s="131">
      <c r="A24" s="167">
        <f>CURSOS!$A$10</f>
        <v/>
      </c>
      <c r="B24" s="204">
        <f>IF(B$18="","",IF(COUNTIFS(Tabela36[Período],B$18,Tabela36[Curso],$A24)=0,"",IFERROR(SUMIFS(Tabela36[Matrículas Ativas],Tabela36[Período],B$18,Tabela36[Curso],$A24),"")))</f>
        <v/>
      </c>
      <c r="C24" s="204">
        <f>IF(C$18="","",IF(COUNTIFS(Tabela36[Período],C$18,Tabela36[Curso],$A24)=0,"",IFERROR(SUMIFS(Tabela36[Matrículas Ativas],Tabela36[Período],C$18,Tabela36[Curso],$A24),"")))</f>
        <v/>
      </c>
      <c r="D24" s="204">
        <f>IF(D$18="","",IF(COUNTIFS(Tabela36[Período],D$18,Tabela36[Curso],$A24)=0,"",IFERROR(SUMIFS(Tabela36[Matrículas Ativas],Tabela36[Período],D$18,Tabela36[Curso],$A24),"")))</f>
        <v/>
      </c>
      <c r="E24" s="204">
        <f>IF(E$18="","",IF(COUNTIFS(Tabela36[Período],E$18,Tabela36[Curso],$A24)=0,"",IFERROR(SUMIFS(Tabela36[Matrículas Ativas],Tabela36[Período],E$18,Tabela36[Curso],$A24),"")))</f>
        <v/>
      </c>
      <c r="F24" s="204">
        <f>IF(F$18="","",IF(COUNTIFS(Tabela36[Período],F$18,Tabela36[Curso],$A24)=0,"",IFERROR(SUMIFS(Tabela36[Matrículas Ativas],Tabela36[Período],F$18,Tabela36[Curso],$A24),"")))</f>
        <v/>
      </c>
      <c r="G24" s="204">
        <f>IF(G$18="","",IF(COUNTIFS(Tabela36[Período],G$18,Tabela36[Curso],$A24)=0,"",IFERROR(SUMIFS(Tabela36[Matrículas Ativas],Tabela36[Período],G$18,Tabela36[Curso],$A24),"")))</f>
        <v/>
      </c>
      <c r="H24" s="204">
        <f>IF(H$18="","",IF(COUNTIFS(Tabela36[Período],H$18,Tabela36[Curso],$A24)=0,"",IFERROR(SUMIFS(Tabela36[Matrículas Ativas],Tabela36[Período],H$18,Tabela36[Curso],$A24),"")))</f>
        <v/>
      </c>
      <c r="I24" s="204">
        <f>IF(I$18="","",IF(COUNTIFS(Tabela36[Período],I$18,Tabela36[Curso],$A24)=0,"",IFERROR(SUMIFS(Tabela36[Matrículas Ativas],Tabela36[Período],I$18,Tabela36[Curso],$A24),"")))</f>
        <v/>
      </c>
      <c r="J24" s="204">
        <f>IF(J$18="","",IF(COUNTIFS(Tabela36[Período],J$18,Tabela36[Curso],$A24)=0,"",IFERROR(SUMIFS(Tabela36[Matrículas Ativas],Tabela36[Período],J$18,Tabela36[Curso],$A24),"")))</f>
        <v/>
      </c>
      <c r="K24" s="204">
        <f>IF(K$18="","",IF(COUNTIFS(Tabela36[Período],K$18,Tabela36[Curso],$A24)=0,"",IFERROR(SUMIFS(Tabela36[Matrículas Ativas],Tabela36[Período],K$18,Tabela36[Curso],$A24),"")))</f>
        <v/>
      </c>
      <c r="L24" s="204">
        <f>IF(L$18="","",IF(COUNTIFS(Tabela36[Período],L$18,Tabela36[Curso],$A24)=0,"",IFERROR(SUMIFS(Tabela36[Matrículas Ativas],Tabela36[Período],L$18,Tabela36[Curso],$A24),"")))</f>
        <v/>
      </c>
      <c r="M24" s="204">
        <f>IF(M$18="","",IF(COUNTIFS(Tabela36[Período],M$18,Tabela36[Curso],$A24)=0,"",IFERROR(SUMIFS(Tabela36[Matrículas Ativas],Tabela36[Período],M$18,Tabela36[Curso],$A24),"")))</f>
        <v/>
      </c>
      <c r="N24" s="205">
        <f>IF(CALC!$N$70="","",IF(COUNTIFS(Tabela36[Período],CALC!$N$70,Tabela36[Curso],$A24)=0,"",IFERROR(SUMIFS(Tabela36[Matrículas Ativas],Tabela36[Período],CALC!$N$70,Tabela36[Curso],$A24),"")))</f>
        <v/>
      </c>
      <c r="O24" s="179">
        <f>IF(CALC!$O$70="","",IF(COUNTIFS(Tabela36[Período],CALC!$O$70,Tabela36[Curso],$A24)=0,"",IFERROR(SUMIFS(Tabela36[Matrículas Ativas],Tabela36[Período],CALC!$O$70,Tabela36[Curso],$A24),"")))</f>
        <v/>
      </c>
      <c r="P24" s="206">
        <f>IFERROR(N24/O24-1,"")</f>
        <v/>
      </c>
      <c r="Q24" s="181">
        <f>IFERROR(INDEX(CALC!$D$8:$D$17,MATCH($A24,CALC!$A$8:$A$17,0)),"")</f>
        <v/>
      </c>
      <c r="R24" s="171">
        <f>IF(OR(N24="",O24="",O24=0,Q24=""),"",IF(ROUND(N24/O24-1,6)&gt;=ROUND(Q24,6),"Dentro da meta",IF(AND(IFERROR(IFERROR(INDEX(CALC!$E$8:$E$17,MATCH($A24,CALC!$A$8:$A$17,0)),""),"")&lt;&gt;"",ROUND(N24/O24-1,6)&gt;=ROUND(IFERROR(IFERROR(INDEX(CALC!$E$8:$E$17,MATCH($A24,CALC!$A$8:$A$17,0)),""),""),6)),"Atenção","Fora da meta")))</f>
        <v/>
      </c>
    </row>
    <row r="25" ht="21.75" customHeight="1" s="131">
      <c r="A25" s="167">
        <f>CURSOS!$A$11</f>
        <v/>
      </c>
      <c r="B25" s="204">
        <f>IF(B$18="","",IF(COUNTIFS(Tabela36[Período],B$18,Tabela36[Curso],$A25)=0,"",IFERROR(SUMIFS(Tabela36[Matrículas Ativas],Tabela36[Período],B$18,Tabela36[Curso],$A25),"")))</f>
        <v/>
      </c>
      <c r="C25" s="204">
        <f>IF(C$18="","",IF(COUNTIFS(Tabela36[Período],C$18,Tabela36[Curso],$A25)=0,"",IFERROR(SUMIFS(Tabela36[Matrículas Ativas],Tabela36[Período],C$18,Tabela36[Curso],$A25),"")))</f>
        <v/>
      </c>
      <c r="D25" s="204">
        <f>IF(D$18="","",IF(COUNTIFS(Tabela36[Período],D$18,Tabela36[Curso],$A25)=0,"",IFERROR(SUMIFS(Tabela36[Matrículas Ativas],Tabela36[Período],D$18,Tabela36[Curso],$A25),"")))</f>
        <v/>
      </c>
      <c r="E25" s="204">
        <f>IF(E$18="","",IF(COUNTIFS(Tabela36[Período],E$18,Tabela36[Curso],$A25)=0,"",IFERROR(SUMIFS(Tabela36[Matrículas Ativas],Tabela36[Período],E$18,Tabela36[Curso],$A25),"")))</f>
        <v/>
      </c>
      <c r="F25" s="204">
        <f>IF(F$18="","",IF(COUNTIFS(Tabela36[Período],F$18,Tabela36[Curso],$A25)=0,"",IFERROR(SUMIFS(Tabela36[Matrículas Ativas],Tabela36[Período],F$18,Tabela36[Curso],$A25),"")))</f>
        <v/>
      </c>
      <c r="G25" s="204">
        <f>IF(G$18="","",IF(COUNTIFS(Tabela36[Período],G$18,Tabela36[Curso],$A25)=0,"",IFERROR(SUMIFS(Tabela36[Matrículas Ativas],Tabela36[Período],G$18,Tabela36[Curso],$A25),"")))</f>
        <v/>
      </c>
      <c r="H25" s="204">
        <f>IF(H$18="","",IF(COUNTIFS(Tabela36[Período],H$18,Tabela36[Curso],$A25)=0,"",IFERROR(SUMIFS(Tabela36[Matrículas Ativas],Tabela36[Período],H$18,Tabela36[Curso],$A25),"")))</f>
        <v/>
      </c>
      <c r="I25" s="204">
        <f>IF(I$18="","",IF(COUNTIFS(Tabela36[Período],I$18,Tabela36[Curso],$A25)=0,"",IFERROR(SUMIFS(Tabela36[Matrículas Ativas],Tabela36[Período],I$18,Tabela36[Curso],$A25),"")))</f>
        <v/>
      </c>
      <c r="J25" s="204">
        <f>IF(J$18="","",IF(COUNTIFS(Tabela36[Período],J$18,Tabela36[Curso],$A25)=0,"",IFERROR(SUMIFS(Tabela36[Matrículas Ativas],Tabela36[Período],J$18,Tabela36[Curso],$A25),"")))</f>
        <v/>
      </c>
      <c r="K25" s="204">
        <f>IF(K$18="","",IF(COUNTIFS(Tabela36[Período],K$18,Tabela36[Curso],$A25)=0,"",IFERROR(SUMIFS(Tabela36[Matrículas Ativas],Tabela36[Período],K$18,Tabela36[Curso],$A25),"")))</f>
        <v/>
      </c>
      <c r="L25" s="204">
        <f>IF(L$18="","",IF(COUNTIFS(Tabela36[Período],L$18,Tabela36[Curso],$A25)=0,"",IFERROR(SUMIFS(Tabela36[Matrículas Ativas],Tabela36[Período],L$18,Tabela36[Curso],$A25),"")))</f>
        <v/>
      </c>
      <c r="M25" s="204">
        <f>IF(M$18="","",IF(COUNTIFS(Tabela36[Período],M$18,Tabela36[Curso],$A25)=0,"",IFERROR(SUMIFS(Tabela36[Matrículas Ativas],Tabela36[Período],M$18,Tabela36[Curso],$A25),"")))</f>
        <v/>
      </c>
      <c r="N25" s="205">
        <f>IF(CALC!$N$70="","",IF(COUNTIFS(Tabela36[Período],CALC!$N$70,Tabela36[Curso],$A25)=0,"",IFERROR(SUMIFS(Tabela36[Matrículas Ativas],Tabela36[Período],CALC!$N$70,Tabela36[Curso],$A25),"")))</f>
        <v/>
      </c>
      <c r="O25" s="179">
        <f>IF(CALC!$O$70="","",IF(COUNTIFS(Tabela36[Período],CALC!$O$70,Tabela36[Curso],$A25)=0,"",IFERROR(SUMIFS(Tabela36[Matrículas Ativas],Tabela36[Período],CALC!$O$70,Tabela36[Curso],$A25),"")))</f>
        <v/>
      </c>
      <c r="P25" s="206">
        <f>IFERROR(N25/O25-1,"")</f>
        <v/>
      </c>
      <c r="Q25" s="181">
        <f>IFERROR(INDEX(CALC!$D$8:$D$17,MATCH($A25,CALC!$A$8:$A$17,0)),"")</f>
        <v/>
      </c>
      <c r="R25" s="171">
        <f>IF(OR(N25="",O25="",O25=0,Q25=""),"",IF(ROUND(N25/O25-1,6)&gt;=ROUND(Q25,6),"Dentro da meta",IF(AND(IFERROR(IFERROR(INDEX(CALC!$E$8:$E$17,MATCH($A25,CALC!$A$8:$A$17,0)),""),"")&lt;&gt;"",ROUND(N25/O25-1,6)&gt;=ROUND(IFERROR(IFERROR(INDEX(CALC!$E$8:$E$17,MATCH($A25,CALC!$A$8:$A$17,0)),""),""),6)),"Atenção","Fora da meta")))</f>
        <v/>
      </c>
    </row>
    <row r="26" ht="15" customHeight="1" s="131">
      <c r="A26" s="167">
        <f>CURSOS!$A$12</f>
        <v/>
      </c>
      <c r="B26" s="204">
        <f>IF(B$18="","",IF(COUNTIFS(Tabela36[Período],B$18,Tabela36[Curso],$A26)=0,"",IFERROR(SUMIFS(Tabela36[Matrículas Ativas],Tabela36[Período],B$18,Tabela36[Curso],$A26),"")))</f>
        <v/>
      </c>
      <c r="C26" s="204">
        <f>IF(C$18="","",IF(COUNTIFS(Tabela36[Período],C$18,Tabela36[Curso],$A26)=0,"",IFERROR(SUMIFS(Tabela36[Matrículas Ativas],Tabela36[Período],C$18,Tabela36[Curso],$A26),"")))</f>
        <v/>
      </c>
      <c r="D26" s="204">
        <f>IF(D$18="","",IF(COUNTIFS(Tabela36[Período],D$18,Tabela36[Curso],$A26)=0,"",IFERROR(SUMIFS(Tabela36[Matrículas Ativas],Tabela36[Período],D$18,Tabela36[Curso],$A26),"")))</f>
        <v/>
      </c>
      <c r="E26" s="204">
        <f>IF(E$18="","",IF(COUNTIFS(Tabela36[Período],E$18,Tabela36[Curso],$A26)=0,"",IFERROR(SUMIFS(Tabela36[Matrículas Ativas],Tabela36[Período],E$18,Tabela36[Curso],$A26),"")))</f>
        <v/>
      </c>
      <c r="F26" s="204">
        <f>IF(F$18="","",IF(COUNTIFS(Tabela36[Período],F$18,Tabela36[Curso],$A26)=0,"",IFERROR(SUMIFS(Tabela36[Matrículas Ativas],Tabela36[Período],F$18,Tabela36[Curso],$A26),"")))</f>
        <v/>
      </c>
      <c r="G26" s="204">
        <f>IF(G$18="","",IF(COUNTIFS(Tabela36[Período],G$18,Tabela36[Curso],$A26)=0,"",IFERROR(SUMIFS(Tabela36[Matrículas Ativas],Tabela36[Período],G$18,Tabela36[Curso],$A26),"")))</f>
        <v/>
      </c>
      <c r="H26" s="204">
        <f>IF(H$18="","",IF(COUNTIFS(Tabela36[Período],H$18,Tabela36[Curso],$A26)=0,"",IFERROR(SUMIFS(Tabela36[Matrículas Ativas],Tabela36[Período],H$18,Tabela36[Curso],$A26),"")))</f>
        <v/>
      </c>
      <c r="I26" s="204">
        <f>IF(I$18="","",IF(COUNTIFS(Tabela36[Período],I$18,Tabela36[Curso],$A26)=0,"",IFERROR(SUMIFS(Tabela36[Matrículas Ativas],Tabela36[Período],I$18,Tabela36[Curso],$A26),"")))</f>
        <v/>
      </c>
      <c r="J26" s="204">
        <f>IF(J$18="","",IF(COUNTIFS(Tabela36[Período],J$18,Tabela36[Curso],$A26)=0,"",IFERROR(SUMIFS(Tabela36[Matrículas Ativas],Tabela36[Período],J$18,Tabela36[Curso],$A26),"")))</f>
        <v/>
      </c>
      <c r="K26" s="204">
        <f>IF(K$18="","",IF(COUNTIFS(Tabela36[Período],K$18,Tabela36[Curso],$A26)=0,"",IFERROR(SUMIFS(Tabela36[Matrículas Ativas],Tabela36[Período],K$18,Tabela36[Curso],$A26),"")))</f>
        <v/>
      </c>
      <c r="L26" s="204">
        <f>IF(L$18="","",IF(COUNTIFS(Tabela36[Período],L$18,Tabela36[Curso],$A26)=0,"",IFERROR(SUMIFS(Tabela36[Matrículas Ativas],Tabela36[Período],L$18,Tabela36[Curso],$A26),"")))</f>
        <v/>
      </c>
      <c r="M26" s="204">
        <f>IF(M$18="","",IF(COUNTIFS(Tabela36[Período],M$18,Tabela36[Curso],$A26)=0,"",IFERROR(SUMIFS(Tabela36[Matrículas Ativas],Tabela36[Período],M$18,Tabela36[Curso],$A26),"")))</f>
        <v/>
      </c>
      <c r="N26" s="205">
        <f>IF(CALC!$N$70="","",IF(COUNTIFS(Tabela36[Período],CALC!$N$70,Tabela36[Curso],$A26)=0,"",IFERROR(SUMIFS(Tabela36[Matrículas Ativas],Tabela36[Período],CALC!$N$70,Tabela36[Curso],$A26),"")))</f>
        <v/>
      </c>
      <c r="O26" s="179">
        <f>IF(CALC!$O$70="","",IF(COUNTIFS(Tabela36[Período],CALC!$O$70,Tabela36[Curso],$A26)=0,"",IFERROR(SUMIFS(Tabela36[Matrículas Ativas],Tabela36[Período],CALC!$O$70,Tabela36[Curso],$A26),"")))</f>
        <v/>
      </c>
      <c r="P26" s="206">
        <f>IFERROR(N26/O26-1,"")</f>
        <v/>
      </c>
      <c r="Q26" s="181">
        <f>IFERROR(INDEX(CALC!$D$8:$D$17,MATCH($A26,CALC!$A$8:$A$17,0)),"")</f>
        <v/>
      </c>
      <c r="R26" s="171">
        <f>IF(OR(N26="",O26="",O26=0,Q26=""),"",IF(ROUND(N26/O26-1,6)&gt;=ROUND(Q26,6),"Dentro da meta",IF(AND(IFERROR(IFERROR(INDEX(CALC!$E$8:$E$17,MATCH($A26,CALC!$A$8:$A$17,0)),""),"")&lt;&gt;"",ROUND(N26/O26-1,6)&gt;=ROUND(IFERROR(IFERROR(INDEX(CALC!$E$8:$E$17,MATCH($A26,CALC!$A$8:$A$17,0)),""),""),6)),"Atenção","Fora da meta")))</f>
        <v/>
      </c>
    </row>
    <row r="27" ht="21.75" customHeight="1" s="131">
      <c r="A27" s="167">
        <f>CURSOS!$A$13</f>
        <v/>
      </c>
      <c r="B27" s="204">
        <f>IF(B$18="","",IF(COUNTIFS(Tabela36[Período],B$18,Tabela36[Curso],$A27)=0,"",IFERROR(SUMIFS(Tabela36[Matrículas Ativas],Tabela36[Período],B$18,Tabela36[Curso],$A27),"")))</f>
        <v/>
      </c>
      <c r="C27" s="204">
        <f>IF(C$18="","",IF(COUNTIFS(Tabela36[Período],C$18,Tabela36[Curso],$A27)=0,"",IFERROR(SUMIFS(Tabela36[Matrículas Ativas],Tabela36[Período],C$18,Tabela36[Curso],$A27),"")))</f>
        <v/>
      </c>
      <c r="D27" s="204">
        <f>IF(D$18="","",IF(COUNTIFS(Tabela36[Período],D$18,Tabela36[Curso],$A27)=0,"",IFERROR(SUMIFS(Tabela36[Matrículas Ativas],Tabela36[Período],D$18,Tabela36[Curso],$A27),"")))</f>
        <v/>
      </c>
      <c r="E27" s="204">
        <f>IF(E$18="","",IF(COUNTIFS(Tabela36[Período],E$18,Tabela36[Curso],$A27)=0,"",IFERROR(SUMIFS(Tabela36[Matrículas Ativas],Tabela36[Período],E$18,Tabela36[Curso],$A27),"")))</f>
        <v/>
      </c>
      <c r="F27" s="204">
        <f>IF(F$18="","",IF(COUNTIFS(Tabela36[Período],F$18,Tabela36[Curso],$A27)=0,"",IFERROR(SUMIFS(Tabela36[Matrículas Ativas],Tabela36[Período],F$18,Tabela36[Curso],$A27),"")))</f>
        <v/>
      </c>
      <c r="G27" s="204">
        <f>IF(G$18="","",IF(COUNTIFS(Tabela36[Período],G$18,Tabela36[Curso],$A27)=0,"",IFERROR(SUMIFS(Tabela36[Matrículas Ativas],Tabela36[Período],G$18,Tabela36[Curso],$A27),"")))</f>
        <v/>
      </c>
      <c r="H27" s="204">
        <f>IF(H$18="","",IF(COUNTIFS(Tabela36[Período],H$18,Tabela36[Curso],$A27)=0,"",IFERROR(SUMIFS(Tabela36[Matrículas Ativas],Tabela36[Período],H$18,Tabela36[Curso],$A27),"")))</f>
        <v/>
      </c>
      <c r="I27" s="204">
        <f>IF(I$18="","",IF(COUNTIFS(Tabela36[Período],I$18,Tabela36[Curso],$A27)=0,"",IFERROR(SUMIFS(Tabela36[Matrículas Ativas],Tabela36[Período],I$18,Tabela36[Curso],$A27),"")))</f>
        <v/>
      </c>
      <c r="J27" s="204">
        <f>IF(J$18="","",IF(COUNTIFS(Tabela36[Período],J$18,Tabela36[Curso],$A27)=0,"",IFERROR(SUMIFS(Tabela36[Matrículas Ativas],Tabela36[Período],J$18,Tabela36[Curso],$A27),"")))</f>
        <v/>
      </c>
      <c r="K27" s="204">
        <f>IF(K$18="","",IF(COUNTIFS(Tabela36[Período],K$18,Tabela36[Curso],$A27)=0,"",IFERROR(SUMIFS(Tabela36[Matrículas Ativas],Tabela36[Período],K$18,Tabela36[Curso],$A27),"")))</f>
        <v/>
      </c>
      <c r="L27" s="204">
        <f>IF(L$18="","",IF(COUNTIFS(Tabela36[Período],L$18,Tabela36[Curso],$A27)=0,"",IFERROR(SUMIFS(Tabela36[Matrículas Ativas],Tabela36[Período],L$18,Tabela36[Curso],$A27),"")))</f>
        <v/>
      </c>
      <c r="M27" s="204">
        <f>IF(M$18="","",IF(COUNTIFS(Tabela36[Período],M$18,Tabela36[Curso],$A27)=0,"",IFERROR(SUMIFS(Tabela36[Matrículas Ativas],Tabela36[Período],M$18,Tabela36[Curso],$A27),"")))</f>
        <v/>
      </c>
      <c r="N27" s="205">
        <f>IF(CALC!$N$70="","",IF(COUNTIFS(Tabela36[Período],CALC!$N$70,Tabela36[Curso],$A27)=0,"",IFERROR(SUMIFS(Tabela36[Matrículas Ativas],Tabela36[Período],CALC!$N$70,Tabela36[Curso],$A27),"")))</f>
        <v/>
      </c>
      <c r="O27" s="179">
        <f>IF(CALC!$O$70="","",IF(COUNTIFS(Tabela36[Período],CALC!$O$70,Tabela36[Curso],$A27)=0,"",IFERROR(SUMIFS(Tabela36[Matrículas Ativas],Tabela36[Período],CALC!$O$70,Tabela36[Curso],$A27),"")))</f>
        <v/>
      </c>
      <c r="P27" s="206">
        <f>IFERROR(N27/O27-1,"")</f>
        <v/>
      </c>
      <c r="Q27" s="181">
        <f>IFERROR(INDEX(CALC!$D$8:$D$17,MATCH($A27,CALC!$A$8:$A$17,0)),"")</f>
        <v/>
      </c>
      <c r="R27" s="171">
        <f>IF(OR(N27="",O27="",O27=0,Q27=""),"",IF(ROUND(N27/O27-1,6)&gt;=ROUND(Q27,6),"Dentro da meta",IF(AND(IFERROR(IFERROR(INDEX(CALC!$E$8:$E$17,MATCH($A27,CALC!$A$8:$A$17,0)),""),"")&lt;&gt;"",ROUND(N27/O27-1,6)&gt;=ROUND(IFERROR(IFERROR(INDEX(CALC!$E$8:$E$17,MATCH($A27,CALC!$A$8:$A$17,0)),""),""),6)),"Atenção","Fora da meta")))</f>
        <v/>
      </c>
    </row>
    <row r="30" ht="26.25" customHeight="1" s="131">
      <c r="A30" s="198" t="inlineStr">
        <is>
          <t>DTNH-03 — Frequência Média Discente</t>
        </is>
      </c>
    </row>
    <row r="31" ht="30" customHeight="1" s="131">
      <c r="A31" s="199" t="inlineStr">
        <is>
          <t>Curso</t>
        </is>
      </c>
      <c r="B31" s="200">
        <f>CALC!$B$88</f>
        <v/>
      </c>
      <c r="C31" s="200">
        <f>CALC!$B$89</f>
        <v/>
      </c>
      <c r="D31" s="200">
        <f>CALC!$B$90</f>
        <v/>
      </c>
      <c r="E31" s="200">
        <f>CALC!$B$91</f>
        <v/>
      </c>
      <c r="F31" s="200">
        <f>CALC!$B$92</f>
        <v/>
      </c>
      <c r="G31" s="200">
        <f>CALC!$B$93</f>
        <v/>
      </c>
      <c r="H31" s="200">
        <f>CALC!$B$94</f>
        <v/>
      </c>
      <c r="I31" s="200">
        <f>CALC!$B$95</f>
        <v/>
      </c>
      <c r="J31" s="200">
        <f>CALC!$B$96</f>
        <v/>
      </c>
      <c r="K31" s="200">
        <f>CALC!$B$97</f>
        <v/>
      </c>
      <c r="L31" s="200">
        <f>CALC!$B$98</f>
        <v/>
      </c>
      <c r="M31" s="200">
        <f>CALC!$B$99</f>
        <v/>
      </c>
      <c r="N31" s="166" t="inlineStr">
        <is>
          <t>Referência</t>
        </is>
      </c>
      <c r="O31" s="166" t="inlineStr">
        <is>
          <t>Comparação</t>
        </is>
      </c>
      <c r="P31" s="166" t="inlineStr">
        <is>
          <t>Variação</t>
        </is>
      </c>
      <c r="Q31" s="166" t="inlineStr">
        <is>
          <t>Meta</t>
        </is>
      </c>
      <c r="R31" s="166" t="inlineStr">
        <is>
          <t>Status</t>
        </is>
      </c>
    </row>
    <row r="32" ht="15" customHeight="1" s="131">
      <c r="A32" s="167">
        <f>CURSOS!$A$5</f>
        <v/>
      </c>
      <c r="B32" s="207">
        <f>IF(B$31="","",IF(COUNTIFS(Tabela367[Período],B$31,Tabela367[Curso],$A32)=0,"",IFERROR(SUMIFS(Tabela367[Presenças Registradas],Tabela367[Período],B$31,Tabela367[Curso],$A32)/SUMIFS(Tabela367[Presenças Previstas],Tabela367[Período],B$31,Tabela367[Curso],$A32),"")))</f>
        <v/>
      </c>
      <c r="C32" s="207">
        <f>IF(C$31="","",IF(COUNTIFS(Tabela367[Período],C$31,Tabela367[Curso],$A32)=0,"",IFERROR(SUMIFS(Tabela367[Presenças Registradas],Tabela367[Período],C$31,Tabela367[Curso],$A32)/SUMIFS(Tabela367[Presenças Previstas],Tabela367[Período],C$31,Tabela367[Curso],$A32),"")))</f>
        <v/>
      </c>
      <c r="D32" s="207">
        <f>IF(D$31="","",IF(COUNTIFS(Tabela367[Período],D$31,Tabela367[Curso],$A32)=0,"",IFERROR(SUMIFS(Tabela367[Presenças Registradas],Tabela367[Período],D$31,Tabela367[Curso],$A32)/SUMIFS(Tabela367[Presenças Previstas],Tabela367[Período],D$31,Tabela367[Curso],$A32),"")))</f>
        <v/>
      </c>
      <c r="E32" s="207">
        <f>IF(E$31="","",IF(COUNTIFS(Tabela367[Período],E$31,Tabela367[Curso],$A32)=0,"",IFERROR(SUMIFS(Tabela367[Presenças Registradas],Tabela367[Período],E$31,Tabela367[Curso],$A32)/SUMIFS(Tabela367[Presenças Previstas],Tabela367[Período],E$31,Tabela367[Curso],$A32),"")))</f>
        <v/>
      </c>
      <c r="F32" s="207">
        <f>IF(F$31="","",IF(COUNTIFS(Tabela367[Período],F$31,Tabela367[Curso],$A32)=0,"",IFERROR(SUMIFS(Tabela367[Presenças Registradas],Tabela367[Período],F$31,Tabela367[Curso],$A32)/SUMIFS(Tabela367[Presenças Previstas],Tabela367[Período],F$31,Tabela367[Curso],$A32),"")))</f>
        <v/>
      </c>
      <c r="G32" s="207">
        <f>IF(G$31="","",IF(COUNTIFS(Tabela367[Período],G$31,Tabela367[Curso],$A32)=0,"",IFERROR(SUMIFS(Tabela367[Presenças Registradas],Tabela367[Período],G$31,Tabela367[Curso],$A32)/SUMIFS(Tabela367[Presenças Previstas],Tabela367[Período],G$31,Tabela367[Curso],$A32),"")))</f>
        <v/>
      </c>
      <c r="H32" s="207">
        <f>IF(H$31="","",IF(COUNTIFS(Tabela367[Período],H$31,Tabela367[Curso],$A32)=0,"",IFERROR(SUMIFS(Tabela367[Presenças Registradas],Tabela367[Período],H$31,Tabela367[Curso],$A32)/SUMIFS(Tabela367[Presenças Previstas],Tabela367[Período],H$31,Tabela367[Curso],$A32),"")))</f>
        <v/>
      </c>
      <c r="I32" s="207">
        <f>IF(I$31="","",IF(COUNTIFS(Tabela367[Período],I$31,Tabela367[Curso],$A32)=0,"",IFERROR(SUMIFS(Tabela367[Presenças Registradas],Tabela367[Período],I$31,Tabela367[Curso],$A32)/SUMIFS(Tabela367[Presenças Previstas],Tabela367[Período],I$31,Tabela367[Curso],$A32),"")))</f>
        <v/>
      </c>
      <c r="J32" s="207">
        <f>IF(J$31="","",IF(COUNTIFS(Tabela367[Período],J$31,Tabela367[Curso],$A32)=0,"",IFERROR(SUMIFS(Tabela367[Presenças Registradas],Tabela367[Período],J$31,Tabela367[Curso],$A32)/SUMIFS(Tabela367[Presenças Previstas],Tabela367[Período],J$31,Tabela367[Curso],$A32),"")))</f>
        <v/>
      </c>
      <c r="K32" s="207">
        <f>IF(K$31="","",IF(COUNTIFS(Tabela367[Período],K$31,Tabela367[Curso],$A32)=0,"",IFERROR(SUMIFS(Tabela367[Presenças Registradas],Tabela367[Período],K$31,Tabela367[Curso],$A32)/SUMIFS(Tabela367[Presenças Previstas],Tabela367[Período],K$31,Tabela367[Curso],$A32),"")))</f>
        <v/>
      </c>
      <c r="L32" s="207">
        <f>IF(L$31="","",IF(COUNTIFS(Tabela367[Período],L$31,Tabela367[Curso],$A32)=0,"",IFERROR(SUMIFS(Tabela367[Presenças Registradas],Tabela367[Período],L$31,Tabela367[Curso],$A32)/SUMIFS(Tabela367[Presenças Previstas],Tabela367[Período],L$31,Tabela367[Curso],$A32),"")))</f>
        <v/>
      </c>
      <c r="M32" s="207">
        <f>IF(M$31="","",IF(COUNTIFS(Tabela367[Período],M$31,Tabela367[Curso],$A32)=0,"",IFERROR(SUMIFS(Tabela367[Presenças Registradas],Tabela367[Período],M$31,Tabela367[Curso],$A32)/SUMIFS(Tabela367[Presenças Previstas],Tabela367[Período],M$31,Tabela367[Curso],$A32),"")))</f>
        <v/>
      </c>
      <c r="N32" s="208">
        <f>IF(CALC!$N$103="","",IF(COUNTIFS(Tabela367[Período],CALC!$N$103,Tabela367[Curso],$A32)=0,"",IFERROR(SUMIFS(Tabela367[Presenças Registradas],Tabela367[Período],CALC!$N$103,Tabela367[Curso],$A32)/SUMIFS(Tabela367[Presenças Previstas],Tabela367[Período],CALC!$N$103,Tabela367[Curso],$A32),"")))</f>
        <v/>
      </c>
      <c r="O32" s="181">
        <f>IF(CALC!$O$103="","",IF(COUNTIFS(Tabela367[Período],CALC!$O$103,Tabela367[Curso],$A32)=0,"",IFERROR(SUMIFS(Tabela367[Presenças Registradas],Tabela367[Período],CALC!$O$103,Tabela367[Curso],$A32)/SUMIFS(Tabela367[Presenças Previstas],Tabela367[Período],CALC!$O$103,Tabela367[Curso],$A32),"")))</f>
        <v/>
      </c>
      <c r="P32" s="206">
        <f>IF(OR(N32="",O32=""),"",N32-O32)</f>
        <v/>
      </c>
      <c r="Q32" s="181">
        <f>IFERROR(INDEX(CALC!$F$8:$F$17,MATCH($A32,CALC!$A$8:$A$17,0)),"")</f>
        <v/>
      </c>
      <c r="R32" s="171">
        <f>IF(OR(N32="",Q32=""),"",IF(ROUND(N32,6)&gt;=ROUND(Q32,6),"Dentro da meta",IF(AND(IFERROR(IFERROR(INDEX(CALC!$G$8:$G$17,MATCH($A32,CALC!$A$8:$A$17,0)),""),"")&lt;&gt;"",ROUND(N32,6)&gt;=ROUND(IFERROR(IFERROR(INDEX(CALC!$G$8:$G$17,MATCH($A32,CALC!$A$8:$A$17,0)),""),""),6)),"Atenção","Fora da meta")))</f>
        <v/>
      </c>
    </row>
    <row r="33" ht="15" customHeight="1" s="131">
      <c r="A33" s="167">
        <f>CURSOS!$A$6</f>
        <v/>
      </c>
      <c r="B33" s="207">
        <f>IF(B$31="","",IF(COUNTIFS(Tabela367[Período],B$31,Tabela367[Curso],$A33)=0,"",IFERROR(SUMIFS(Tabela367[Presenças Registradas],Tabela367[Período],B$31,Tabela367[Curso],$A33)/SUMIFS(Tabela367[Presenças Previstas],Tabela367[Período],B$31,Tabela367[Curso],$A33),"")))</f>
        <v/>
      </c>
      <c r="C33" s="207">
        <f>IF(C$31="","",IF(COUNTIFS(Tabela367[Período],C$31,Tabela367[Curso],$A33)=0,"",IFERROR(SUMIFS(Tabela367[Presenças Registradas],Tabela367[Período],C$31,Tabela367[Curso],$A33)/SUMIFS(Tabela367[Presenças Previstas],Tabela367[Período],C$31,Tabela367[Curso],$A33),"")))</f>
        <v/>
      </c>
      <c r="D33" s="207">
        <f>IF(D$31="","",IF(COUNTIFS(Tabela367[Período],D$31,Tabela367[Curso],$A33)=0,"",IFERROR(SUMIFS(Tabela367[Presenças Registradas],Tabela367[Período],D$31,Tabela367[Curso],$A33)/SUMIFS(Tabela367[Presenças Previstas],Tabela367[Período],D$31,Tabela367[Curso],$A33),"")))</f>
        <v/>
      </c>
      <c r="E33" s="207">
        <f>IF(E$31="","",IF(COUNTIFS(Tabela367[Período],E$31,Tabela367[Curso],$A33)=0,"",IFERROR(SUMIFS(Tabela367[Presenças Registradas],Tabela367[Período],E$31,Tabela367[Curso],$A33)/SUMIFS(Tabela367[Presenças Previstas],Tabela367[Período],E$31,Tabela367[Curso],$A33),"")))</f>
        <v/>
      </c>
      <c r="F33" s="207">
        <f>IF(F$31="","",IF(COUNTIFS(Tabela367[Período],F$31,Tabela367[Curso],$A33)=0,"",IFERROR(SUMIFS(Tabela367[Presenças Registradas],Tabela367[Período],F$31,Tabela367[Curso],$A33)/SUMIFS(Tabela367[Presenças Previstas],Tabela367[Período],F$31,Tabela367[Curso],$A33),"")))</f>
        <v/>
      </c>
      <c r="G33" s="207">
        <f>IF(G$31="","",IF(COUNTIFS(Tabela367[Período],G$31,Tabela367[Curso],$A33)=0,"",IFERROR(SUMIFS(Tabela367[Presenças Registradas],Tabela367[Período],G$31,Tabela367[Curso],$A33)/SUMIFS(Tabela367[Presenças Previstas],Tabela367[Período],G$31,Tabela367[Curso],$A33),"")))</f>
        <v/>
      </c>
      <c r="H33" s="207">
        <f>IF(H$31="","",IF(COUNTIFS(Tabela367[Período],H$31,Tabela367[Curso],$A33)=0,"",IFERROR(SUMIFS(Tabela367[Presenças Registradas],Tabela367[Período],H$31,Tabela367[Curso],$A33)/SUMIFS(Tabela367[Presenças Previstas],Tabela367[Período],H$31,Tabela367[Curso],$A33),"")))</f>
        <v/>
      </c>
      <c r="I33" s="207">
        <f>IF(I$31="","",IF(COUNTIFS(Tabela367[Período],I$31,Tabela367[Curso],$A33)=0,"",IFERROR(SUMIFS(Tabela367[Presenças Registradas],Tabela367[Período],I$31,Tabela367[Curso],$A33)/SUMIFS(Tabela367[Presenças Previstas],Tabela367[Período],I$31,Tabela367[Curso],$A33),"")))</f>
        <v/>
      </c>
      <c r="J33" s="207">
        <f>IF(J$31="","",IF(COUNTIFS(Tabela367[Período],J$31,Tabela367[Curso],$A33)=0,"",IFERROR(SUMIFS(Tabela367[Presenças Registradas],Tabela367[Período],J$31,Tabela367[Curso],$A33)/SUMIFS(Tabela367[Presenças Previstas],Tabela367[Período],J$31,Tabela367[Curso],$A33),"")))</f>
        <v/>
      </c>
      <c r="K33" s="207">
        <f>IF(K$31="","",IF(COUNTIFS(Tabela367[Período],K$31,Tabela367[Curso],$A33)=0,"",IFERROR(SUMIFS(Tabela367[Presenças Registradas],Tabela367[Período],K$31,Tabela367[Curso],$A33)/SUMIFS(Tabela367[Presenças Previstas],Tabela367[Período],K$31,Tabela367[Curso],$A33),"")))</f>
        <v/>
      </c>
      <c r="L33" s="207">
        <f>IF(L$31="","",IF(COUNTIFS(Tabela367[Período],L$31,Tabela367[Curso],$A33)=0,"",IFERROR(SUMIFS(Tabela367[Presenças Registradas],Tabela367[Período],L$31,Tabela367[Curso],$A33)/SUMIFS(Tabela367[Presenças Previstas],Tabela367[Período],L$31,Tabela367[Curso],$A33),"")))</f>
        <v/>
      </c>
      <c r="M33" s="207">
        <f>IF(M$31="","",IF(COUNTIFS(Tabela367[Período],M$31,Tabela367[Curso],$A33)=0,"",IFERROR(SUMIFS(Tabela367[Presenças Registradas],Tabela367[Período],M$31,Tabela367[Curso],$A33)/SUMIFS(Tabela367[Presenças Previstas],Tabela367[Período],M$31,Tabela367[Curso],$A33),"")))</f>
        <v/>
      </c>
      <c r="N33" s="208">
        <f>IF(CALC!$N$103="","",IF(COUNTIFS(Tabela367[Período],CALC!$N$103,Tabela367[Curso],$A33)=0,"",IFERROR(SUMIFS(Tabela367[Presenças Registradas],Tabela367[Período],CALC!$N$103,Tabela367[Curso],$A33)/SUMIFS(Tabela367[Presenças Previstas],Tabela367[Período],CALC!$N$103,Tabela367[Curso],$A33),"")))</f>
        <v/>
      </c>
      <c r="O33" s="181">
        <f>IF(CALC!$O$103="","",IF(COUNTIFS(Tabela367[Período],CALC!$O$103,Tabela367[Curso],$A33)=0,"",IFERROR(SUMIFS(Tabela367[Presenças Registradas],Tabela367[Período],CALC!$O$103,Tabela367[Curso],$A33)/SUMIFS(Tabela367[Presenças Previstas],Tabela367[Período],CALC!$O$103,Tabela367[Curso],$A33),"")))</f>
        <v/>
      </c>
      <c r="P33" s="206">
        <f>IF(OR(N33="",O33=""),"",N33-O33)</f>
        <v/>
      </c>
      <c r="Q33" s="181">
        <f>IFERROR(INDEX(CALC!$F$8:$F$17,MATCH($A33,CALC!$A$8:$A$17,0)),"")</f>
        <v/>
      </c>
      <c r="R33" s="171">
        <f>IF(OR(N33="",Q33=""),"",IF(ROUND(N33,6)&gt;=ROUND(Q33,6),"Dentro da meta",IF(AND(IFERROR(IFERROR(INDEX(CALC!$G$8:$G$17,MATCH($A33,CALC!$A$8:$A$17,0)),""),"")&lt;&gt;"",ROUND(N33,6)&gt;=ROUND(IFERROR(IFERROR(INDEX(CALC!$G$8:$G$17,MATCH($A33,CALC!$A$8:$A$17,0)),""),""),6)),"Atenção","Fora da meta")))</f>
        <v/>
      </c>
    </row>
    <row r="34" ht="21.75" customHeight="1" s="131">
      <c r="A34" s="167">
        <f>CURSOS!$A$7</f>
        <v/>
      </c>
      <c r="B34" s="207">
        <f>IF(B$31="","",IF(COUNTIFS(Tabela367[Período],B$31,Tabela367[Curso],$A34)=0,"",IFERROR(SUMIFS(Tabela367[Presenças Registradas],Tabela367[Período],B$31,Tabela367[Curso],$A34)/SUMIFS(Tabela367[Presenças Previstas],Tabela367[Período],B$31,Tabela367[Curso],$A34),"")))</f>
        <v/>
      </c>
      <c r="C34" s="207">
        <f>IF(C$31="","",IF(COUNTIFS(Tabela367[Período],C$31,Tabela367[Curso],$A34)=0,"",IFERROR(SUMIFS(Tabela367[Presenças Registradas],Tabela367[Período],C$31,Tabela367[Curso],$A34)/SUMIFS(Tabela367[Presenças Previstas],Tabela367[Período],C$31,Tabela367[Curso],$A34),"")))</f>
        <v/>
      </c>
      <c r="D34" s="207">
        <f>IF(D$31="","",IF(COUNTIFS(Tabela367[Período],D$31,Tabela367[Curso],$A34)=0,"",IFERROR(SUMIFS(Tabela367[Presenças Registradas],Tabela367[Período],D$31,Tabela367[Curso],$A34)/SUMIFS(Tabela367[Presenças Previstas],Tabela367[Período],D$31,Tabela367[Curso],$A34),"")))</f>
        <v/>
      </c>
      <c r="E34" s="207">
        <f>IF(E$31="","",IF(COUNTIFS(Tabela367[Período],E$31,Tabela367[Curso],$A34)=0,"",IFERROR(SUMIFS(Tabela367[Presenças Registradas],Tabela367[Período],E$31,Tabela367[Curso],$A34)/SUMIFS(Tabela367[Presenças Previstas],Tabela367[Período],E$31,Tabela367[Curso],$A34),"")))</f>
        <v/>
      </c>
      <c r="F34" s="207">
        <f>IF(F$31="","",IF(COUNTIFS(Tabela367[Período],F$31,Tabela367[Curso],$A34)=0,"",IFERROR(SUMIFS(Tabela367[Presenças Registradas],Tabela367[Período],F$31,Tabela367[Curso],$A34)/SUMIFS(Tabela367[Presenças Previstas],Tabela367[Período],F$31,Tabela367[Curso],$A34),"")))</f>
        <v/>
      </c>
      <c r="G34" s="207">
        <f>IF(G$31="","",IF(COUNTIFS(Tabela367[Período],G$31,Tabela367[Curso],$A34)=0,"",IFERROR(SUMIFS(Tabela367[Presenças Registradas],Tabela367[Período],G$31,Tabela367[Curso],$A34)/SUMIFS(Tabela367[Presenças Previstas],Tabela367[Período],G$31,Tabela367[Curso],$A34),"")))</f>
        <v/>
      </c>
      <c r="H34" s="207">
        <f>IF(H$31="","",IF(COUNTIFS(Tabela367[Período],H$31,Tabela367[Curso],$A34)=0,"",IFERROR(SUMIFS(Tabela367[Presenças Registradas],Tabela367[Período],H$31,Tabela367[Curso],$A34)/SUMIFS(Tabela367[Presenças Previstas],Tabela367[Período],H$31,Tabela367[Curso],$A34),"")))</f>
        <v/>
      </c>
      <c r="I34" s="207">
        <f>IF(I$31="","",IF(COUNTIFS(Tabela367[Período],I$31,Tabela367[Curso],$A34)=0,"",IFERROR(SUMIFS(Tabela367[Presenças Registradas],Tabela367[Período],I$31,Tabela367[Curso],$A34)/SUMIFS(Tabela367[Presenças Previstas],Tabela367[Período],I$31,Tabela367[Curso],$A34),"")))</f>
        <v/>
      </c>
      <c r="J34" s="207">
        <f>IF(J$31="","",IF(COUNTIFS(Tabela367[Período],J$31,Tabela367[Curso],$A34)=0,"",IFERROR(SUMIFS(Tabela367[Presenças Registradas],Tabela367[Período],J$31,Tabela367[Curso],$A34)/SUMIFS(Tabela367[Presenças Previstas],Tabela367[Período],J$31,Tabela367[Curso],$A34),"")))</f>
        <v/>
      </c>
      <c r="K34" s="207">
        <f>IF(K$31="","",IF(COUNTIFS(Tabela367[Período],K$31,Tabela367[Curso],$A34)=0,"",IFERROR(SUMIFS(Tabela367[Presenças Registradas],Tabela367[Período],K$31,Tabela367[Curso],$A34)/SUMIFS(Tabela367[Presenças Previstas],Tabela367[Período],K$31,Tabela367[Curso],$A34),"")))</f>
        <v/>
      </c>
      <c r="L34" s="207">
        <f>IF(L$31="","",IF(COUNTIFS(Tabela367[Período],L$31,Tabela367[Curso],$A34)=0,"",IFERROR(SUMIFS(Tabela367[Presenças Registradas],Tabela367[Período],L$31,Tabela367[Curso],$A34)/SUMIFS(Tabela367[Presenças Previstas],Tabela367[Período],L$31,Tabela367[Curso],$A34),"")))</f>
        <v/>
      </c>
      <c r="M34" s="207">
        <f>IF(M$31="","",IF(COUNTIFS(Tabela367[Período],M$31,Tabela367[Curso],$A34)=0,"",IFERROR(SUMIFS(Tabela367[Presenças Registradas],Tabela367[Período],M$31,Tabela367[Curso],$A34)/SUMIFS(Tabela367[Presenças Previstas],Tabela367[Período],M$31,Tabela367[Curso],$A34),"")))</f>
        <v/>
      </c>
      <c r="N34" s="208">
        <f>IF(CALC!$N$103="","",IF(COUNTIFS(Tabela367[Período],CALC!$N$103,Tabela367[Curso],$A34)=0,"",IFERROR(SUMIFS(Tabela367[Presenças Registradas],Tabela367[Período],CALC!$N$103,Tabela367[Curso],$A34)/SUMIFS(Tabela367[Presenças Previstas],Tabela367[Período],CALC!$N$103,Tabela367[Curso],$A34),"")))</f>
        <v/>
      </c>
      <c r="O34" s="181">
        <f>IF(CALC!$O$103="","",IF(COUNTIFS(Tabela367[Período],CALC!$O$103,Tabela367[Curso],$A34)=0,"",IFERROR(SUMIFS(Tabela367[Presenças Registradas],Tabela367[Período],CALC!$O$103,Tabela367[Curso],$A34)/SUMIFS(Tabela367[Presenças Previstas],Tabela367[Período],CALC!$O$103,Tabela367[Curso],$A34),"")))</f>
        <v/>
      </c>
      <c r="P34" s="206">
        <f>IF(OR(N34="",O34=""),"",N34-O34)</f>
        <v/>
      </c>
      <c r="Q34" s="181">
        <f>IFERROR(INDEX(CALC!$F$8:$F$17,MATCH($A34,CALC!$A$8:$A$17,0)),"")</f>
        <v/>
      </c>
      <c r="R34" s="171">
        <f>IF(OR(N34="",Q34=""),"",IF(ROUND(N34,6)&gt;=ROUND(Q34,6),"Dentro da meta",IF(AND(IFERROR(IFERROR(INDEX(CALC!$G$8:$G$17,MATCH($A34,CALC!$A$8:$A$17,0)),""),"")&lt;&gt;"",ROUND(N34,6)&gt;=ROUND(IFERROR(IFERROR(INDEX(CALC!$G$8:$G$17,MATCH($A34,CALC!$A$8:$A$17,0)),""),""),6)),"Atenção","Fora da meta")))</f>
        <v/>
      </c>
    </row>
    <row r="35" ht="15" customHeight="1" s="131">
      <c r="A35" s="167">
        <f>CURSOS!$A$8</f>
        <v/>
      </c>
      <c r="B35" s="207">
        <f>IF(B$31="","",IF(COUNTIFS(Tabela367[Período],B$31,Tabela367[Curso],$A35)=0,"",IFERROR(SUMIFS(Tabela367[Presenças Registradas],Tabela367[Período],B$31,Tabela367[Curso],$A35)/SUMIFS(Tabela367[Presenças Previstas],Tabela367[Período],B$31,Tabela367[Curso],$A35),"")))</f>
        <v/>
      </c>
      <c r="C35" s="207">
        <f>IF(C$31="","",IF(COUNTIFS(Tabela367[Período],C$31,Tabela367[Curso],$A35)=0,"",IFERROR(SUMIFS(Tabela367[Presenças Registradas],Tabela367[Período],C$31,Tabela367[Curso],$A35)/SUMIFS(Tabela367[Presenças Previstas],Tabela367[Período],C$31,Tabela367[Curso],$A35),"")))</f>
        <v/>
      </c>
      <c r="D35" s="207">
        <f>IF(D$31="","",IF(COUNTIFS(Tabela367[Período],D$31,Tabela367[Curso],$A35)=0,"",IFERROR(SUMIFS(Tabela367[Presenças Registradas],Tabela367[Período],D$31,Tabela367[Curso],$A35)/SUMIFS(Tabela367[Presenças Previstas],Tabela367[Período],D$31,Tabela367[Curso],$A35),"")))</f>
        <v/>
      </c>
      <c r="E35" s="207">
        <f>IF(E$31="","",IF(COUNTIFS(Tabela367[Período],E$31,Tabela367[Curso],$A35)=0,"",IFERROR(SUMIFS(Tabela367[Presenças Registradas],Tabela367[Período],E$31,Tabela367[Curso],$A35)/SUMIFS(Tabela367[Presenças Previstas],Tabela367[Período],E$31,Tabela367[Curso],$A35),"")))</f>
        <v/>
      </c>
      <c r="F35" s="207">
        <f>IF(F$31="","",IF(COUNTIFS(Tabela367[Período],F$31,Tabela367[Curso],$A35)=0,"",IFERROR(SUMIFS(Tabela367[Presenças Registradas],Tabela367[Período],F$31,Tabela367[Curso],$A35)/SUMIFS(Tabela367[Presenças Previstas],Tabela367[Período],F$31,Tabela367[Curso],$A35),"")))</f>
        <v/>
      </c>
      <c r="G35" s="207">
        <f>IF(G$31="","",IF(COUNTIFS(Tabela367[Período],G$31,Tabela367[Curso],$A35)=0,"",IFERROR(SUMIFS(Tabela367[Presenças Registradas],Tabela367[Período],G$31,Tabela367[Curso],$A35)/SUMIFS(Tabela367[Presenças Previstas],Tabela367[Período],G$31,Tabela367[Curso],$A35),"")))</f>
        <v/>
      </c>
      <c r="H35" s="207">
        <f>IF(H$31="","",IF(COUNTIFS(Tabela367[Período],H$31,Tabela367[Curso],$A35)=0,"",IFERROR(SUMIFS(Tabela367[Presenças Registradas],Tabela367[Período],H$31,Tabela367[Curso],$A35)/SUMIFS(Tabela367[Presenças Previstas],Tabela367[Período],H$31,Tabela367[Curso],$A35),"")))</f>
        <v/>
      </c>
      <c r="I35" s="207">
        <f>IF(I$31="","",IF(COUNTIFS(Tabela367[Período],I$31,Tabela367[Curso],$A35)=0,"",IFERROR(SUMIFS(Tabela367[Presenças Registradas],Tabela367[Período],I$31,Tabela367[Curso],$A35)/SUMIFS(Tabela367[Presenças Previstas],Tabela367[Período],I$31,Tabela367[Curso],$A35),"")))</f>
        <v/>
      </c>
      <c r="J35" s="207">
        <f>IF(J$31="","",IF(COUNTIFS(Tabela367[Período],J$31,Tabela367[Curso],$A35)=0,"",IFERROR(SUMIFS(Tabela367[Presenças Registradas],Tabela367[Período],J$31,Tabela367[Curso],$A35)/SUMIFS(Tabela367[Presenças Previstas],Tabela367[Período],J$31,Tabela367[Curso],$A35),"")))</f>
        <v/>
      </c>
      <c r="K35" s="207">
        <f>IF(K$31="","",IF(COUNTIFS(Tabela367[Período],K$31,Tabela367[Curso],$A35)=0,"",IFERROR(SUMIFS(Tabela367[Presenças Registradas],Tabela367[Período],K$31,Tabela367[Curso],$A35)/SUMIFS(Tabela367[Presenças Previstas],Tabela367[Período],K$31,Tabela367[Curso],$A35),"")))</f>
        <v/>
      </c>
      <c r="L35" s="207">
        <f>IF(L$31="","",IF(COUNTIFS(Tabela367[Período],L$31,Tabela367[Curso],$A35)=0,"",IFERROR(SUMIFS(Tabela367[Presenças Registradas],Tabela367[Período],L$31,Tabela367[Curso],$A35)/SUMIFS(Tabela367[Presenças Previstas],Tabela367[Período],L$31,Tabela367[Curso],$A35),"")))</f>
        <v/>
      </c>
      <c r="M35" s="207">
        <f>IF(M$31="","",IF(COUNTIFS(Tabela367[Período],M$31,Tabela367[Curso],$A35)=0,"",IFERROR(SUMIFS(Tabela367[Presenças Registradas],Tabela367[Período],M$31,Tabela367[Curso],$A35)/SUMIFS(Tabela367[Presenças Previstas],Tabela367[Período],M$31,Tabela367[Curso],$A35),"")))</f>
        <v/>
      </c>
      <c r="N35" s="208">
        <f>IF(CALC!$N$103="","",IF(COUNTIFS(Tabela367[Período],CALC!$N$103,Tabela367[Curso],$A35)=0,"",IFERROR(SUMIFS(Tabela367[Presenças Registradas],Tabela367[Período],CALC!$N$103,Tabela367[Curso],$A35)/SUMIFS(Tabela367[Presenças Previstas],Tabela367[Período],CALC!$N$103,Tabela367[Curso],$A35),"")))</f>
        <v/>
      </c>
      <c r="O35" s="181">
        <f>IF(CALC!$O$103="","",IF(COUNTIFS(Tabela367[Período],CALC!$O$103,Tabela367[Curso],$A35)=0,"",IFERROR(SUMIFS(Tabela367[Presenças Registradas],Tabela367[Período],CALC!$O$103,Tabela367[Curso],$A35)/SUMIFS(Tabela367[Presenças Previstas],Tabela367[Período],CALC!$O$103,Tabela367[Curso],$A35),"")))</f>
        <v/>
      </c>
      <c r="P35" s="206">
        <f>IF(OR(N35="",O35=""),"",N35-O35)</f>
        <v/>
      </c>
      <c r="Q35" s="181">
        <f>IFERROR(INDEX(CALC!$F$8:$F$17,MATCH($A35,CALC!$A$8:$A$17,0)),"")</f>
        <v/>
      </c>
      <c r="R35" s="171">
        <f>IF(OR(N35="",Q35=""),"",IF(ROUND(N35,6)&gt;=ROUND(Q35,6),"Dentro da meta",IF(AND(IFERROR(IFERROR(INDEX(CALC!$G$8:$G$17,MATCH($A35,CALC!$A$8:$A$17,0)),""),"")&lt;&gt;"",ROUND(N35,6)&gt;=ROUND(IFERROR(IFERROR(INDEX(CALC!$G$8:$G$17,MATCH($A35,CALC!$A$8:$A$17,0)),""),""),6)),"Atenção","Fora da meta")))</f>
        <v/>
      </c>
    </row>
    <row r="36" ht="21.75" customHeight="1" s="131">
      <c r="A36" s="167">
        <f>CURSOS!$A$9</f>
        <v/>
      </c>
      <c r="B36" s="207">
        <f>IF(B$31="","",IF(COUNTIFS(Tabela367[Período],B$31,Tabela367[Curso],$A36)=0,"",IFERROR(SUMIFS(Tabela367[Presenças Registradas],Tabela367[Período],B$31,Tabela367[Curso],$A36)/SUMIFS(Tabela367[Presenças Previstas],Tabela367[Período],B$31,Tabela367[Curso],$A36),"")))</f>
        <v/>
      </c>
      <c r="C36" s="207">
        <f>IF(C$31="","",IF(COUNTIFS(Tabela367[Período],C$31,Tabela367[Curso],$A36)=0,"",IFERROR(SUMIFS(Tabela367[Presenças Registradas],Tabela367[Período],C$31,Tabela367[Curso],$A36)/SUMIFS(Tabela367[Presenças Previstas],Tabela367[Período],C$31,Tabela367[Curso],$A36),"")))</f>
        <v/>
      </c>
      <c r="D36" s="207">
        <f>IF(D$31="","",IF(COUNTIFS(Tabela367[Período],D$31,Tabela367[Curso],$A36)=0,"",IFERROR(SUMIFS(Tabela367[Presenças Registradas],Tabela367[Período],D$31,Tabela367[Curso],$A36)/SUMIFS(Tabela367[Presenças Previstas],Tabela367[Período],D$31,Tabela367[Curso],$A36),"")))</f>
        <v/>
      </c>
      <c r="E36" s="207">
        <f>IF(E$31="","",IF(COUNTIFS(Tabela367[Período],E$31,Tabela367[Curso],$A36)=0,"",IFERROR(SUMIFS(Tabela367[Presenças Registradas],Tabela367[Período],E$31,Tabela367[Curso],$A36)/SUMIFS(Tabela367[Presenças Previstas],Tabela367[Período],E$31,Tabela367[Curso],$A36),"")))</f>
        <v/>
      </c>
      <c r="F36" s="207">
        <f>IF(F$31="","",IF(COUNTIFS(Tabela367[Período],F$31,Tabela367[Curso],$A36)=0,"",IFERROR(SUMIFS(Tabela367[Presenças Registradas],Tabela367[Período],F$31,Tabela367[Curso],$A36)/SUMIFS(Tabela367[Presenças Previstas],Tabela367[Período],F$31,Tabela367[Curso],$A36),"")))</f>
        <v/>
      </c>
      <c r="G36" s="207">
        <f>IF(G$31="","",IF(COUNTIFS(Tabela367[Período],G$31,Tabela367[Curso],$A36)=0,"",IFERROR(SUMIFS(Tabela367[Presenças Registradas],Tabela367[Período],G$31,Tabela367[Curso],$A36)/SUMIFS(Tabela367[Presenças Previstas],Tabela367[Período],G$31,Tabela367[Curso],$A36),"")))</f>
        <v/>
      </c>
      <c r="H36" s="207">
        <f>IF(H$31="","",IF(COUNTIFS(Tabela367[Período],H$31,Tabela367[Curso],$A36)=0,"",IFERROR(SUMIFS(Tabela367[Presenças Registradas],Tabela367[Período],H$31,Tabela367[Curso],$A36)/SUMIFS(Tabela367[Presenças Previstas],Tabela367[Período],H$31,Tabela367[Curso],$A36),"")))</f>
        <v/>
      </c>
      <c r="I36" s="207">
        <f>IF(I$31="","",IF(COUNTIFS(Tabela367[Período],I$31,Tabela367[Curso],$A36)=0,"",IFERROR(SUMIFS(Tabela367[Presenças Registradas],Tabela367[Período],I$31,Tabela367[Curso],$A36)/SUMIFS(Tabela367[Presenças Previstas],Tabela367[Período],I$31,Tabela367[Curso],$A36),"")))</f>
        <v/>
      </c>
      <c r="J36" s="207">
        <f>IF(J$31="","",IF(COUNTIFS(Tabela367[Período],J$31,Tabela367[Curso],$A36)=0,"",IFERROR(SUMIFS(Tabela367[Presenças Registradas],Tabela367[Período],J$31,Tabela367[Curso],$A36)/SUMIFS(Tabela367[Presenças Previstas],Tabela367[Período],J$31,Tabela367[Curso],$A36),"")))</f>
        <v/>
      </c>
      <c r="K36" s="207">
        <f>IF(K$31="","",IF(COUNTIFS(Tabela367[Período],K$31,Tabela367[Curso],$A36)=0,"",IFERROR(SUMIFS(Tabela367[Presenças Registradas],Tabela367[Período],K$31,Tabela367[Curso],$A36)/SUMIFS(Tabela367[Presenças Previstas],Tabela367[Período],K$31,Tabela367[Curso],$A36),"")))</f>
        <v/>
      </c>
      <c r="L36" s="207">
        <f>IF(L$31="","",IF(COUNTIFS(Tabela367[Período],L$31,Tabela367[Curso],$A36)=0,"",IFERROR(SUMIFS(Tabela367[Presenças Registradas],Tabela367[Período],L$31,Tabela367[Curso],$A36)/SUMIFS(Tabela367[Presenças Previstas],Tabela367[Período],L$31,Tabela367[Curso],$A36),"")))</f>
        <v/>
      </c>
      <c r="M36" s="207">
        <f>IF(M$31="","",IF(COUNTIFS(Tabela367[Período],M$31,Tabela367[Curso],$A36)=0,"",IFERROR(SUMIFS(Tabela367[Presenças Registradas],Tabela367[Período],M$31,Tabela367[Curso],$A36)/SUMIFS(Tabela367[Presenças Previstas],Tabela367[Período],M$31,Tabela367[Curso],$A36),"")))</f>
        <v/>
      </c>
      <c r="N36" s="208">
        <f>IF(CALC!$N$103="","",IF(COUNTIFS(Tabela367[Período],CALC!$N$103,Tabela367[Curso],$A36)=0,"",IFERROR(SUMIFS(Tabela367[Presenças Registradas],Tabela367[Período],CALC!$N$103,Tabela367[Curso],$A36)/SUMIFS(Tabela367[Presenças Previstas],Tabela367[Período],CALC!$N$103,Tabela367[Curso],$A36),"")))</f>
        <v/>
      </c>
      <c r="O36" s="181">
        <f>IF(CALC!$O$103="","",IF(COUNTIFS(Tabela367[Período],CALC!$O$103,Tabela367[Curso],$A36)=0,"",IFERROR(SUMIFS(Tabela367[Presenças Registradas],Tabela367[Período],CALC!$O$103,Tabela367[Curso],$A36)/SUMIFS(Tabela367[Presenças Previstas],Tabela367[Período],CALC!$O$103,Tabela367[Curso],$A36),"")))</f>
        <v/>
      </c>
      <c r="P36" s="206">
        <f>IF(OR(N36="",O36=""),"",N36-O36)</f>
        <v/>
      </c>
      <c r="Q36" s="181">
        <f>IFERROR(INDEX(CALC!$F$8:$F$17,MATCH($A36,CALC!$A$8:$A$17,0)),"")</f>
        <v/>
      </c>
      <c r="R36" s="171">
        <f>IF(OR(N36="",Q36=""),"",IF(ROUND(N36,6)&gt;=ROUND(Q36,6),"Dentro da meta",IF(AND(IFERROR(IFERROR(INDEX(CALC!$G$8:$G$17,MATCH($A36,CALC!$A$8:$A$17,0)),""),"")&lt;&gt;"",ROUND(N36,6)&gt;=ROUND(IFERROR(IFERROR(INDEX(CALC!$G$8:$G$17,MATCH($A36,CALC!$A$8:$A$17,0)),""),""),6)),"Atenção","Fora da meta")))</f>
        <v/>
      </c>
    </row>
    <row r="37" ht="15" customHeight="1" s="131">
      <c r="A37" s="167">
        <f>CURSOS!$A$10</f>
        <v/>
      </c>
      <c r="B37" s="207">
        <f>IF(B$31="","",IF(COUNTIFS(Tabela367[Período],B$31,Tabela367[Curso],$A37)=0,"",IFERROR(SUMIFS(Tabela367[Presenças Registradas],Tabela367[Período],B$31,Tabela367[Curso],$A37)/SUMIFS(Tabela367[Presenças Previstas],Tabela367[Período],B$31,Tabela367[Curso],$A37),"")))</f>
        <v/>
      </c>
      <c r="C37" s="207">
        <f>IF(C$31="","",IF(COUNTIFS(Tabela367[Período],C$31,Tabela367[Curso],$A37)=0,"",IFERROR(SUMIFS(Tabela367[Presenças Registradas],Tabela367[Período],C$31,Tabela367[Curso],$A37)/SUMIFS(Tabela367[Presenças Previstas],Tabela367[Período],C$31,Tabela367[Curso],$A37),"")))</f>
        <v/>
      </c>
      <c r="D37" s="207">
        <f>IF(D$31="","",IF(COUNTIFS(Tabela367[Período],D$31,Tabela367[Curso],$A37)=0,"",IFERROR(SUMIFS(Tabela367[Presenças Registradas],Tabela367[Período],D$31,Tabela367[Curso],$A37)/SUMIFS(Tabela367[Presenças Previstas],Tabela367[Período],D$31,Tabela367[Curso],$A37),"")))</f>
        <v/>
      </c>
      <c r="E37" s="207">
        <f>IF(E$31="","",IF(COUNTIFS(Tabela367[Período],E$31,Tabela367[Curso],$A37)=0,"",IFERROR(SUMIFS(Tabela367[Presenças Registradas],Tabela367[Período],E$31,Tabela367[Curso],$A37)/SUMIFS(Tabela367[Presenças Previstas],Tabela367[Período],E$31,Tabela367[Curso],$A37),"")))</f>
        <v/>
      </c>
      <c r="F37" s="207">
        <f>IF(F$31="","",IF(COUNTIFS(Tabela367[Período],F$31,Tabela367[Curso],$A37)=0,"",IFERROR(SUMIFS(Tabela367[Presenças Registradas],Tabela367[Período],F$31,Tabela367[Curso],$A37)/SUMIFS(Tabela367[Presenças Previstas],Tabela367[Período],F$31,Tabela367[Curso],$A37),"")))</f>
        <v/>
      </c>
      <c r="G37" s="207">
        <f>IF(G$31="","",IF(COUNTIFS(Tabela367[Período],G$31,Tabela367[Curso],$A37)=0,"",IFERROR(SUMIFS(Tabela367[Presenças Registradas],Tabela367[Período],G$31,Tabela367[Curso],$A37)/SUMIFS(Tabela367[Presenças Previstas],Tabela367[Período],G$31,Tabela367[Curso],$A37),"")))</f>
        <v/>
      </c>
      <c r="H37" s="207">
        <f>IF(H$31="","",IF(COUNTIFS(Tabela367[Período],H$31,Tabela367[Curso],$A37)=0,"",IFERROR(SUMIFS(Tabela367[Presenças Registradas],Tabela367[Período],H$31,Tabela367[Curso],$A37)/SUMIFS(Tabela367[Presenças Previstas],Tabela367[Período],H$31,Tabela367[Curso],$A37),"")))</f>
        <v/>
      </c>
      <c r="I37" s="207">
        <f>IF(I$31="","",IF(COUNTIFS(Tabela367[Período],I$31,Tabela367[Curso],$A37)=0,"",IFERROR(SUMIFS(Tabela367[Presenças Registradas],Tabela367[Período],I$31,Tabela367[Curso],$A37)/SUMIFS(Tabela367[Presenças Previstas],Tabela367[Período],I$31,Tabela367[Curso],$A37),"")))</f>
        <v/>
      </c>
      <c r="J37" s="207">
        <f>IF(J$31="","",IF(COUNTIFS(Tabela367[Período],J$31,Tabela367[Curso],$A37)=0,"",IFERROR(SUMIFS(Tabela367[Presenças Registradas],Tabela367[Período],J$31,Tabela367[Curso],$A37)/SUMIFS(Tabela367[Presenças Previstas],Tabela367[Período],J$31,Tabela367[Curso],$A37),"")))</f>
        <v/>
      </c>
      <c r="K37" s="207">
        <f>IF(K$31="","",IF(COUNTIFS(Tabela367[Período],K$31,Tabela367[Curso],$A37)=0,"",IFERROR(SUMIFS(Tabela367[Presenças Registradas],Tabela367[Período],K$31,Tabela367[Curso],$A37)/SUMIFS(Tabela367[Presenças Previstas],Tabela367[Período],K$31,Tabela367[Curso],$A37),"")))</f>
        <v/>
      </c>
      <c r="L37" s="207">
        <f>IF(L$31="","",IF(COUNTIFS(Tabela367[Período],L$31,Tabela367[Curso],$A37)=0,"",IFERROR(SUMIFS(Tabela367[Presenças Registradas],Tabela367[Período],L$31,Tabela367[Curso],$A37)/SUMIFS(Tabela367[Presenças Previstas],Tabela367[Período],L$31,Tabela367[Curso],$A37),"")))</f>
        <v/>
      </c>
      <c r="M37" s="207">
        <f>IF(M$31="","",IF(COUNTIFS(Tabela367[Período],M$31,Tabela367[Curso],$A37)=0,"",IFERROR(SUMIFS(Tabela367[Presenças Registradas],Tabela367[Período],M$31,Tabela367[Curso],$A37)/SUMIFS(Tabela367[Presenças Previstas],Tabela367[Período],M$31,Tabela367[Curso],$A37),"")))</f>
        <v/>
      </c>
      <c r="N37" s="208">
        <f>IF(CALC!$N$103="","",IF(COUNTIFS(Tabela367[Período],CALC!$N$103,Tabela367[Curso],$A37)=0,"",IFERROR(SUMIFS(Tabela367[Presenças Registradas],Tabela367[Período],CALC!$N$103,Tabela367[Curso],$A37)/SUMIFS(Tabela367[Presenças Previstas],Tabela367[Período],CALC!$N$103,Tabela367[Curso],$A37),"")))</f>
        <v/>
      </c>
      <c r="O37" s="181">
        <f>IF(CALC!$O$103="","",IF(COUNTIFS(Tabela367[Período],CALC!$O$103,Tabela367[Curso],$A37)=0,"",IFERROR(SUMIFS(Tabela367[Presenças Registradas],Tabela367[Período],CALC!$O$103,Tabela367[Curso],$A37)/SUMIFS(Tabela367[Presenças Previstas],Tabela367[Período],CALC!$O$103,Tabela367[Curso],$A37),"")))</f>
        <v/>
      </c>
      <c r="P37" s="206">
        <f>IF(OR(N37="",O37=""),"",N37-O37)</f>
        <v/>
      </c>
      <c r="Q37" s="181">
        <f>IFERROR(INDEX(CALC!$F$8:$F$17,MATCH($A37,CALC!$A$8:$A$17,0)),"")</f>
        <v/>
      </c>
      <c r="R37" s="171">
        <f>IF(OR(N37="",Q37=""),"",IF(ROUND(N37,6)&gt;=ROUND(Q37,6),"Dentro da meta",IF(AND(IFERROR(IFERROR(INDEX(CALC!$G$8:$G$17,MATCH($A37,CALC!$A$8:$A$17,0)),""),"")&lt;&gt;"",ROUND(N37,6)&gt;=ROUND(IFERROR(IFERROR(INDEX(CALC!$G$8:$G$17,MATCH($A37,CALC!$A$8:$A$17,0)),""),""),6)),"Atenção","Fora da meta")))</f>
        <v/>
      </c>
    </row>
    <row r="38" ht="15" customHeight="1" s="131">
      <c r="A38" s="167">
        <f>CURSOS!$A$11</f>
        <v/>
      </c>
      <c r="B38" s="207">
        <f>IF(B$31="","",IF(COUNTIFS(Tabela367[Período],B$31,Tabela367[Curso],$A38)=0,"",IFERROR(SUMIFS(Tabela367[Presenças Registradas],Tabela367[Período],B$31,Tabela367[Curso],$A38)/SUMIFS(Tabela367[Presenças Previstas],Tabela367[Período],B$31,Tabela367[Curso],$A38),"")))</f>
        <v/>
      </c>
      <c r="C38" s="207">
        <f>IF(C$31="","",IF(COUNTIFS(Tabela367[Período],C$31,Tabela367[Curso],$A38)=0,"",IFERROR(SUMIFS(Tabela367[Presenças Registradas],Tabela367[Período],C$31,Tabela367[Curso],$A38)/SUMIFS(Tabela367[Presenças Previstas],Tabela367[Período],C$31,Tabela367[Curso],$A38),"")))</f>
        <v/>
      </c>
      <c r="D38" s="207">
        <f>IF(D$31="","",IF(COUNTIFS(Tabela367[Período],D$31,Tabela367[Curso],$A38)=0,"",IFERROR(SUMIFS(Tabela367[Presenças Registradas],Tabela367[Período],D$31,Tabela367[Curso],$A38)/SUMIFS(Tabela367[Presenças Previstas],Tabela367[Período],D$31,Tabela367[Curso],$A38),"")))</f>
        <v/>
      </c>
      <c r="E38" s="207">
        <f>IF(E$31="","",IF(COUNTIFS(Tabela367[Período],E$31,Tabela367[Curso],$A38)=0,"",IFERROR(SUMIFS(Tabela367[Presenças Registradas],Tabela367[Período],E$31,Tabela367[Curso],$A38)/SUMIFS(Tabela367[Presenças Previstas],Tabela367[Período],E$31,Tabela367[Curso],$A38),"")))</f>
        <v/>
      </c>
      <c r="F38" s="207">
        <f>IF(F$31="","",IF(COUNTIFS(Tabela367[Período],F$31,Tabela367[Curso],$A38)=0,"",IFERROR(SUMIFS(Tabela367[Presenças Registradas],Tabela367[Período],F$31,Tabela367[Curso],$A38)/SUMIFS(Tabela367[Presenças Previstas],Tabela367[Período],F$31,Tabela367[Curso],$A38),"")))</f>
        <v/>
      </c>
      <c r="G38" s="207">
        <f>IF(G$31="","",IF(COUNTIFS(Tabela367[Período],G$31,Tabela367[Curso],$A38)=0,"",IFERROR(SUMIFS(Tabela367[Presenças Registradas],Tabela367[Período],G$31,Tabela367[Curso],$A38)/SUMIFS(Tabela367[Presenças Previstas],Tabela367[Período],G$31,Tabela367[Curso],$A38),"")))</f>
        <v/>
      </c>
      <c r="H38" s="207">
        <f>IF(H$31="","",IF(COUNTIFS(Tabela367[Período],H$31,Tabela367[Curso],$A38)=0,"",IFERROR(SUMIFS(Tabela367[Presenças Registradas],Tabela367[Período],H$31,Tabela367[Curso],$A38)/SUMIFS(Tabela367[Presenças Previstas],Tabela367[Período],H$31,Tabela367[Curso],$A38),"")))</f>
        <v/>
      </c>
      <c r="I38" s="207">
        <f>IF(I$31="","",IF(COUNTIFS(Tabela367[Período],I$31,Tabela367[Curso],$A38)=0,"",IFERROR(SUMIFS(Tabela367[Presenças Registradas],Tabela367[Período],I$31,Tabela367[Curso],$A38)/SUMIFS(Tabela367[Presenças Previstas],Tabela367[Período],I$31,Tabela367[Curso],$A38),"")))</f>
        <v/>
      </c>
      <c r="J38" s="207">
        <f>IF(J$31="","",IF(COUNTIFS(Tabela367[Período],J$31,Tabela367[Curso],$A38)=0,"",IFERROR(SUMIFS(Tabela367[Presenças Registradas],Tabela367[Período],J$31,Tabela367[Curso],$A38)/SUMIFS(Tabela367[Presenças Previstas],Tabela367[Período],J$31,Tabela367[Curso],$A38),"")))</f>
        <v/>
      </c>
      <c r="K38" s="207">
        <f>IF(K$31="","",IF(COUNTIFS(Tabela367[Período],K$31,Tabela367[Curso],$A38)=0,"",IFERROR(SUMIFS(Tabela367[Presenças Registradas],Tabela367[Período],K$31,Tabela367[Curso],$A38)/SUMIFS(Tabela367[Presenças Previstas],Tabela367[Período],K$31,Tabela367[Curso],$A38),"")))</f>
        <v/>
      </c>
      <c r="L38" s="207">
        <f>IF(L$31="","",IF(COUNTIFS(Tabela367[Período],L$31,Tabela367[Curso],$A38)=0,"",IFERROR(SUMIFS(Tabela367[Presenças Registradas],Tabela367[Período],L$31,Tabela367[Curso],$A38)/SUMIFS(Tabela367[Presenças Previstas],Tabela367[Período],L$31,Tabela367[Curso],$A38),"")))</f>
        <v/>
      </c>
      <c r="M38" s="207">
        <f>IF(M$31="","",IF(COUNTIFS(Tabela367[Período],M$31,Tabela367[Curso],$A38)=0,"",IFERROR(SUMIFS(Tabela367[Presenças Registradas],Tabela367[Período],M$31,Tabela367[Curso],$A38)/SUMIFS(Tabela367[Presenças Previstas],Tabela367[Período],M$31,Tabela367[Curso],$A38),"")))</f>
        <v/>
      </c>
      <c r="N38" s="208">
        <f>IF(CALC!$N$103="","",IF(COUNTIFS(Tabela367[Período],CALC!$N$103,Tabela367[Curso],$A38)=0,"",IFERROR(SUMIFS(Tabela367[Presenças Registradas],Tabela367[Período],CALC!$N$103,Tabela367[Curso],$A38)/SUMIFS(Tabela367[Presenças Previstas],Tabela367[Período],CALC!$N$103,Tabela367[Curso],$A38),"")))</f>
        <v/>
      </c>
      <c r="O38" s="181">
        <f>IF(CALC!$O$103="","",IF(COUNTIFS(Tabela367[Período],CALC!$O$103,Tabela367[Curso],$A38)=0,"",IFERROR(SUMIFS(Tabela367[Presenças Registradas],Tabela367[Período],CALC!$O$103,Tabela367[Curso],$A38)/SUMIFS(Tabela367[Presenças Previstas],Tabela367[Período],CALC!$O$103,Tabela367[Curso],$A38),"")))</f>
        <v/>
      </c>
      <c r="P38" s="206">
        <f>IF(OR(N38="",O38=""),"",N38-O38)</f>
        <v/>
      </c>
      <c r="Q38" s="181">
        <f>IFERROR(INDEX(CALC!$F$8:$F$17,MATCH($A38,CALC!$A$8:$A$17,0)),"")</f>
        <v/>
      </c>
      <c r="R38" s="171">
        <f>IF(OR(N38="",Q38=""),"",IF(ROUND(N38,6)&gt;=ROUND(Q38,6),"Dentro da meta",IF(AND(IFERROR(IFERROR(INDEX(CALC!$G$8:$G$17,MATCH($A38,CALC!$A$8:$A$17,0)),""),"")&lt;&gt;"",ROUND(N38,6)&gt;=ROUND(IFERROR(IFERROR(INDEX(CALC!$G$8:$G$17,MATCH($A38,CALC!$A$8:$A$17,0)),""),""),6)),"Atenção","Fora da meta")))</f>
        <v/>
      </c>
    </row>
    <row r="39" ht="21.75" customHeight="1" s="131">
      <c r="A39" s="167">
        <f>CURSOS!$A$12</f>
        <v/>
      </c>
      <c r="B39" s="207">
        <f>IF(B$31="","",IF(COUNTIFS(Tabela367[Período],B$31,Tabela367[Curso],$A39)=0,"",IFERROR(SUMIFS(Tabela367[Presenças Registradas],Tabela367[Período],B$31,Tabela367[Curso],$A39)/SUMIFS(Tabela367[Presenças Previstas],Tabela367[Período],B$31,Tabela367[Curso],$A39),"")))</f>
        <v/>
      </c>
      <c r="C39" s="207">
        <f>IF(C$31="","",IF(COUNTIFS(Tabela367[Período],C$31,Tabela367[Curso],$A39)=0,"",IFERROR(SUMIFS(Tabela367[Presenças Registradas],Tabela367[Período],C$31,Tabela367[Curso],$A39)/SUMIFS(Tabela367[Presenças Previstas],Tabela367[Período],C$31,Tabela367[Curso],$A39),"")))</f>
        <v/>
      </c>
      <c r="D39" s="207">
        <f>IF(D$31="","",IF(COUNTIFS(Tabela367[Período],D$31,Tabela367[Curso],$A39)=0,"",IFERROR(SUMIFS(Tabela367[Presenças Registradas],Tabela367[Período],D$31,Tabela367[Curso],$A39)/SUMIFS(Tabela367[Presenças Previstas],Tabela367[Período],D$31,Tabela367[Curso],$A39),"")))</f>
        <v/>
      </c>
      <c r="E39" s="207">
        <f>IF(E$31="","",IF(COUNTIFS(Tabela367[Período],E$31,Tabela367[Curso],$A39)=0,"",IFERROR(SUMIFS(Tabela367[Presenças Registradas],Tabela367[Período],E$31,Tabela367[Curso],$A39)/SUMIFS(Tabela367[Presenças Previstas],Tabela367[Período],E$31,Tabela367[Curso],$A39),"")))</f>
        <v/>
      </c>
      <c r="F39" s="207">
        <f>IF(F$31="","",IF(COUNTIFS(Tabela367[Período],F$31,Tabela367[Curso],$A39)=0,"",IFERROR(SUMIFS(Tabela367[Presenças Registradas],Tabela367[Período],F$31,Tabela367[Curso],$A39)/SUMIFS(Tabela367[Presenças Previstas],Tabela367[Período],F$31,Tabela367[Curso],$A39),"")))</f>
        <v/>
      </c>
      <c r="G39" s="207">
        <f>IF(G$31="","",IF(COUNTIFS(Tabela367[Período],G$31,Tabela367[Curso],$A39)=0,"",IFERROR(SUMIFS(Tabela367[Presenças Registradas],Tabela367[Período],G$31,Tabela367[Curso],$A39)/SUMIFS(Tabela367[Presenças Previstas],Tabela367[Período],G$31,Tabela367[Curso],$A39),"")))</f>
        <v/>
      </c>
      <c r="H39" s="207">
        <f>IF(H$31="","",IF(COUNTIFS(Tabela367[Período],H$31,Tabela367[Curso],$A39)=0,"",IFERROR(SUMIFS(Tabela367[Presenças Registradas],Tabela367[Período],H$31,Tabela367[Curso],$A39)/SUMIFS(Tabela367[Presenças Previstas],Tabela367[Período],H$31,Tabela367[Curso],$A39),"")))</f>
        <v/>
      </c>
      <c r="I39" s="207">
        <f>IF(I$31="","",IF(COUNTIFS(Tabela367[Período],I$31,Tabela367[Curso],$A39)=0,"",IFERROR(SUMIFS(Tabela367[Presenças Registradas],Tabela367[Período],I$31,Tabela367[Curso],$A39)/SUMIFS(Tabela367[Presenças Previstas],Tabela367[Período],I$31,Tabela367[Curso],$A39),"")))</f>
        <v/>
      </c>
      <c r="J39" s="207">
        <f>IF(J$31="","",IF(COUNTIFS(Tabela367[Período],J$31,Tabela367[Curso],$A39)=0,"",IFERROR(SUMIFS(Tabela367[Presenças Registradas],Tabela367[Período],J$31,Tabela367[Curso],$A39)/SUMIFS(Tabela367[Presenças Previstas],Tabela367[Período],J$31,Tabela367[Curso],$A39),"")))</f>
        <v/>
      </c>
      <c r="K39" s="207">
        <f>IF(K$31="","",IF(COUNTIFS(Tabela367[Período],K$31,Tabela367[Curso],$A39)=0,"",IFERROR(SUMIFS(Tabela367[Presenças Registradas],Tabela367[Período],K$31,Tabela367[Curso],$A39)/SUMIFS(Tabela367[Presenças Previstas],Tabela367[Período],K$31,Tabela367[Curso],$A39),"")))</f>
        <v/>
      </c>
      <c r="L39" s="207">
        <f>IF(L$31="","",IF(COUNTIFS(Tabela367[Período],L$31,Tabela367[Curso],$A39)=0,"",IFERROR(SUMIFS(Tabela367[Presenças Registradas],Tabela367[Período],L$31,Tabela367[Curso],$A39)/SUMIFS(Tabela367[Presenças Previstas],Tabela367[Período],L$31,Tabela367[Curso],$A39),"")))</f>
        <v/>
      </c>
      <c r="M39" s="207">
        <f>IF(M$31="","",IF(COUNTIFS(Tabela367[Período],M$31,Tabela367[Curso],$A39)=0,"",IFERROR(SUMIFS(Tabela367[Presenças Registradas],Tabela367[Período],M$31,Tabela367[Curso],$A39)/SUMIFS(Tabela367[Presenças Previstas],Tabela367[Período],M$31,Tabela367[Curso],$A39),"")))</f>
        <v/>
      </c>
      <c r="N39" s="208">
        <f>IF(CALC!$N$103="","",IF(COUNTIFS(Tabela367[Período],CALC!$N$103,Tabela367[Curso],$A39)=0,"",IFERROR(SUMIFS(Tabela367[Presenças Registradas],Tabela367[Período],CALC!$N$103,Tabela367[Curso],$A39)/SUMIFS(Tabela367[Presenças Previstas],Tabela367[Período],CALC!$N$103,Tabela367[Curso],$A39),"")))</f>
        <v/>
      </c>
      <c r="O39" s="181">
        <f>IF(CALC!$O$103="","",IF(COUNTIFS(Tabela367[Período],CALC!$O$103,Tabela367[Curso],$A39)=0,"",IFERROR(SUMIFS(Tabela367[Presenças Registradas],Tabela367[Período],CALC!$O$103,Tabela367[Curso],$A39)/SUMIFS(Tabela367[Presenças Previstas],Tabela367[Período],CALC!$O$103,Tabela367[Curso],$A39),"")))</f>
        <v/>
      </c>
      <c r="P39" s="206">
        <f>IF(OR(N39="",O39=""),"",N39-O39)</f>
        <v/>
      </c>
      <c r="Q39" s="181">
        <f>IFERROR(INDEX(CALC!$F$8:$F$17,MATCH($A39,CALC!$A$8:$A$17,0)),"")</f>
        <v/>
      </c>
      <c r="R39" s="171">
        <f>IF(OR(N39="",Q39=""),"",IF(ROUND(N39,6)&gt;=ROUND(Q39,6),"Dentro da meta",IF(AND(IFERROR(IFERROR(INDEX(CALC!$G$8:$G$17,MATCH($A39,CALC!$A$8:$A$17,0)),""),"")&lt;&gt;"",ROUND(N39,6)&gt;=ROUND(IFERROR(IFERROR(INDEX(CALC!$G$8:$G$17,MATCH($A39,CALC!$A$8:$A$17,0)),""),""),6)),"Atenção","Fora da meta")))</f>
        <v/>
      </c>
    </row>
    <row r="40" ht="21.75" customHeight="1" s="131">
      <c r="A40" s="167">
        <f>CURSOS!$A$13</f>
        <v/>
      </c>
      <c r="B40" s="207">
        <f>IF(B$31="","",IF(COUNTIFS(Tabela367[Período],B$31,Tabela367[Curso],$A40)=0,"",IFERROR(SUMIFS(Tabela367[Presenças Registradas],Tabela367[Período],B$31,Tabela367[Curso],$A40)/SUMIFS(Tabela367[Presenças Previstas],Tabela367[Período],B$31,Tabela367[Curso],$A40),"")))</f>
        <v/>
      </c>
      <c r="C40" s="207">
        <f>IF(C$31="","",IF(COUNTIFS(Tabela367[Período],C$31,Tabela367[Curso],$A40)=0,"",IFERROR(SUMIFS(Tabela367[Presenças Registradas],Tabela367[Período],C$31,Tabela367[Curso],$A40)/SUMIFS(Tabela367[Presenças Previstas],Tabela367[Período],C$31,Tabela367[Curso],$A40),"")))</f>
        <v/>
      </c>
      <c r="D40" s="207">
        <f>IF(D$31="","",IF(COUNTIFS(Tabela367[Período],D$31,Tabela367[Curso],$A40)=0,"",IFERROR(SUMIFS(Tabela367[Presenças Registradas],Tabela367[Período],D$31,Tabela367[Curso],$A40)/SUMIFS(Tabela367[Presenças Previstas],Tabela367[Período],D$31,Tabela367[Curso],$A40),"")))</f>
        <v/>
      </c>
      <c r="E40" s="207">
        <f>IF(E$31="","",IF(COUNTIFS(Tabela367[Período],E$31,Tabela367[Curso],$A40)=0,"",IFERROR(SUMIFS(Tabela367[Presenças Registradas],Tabela367[Período],E$31,Tabela367[Curso],$A40)/SUMIFS(Tabela367[Presenças Previstas],Tabela367[Período],E$31,Tabela367[Curso],$A40),"")))</f>
        <v/>
      </c>
      <c r="F40" s="207">
        <f>IF(F$31="","",IF(COUNTIFS(Tabela367[Período],F$31,Tabela367[Curso],$A40)=0,"",IFERROR(SUMIFS(Tabela367[Presenças Registradas],Tabela367[Período],F$31,Tabela367[Curso],$A40)/SUMIFS(Tabela367[Presenças Previstas],Tabela367[Período],F$31,Tabela367[Curso],$A40),"")))</f>
        <v/>
      </c>
      <c r="G40" s="207">
        <f>IF(G$31="","",IF(COUNTIFS(Tabela367[Período],G$31,Tabela367[Curso],$A40)=0,"",IFERROR(SUMIFS(Tabela367[Presenças Registradas],Tabela367[Período],G$31,Tabela367[Curso],$A40)/SUMIFS(Tabela367[Presenças Previstas],Tabela367[Período],G$31,Tabela367[Curso],$A40),"")))</f>
        <v/>
      </c>
      <c r="H40" s="207">
        <f>IF(H$31="","",IF(COUNTIFS(Tabela367[Período],H$31,Tabela367[Curso],$A40)=0,"",IFERROR(SUMIFS(Tabela367[Presenças Registradas],Tabela367[Período],H$31,Tabela367[Curso],$A40)/SUMIFS(Tabela367[Presenças Previstas],Tabela367[Período],H$31,Tabela367[Curso],$A40),"")))</f>
        <v/>
      </c>
      <c r="I40" s="207">
        <f>IF(I$31="","",IF(COUNTIFS(Tabela367[Período],I$31,Tabela367[Curso],$A40)=0,"",IFERROR(SUMIFS(Tabela367[Presenças Registradas],Tabela367[Período],I$31,Tabela367[Curso],$A40)/SUMIFS(Tabela367[Presenças Previstas],Tabela367[Período],I$31,Tabela367[Curso],$A40),"")))</f>
        <v/>
      </c>
      <c r="J40" s="207">
        <f>IF(J$31="","",IF(COUNTIFS(Tabela367[Período],J$31,Tabela367[Curso],$A40)=0,"",IFERROR(SUMIFS(Tabela367[Presenças Registradas],Tabela367[Período],J$31,Tabela367[Curso],$A40)/SUMIFS(Tabela367[Presenças Previstas],Tabela367[Período],J$31,Tabela367[Curso],$A40),"")))</f>
        <v/>
      </c>
      <c r="K40" s="207">
        <f>IF(K$31="","",IF(COUNTIFS(Tabela367[Período],K$31,Tabela367[Curso],$A40)=0,"",IFERROR(SUMIFS(Tabela367[Presenças Registradas],Tabela367[Período],K$31,Tabela367[Curso],$A40)/SUMIFS(Tabela367[Presenças Previstas],Tabela367[Período],K$31,Tabela367[Curso],$A40),"")))</f>
        <v/>
      </c>
      <c r="L40" s="207">
        <f>IF(L$31="","",IF(COUNTIFS(Tabela367[Período],L$31,Tabela367[Curso],$A40)=0,"",IFERROR(SUMIFS(Tabela367[Presenças Registradas],Tabela367[Período],L$31,Tabela367[Curso],$A40)/SUMIFS(Tabela367[Presenças Previstas],Tabela367[Período],L$31,Tabela367[Curso],$A40),"")))</f>
        <v/>
      </c>
      <c r="M40" s="207">
        <f>IF(M$31="","",IF(COUNTIFS(Tabela367[Período],M$31,Tabela367[Curso],$A40)=0,"",IFERROR(SUMIFS(Tabela367[Presenças Registradas],Tabela367[Período],M$31,Tabela367[Curso],$A40)/SUMIFS(Tabela367[Presenças Previstas],Tabela367[Período],M$31,Tabela367[Curso],$A40),"")))</f>
        <v/>
      </c>
      <c r="N40" s="208">
        <f>IF(CALC!$N$103="","",IF(COUNTIFS(Tabela367[Período],CALC!$N$103,Tabela367[Curso],$A40)=0,"",IFERROR(SUMIFS(Tabela367[Presenças Registradas],Tabela367[Período],CALC!$N$103,Tabela367[Curso],$A40)/SUMIFS(Tabela367[Presenças Previstas],Tabela367[Período],CALC!$N$103,Tabela367[Curso],$A40),"")))</f>
        <v/>
      </c>
      <c r="O40" s="181">
        <f>IF(CALC!$O$103="","",IF(COUNTIFS(Tabela367[Período],CALC!$O$103,Tabela367[Curso],$A40)=0,"",IFERROR(SUMIFS(Tabela367[Presenças Registradas],Tabela367[Período],CALC!$O$103,Tabela367[Curso],$A40)/SUMIFS(Tabela367[Presenças Previstas],Tabela367[Período],CALC!$O$103,Tabela367[Curso],$A40),"")))</f>
        <v/>
      </c>
      <c r="P40" s="206">
        <f>IF(OR(N40="",O40=""),"",N40-O40)</f>
        <v/>
      </c>
      <c r="Q40" s="181">
        <f>IFERROR(INDEX(CALC!$F$8:$F$17,MATCH($A40,CALC!$A$8:$A$17,0)),"")</f>
        <v/>
      </c>
      <c r="R40" s="171">
        <f>IF(OR(N40="",Q40=""),"",IF(ROUND(N40,6)&gt;=ROUND(Q40,6),"Dentro da meta",IF(AND(IFERROR(IFERROR(INDEX(CALC!$G$8:$G$17,MATCH($A40,CALC!$A$8:$A$17,0)),""),"")&lt;&gt;"",ROUND(N40,6)&gt;=ROUND(IFERROR(IFERROR(INDEX(CALC!$G$8:$G$17,MATCH($A40,CALC!$A$8:$A$17,0)),""),""),6)),"Atenção","Fora da meta")))</f>
        <v/>
      </c>
    </row>
    <row r="43" ht="53.25" customHeight="1" s="131">
      <c r="A43" s="198" t="inlineStr">
        <is>
          <t>DTNH-03 — disciplinas do curso em foco</t>
        </is>
      </c>
      <c r="D43" s="140" t="inlineStr">
        <is>
          <t>escolha o curso em PARAMETROS · Curso em foco</t>
        </is>
      </c>
    </row>
    <row r="44" ht="30" customHeight="1" s="131">
      <c r="A44" s="199" t="inlineStr">
        <is>
          <t>Curso em foco</t>
        </is>
      </c>
      <c r="B44" s="199" t="inlineStr">
        <is>
          <t>Disciplina</t>
        </is>
      </c>
      <c r="C44" s="200">
        <f>CALC!$B$88</f>
        <v/>
      </c>
      <c r="D44" s="200">
        <f>CALC!$B$89</f>
        <v/>
      </c>
      <c r="E44" s="200">
        <f>CALC!$B$90</f>
        <v/>
      </c>
      <c r="F44" s="200">
        <f>CALC!$B$91</f>
        <v/>
      </c>
      <c r="G44" s="200">
        <f>CALC!$B$92</f>
        <v/>
      </c>
      <c r="H44" s="200">
        <f>CALC!$B$93</f>
        <v/>
      </c>
      <c r="I44" s="200">
        <f>CALC!$B$94</f>
        <v/>
      </c>
      <c r="J44" s="200">
        <f>CALC!$B$95</f>
        <v/>
      </c>
      <c r="K44" s="200">
        <f>CALC!$B$96</f>
        <v/>
      </c>
      <c r="L44" s="200">
        <f>CALC!$B$97</f>
        <v/>
      </c>
      <c r="M44" s="200">
        <f>CALC!$B$98</f>
        <v/>
      </c>
      <c r="N44" s="200">
        <f>CALC!$B$99</f>
        <v/>
      </c>
    </row>
    <row r="45" ht="15" customHeight="1" s="131">
      <c r="A45" s="209">
        <f>IF($B45="","",CALC!$J$4)</f>
        <v/>
      </c>
      <c r="B45" s="167">
        <f>IFERROR(INDEX(DISCIPLINAS!$B$5:$B$101,SMALL(IF(DISCIPLINAS!$A$5:$A$101=CALC!$J$4,ROW(DISCIPLINAS!$A$5:$A$101)-5+1),1)),"")</f>
        <v/>
      </c>
      <c r="C45" s="207">
        <f>IF(OR(C$44="",$B45=""),"",IF(COUNTIFS(Tabela367[Período],C$44,Tabela367[Curso],CALC!$J$4,Tabela367[Disciplina],$B45)=0,"",IFERROR(SUMIFS(Tabela367[Presenças Registradas],Tabela367[Período],C$44,Tabela367[Curso],CALC!$J$4,Tabela367[Disciplina],$B45)/SUMIFS(Tabela367[Presenças Previstas],Tabela367[Período],C$44,Tabela367[Curso],CALC!$J$4,Tabela367[Disciplina],$B45),"")))</f>
        <v/>
      </c>
      <c r="D45" s="207">
        <f>IF(OR(D$44="",$B45=""),"",IF(COUNTIFS(Tabela367[Período],D$44,Tabela367[Curso],CALC!$J$4,Tabela367[Disciplina],$B45)=0,"",IFERROR(SUMIFS(Tabela367[Presenças Registradas],Tabela367[Período],D$44,Tabela367[Curso],CALC!$J$4,Tabela367[Disciplina],$B45)/SUMIFS(Tabela367[Presenças Previstas],Tabela367[Período],D$44,Tabela367[Curso],CALC!$J$4,Tabela367[Disciplina],$B45),"")))</f>
        <v/>
      </c>
      <c r="E45" s="207">
        <f>IF(OR(E$44="",$B45=""),"",IF(COUNTIFS(Tabela367[Período],E$44,Tabela367[Curso],CALC!$J$4,Tabela367[Disciplina],$B45)=0,"",IFERROR(SUMIFS(Tabela367[Presenças Registradas],Tabela367[Período],E$44,Tabela367[Curso],CALC!$J$4,Tabela367[Disciplina],$B45)/SUMIFS(Tabela367[Presenças Previstas],Tabela367[Período],E$44,Tabela367[Curso],CALC!$J$4,Tabela367[Disciplina],$B45),"")))</f>
        <v/>
      </c>
      <c r="F45" s="207">
        <f>IF(OR(F$44="",$B45=""),"",IF(COUNTIFS(Tabela367[Período],F$44,Tabela367[Curso],CALC!$J$4,Tabela367[Disciplina],$B45)=0,"",IFERROR(SUMIFS(Tabela367[Presenças Registradas],Tabela367[Período],F$44,Tabela367[Curso],CALC!$J$4,Tabela367[Disciplina],$B45)/SUMIFS(Tabela367[Presenças Previstas],Tabela367[Período],F$44,Tabela367[Curso],CALC!$J$4,Tabela367[Disciplina],$B45),"")))</f>
        <v/>
      </c>
      <c r="G45" s="207">
        <f>IF(OR(G$44="",$B45=""),"",IF(COUNTIFS(Tabela367[Período],G$44,Tabela367[Curso],CALC!$J$4,Tabela367[Disciplina],$B45)=0,"",IFERROR(SUMIFS(Tabela367[Presenças Registradas],Tabela367[Período],G$44,Tabela367[Curso],CALC!$J$4,Tabela367[Disciplina],$B45)/SUMIFS(Tabela367[Presenças Previstas],Tabela367[Período],G$44,Tabela367[Curso],CALC!$J$4,Tabela367[Disciplina],$B45),"")))</f>
        <v/>
      </c>
      <c r="H45" s="207">
        <f>IF(OR(H$44="",$B45=""),"",IF(COUNTIFS(Tabela367[Período],H$44,Tabela367[Curso],CALC!$J$4,Tabela367[Disciplina],$B45)=0,"",IFERROR(SUMIFS(Tabela367[Presenças Registradas],Tabela367[Período],H$44,Tabela367[Curso],CALC!$J$4,Tabela367[Disciplina],$B45)/SUMIFS(Tabela367[Presenças Previstas],Tabela367[Período],H$44,Tabela367[Curso],CALC!$J$4,Tabela367[Disciplina],$B45),"")))</f>
        <v/>
      </c>
      <c r="I45" s="207">
        <f>IF(OR(I$44="",$B45=""),"",IF(COUNTIFS(Tabela367[Período],I$44,Tabela367[Curso],CALC!$J$4,Tabela367[Disciplina],$B45)=0,"",IFERROR(SUMIFS(Tabela367[Presenças Registradas],Tabela367[Período],I$44,Tabela367[Curso],CALC!$J$4,Tabela367[Disciplina],$B45)/SUMIFS(Tabela367[Presenças Previstas],Tabela367[Período],I$44,Tabela367[Curso],CALC!$J$4,Tabela367[Disciplina],$B45),"")))</f>
        <v/>
      </c>
      <c r="J45" s="207">
        <f>IF(OR(J$44="",$B45=""),"",IF(COUNTIFS(Tabela367[Período],J$44,Tabela367[Curso],CALC!$J$4,Tabela367[Disciplina],$B45)=0,"",IFERROR(SUMIFS(Tabela367[Presenças Registradas],Tabela367[Período],J$44,Tabela367[Curso],CALC!$J$4,Tabela367[Disciplina],$B45)/SUMIFS(Tabela367[Presenças Previstas],Tabela367[Período],J$44,Tabela367[Curso],CALC!$J$4,Tabela367[Disciplina],$B45),"")))</f>
        <v/>
      </c>
      <c r="K45" s="207">
        <f>IF(OR(K$44="",$B45=""),"",IF(COUNTIFS(Tabela367[Período],K$44,Tabela367[Curso],CALC!$J$4,Tabela367[Disciplina],$B45)=0,"",IFERROR(SUMIFS(Tabela367[Presenças Registradas],Tabela367[Período],K$44,Tabela367[Curso],CALC!$J$4,Tabela367[Disciplina],$B45)/SUMIFS(Tabela367[Presenças Previstas],Tabela367[Período],K$44,Tabela367[Curso],CALC!$J$4,Tabela367[Disciplina],$B45),"")))</f>
        <v/>
      </c>
      <c r="L45" s="207">
        <f>IF(OR(L$44="",$B45=""),"",IF(COUNTIFS(Tabela367[Período],L$44,Tabela367[Curso],CALC!$J$4,Tabela367[Disciplina],$B45)=0,"",IFERROR(SUMIFS(Tabela367[Presenças Registradas],Tabela367[Período],L$44,Tabela367[Curso],CALC!$J$4,Tabela367[Disciplina],$B45)/SUMIFS(Tabela367[Presenças Previstas],Tabela367[Período],L$44,Tabela367[Curso],CALC!$J$4,Tabela367[Disciplina],$B45),"")))</f>
        <v/>
      </c>
      <c r="M45" s="207">
        <f>IF(OR(M$44="",$B45=""),"",IF(COUNTIFS(Tabela367[Período],M$44,Tabela367[Curso],CALC!$J$4,Tabela367[Disciplina],$B45)=0,"",IFERROR(SUMIFS(Tabela367[Presenças Registradas],Tabela367[Período],M$44,Tabela367[Curso],CALC!$J$4,Tabela367[Disciplina],$B45)/SUMIFS(Tabela367[Presenças Previstas],Tabela367[Período],M$44,Tabela367[Curso],CALC!$J$4,Tabela367[Disciplina],$B45),"")))</f>
        <v/>
      </c>
      <c r="N45" s="207">
        <f>IF(OR(N$44="",$B45=""),"",IF(COUNTIFS(Tabela367[Período],N$44,Tabela367[Curso],CALC!$J$4,Tabela367[Disciplina],$B45)=0,"",IFERROR(SUMIFS(Tabela367[Presenças Registradas],Tabela367[Período],N$44,Tabela367[Curso],CALC!$J$4,Tabela367[Disciplina],$B45)/SUMIFS(Tabela367[Presenças Previstas],Tabela367[Período],N$44,Tabela367[Curso],CALC!$J$4,Tabela367[Disciplina],$B45),"")))</f>
        <v/>
      </c>
    </row>
    <row r="46" ht="15" customHeight="1" s="131">
      <c r="A46" s="209">
        <f>IF($B46="","",CALC!$J$4)</f>
        <v/>
      </c>
      <c r="B46" s="167">
        <f>IFERROR(INDEX(DISCIPLINAS!$B$5:$B$101,SMALL(IF(DISCIPLINAS!$A$5:$A$101=CALC!$J$4,ROW(DISCIPLINAS!$A$5:$A$101)-5+1),2)),"")</f>
        <v/>
      </c>
      <c r="C46" s="207">
        <f>IF(OR(C$44="",$B46=""),"",IF(COUNTIFS(Tabela367[Período],C$44,Tabela367[Curso],CALC!$J$4,Tabela367[Disciplina],$B46)=0,"",IFERROR(SUMIFS(Tabela367[Presenças Registradas],Tabela367[Período],C$44,Tabela367[Curso],CALC!$J$4,Tabela367[Disciplina],$B46)/SUMIFS(Tabela367[Presenças Previstas],Tabela367[Período],C$44,Tabela367[Curso],CALC!$J$4,Tabela367[Disciplina],$B46),"")))</f>
        <v/>
      </c>
      <c r="D46" s="207">
        <f>IF(OR(D$44="",$B46=""),"",IF(COUNTIFS(Tabela367[Período],D$44,Tabela367[Curso],CALC!$J$4,Tabela367[Disciplina],$B46)=0,"",IFERROR(SUMIFS(Tabela367[Presenças Registradas],Tabela367[Período],D$44,Tabela367[Curso],CALC!$J$4,Tabela367[Disciplina],$B46)/SUMIFS(Tabela367[Presenças Previstas],Tabela367[Período],D$44,Tabela367[Curso],CALC!$J$4,Tabela367[Disciplina],$B46),"")))</f>
        <v/>
      </c>
      <c r="E46" s="207">
        <f>IF(OR(E$44="",$B46=""),"",IF(COUNTIFS(Tabela367[Período],E$44,Tabela367[Curso],CALC!$J$4,Tabela367[Disciplina],$B46)=0,"",IFERROR(SUMIFS(Tabela367[Presenças Registradas],Tabela367[Período],E$44,Tabela367[Curso],CALC!$J$4,Tabela367[Disciplina],$B46)/SUMIFS(Tabela367[Presenças Previstas],Tabela367[Período],E$44,Tabela367[Curso],CALC!$J$4,Tabela367[Disciplina],$B46),"")))</f>
        <v/>
      </c>
      <c r="F46" s="207">
        <f>IF(OR(F$44="",$B46=""),"",IF(COUNTIFS(Tabela367[Período],F$44,Tabela367[Curso],CALC!$J$4,Tabela367[Disciplina],$B46)=0,"",IFERROR(SUMIFS(Tabela367[Presenças Registradas],Tabela367[Período],F$44,Tabela367[Curso],CALC!$J$4,Tabela367[Disciplina],$B46)/SUMIFS(Tabela367[Presenças Previstas],Tabela367[Período],F$44,Tabela367[Curso],CALC!$J$4,Tabela367[Disciplina],$B46),"")))</f>
        <v/>
      </c>
      <c r="G46" s="207">
        <f>IF(OR(G$44="",$B46=""),"",IF(COUNTIFS(Tabela367[Período],G$44,Tabela367[Curso],CALC!$J$4,Tabela367[Disciplina],$B46)=0,"",IFERROR(SUMIFS(Tabela367[Presenças Registradas],Tabela367[Período],G$44,Tabela367[Curso],CALC!$J$4,Tabela367[Disciplina],$B46)/SUMIFS(Tabela367[Presenças Previstas],Tabela367[Período],G$44,Tabela367[Curso],CALC!$J$4,Tabela367[Disciplina],$B46),"")))</f>
        <v/>
      </c>
      <c r="H46" s="207">
        <f>IF(OR(H$44="",$B46=""),"",IF(COUNTIFS(Tabela367[Período],H$44,Tabela367[Curso],CALC!$J$4,Tabela367[Disciplina],$B46)=0,"",IFERROR(SUMIFS(Tabela367[Presenças Registradas],Tabela367[Período],H$44,Tabela367[Curso],CALC!$J$4,Tabela367[Disciplina],$B46)/SUMIFS(Tabela367[Presenças Previstas],Tabela367[Período],H$44,Tabela367[Curso],CALC!$J$4,Tabela367[Disciplina],$B46),"")))</f>
        <v/>
      </c>
      <c r="I46" s="207">
        <f>IF(OR(I$44="",$B46=""),"",IF(COUNTIFS(Tabela367[Período],I$44,Tabela367[Curso],CALC!$J$4,Tabela367[Disciplina],$B46)=0,"",IFERROR(SUMIFS(Tabela367[Presenças Registradas],Tabela367[Período],I$44,Tabela367[Curso],CALC!$J$4,Tabela367[Disciplina],$B46)/SUMIFS(Tabela367[Presenças Previstas],Tabela367[Período],I$44,Tabela367[Curso],CALC!$J$4,Tabela367[Disciplina],$B46),"")))</f>
        <v/>
      </c>
      <c r="J46" s="207">
        <f>IF(OR(J$44="",$B46=""),"",IF(COUNTIFS(Tabela367[Período],J$44,Tabela367[Curso],CALC!$J$4,Tabela367[Disciplina],$B46)=0,"",IFERROR(SUMIFS(Tabela367[Presenças Registradas],Tabela367[Período],J$44,Tabela367[Curso],CALC!$J$4,Tabela367[Disciplina],$B46)/SUMIFS(Tabela367[Presenças Previstas],Tabela367[Período],J$44,Tabela367[Curso],CALC!$J$4,Tabela367[Disciplina],$B46),"")))</f>
        <v/>
      </c>
      <c r="K46" s="207">
        <f>IF(OR(K$44="",$B46=""),"",IF(COUNTIFS(Tabela367[Período],K$44,Tabela367[Curso],CALC!$J$4,Tabela367[Disciplina],$B46)=0,"",IFERROR(SUMIFS(Tabela367[Presenças Registradas],Tabela367[Período],K$44,Tabela367[Curso],CALC!$J$4,Tabela367[Disciplina],$B46)/SUMIFS(Tabela367[Presenças Previstas],Tabela367[Período],K$44,Tabela367[Curso],CALC!$J$4,Tabela367[Disciplina],$B46),"")))</f>
        <v/>
      </c>
      <c r="L46" s="207">
        <f>IF(OR(L$44="",$B46=""),"",IF(COUNTIFS(Tabela367[Período],L$44,Tabela367[Curso],CALC!$J$4,Tabela367[Disciplina],$B46)=0,"",IFERROR(SUMIFS(Tabela367[Presenças Registradas],Tabela367[Período],L$44,Tabela367[Curso],CALC!$J$4,Tabela367[Disciplina],$B46)/SUMIFS(Tabela367[Presenças Previstas],Tabela367[Período],L$44,Tabela367[Curso],CALC!$J$4,Tabela367[Disciplina],$B46),"")))</f>
        <v/>
      </c>
      <c r="M46" s="207">
        <f>IF(OR(M$44="",$B46=""),"",IF(COUNTIFS(Tabela367[Período],M$44,Tabela367[Curso],CALC!$J$4,Tabela367[Disciplina],$B46)=0,"",IFERROR(SUMIFS(Tabela367[Presenças Registradas],Tabela367[Período],M$44,Tabela367[Curso],CALC!$J$4,Tabela367[Disciplina],$B46)/SUMIFS(Tabela367[Presenças Previstas],Tabela367[Período],M$44,Tabela367[Curso],CALC!$J$4,Tabela367[Disciplina],$B46),"")))</f>
        <v/>
      </c>
      <c r="N46" s="207">
        <f>IF(OR(N$44="",$B46=""),"",IF(COUNTIFS(Tabela367[Período],N$44,Tabela367[Curso],CALC!$J$4,Tabela367[Disciplina],$B46)=0,"",IFERROR(SUMIFS(Tabela367[Presenças Registradas],Tabela367[Período],N$44,Tabela367[Curso],CALC!$J$4,Tabela367[Disciplina],$B46)/SUMIFS(Tabela367[Presenças Previstas],Tabela367[Período],N$44,Tabela367[Curso],CALC!$J$4,Tabela367[Disciplina],$B46),"")))</f>
        <v/>
      </c>
    </row>
    <row r="47" ht="15" customHeight="1" s="131">
      <c r="A47" s="209">
        <f>IF($B47="","",CALC!$J$4)</f>
        <v/>
      </c>
      <c r="B47" s="167">
        <f>IFERROR(INDEX(DISCIPLINAS!$B$5:$B$101,SMALL(IF(DISCIPLINAS!$A$5:$A$101=CALC!$J$4,ROW(DISCIPLINAS!$A$5:$A$101)-5+1),3)),"")</f>
        <v/>
      </c>
      <c r="C47" s="207">
        <f>IF(OR(C$44="",$B47=""),"",IF(COUNTIFS(Tabela367[Período],C$44,Tabela367[Curso],CALC!$J$4,Tabela367[Disciplina],$B47)=0,"",IFERROR(SUMIFS(Tabela367[Presenças Registradas],Tabela367[Período],C$44,Tabela367[Curso],CALC!$J$4,Tabela367[Disciplina],$B47)/SUMIFS(Tabela367[Presenças Previstas],Tabela367[Período],C$44,Tabela367[Curso],CALC!$J$4,Tabela367[Disciplina],$B47),"")))</f>
        <v/>
      </c>
      <c r="D47" s="207">
        <f>IF(OR(D$44="",$B47=""),"",IF(COUNTIFS(Tabela367[Período],D$44,Tabela367[Curso],CALC!$J$4,Tabela367[Disciplina],$B47)=0,"",IFERROR(SUMIFS(Tabela367[Presenças Registradas],Tabela367[Período],D$44,Tabela367[Curso],CALC!$J$4,Tabela367[Disciplina],$B47)/SUMIFS(Tabela367[Presenças Previstas],Tabela367[Período],D$44,Tabela367[Curso],CALC!$J$4,Tabela367[Disciplina],$B47),"")))</f>
        <v/>
      </c>
      <c r="E47" s="207">
        <f>IF(OR(E$44="",$B47=""),"",IF(COUNTIFS(Tabela367[Período],E$44,Tabela367[Curso],CALC!$J$4,Tabela367[Disciplina],$B47)=0,"",IFERROR(SUMIFS(Tabela367[Presenças Registradas],Tabela367[Período],E$44,Tabela367[Curso],CALC!$J$4,Tabela367[Disciplina],$B47)/SUMIFS(Tabela367[Presenças Previstas],Tabela367[Período],E$44,Tabela367[Curso],CALC!$J$4,Tabela367[Disciplina],$B47),"")))</f>
        <v/>
      </c>
      <c r="F47" s="207">
        <f>IF(OR(F$44="",$B47=""),"",IF(COUNTIFS(Tabela367[Período],F$44,Tabela367[Curso],CALC!$J$4,Tabela367[Disciplina],$B47)=0,"",IFERROR(SUMIFS(Tabela367[Presenças Registradas],Tabela367[Período],F$44,Tabela367[Curso],CALC!$J$4,Tabela367[Disciplina],$B47)/SUMIFS(Tabela367[Presenças Previstas],Tabela367[Período],F$44,Tabela367[Curso],CALC!$J$4,Tabela367[Disciplina],$B47),"")))</f>
        <v/>
      </c>
      <c r="G47" s="207">
        <f>IF(OR(G$44="",$B47=""),"",IF(COUNTIFS(Tabela367[Período],G$44,Tabela367[Curso],CALC!$J$4,Tabela367[Disciplina],$B47)=0,"",IFERROR(SUMIFS(Tabela367[Presenças Registradas],Tabela367[Período],G$44,Tabela367[Curso],CALC!$J$4,Tabela367[Disciplina],$B47)/SUMIFS(Tabela367[Presenças Previstas],Tabela367[Período],G$44,Tabela367[Curso],CALC!$J$4,Tabela367[Disciplina],$B47),"")))</f>
        <v/>
      </c>
      <c r="H47" s="207">
        <f>IF(OR(H$44="",$B47=""),"",IF(COUNTIFS(Tabela367[Período],H$44,Tabela367[Curso],CALC!$J$4,Tabela367[Disciplina],$B47)=0,"",IFERROR(SUMIFS(Tabela367[Presenças Registradas],Tabela367[Período],H$44,Tabela367[Curso],CALC!$J$4,Tabela367[Disciplina],$B47)/SUMIFS(Tabela367[Presenças Previstas],Tabela367[Período],H$44,Tabela367[Curso],CALC!$J$4,Tabela367[Disciplina],$B47),"")))</f>
        <v/>
      </c>
      <c r="I47" s="207">
        <f>IF(OR(I$44="",$B47=""),"",IF(COUNTIFS(Tabela367[Período],I$44,Tabela367[Curso],CALC!$J$4,Tabela367[Disciplina],$B47)=0,"",IFERROR(SUMIFS(Tabela367[Presenças Registradas],Tabela367[Período],I$44,Tabela367[Curso],CALC!$J$4,Tabela367[Disciplina],$B47)/SUMIFS(Tabela367[Presenças Previstas],Tabela367[Período],I$44,Tabela367[Curso],CALC!$J$4,Tabela367[Disciplina],$B47),"")))</f>
        <v/>
      </c>
      <c r="J47" s="207">
        <f>IF(OR(J$44="",$B47=""),"",IF(COUNTIFS(Tabela367[Período],J$44,Tabela367[Curso],CALC!$J$4,Tabela367[Disciplina],$B47)=0,"",IFERROR(SUMIFS(Tabela367[Presenças Registradas],Tabela367[Período],J$44,Tabela367[Curso],CALC!$J$4,Tabela367[Disciplina],$B47)/SUMIFS(Tabela367[Presenças Previstas],Tabela367[Período],J$44,Tabela367[Curso],CALC!$J$4,Tabela367[Disciplina],$B47),"")))</f>
        <v/>
      </c>
      <c r="K47" s="207">
        <f>IF(OR(K$44="",$B47=""),"",IF(COUNTIFS(Tabela367[Período],K$44,Tabela367[Curso],CALC!$J$4,Tabela367[Disciplina],$B47)=0,"",IFERROR(SUMIFS(Tabela367[Presenças Registradas],Tabela367[Período],K$44,Tabela367[Curso],CALC!$J$4,Tabela367[Disciplina],$B47)/SUMIFS(Tabela367[Presenças Previstas],Tabela367[Período],K$44,Tabela367[Curso],CALC!$J$4,Tabela367[Disciplina],$B47),"")))</f>
        <v/>
      </c>
      <c r="L47" s="207">
        <f>IF(OR(L$44="",$B47=""),"",IF(COUNTIFS(Tabela367[Período],L$44,Tabela367[Curso],CALC!$J$4,Tabela367[Disciplina],$B47)=0,"",IFERROR(SUMIFS(Tabela367[Presenças Registradas],Tabela367[Período],L$44,Tabela367[Curso],CALC!$J$4,Tabela367[Disciplina],$B47)/SUMIFS(Tabela367[Presenças Previstas],Tabela367[Período],L$44,Tabela367[Curso],CALC!$J$4,Tabela367[Disciplina],$B47),"")))</f>
        <v/>
      </c>
      <c r="M47" s="207">
        <f>IF(OR(M$44="",$B47=""),"",IF(COUNTIFS(Tabela367[Período],M$44,Tabela367[Curso],CALC!$J$4,Tabela367[Disciplina],$B47)=0,"",IFERROR(SUMIFS(Tabela367[Presenças Registradas],Tabela367[Período],M$44,Tabela367[Curso],CALC!$J$4,Tabela367[Disciplina],$B47)/SUMIFS(Tabela367[Presenças Previstas],Tabela367[Período],M$44,Tabela367[Curso],CALC!$J$4,Tabela367[Disciplina],$B47),"")))</f>
        <v/>
      </c>
      <c r="N47" s="207">
        <f>IF(OR(N$44="",$B47=""),"",IF(COUNTIFS(Tabela367[Período],N$44,Tabela367[Curso],CALC!$J$4,Tabela367[Disciplina],$B47)=0,"",IFERROR(SUMIFS(Tabela367[Presenças Registradas],Tabela367[Período],N$44,Tabela367[Curso],CALC!$J$4,Tabela367[Disciplina],$B47)/SUMIFS(Tabela367[Presenças Previstas],Tabela367[Período],N$44,Tabela367[Curso],CALC!$J$4,Tabela367[Disciplina],$B47),"")))</f>
        <v/>
      </c>
    </row>
    <row r="48" ht="15" customHeight="1" s="131">
      <c r="A48" s="209">
        <f>IF($B48="","",CALC!$J$4)</f>
        <v/>
      </c>
      <c r="B48" s="167">
        <f>IFERROR(INDEX(DISCIPLINAS!$B$5:$B$101,SMALL(IF(DISCIPLINAS!$A$5:$A$101=CALC!$J$4,ROW(DISCIPLINAS!$A$5:$A$101)-5+1),4)),"")</f>
        <v/>
      </c>
      <c r="C48" s="207">
        <f>IF(OR(C$44="",$B48=""),"",IF(COUNTIFS(Tabela367[Período],C$44,Tabela367[Curso],CALC!$J$4,Tabela367[Disciplina],$B48)=0,"",IFERROR(SUMIFS(Tabela367[Presenças Registradas],Tabela367[Período],C$44,Tabela367[Curso],CALC!$J$4,Tabela367[Disciplina],$B48)/SUMIFS(Tabela367[Presenças Previstas],Tabela367[Período],C$44,Tabela367[Curso],CALC!$J$4,Tabela367[Disciplina],$B48),"")))</f>
        <v/>
      </c>
      <c r="D48" s="207">
        <f>IF(OR(D$44="",$B48=""),"",IF(COUNTIFS(Tabela367[Período],D$44,Tabela367[Curso],CALC!$J$4,Tabela367[Disciplina],$B48)=0,"",IFERROR(SUMIFS(Tabela367[Presenças Registradas],Tabela367[Período],D$44,Tabela367[Curso],CALC!$J$4,Tabela367[Disciplina],$B48)/SUMIFS(Tabela367[Presenças Previstas],Tabela367[Período],D$44,Tabela367[Curso],CALC!$J$4,Tabela367[Disciplina],$B48),"")))</f>
        <v/>
      </c>
      <c r="E48" s="207">
        <f>IF(OR(E$44="",$B48=""),"",IF(COUNTIFS(Tabela367[Período],E$44,Tabela367[Curso],CALC!$J$4,Tabela367[Disciplina],$B48)=0,"",IFERROR(SUMIFS(Tabela367[Presenças Registradas],Tabela367[Período],E$44,Tabela367[Curso],CALC!$J$4,Tabela367[Disciplina],$B48)/SUMIFS(Tabela367[Presenças Previstas],Tabela367[Período],E$44,Tabela367[Curso],CALC!$J$4,Tabela367[Disciplina],$B48),"")))</f>
        <v/>
      </c>
      <c r="F48" s="207">
        <f>IF(OR(F$44="",$B48=""),"",IF(COUNTIFS(Tabela367[Período],F$44,Tabela367[Curso],CALC!$J$4,Tabela367[Disciplina],$B48)=0,"",IFERROR(SUMIFS(Tabela367[Presenças Registradas],Tabela367[Período],F$44,Tabela367[Curso],CALC!$J$4,Tabela367[Disciplina],$B48)/SUMIFS(Tabela367[Presenças Previstas],Tabela367[Período],F$44,Tabela367[Curso],CALC!$J$4,Tabela367[Disciplina],$B48),"")))</f>
        <v/>
      </c>
      <c r="G48" s="207">
        <f>IF(OR(G$44="",$B48=""),"",IF(COUNTIFS(Tabela367[Período],G$44,Tabela367[Curso],CALC!$J$4,Tabela367[Disciplina],$B48)=0,"",IFERROR(SUMIFS(Tabela367[Presenças Registradas],Tabela367[Período],G$44,Tabela367[Curso],CALC!$J$4,Tabela367[Disciplina],$B48)/SUMIFS(Tabela367[Presenças Previstas],Tabela367[Período],G$44,Tabela367[Curso],CALC!$J$4,Tabela367[Disciplina],$B48),"")))</f>
        <v/>
      </c>
      <c r="H48" s="207">
        <f>IF(OR(H$44="",$B48=""),"",IF(COUNTIFS(Tabela367[Período],H$44,Tabela367[Curso],CALC!$J$4,Tabela367[Disciplina],$B48)=0,"",IFERROR(SUMIFS(Tabela367[Presenças Registradas],Tabela367[Período],H$44,Tabela367[Curso],CALC!$J$4,Tabela367[Disciplina],$B48)/SUMIFS(Tabela367[Presenças Previstas],Tabela367[Período],H$44,Tabela367[Curso],CALC!$J$4,Tabela367[Disciplina],$B48),"")))</f>
        <v/>
      </c>
      <c r="I48" s="207">
        <f>IF(OR(I$44="",$B48=""),"",IF(COUNTIFS(Tabela367[Período],I$44,Tabela367[Curso],CALC!$J$4,Tabela367[Disciplina],$B48)=0,"",IFERROR(SUMIFS(Tabela367[Presenças Registradas],Tabela367[Período],I$44,Tabela367[Curso],CALC!$J$4,Tabela367[Disciplina],$B48)/SUMIFS(Tabela367[Presenças Previstas],Tabela367[Período],I$44,Tabela367[Curso],CALC!$J$4,Tabela367[Disciplina],$B48),"")))</f>
        <v/>
      </c>
      <c r="J48" s="207">
        <f>IF(OR(J$44="",$B48=""),"",IF(COUNTIFS(Tabela367[Período],J$44,Tabela367[Curso],CALC!$J$4,Tabela367[Disciplina],$B48)=0,"",IFERROR(SUMIFS(Tabela367[Presenças Registradas],Tabela367[Período],J$44,Tabela367[Curso],CALC!$J$4,Tabela367[Disciplina],$B48)/SUMIFS(Tabela367[Presenças Previstas],Tabela367[Período],J$44,Tabela367[Curso],CALC!$J$4,Tabela367[Disciplina],$B48),"")))</f>
        <v/>
      </c>
      <c r="K48" s="207">
        <f>IF(OR(K$44="",$B48=""),"",IF(COUNTIFS(Tabela367[Período],K$44,Tabela367[Curso],CALC!$J$4,Tabela367[Disciplina],$B48)=0,"",IFERROR(SUMIFS(Tabela367[Presenças Registradas],Tabela367[Período],K$44,Tabela367[Curso],CALC!$J$4,Tabela367[Disciplina],$B48)/SUMIFS(Tabela367[Presenças Previstas],Tabela367[Período],K$44,Tabela367[Curso],CALC!$J$4,Tabela367[Disciplina],$B48),"")))</f>
        <v/>
      </c>
      <c r="L48" s="207">
        <f>IF(OR(L$44="",$B48=""),"",IF(COUNTIFS(Tabela367[Período],L$44,Tabela367[Curso],CALC!$J$4,Tabela367[Disciplina],$B48)=0,"",IFERROR(SUMIFS(Tabela367[Presenças Registradas],Tabela367[Período],L$44,Tabela367[Curso],CALC!$J$4,Tabela367[Disciplina],$B48)/SUMIFS(Tabela367[Presenças Previstas],Tabela367[Período],L$44,Tabela367[Curso],CALC!$J$4,Tabela367[Disciplina],$B48),"")))</f>
        <v/>
      </c>
      <c r="M48" s="207">
        <f>IF(OR(M$44="",$B48=""),"",IF(COUNTIFS(Tabela367[Período],M$44,Tabela367[Curso],CALC!$J$4,Tabela367[Disciplina],$B48)=0,"",IFERROR(SUMIFS(Tabela367[Presenças Registradas],Tabela367[Período],M$44,Tabela367[Curso],CALC!$J$4,Tabela367[Disciplina],$B48)/SUMIFS(Tabela367[Presenças Previstas],Tabela367[Período],M$44,Tabela367[Curso],CALC!$J$4,Tabela367[Disciplina],$B48),"")))</f>
        <v/>
      </c>
      <c r="N48" s="207">
        <f>IF(OR(N$44="",$B48=""),"",IF(COUNTIFS(Tabela367[Período],N$44,Tabela367[Curso],CALC!$J$4,Tabela367[Disciplina],$B48)=0,"",IFERROR(SUMIFS(Tabela367[Presenças Registradas],Tabela367[Período],N$44,Tabela367[Curso],CALC!$J$4,Tabela367[Disciplina],$B48)/SUMIFS(Tabela367[Presenças Previstas],Tabela367[Período],N$44,Tabela367[Curso],CALC!$J$4,Tabela367[Disciplina],$B48),"")))</f>
        <v/>
      </c>
    </row>
    <row r="49" ht="15" customHeight="1" s="131">
      <c r="A49" s="209">
        <f>IF($B49="","",CALC!$J$4)</f>
        <v/>
      </c>
      <c r="B49" s="167">
        <f>IFERROR(INDEX(DISCIPLINAS!$B$5:$B$101,SMALL(IF(DISCIPLINAS!$A$5:$A$101=CALC!$J$4,ROW(DISCIPLINAS!$A$5:$A$101)-5+1),5)),"")</f>
        <v/>
      </c>
      <c r="C49" s="207">
        <f>IF(OR(C$44="",$B49=""),"",IF(COUNTIFS(Tabela367[Período],C$44,Tabela367[Curso],CALC!$J$4,Tabela367[Disciplina],$B49)=0,"",IFERROR(SUMIFS(Tabela367[Presenças Registradas],Tabela367[Período],C$44,Tabela367[Curso],CALC!$J$4,Tabela367[Disciplina],$B49)/SUMIFS(Tabela367[Presenças Previstas],Tabela367[Período],C$44,Tabela367[Curso],CALC!$J$4,Tabela367[Disciplina],$B49),"")))</f>
        <v/>
      </c>
      <c r="D49" s="207">
        <f>IF(OR(D$44="",$B49=""),"",IF(COUNTIFS(Tabela367[Período],D$44,Tabela367[Curso],CALC!$J$4,Tabela367[Disciplina],$B49)=0,"",IFERROR(SUMIFS(Tabela367[Presenças Registradas],Tabela367[Período],D$44,Tabela367[Curso],CALC!$J$4,Tabela367[Disciplina],$B49)/SUMIFS(Tabela367[Presenças Previstas],Tabela367[Período],D$44,Tabela367[Curso],CALC!$J$4,Tabela367[Disciplina],$B49),"")))</f>
        <v/>
      </c>
      <c r="E49" s="207">
        <f>IF(OR(E$44="",$B49=""),"",IF(COUNTIFS(Tabela367[Período],E$44,Tabela367[Curso],CALC!$J$4,Tabela367[Disciplina],$B49)=0,"",IFERROR(SUMIFS(Tabela367[Presenças Registradas],Tabela367[Período],E$44,Tabela367[Curso],CALC!$J$4,Tabela367[Disciplina],$B49)/SUMIFS(Tabela367[Presenças Previstas],Tabela367[Período],E$44,Tabela367[Curso],CALC!$J$4,Tabela367[Disciplina],$B49),"")))</f>
        <v/>
      </c>
      <c r="F49" s="207">
        <f>IF(OR(F$44="",$B49=""),"",IF(COUNTIFS(Tabela367[Período],F$44,Tabela367[Curso],CALC!$J$4,Tabela367[Disciplina],$B49)=0,"",IFERROR(SUMIFS(Tabela367[Presenças Registradas],Tabela367[Período],F$44,Tabela367[Curso],CALC!$J$4,Tabela367[Disciplina],$B49)/SUMIFS(Tabela367[Presenças Previstas],Tabela367[Período],F$44,Tabela367[Curso],CALC!$J$4,Tabela367[Disciplina],$B49),"")))</f>
        <v/>
      </c>
      <c r="G49" s="207">
        <f>IF(OR(G$44="",$B49=""),"",IF(COUNTIFS(Tabela367[Período],G$44,Tabela367[Curso],CALC!$J$4,Tabela367[Disciplina],$B49)=0,"",IFERROR(SUMIFS(Tabela367[Presenças Registradas],Tabela367[Período],G$44,Tabela367[Curso],CALC!$J$4,Tabela367[Disciplina],$B49)/SUMIFS(Tabela367[Presenças Previstas],Tabela367[Período],G$44,Tabela367[Curso],CALC!$J$4,Tabela367[Disciplina],$B49),"")))</f>
        <v/>
      </c>
      <c r="H49" s="207">
        <f>IF(OR(H$44="",$B49=""),"",IF(COUNTIFS(Tabela367[Período],H$44,Tabela367[Curso],CALC!$J$4,Tabela367[Disciplina],$B49)=0,"",IFERROR(SUMIFS(Tabela367[Presenças Registradas],Tabela367[Período],H$44,Tabela367[Curso],CALC!$J$4,Tabela367[Disciplina],$B49)/SUMIFS(Tabela367[Presenças Previstas],Tabela367[Período],H$44,Tabela367[Curso],CALC!$J$4,Tabela367[Disciplina],$B49),"")))</f>
        <v/>
      </c>
      <c r="I49" s="207">
        <f>IF(OR(I$44="",$B49=""),"",IF(COUNTIFS(Tabela367[Período],I$44,Tabela367[Curso],CALC!$J$4,Tabela367[Disciplina],$B49)=0,"",IFERROR(SUMIFS(Tabela367[Presenças Registradas],Tabela367[Período],I$44,Tabela367[Curso],CALC!$J$4,Tabela367[Disciplina],$B49)/SUMIFS(Tabela367[Presenças Previstas],Tabela367[Período],I$44,Tabela367[Curso],CALC!$J$4,Tabela367[Disciplina],$B49),"")))</f>
        <v/>
      </c>
      <c r="J49" s="207">
        <f>IF(OR(J$44="",$B49=""),"",IF(COUNTIFS(Tabela367[Período],J$44,Tabela367[Curso],CALC!$J$4,Tabela367[Disciplina],$B49)=0,"",IFERROR(SUMIFS(Tabela367[Presenças Registradas],Tabela367[Período],J$44,Tabela367[Curso],CALC!$J$4,Tabela367[Disciplina],$B49)/SUMIFS(Tabela367[Presenças Previstas],Tabela367[Período],J$44,Tabela367[Curso],CALC!$J$4,Tabela367[Disciplina],$B49),"")))</f>
        <v/>
      </c>
      <c r="K49" s="207">
        <f>IF(OR(K$44="",$B49=""),"",IF(COUNTIFS(Tabela367[Período],K$44,Tabela367[Curso],CALC!$J$4,Tabela367[Disciplina],$B49)=0,"",IFERROR(SUMIFS(Tabela367[Presenças Registradas],Tabela367[Período],K$44,Tabela367[Curso],CALC!$J$4,Tabela367[Disciplina],$B49)/SUMIFS(Tabela367[Presenças Previstas],Tabela367[Período],K$44,Tabela367[Curso],CALC!$J$4,Tabela367[Disciplina],$B49),"")))</f>
        <v/>
      </c>
      <c r="L49" s="207">
        <f>IF(OR(L$44="",$B49=""),"",IF(COUNTIFS(Tabela367[Período],L$44,Tabela367[Curso],CALC!$J$4,Tabela367[Disciplina],$B49)=0,"",IFERROR(SUMIFS(Tabela367[Presenças Registradas],Tabela367[Período],L$44,Tabela367[Curso],CALC!$J$4,Tabela367[Disciplina],$B49)/SUMIFS(Tabela367[Presenças Previstas],Tabela367[Período],L$44,Tabela367[Curso],CALC!$J$4,Tabela367[Disciplina],$B49),"")))</f>
        <v/>
      </c>
      <c r="M49" s="207">
        <f>IF(OR(M$44="",$B49=""),"",IF(COUNTIFS(Tabela367[Período],M$44,Tabela367[Curso],CALC!$J$4,Tabela367[Disciplina],$B49)=0,"",IFERROR(SUMIFS(Tabela367[Presenças Registradas],Tabela367[Período],M$44,Tabela367[Curso],CALC!$J$4,Tabela367[Disciplina],$B49)/SUMIFS(Tabela367[Presenças Previstas],Tabela367[Período],M$44,Tabela367[Curso],CALC!$J$4,Tabela367[Disciplina],$B49),"")))</f>
        <v/>
      </c>
      <c r="N49" s="207">
        <f>IF(OR(N$44="",$B49=""),"",IF(COUNTIFS(Tabela367[Período],N$44,Tabela367[Curso],CALC!$J$4,Tabela367[Disciplina],$B49)=0,"",IFERROR(SUMIFS(Tabela367[Presenças Registradas],Tabela367[Período],N$44,Tabela367[Curso],CALC!$J$4,Tabela367[Disciplina],$B49)/SUMIFS(Tabela367[Presenças Previstas],Tabela367[Período],N$44,Tabela367[Curso],CALC!$J$4,Tabela367[Disciplina],$B49),"")))</f>
        <v/>
      </c>
    </row>
    <row r="50" ht="15" customHeight="1" s="131">
      <c r="A50" s="209">
        <f>IF($B50="","",CALC!$J$4)</f>
        <v/>
      </c>
      <c r="B50" s="167">
        <f>IFERROR(INDEX(DISCIPLINAS!$B$5:$B$101,SMALL(IF(DISCIPLINAS!$A$5:$A$101=CALC!$J$4,ROW(DISCIPLINAS!$A$5:$A$101)-5+1),6)),"")</f>
        <v/>
      </c>
      <c r="C50" s="207">
        <f>IF(OR(C$44="",$B50=""),"",IF(COUNTIFS(Tabela367[Período],C$44,Tabela367[Curso],CALC!$J$4,Tabela367[Disciplina],$B50)=0,"",IFERROR(SUMIFS(Tabela367[Presenças Registradas],Tabela367[Período],C$44,Tabela367[Curso],CALC!$J$4,Tabela367[Disciplina],$B50)/SUMIFS(Tabela367[Presenças Previstas],Tabela367[Período],C$44,Tabela367[Curso],CALC!$J$4,Tabela367[Disciplina],$B50),"")))</f>
        <v/>
      </c>
      <c r="D50" s="207">
        <f>IF(OR(D$44="",$B50=""),"",IF(COUNTIFS(Tabela367[Período],D$44,Tabela367[Curso],CALC!$J$4,Tabela367[Disciplina],$B50)=0,"",IFERROR(SUMIFS(Tabela367[Presenças Registradas],Tabela367[Período],D$44,Tabela367[Curso],CALC!$J$4,Tabela367[Disciplina],$B50)/SUMIFS(Tabela367[Presenças Previstas],Tabela367[Período],D$44,Tabela367[Curso],CALC!$J$4,Tabela367[Disciplina],$B50),"")))</f>
        <v/>
      </c>
      <c r="E50" s="207">
        <f>IF(OR(E$44="",$B50=""),"",IF(COUNTIFS(Tabela367[Período],E$44,Tabela367[Curso],CALC!$J$4,Tabela367[Disciplina],$B50)=0,"",IFERROR(SUMIFS(Tabela367[Presenças Registradas],Tabela367[Período],E$44,Tabela367[Curso],CALC!$J$4,Tabela367[Disciplina],$B50)/SUMIFS(Tabela367[Presenças Previstas],Tabela367[Período],E$44,Tabela367[Curso],CALC!$J$4,Tabela367[Disciplina],$B50),"")))</f>
        <v/>
      </c>
      <c r="F50" s="207">
        <f>IF(OR(F$44="",$B50=""),"",IF(COUNTIFS(Tabela367[Período],F$44,Tabela367[Curso],CALC!$J$4,Tabela367[Disciplina],$B50)=0,"",IFERROR(SUMIFS(Tabela367[Presenças Registradas],Tabela367[Período],F$44,Tabela367[Curso],CALC!$J$4,Tabela367[Disciplina],$B50)/SUMIFS(Tabela367[Presenças Previstas],Tabela367[Período],F$44,Tabela367[Curso],CALC!$J$4,Tabela367[Disciplina],$B50),"")))</f>
        <v/>
      </c>
      <c r="G50" s="207">
        <f>IF(OR(G$44="",$B50=""),"",IF(COUNTIFS(Tabela367[Período],G$44,Tabela367[Curso],CALC!$J$4,Tabela367[Disciplina],$B50)=0,"",IFERROR(SUMIFS(Tabela367[Presenças Registradas],Tabela367[Período],G$44,Tabela367[Curso],CALC!$J$4,Tabela367[Disciplina],$B50)/SUMIFS(Tabela367[Presenças Previstas],Tabela367[Período],G$44,Tabela367[Curso],CALC!$J$4,Tabela367[Disciplina],$B50),"")))</f>
        <v/>
      </c>
      <c r="H50" s="207">
        <f>IF(OR(H$44="",$B50=""),"",IF(COUNTIFS(Tabela367[Período],H$44,Tabela367[Curso],CALC!$J$4,Tabela367[Disciplina],$B50)=0,"",IFERROR(SUMIFS(Tabela367[Presenças Registradas],Tabela367[Período],H$44,Tabela367[Curso],CALC!$J$4,Tabela367[Disciplina],$B50)/SUMIFS(Tabela367[Presenças Previstas],Tabela367[Período],H$44,Tabela367[Curso],CALC!$J$4,Tabela367[Disciplina],$B50),"")))</f>
        <v/>
      </c>
      <c r="I50" s="207">
        <f>IF(OR(I$44="",$B50=""),"",IF(COUNTIFS(Tabela367[Período],I$44,Tabela367[Curso],CALC!$J$4,Tabela367[Disciplina],$B50)=0,"",IFERROR(SUMIFS(Tabela367[Presenças Registradas],Tabela367[Período],I$44,Tabela367[Curso],CALC!$J$4,Tabela367[Disciplina],$B50)/SUMIFS(Tabela367[Presenças Previstas],Tabela367[Período],I$44,Tabela367[Curso],CALC!$J$4,Tabela367[Disciplina],$B50),"")))</f>
        <v/>
      </c>
      <c r="J50" s="207">
        <f>IF(OR(J$44="",$B50=""),"",IF(COUNTIFS(Tabela367[Período],J$44,Tabela367[Curso],CALC!$J$4,Tabela367[Disciplina],$B50)=0,"",IFERROR(SUMIFS(Tabela367[Presenças Registradas],Tabela367[Período],J$44,Tabela367[Curso],CALC!$J$4,Tabela367[Disciplina],$B50)/SUMIFS(Tabela367[Presenças Previstas],Tabela367[Período],J$44,Tabela367[Curso],CALC!$J$4,Tabela367[Disciplina],$B50),"")))</f>
        <v/>
      </c>
      <c r="K50" s="207">
        <f>IF(OR(K$44="",$B50=""),"",IF(COUNTIFS(Tabela367[Período],K$44,Tabela367[Curso],CALC!$J$4,Tabela367[Disciplina],$B50)=0,"",IFERROR(SUMIFS(Tabela367[Presenças Registradas],Tabela367[Período],K$44,Tabela367[Curso],CALC!$J$4,Tabela367[Disciplina],$B50)/SUMIFS(Tabela367[Presenças Previstas],Tabela367[Período],K$44,Tabela367[Curso],CALC!$J$4,Tabela367[Disciplina],$B50),"")))</f>
        <v/>
      </c>
      <c r="L50" s="207">
        <f>IF(OR(L$44="",$B50=""),"",IF(COUNTIFS(Tabela367[Período],L$44,Tabela367[Curso],CALC!$J$4,Tabela367[Disciplina],$B50)=0,"",IFERROR(SUMIFS(Tabela367[Presenças Registradas],Tabela367[Período],L$44,Tabela367[Curso],CALC!$J$4,Tabela367[Disciplina],$B50)/SUMIFS(Tabela367[Presenças Previstas],Tabela367[Período],L$44,Tabela367[Curso],CALC!$J$4,Tabela367[Disciplina],$B50),"")))</f>
        <v/>
      </c>
      <c r="M50" s="207">
        <f>IF(OR(M$44="",$B50=""),"",IF(COUNTIFS(Tabela367[Período],M$44,Tabela367[Curso],CALC!$J$4,Tabela367[Disciplina],$B50)=0,"",IFERROR(SUMIFS(Tabela367[Presenças Registradas],Tabela367[Período],M$44,Tabela367[Curso],CALC!$J$4,Tabela367[Disciplina],$B50)/SUMIFS(Tabela367[Presenças Previstas],Tabela367[Período],M$44,Tabela367[Curso],CALC!$J$4,Tabela367[Disciplina],$B50),"")))</f>
        <v/>
      </c>
      <c r="N50" s="207">
        <f>IF(OR(N$44="",$B50=""),"",IF(COUNTIFS(Tabela367[Período],N$44,Tabela367[Curso],CALC!$J$4,Tabela367[Disciplina],$B50)=0,"",IFERROR(SUMIFS(Tabela367[Presenças Registradas],Tabela367[Período],N$44,Tabela367[Curso],CALC!$J$4,Tabela367[Disciplina],$B50)/SUMIFS(Tabela367[Presenças Previstas],Tabela367[Período],N$44,Tabela367[Curso],CALC!$J$4,Tabela367[Disciplina],$B50),"")))</f>
        <v/>
      </c>
    </row>
    <row r="51" ht="15" customHeight="1" s="131">
      <c r="A51" s="209">
        <f>IF($B51="","",CALC!$J$4)</f>
        <v/>
      </c>
      <c r="B51" s="167">
        <f>IFERROR(INDEX(DISCIPLINAS!$B$5:$B$101,SMALL(IF(DISCIPLINAS!$A$5:$A$101=CALC!$J$4,ROW(DISCIPLINAS!$A$5:$A$101)-5+1),7)),"")</f>
        <v/>
      </c>
      <c r="C51" s="207">
        <f>IF(OR(C$44="",$B51=""),"",IF(COUNTIFS(Tabela367[Período],C$44,Tabela367[Curso],CALC!$J$4,Tabela367[Disciplina],$B51)=0,"",IFERROR(SUMIFS(Tabela367[Presenças Registradas],Tabela367[Período],C$44,Tabela367[Curso],CALC!$J$4,Tabela367[Disciplina],$B51)/SUMIFS(Tabela367[Presenças Previstas],Tabela367[Período],C$44,Tabela367[Curso],CALC!$J$4,Tabela367[Disciplina],$B51),"")))</f>
        <v/>
      </c>
      <c r="D51" s="207">
        <f>IF(OR(D$44="",$B51=""),"",IF(COUNTIFS(Tabela367[Período],D$44,Tabela367[Curso],CALC!$J$4,Tabela367[Disciplina],$B51)=0,"",IFERROR(SUMIFS(Tabela367[Presenças Registradas],Tabela367[Período],D$44,Tabela367[Curso],CALC!$J$4,Tabela367[Disciplina],$B51)/SUMIFS(Tabela367[Presenças Previstas],Tabela367[Período],D$44,Tabela367[Curso],CALC!$J$4,Tabela367[Disciplina],$B51),"")))</f>
        <v/>
      </c>
      <c r="E51" s="207">
        <f>IF(OR(E$44="",$B51=""),"",IF(COUNTIFS(Tabela367[Período],E$44,Tabela367[Curso],CALC!$J$4,Tabela367[Disciplina],$B51)=0,"",IFERROR(SUMIFS(Tabela367[Presenças Registradas],Tabela367[Período],E$44,Tabela367[Curso],CALC!$J$4,Tabela367[Disciplina],$B51)/SUMIFS(Tabela367[Presenças Previstas],Tabela367[Período],E$44,Tabela367[Curso],CALC!$J$4,Tabela367[Disciplina],$B51),"")))</f>
        <v/>
      </c>
      <c r="F51" s="207">
        <f>IF(OR(F$44="",$B51=""),"",IF(COUNTIFS(Tabela367[Período],F$44,Tabela367[Curso],CALC!$J$4,Tabela367[Disciplina],$B51)=0,"",IFERROR(SUMIFS(Tabela367[Presenças Registradas],Tabela367[Período],F$44,Tabela367[Curso],CALC!$J$4,Tabela367[Disciplina],$B51)/SUMIFS(Tabela367[Presenças Previstas],Tabela367[Período],F$44,Tabela367[Curso],CALC!$J$4,Tabela367[Disciplina],$B51),"")))</f>
        <v/>
      </c>
      <c r="G51" s="207">
        <f>IF(OR(G$44="",$B51=""),"",IF(COUNTIFS(Tabela367[Período],G$44,Tabela367[Curso],CALC!$J$4,Tabela367[Disciplina],$B51)=0,"",IFERROR(SUMIFS(Tabela367[Presenças Registradas],Tabela367[Período],G$44,Tabela367[Curso],CALC!$J$4,Tabela367[Disciplina],$B51)/SUMIFS(Tabela367[Presenças Previstas],Tabela367[Período],G$44,Tabela367[Curso],CALC!$J$4,Tabela367[Disciplina],$B51),"")))</f>
        <v/>
      </c>
      <c r="H51" s="207">
        <f>IF(OR(H$44="",$B51=""),"",IF(COUNTIFS(Tabela367[Período],H$44,Tabela367[Curso],CALC!$J$4,Tabela367[Disciplina],$B51)=0,"",IFERROR(SUMIFS(Tabela367[Presenças Registradas],Tabela367[Período],H$44,Tabela367[Curso],CALC!$J$4,Tabela367[Disciplina],$B51)/SUMIFS(Tabela367[Presenças Previstas],Tabela367[Período],H$44,Tabela367[Curso],CALC!$J$4,Tabela367[Disciplina],$B51),"")))</f>
        <v/>
      </c>
      <c r="I51" s="207">
        <f>IF(OR(I$44="",$B51=""),"",IF(COUNTIFS(Tabela367[Período],I$44,Tabela367[Curso],CALC!$J$4,Tabela367[Disciplina],$B51)=0,"",IFERROR(SUMIFS(Tabela367[Presenças Registradas],Tabela367[Período],I$44,Tabela367[Curso],CALC!$J$4,Tabela367[Disciplina],$B51)/SUMIFS(Tabela367[Presenças Previstas],Tabela367[Período],I$44,Tabela367[Curso],CALC!$J$4,Tabela367[Disciplina],$B51),"")))</f>
        <v/>
      </c>
      <c r="J51" s="207">
        <f>IF(OR(J$44="",$B51=""),"",IF(COUNTIFS(Tabela367[Período],J$44,Tabela367[Curso],CALC!$J$4,Tabela367[Disciplina],$B51)=0,"",IFERROR(SUMIFS(Tabela367[Presenças Registradas],Tabela367[Período],J$44,Tabela367[Curso],CALC!$J$4,Tabela367[Disciplina],$B51)/SUMIFS(Tabela367[Presenças Previstas],Tabela367[Período],J$44,Tabela367[Curso],CALC!$J$4,Tabela367[Disciplina],$B51),"")))</f>
        <v/>
      </c>
      <c r="K51" s="207">
        <f>IF(OR(K$44="",$B51=""),"",IF(COUNTIFS(Tabela367[Período],K$44,Tabela367[Curso],CALC!$J$4,Tabela367[Disciplina],$B51)=0,"",IFERROR(SUMIFS(Tabela367[Presenças Registradas],Tabela367[Período],K$44,Tabela367[Curso],CALC!$J$4,Tabela367[Disciplina],$B51)/SUMIFS(Tabela367[Presenças Previstas],Tabela367[Período],K$44,Tabela367[Curso],CALC!$J$4,Tabela367[Disciplina],$B51),"")))</f>
        <v/>
      </c>
      <c r="L51" s="207">
        <f>IF(OR(L$44="",$B51=""),"",IF(COUNTIFS(Tabela367[Período],L$44,Tabela367[Curso],CALC!$J$4,Tabela367[Disciplina],$B51)=0,"",IFERROR(SUMIFS(Tabela367[Presenças Registradas],Tabela367[Período],L$44,Tabela367[Curso],CALC!$J$4,Tabela367[Disciplina],$B51)/SUMIFS(Tabela367[Presenças Previstas],Tabela367[Período],L$44,Tabela367[Curso],CALC!$J$4,Tabela367[Disciplina],$B51),"")))</f>
        <v/>
      </c>
      <c r="M51" s="207">
        <f>IF(OR(M$44="",$B51=""),"",IF(COUNTIFS(Tabela367[Período],M$44,Tabela367[Curso],CALC!$J$4,Tabela367[Disciplina],$B51)=0,"",IFERROR(SUMIFS(Tabela367[Presenças Registradas],Tabela367[Período],M$44,Tabela367[Curso],CALC!$J$4,Tabela367[Disciplina],$B51)/SUMIFS(Tabela367[Presenças Previstas],Tabela367[Período],M$44,Tabela367[Curso],CALC!$J$4,Tabela367[Disciplina],$B51),"")))</f>
        <v/>
      </c>
      <c r="N51" s="207">
        <f>IF(OR(N$44="",$B51=""),"",IF(COUNTIFS(Tabela367[Período],N$44,Tabela367[Curso],CALC!$J$4,Tabela367[Disciplina],$B51)=0,"",IFERROR(SUMIFS(Tabela367[Presenças Registradas],Tabela367[Período],N$44,Tabela367[Curso],CALC!$J$4,Tabela367[Disciplina],$B51)/SUMIFS(Tabela367[Presenças Previstas],Tabela367[Período],N$44,Tabela367[Curso],CALC!$J$4,Tabela367[Disciplina],$B51),"")))</f>
        <v/>
      </c>
    </row>
    <row r="52" ht="15" customHeight="1" s="131">
      <c r="A52" s="209">
        <f>IF($B52="","",CALC!$J$4)</f>
        <v/>
      </c>
      <c r="B52" s="167">
        <f>IFERROR(INDEX(DISCIPLINAS!$B$5:$B$101,SMALL(IF(DISCIPLINAS!$A$5:$A$101=CALC!$J$4,ROW(DISCIPLINAS!$A$5:$A$101)-5+1),8)),"")</f>
        <v/>
      </c>
      <c r="C52" s="207">
        <f>IF(OR(C$44="",$B52=""),"",IF(COUNTIFS(Tabela367[Período],C$44,Tabela367[Curso],CALC!$J$4,Tabela367[Disciplina],$B52)=0,"",IFERROR(SUMIFS(Tabela367[Presenças Registradas],Tabela367[Período],C$44,Tabela367[Curso],CALC!$J$4,Tabela367[Disciplina],$B52)/SUMIFS(Tabela367[Presenças Previstas],Tabela367[Período],C$44,Tabela367[Curso],CALC!$J$4,Tabela367[Disciplina],$B52),"")))</f>
        <v/>
      </c>
      <c r="D52" s="207">
        <f>IF(OR(D$44="",$B52=""),"",IF(COUNTIFS(Tabela367[Período],D$44,Tabela367[Curso],CALC!$J$4,Tabela367[Disciplina],$B52)=0,"",IFERROR(SUMIFS(Tabela367[Presenças Registradas],Tabela367[Período],D$44,Tabela367[Curso],CALC!$J$4,Tabela367[Disciplina],$B52)/SUMIFS(Tabela367[Presenças Previstas],Tabela367[Período],D$44,Tabela367[Curso],CALC!$J$4,Tabela367[Disciplina],$B52),"")))</f>
        <v/>
      </c>
      <c r="E52" s="207">
        <f>IF(OR(E$44="",$B52=""),"",IF(COUNTIFS(Tabela367[Período],E$44,Tabela367[Curso],CALC!$J$4,Tabela367[Disciplina],$B52)=0,"",IFERROR(SUMIFS(Tabela367[Presenças Registradas],Tabela367[Período],E$44,Tabela367[Curso],CALC!$J$4,Tabela367[Disciplina],$B52)/SUMIFS(Tabela367[Presenças Previstas],Tabela367[Período],E$44,Tabela367[Curso],CALC!$J$4,Tabela367[Disciplina],$B52),"")))</f>
        <v/>
      </c>
      <c r="F52" s="207">
        <f>IF(OR(F$44="",$B52=""),"",IF(COUNTIFS(Tabela367[Período],F$44,Tabela367[Curso],CALC!$J$4,Tabela367[Disciplina],$B52)=0,"",IFERROR(SUMIFS(Tabela367[Presenças Registradas],Tabela367[Período],F$44,Tabela367[Curso],CALC!$J$4,Tabela367[Disciplina],$B52)/SUMIFS(Tabela367[Presenças Previstas],Tabela367[Período],F$44,Tabela367[Curso],CALC!$J$4,Tabela367[Disciplina],$B52),"")))</f>
        <v/>
      </c>
      <c r="G52" s="207">
        <f>IF(OR(G$44="",$B52=""),"",IF(COUNTIFS(Tabela367[Período],G$44,Tabela367[Curso],CALC!$J$4,Tabela367[Disciplina],$B52)=0,"",IFERROR(SUMIFS(Tabela367[Presenças Registradas],Tabela367[Período],G$44,Tabela367[Curso],CALC!$J$4,Tabela367[Disciplina],$B52)/SUMIFS(Tabela367[Presenças Previstas],Tabela367[Período],G$44,Tabela367[Curso],CALC!$J$4,Tabela367[Disciplina],$B52),"")))</f>
        <v/>
      </c>
      <c r="H52" s="207">
        <f>IF(OR(H$44="",$B52=""),"",IF(COUNTIFS(Tabela367[Período],H$44,Tabela367[Curso],CALC!$J$4,Tabela367[Disciplina],$B52)=0,"",IFERROR(SUMIFS(Tabela367[Presenças Registradas],Tabela367[Período],H$44,Tabela367[Curso],CALC!$J$4,Tabela367[Disciplina],$B52)/SUMIFS(Tabela367[Presenças Previstas],Tabela367[Período],H$44,Tabela367[Curso],CALC!$J$4,Tabela367[Disciplina],$B52),"")))</f>
        <v/>
      </c>
      <c r="I52" s="207">
        <f>IF(OR(I$44="",$B52=""),"",IF(COUNTIFS(Tabela367[Período],I$44,Tabela367[Curso],CALC!$J$4,Tabela367[Disciplina],$B52)=0,"",IFERROR(SUMIFS(Tabela367[Presenças Registradas],Tabela367[Período],I$44,Tabela367[Curso],CALC!$J$4,Tabela367[Disciplina],$B52)/SUMIFS(Tabela367[Presenças Previstas],Tabela367[Período],I$44,Tabela367[Curso],CALC!$J$4,Tabela367[Disciplina],$B52),"")))</f>
        <v/>
      </c>
      <c r="J52" s="207">
        <f>IF(OR(J$44="",$B52=""),"",IF(COUNTIFS(Tabela367[Período],J$44,Tabela367[Curso],CALC!$J$4,Tabela367[Disciplina],$B52)=0,"",IFERROR(SUMIFS(Tabela367[Presenças Registradas],Tabela367[Período],J$44,Tabela367[Curso],CALC!$J$4,Tabela367[Disciplina],$B52)/SUMIFS(Tabela367[Presenças Previstas],Tabela367[Período],J$44,Tabela367[Curso],CALC!$J$4,Tabela367[Disciplina],$B52),"")))</f>
        <v/>
      </c>
      <c r="K52" s="207">
        <f>IF(OR(K$44="",$B52=""),"",IF(COUNTIFS(Tabela367[Período],K$44,Tabela367[Curso],CALC!$J$4,Tabela367[Disciplina],$B52)=0,"",IFERROR(SUMIFS(Tabela367[Presenças Registradas],Tabela367[Período],K$44,Tabela367[Curso],CALC!$J$4,Tabela367[Disciplina],$B52)/SUMIFS(Tabela367[Presenças Previstas],Tabela367[Período],K$44,Tabela367[Curso],CALC!$J$4,Tabela367[Disciplina],$B52),"")))</f>
        <v/>
      </c>
      <c r="L52" s="207">
        <f>IF(OR(L$44="",$B52=""),"",IF(COUNTIFS(Tabela367[Período],L$44,Tabela367[Curso],CALC!$J$4,Tabela367[Disciplina],$B52)=0,"",IFERROR(SUMIFS(Tabela367[Presenças Registradas],Tabela367[Período],L$44,Tabela367[Curso],CALC!$J$4,Tabela367[Disciplina],$B52)/SUMIFS(Tabela367[Presenças Previstas],Tabela367[Período],L$44,Tabela367[Curso],CALC!$J$4,Tabela367[Disciplina],$B52),"")))</f>
        <v/>
      </c>
      <c r="M52" s="207">
        <f>IF(OR(M$44="",$B52=""),"",IF(COUNTIFS(Tabela367[Período],M$44,Tabela367[Curso],CALC!$J$4,Tabela367[Disciplina],$B52)=0,"",IFERROR(SUMIFS(Tabela367[Presenças Registradas],Tabela367[Período],M$44,Tabela367[Curso],CALC!$J$4,Tabela367[Disciplina],$B52)/SUMIFS(Tabela367[Presenças Previstas],Tabela367[Período],M$44,Tabela367[Curso],CALC!$J$4,Tabela367[Disciplina],$B52),"")))</f>
        <v/>
      </c>
      <c r="N52" s="207">
        <f>IF(OR(N$44="",$B52=""),"",IF(COUNTIFS(Tabela367[Período],N$44,Tabela367[Curso],CALC!$J$4,Tabela367[Disciplina],$B52)=0,"",IFERROR(SUMIFS(Tabela367[Presenças Registradas],Tabela367[Período],N$44,Tabela367[Curso],CALC!$J$4,Tabela367[Disciplina],$B52)/SUMIFS(Tabela367[Presenças Previstas],Tabela367[Período],N$44,Tabela367[Curso],CALC!$J$4,Tabela367[Disciplina],$B52),"")))</f>
        <v/>
      </c>
    </row>
    <row r="53" ht="15" customHeight="1" s="131">
      <c r="A53" s="140" t="inlineStr">
        <is>
          <t>A coluna Disciplina usa fórmula matricial. Se aparecer vazia com o curso escolhido, confirme a aba DISCIPLINAS ou pressione Ctrl+Shift+Enter na célula.</t>
        </is>
      </c>
    </row>
  </sheetData>
  <mergeCells count="3">
    <mergeCell ref="A53:J53"/>
    <mergeCell ref="A2:AD2"/>
    <mergeCell ref="A1:AD1"/>
  </mergeCells>
  <conditionalFormatting sqref="R6:R14">
    <cfRule type="cellIs" rank="0" priority="2" equalAverage="0" operator="equal" aboveAverage="0" dxfId="1" text="" percent="0" bottom="0">
      <formula>"Dentro da meta"</formula>
    </cfRule>
    <cfRule type="cellIs" rank="0" priority="3" equalAverage="0" operator="equal" aboveAverage="0" dxfId="2" text="" percent="0" bottom="0">
      <formula>"Atenção"</formula>
    </cfRule>
    <cfRule type="cellIs" rank="0" priority="4" equalAverage="0" operator="equal" aboveAverage="0" dxfId="0" text="" percent="0" bottom="0">
      <formula>"Fora da meta"</formula>
    </cfRule>
  </conditionalFormatting>
  <conditionalFormatting sqref="R19:R27">
    <cfRule type="cellIs" rank="0" priority="5" equalAverage="0" operator="equal" aboveAverage="0" dxfId="1" text="" percent="0" bottom="0">
      <formula>"Dentro da meta"</formula>
    </cfRule>
    <cfRule type="cellIs" rank="0" priority="6" equalAverage="0" operator="equal" aboveAverage="0" dxfId="2" text="" percent="0" bottom="0">
      <formula>"Atenção"</formula>
    </cfRule>
    <cfRule type="cellIs" rank="0" priority="7" equalAverage="0" operator="equal" aboveAverage="0" dxfId="0" text="" percent="0" bottom="0">
      <formula>"Fora da meta"</formula>
    </cfRule>
  </conditionalFormatting>
  <conditionalFormatting sqref="R32:R40">
    <cfRule type="cellIs" rank="0" priority="8" equalAverage="0" operator="equal" aboveAverage="0" dxfId="1" text="" percent="0" bottom="0">
      <formula>"Dentro da meta"</formula>
    </cfRule>
    <cfRule type="cellIs" rank="0" priority="9" equalAverage="0" operator="equal" aboveAverage="0" dxfId="2" text="" percent="0" bottom="0">
      <formula>"Atenção"</formula>
    </cfRule>
    <cfRule type="cellIs" rank="0" priority="10" equalAverage="0" operator="equal" aboveAverage="0" dxfId="0" text="" percent="0" bottom="0">
      <formula>"Fora da meta"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563F"/>
    <outlinePr summaryBelow="1" summaryRight="1"/>
    <pageSetUpPr fitToPage="0"/>
  </sheetPr>
  <dimension ref="A1:N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130" min="1" max="1"/>
    <col width="13" customWidth="1" style="130" min="2" max="3"/>
    <col width="34" customWidth="1" style="130" min="4" max="4"/>
    <col width="13" customWidth="1" style="130" min="5" max="6"/>
    <col width="32" customWidth="1" style="130" min="7" max="8"/>
    <col width="38" customWidth="1" style="130" min="9" max="9"/>
    <col width="22" customWidth="1" style="130" min="10" max="10"/>
    <col width="13" customWidth="1" style="130" min="11" max="11"/>
    <col width="26" customWidth="1" style="130" min="12" max="12"/>
    <col width="16" customWidth="1" style="130" min="13" max="13"/>
    <col width="14" customWidth="1" style="130" min="14" max="14"/>
  </cols>
  <sheetData>
    <row r="1" ht="24" customHeight="1" s="131">
      <c r="A1" s="132" t="inlineStr">
        <is>
          <t>PLANO DE AÇÃO — OBRIGATÓRIO PARA RECORTE FORA DA META</t>
        </is>
      </c>
    </row>
    <row r="2" ht="30" customHeight="1" s="131">
      <c r="A2" s="133" t="inlineStr">
        <is>
          <t>Abrir em até 5 dias úteis após a Reunião Mensal. O recorte pode ser a área, um curso ou 'Curso » Disciplina'.</t>
        </is>
      </c>
    </row>
    <row r="4" ht="115.5" customHeight="1" s="131">
      <c r="A4" s="137" t="inlineStr">
        <is>
          <t>COBERTURA NO MÊS DE REFERÊNCIA</t>
        </is>
      </c>
    </row>
    <row r="5" ht="24" customHeight="1" s="131">
      <c r="A5" s="210" t="inlineStr">
        <is>
          <t>Recortes fora da meta</t>
        </is>
      </c>
      <c r="B5" s="211">
        <f>COUNTIF(CALC!$K$41:$K$49,"Fora da meta")+COUNTIF(CALC!$J$37,"Fora da meta")+COUNTIF(CALC!$H$74:$H$82,"Fora da meta")+COUNTIF(CALC!$J$70,"Fora da meta")+COUNTIF(CALC!$I$107:$I$115,"Fora da meta")+COUNTIF(CALC!$J$103,"Fora da meta")+COUNTIF(CALC!$H$121:$H$158,"Fora da meta")</f>
        <v/>
      </c>
      <c r="C5" s="210" t="inlineStr">
        <is>
          <t>Planos abertos</t>
        </is>
      </c>
      <c r="D5" s="211">
        <f>COUNTIFS($B$9:$B$308,PARAMETROS!$B$7)</f>
        <v/>
      </c>
      <c r="E5" s="210" t="inlineStr">
        <is>
          <t>Cobertura</t>
        </is>
      </c>
      <c r="F5" s="212">
        <f>IF($B$5=0,"—",IFERROR($D$5/$B$5,""))</f>
        <v/>
      </c>
      <c r="G5" s="213">
        <f>IF($B$5=0,"Nenhum recorte fora da meta neste mês.",IF($D$5&gt;=$B$5,"Cobertura completa.","FALTAM PLANOS: há recorte fora da meta sem plano de ação aberto."))</f>
        <v/>
      </c>
      <c r="H5" s="148" t="n"/>
      <c r="I5" s="148" t="n"/>
      <c r="J5" s="148" t="n"/>
      <c r="K5" s="148" t="n"/>
      <c r="L5" s="148" t="n"/>
      <c r="M5" s="148" t="n"/>
      <c r="N5" s="149" t="n"/>
    </row>
    <row r="8" ht="33.75" customHeight="1" s="131">
      <c r="A8" s="200" t="inlineStr">
        <is>
          <t>Nº</t>
        </is>
      </c>
      <c r="B8" s="200" t="inlineStr">
        <is>
          <t>Mês</t>
        </is>
      </c>
      <c r="C8" s="200" t="inlineStr">
        <is>
          <t>KPI</t>
        </is>
      </c>
      <c r="D8" s="200" t="inlineStr">
        <is>
          <t>Recorte afetado</t>
        </is>
      </c>
      <c r="E8" s="200" t="inlineStr">
        <is>
          <t>Resultado</t>
        </is>
      </c>
      <c r="F8" s="200" t="inlineStr">
        <is>
          <t>Meta</t>
        </is>
      </c>
      <c r="G8" s="200" t="inlineStr">
        <is>
          <t>Problema identificado</t>
        </is>
      </c>
      <c r="H8" s="200" t="inlineStr">
        <is>
          <t>Causa provável</t>
        </is>
      </c>
      <c r="I8" s="200" t="inlineStr">
        <is>
          <t>Ação corretiva</t>
        </is>
      </c>
      <c r="J8" s="200" t="inlineStr">
        <is>
          <t>Responsável</t>
        </is>
      </c>
      <c r="K8" s="200" t="inlineStr">
        <is>
          <t>Prazo</t>
        </is>
      </c>
      <c r="L8" s="200" t="inlineStr">
        <is>
          <t>Meta da ação</t>
        </is>
      </c>
      <c r="M8" s="200" t="inlineStr">
        <is>
          <t>Status</t>
        </is>
      </c>
      <c r="N8" s="200" t="inlineStr">
        <is>
          <t>Dias p/ o prazo</t>
        </is>
      </c>
    </row>
    <row r="9" ht="45.75" customHeight="1" s="131">
      <c r="A9" s="214" t="n"/>
      <c r="B9" s="214" t="n"/>
      <c r="C9" s="214" t="n"/>
      <c r="D9" s="215" t="n"/>
      <c r="E9" s="214" t="n"/>
      <c r="F9" s="214" t="n"/>
      <c r="G9" s="215" t="n"/>
      <c r="H9" s="215" t="n"/>
      <c r="I9" s="215" t="n"/>
      <c r="J9" s="215" t="n"/>
      <c r="K9" s="214" t="n"/>
      <c r="L9" s="215" t="n"/>
      <c r="M9" s="214" t="n"/>
      <c r="N9" s="164">
        <f>IF($K9="","",IF($M9="Concluído","—",DATEVALUE($K9)-TODAY()))</f>
        <v/>
      </c>
    </row>
    <row r="10" ht="45.75" customHeight="1" s="131">
      <c r="A10" s="214" t="n"/>
      <c r="B10" s="214" t="n"/>
      <c r="C10" s="214" t="n"/>
      <c r="D10" s="215" t="n"/>
      <c r="E10" s="214" t="n"/>
      <c r="F10" s="214" t="n"/>
      <c r="G10" s="215" t="n"/>
      <c r="H10" s="215" t="n"/>
      <c r="I10" s="215" t="n"/>
      <c r="J10" s="215" t="n"/>
      <c r="K10" s="214" t="n"/>
      <c r="L10" s="215" t="n"/>
      <c r="M10" s="214" t="n"/>
      <c r="N10" s="164">
        <f>IF($K10="","",IF($M10="Concluído","—",DATEVALUE($K10)-TODAY()))</f>
        <v/>
      </c>
    </row>
    <row r="11" ht="45.75" customHeight="1" s="131">
      <c r="A11" s="214" t="n"/>
      <c r="B11" s="214" t="n"/>
      <c r="C11" s="214" t="n"/>
      <c r="D11" s="215" t="n"/>
      <c r="E11" s="214" t="n"/>
      <c r="F11" s="214" t="n"/>
      <c r="G11" s="215" t="n"/>
      <c r="H11" s="215" t="n"/>
      <c r="I11" s="215" t="n"/>
      <c r="J11" s="215" t="n"/>
      <c r="K11" s="214" t="n"/>
      <c r="L11" s="215" t="n"/>
      <c r="M11" s="214" t="n"/>
      <c r="N11" s="164">
        <f>IF($K11="","",IF($M11="Concluído","—",DATEVALUE($K11)-TODAY()))</f>
        <v/>
      </c>
    </row>
    <row r="12" ht="45.75" customHeight="1" s="131">
      <c r="A12" s="214" t="n"/>
      <c r="B12" s="214" t="n"/>
      <c r="C12" s="214" t="n"/>
      <c r="D12" s="215" t="n"/>
      <c r="E12" s="214" t="n"/>
      <c r="F12" s="214" t="n"/>
      <c r="G12" s="215" t="n"/>
      <c r="H12" s="215" t="n"/>
      <c r="I12" s="215" t="n"/>
      <c r="J12" s="215" t="n"/>
      <c r="K12" s="214" t="n"/>
      <c r="L12" s="215" t="n"/>
      <c r="M12" s="214" t="n"/>
      <c r="N12" s="164">
        <f>IF($K12="","",IF($M12="Concluído","—",DATEVALUE($K12)-TODAY()))</f>
        <v/>
      </c>
    </row>
    <row r="13" ht="45.75" customHeight="1" s="131">
      <c r="A13" s="214" t="n"/>
      <c r="B13" s="214" t="n"/>
      <c r="C13" s="214" t="n"/>
      <c r="D13" s="215" t="n"/>
      <c r="E13" s="214" t="n"/>
      <c r="F13" s="214" t="n"/>
      <c r="G13" s="215" t="n"/>
      <c r="H13" s="215" t="n"/>
      <c r="I13" s="215" t="n"/>
      <c r="J13" s="215" t="n"/>
      <c r="K13" s="214" t="n"/>
      <c r="L13" s="215" t="n"/>
      <c r="M13" s="214" t="n"/>
      <c r="N13" s="164">
        <f>IF($K13="","",IF($M13="Concluído","—",DATEVALUE($K13)-TODAY()))</f>
        <v/>
      </c>
    </row>
    <row r="14" ht="45.75" customHeight="1" s="131">
      <c r="A14" s="214" t="n"/>
      <c r="B14" s="214" t="n"/>
      <c r="C14" s="214" t="n"/>
      <c r="D14" s="215" t="n"/>
      <c r="E14" s="214" t="n"/>
      <c r="F14" s="214" t="n"/>
      <c r="G14" s="215" t="n"/>
      <c r="H14" s="215" t="n"/>
      <c r="I14" s="215" t="n"/>
      <c r="J14" s="215" t="n"/>
      <c r="K14" s="214" t="n"/>
      <c r="L14" s="215" t="n"/>
      <c r="M14" s="214" t="n"/>
      <c r="N14" s="164">
        <f>IF($K14="","",IF($M14="Concluído","—",DATEVALUE($K14)-TODAY()))</f>
        <v/>
      </c>
    </row>
    <row r="15" ht="45.75" customHeight="1" s="131">
      <c r="A15" s="214" t="n"/>
      <c r="B15" s="214" t="n"/>
      <c r="C15" s="214" t="n"/>
      <c r="D15" s="215" t="n"/>
      <c r="E15" s="214" t="n"/>
      <c r="F15" s="214" t="n"/>
      <c r="G15" s="215" t="n"/>
      <c r="H15" s="215" t="n"/>
      <c r="I15" s="215" t="n"/>
      <c r="J15" s="215" t="n"/>
      <c r="K15" s="214" t="n"/>
      <c r="L15" s="215" t="n"/>
      <c r="M15" s="214" t="n"/>
      <c r="N15" s="164">
        <f>IF($K15="","",IF($M15="Concluído","—",DATEVALUE($K15)-TODAY()))</f>
        <v/>
      </c>
    </row>
    <row r="16" ht="30" customHeight="1" s="131">
      <c r="A16" s="216" t="n"/>
      <c r="B16" s="216" t="n"/>
      <c r="C16" s="216" t="n"/>
      <c r="D16" s="217" t="n"/>
      <c r="E16" s="216" t="n"/>
      <c r="F16" s="216" t="n"/>
      <c r="G16" s="217" t="n"/>
      <c r="H16" s="217" t="n"/>
      <c r="I16" s="217" t="n"/>
      <c r="J16" s="217" t="n"/>
      <c r="K16" s="216" t="n"/>
      <c r="L16" s="217" t="n"/>
      <c r="M16" s="216" t="n"/>
      <c r="N16" s="164">
        <f>IF($K16="","",IF($M16="Concluído","—",DATEVALUE($K16)-TODAY()))</f>
        <v/>
      </c>
    </row>
    <row r="17" ht="30" customHeight="1" s="131">
      <c r="A17" s="216" t="n"/>
      <c r="B17" s="216" t="n"/>
      <c r="C17" s="216" t="n"/>
      <c r="D17" s="217" t="n"/>
      <c r="E17" s="216" t="n"/>
      <c r="F17" s="216" t="n"/>
      <c r="G17" s="217" t="n"/>
      <c r="H17" s="217" t="n"/>
      <c r="I17" s="217" t="n"/>
      <c r="J17" s="217" t="n"/>
      <c r="K17" s="216" t="n"/>
      <c r="L17" s="217" t="n"/>
      <c r="M17" s="216" t="n"/>
      <c r="N17" s="164">
        <f>IF($K17="","",IF($M17="Concluído","—",DATEVALUE($K17)-TODAY()))</f>
        <v/>
      </c>
    </row>
    <row r="18" ht="30" customHeight="1" s="131">
      <c r="A18" s="216" t="n"/>
      <c r="B18" s="216" t="n"/>
      <c r="C18" s="216" t="n"/>
      <c r="D18" s="217" t="n"/>
      <c r="E18" s="216" t="n"/>
      <c r="F18" s="216" t="n"/>
      <c r="G18" s="217" t="n"/>
      <c r="H18" s="217" t="n"/>
      <c r="I18" s="217" t="n"/>
      <c r="J18" s="217" t="n"/>
      <c r="K18" s="216" t="n"/>
      <c r="L18" s="217" t="n"/>
      <c r="M18" s="216" t="n"/>
      <c r="N18" s="164">
        <f>IF($K18="","",IF($M18="Concluído","—",DATEVALUE($K18)-TODAY()))</f>
        <v/>
      </c>
    </row>
    <row r="19" ht="30" customHeight="1" s="131">
      <c r="A19" s="216" t="n"/>
      <c r="B19" s="216" t="n"/>
      <c r="C19" s="216" t="n"/>
      <c r="D19" s="217" t="n"/>
      <c r="E19" s="216" t="n"/>
      <c r="F19" s="216" t="n"/>
      <c r="G19" s="217" t="n"/>
      <c r="H19" s="217" t="n"/>
      <c r="I19" s="217" t="n"/>
      <c r="J19" s="217" t="n"/>
      <c r="K19" s="216" t="n"/>
      <c r="L19" s="217" t="n"/>
      <c r="M19" s="216" t="n"/>
      <c r="N19" s="164">
        <f>IF($K19="","",IF($M19="Concluído","—",DATEVALUE($K19)-TODAY()))</f>
        <v/>
      </c>
    </row>
    <row r="20" ht="30" customHeight="1" s="131">
      <c r="A20" s="216" t="n"/>
      <c r="B20" s="216" t="n"/>
      <c r="C20" s="216" t="n"/>
      <c r="D20" s="217" t="n"/>
      <c r="E20" s="216" t="n"/>
      <c r="F20" s="216" t="n"/>
      <c r="G20" s="217" t="n"/>
      <c r="H20" s="217" t="n"/>
      <c r="I20" s="217" t="n"/>
      <c r="J20" s="217" t="n"/>
      <c r="K20" s="216" t="n"/>
      <c r="L20" s="217" t="n"/>
      <c r="M20" s="216" t="n"/>
      <c r="N20" s="164">
        <f>IF($K20="","",IF($M20="Concluído","—",DATEVALUE($K20)-TODAY()))</f>
        <v/>
      </c>
    </row>
    <row r="21" ht="30" customHeight="1" s="131">
      <c r="A21" s="216" t="n"/>
      <c r="B21" s="216" t="n"/>
      <c r="C21" s="216" t="n"/>
      <c r="D21" s="217" t="n"/>
      <c r="E21" s="216" t="n"/>
      <c r="F21" s="216" t="n"/>
      <c r="G21" s="217" t="n"/>
      <c r="H21" s="217" t="n"/>
      <c r="I21" s="217" t="n"/>
      <c r="J21" s="217" t="n"/>
      <c r="K21" s="216" t="n"/>
      <c r="L21" s="217" t="n"/>
      <c r="M21" s="216" t="n"/>
      <c r="N21" s="164">
        <f>IF($K21="","",IF($M21="Concluído","—",DATEVALUE($K21)-TODAY()))</f>
        <v/>
      </c>
    </row>
    <row r="22" ht="30" customHeight="1" s="131">
      <c r="A22" s="216" t="n"/>
      <c r="B22" s="216" t="n"/>
      <c r="C22" s="216" t="n"/>
      <c r="D22" s="217" t="n"/>
      <c r="E22" s="216" t="n"/>
      <c r="F22" s="216" t="n"/>
      <c r="G22" s="217" t="n"/>
      <c r="H22" s="217" t="n"/>
      <c r="I22" s="217" t="n"/>
      <c r="J22" s="217" t="n"/>
      <c r="K22" s="216" t="n"/>
      <c r="L22" s="217" t="n"/>
      <c r="M22" s="216" t="n"/>
      <c r="N22" s="164">
        <f>IF($K22="","",IF($M22="Concluído","—",DATEVALUE($K22)-TODAY()))</f>
        <v/>
      </c>
    </row>
    <row r="23" ht="30" customHeight="1" s="131">
      <c r="A23" s="216" t="n"/>
      <c r="B23" s="216" t="n"/>
      <c r="C23" s="216" t="n"/>
      <c r="D23" s="217" t="n"/>
      <c r="E23" s="216" t="n"/>
      <c r="F23" s="216" t="n"/>
      <c r="G23" s="217" t="n"/>
      <c r="H23" s="217" t="n"/>
      <c r="I23" s="217" t="n"/>
      <c r="J23" s="217" t="n"/>
      <c r="K23" s="216" t="n"/>
      <c r="L23" s="217" t="n"/>
      <c r="M23" s="216" t="n"/>
      <c r="N23" s="164">
        <f>IF($K23="","",IF($M23="Concluído","—",DATEVALUE($K23)-TODAY()))</f>
        <v/>
      </c>
    </row>
    <row r="24" ht="30" customHeight="1" s="131">
      <c r="A24" s="216" t="n"/>
      <c r="B24" s="216" t="n"/>
      <c r="C24" s="216" t="n"/>
      <c r="D24" s="217" t="n"/>
      <c r="E24" s="216" t="n"/>
      <c r="F24" s="216" t="n"/>
      <c r="G24" s="217" t="n"/>
      <c r="H24" s="217" t="n"/>
      <c r="I24" s="217" t="n"/>
      <c r="J24" s="217" t="n"/>
      <c r="K24" s="216" t="n"/>
      <c r="L24" s="217" t="n"/>
      <c r="M24" s="216" t="n"/>
      <c r="N24" s="164">
        <f>IF($K24="","",IF($M24="Concluído","—",DATEVALUE($K24)-TODAY()))</f>
        <v/>
      </c>
    </row>
    <row r="25" ht="30" customHeight="1" s="131">
      <c r="A25" s="216" t="n"/>
      <c r="B25" s="216" t="n"/>
      <c r="C25" s="216" t="n"/>
      <c r="D25" s="217" t="n"/>
      <c r="E25" s="216" t="n"/>
      <c r="F25" s="216" t="n"/>
      <c r="G25" s="217" t="n"/>
      <c r="H25" s="217" t="n"/>
      <c r="I25" s="217" t="n"/>
      <c r="J25" s="217" t="n"/>
      <c r="K25" s="216" t="n"/>
      <c r="L25" s="217" t="n"/>
      <c r="M25" s="216" t="n"/>
      <c r="N25" s="164">
        <f>IF($K25="","",IF($M25="Concluído","—",DATEVALUE($K25)-TODAY()))</f>
        <v/>
      </c>
    </row>
    <row r="26" ht="30" customHeight="1" s="131">
      <c r="A26" s="216" t="n"/>
      <c r="B26" s="216" t="n"/>
      <c r="C26" s="216" t="n"/>
      <c r="D26" s="217" t="n"/>
      <c r="E26" s="216" t="n"/>
      <c r="F26" s="216" t="n"/>
      <c r="G26" s="217" t="n"/>
      <c r="H26" s="217" t="n"/>
      <c r="I26" s="217" t="n"/>
      <c r="J26" s="217" t="n"/>
      <c r="K26" s="216" t="n"/>
      <c r="L26" s="217" t="n"/>
      <c r="M26" s="216" t="n"/>
      <c r="N26" s="164">
        <f>IF($K26="","",IF($M26="Concluído","—",DATEVALUE($K26)-TODAY()))</f>
        <v/>
      </c>
    </row>
    <row r="27" ht="30" customHeight="1" s="131">
      <c r="A27" s="216" t="n"/>
      <c r="B27" s="216" t="n"/>
      <c r="C27" s="216" t="n"/>
      <c r="D27" s="217" t="n"/>
      <c r="E27" s="216" t="n"/>
      <c r="F27" s="216" t="n"/>
      <c r="G27" s="217" t="n"/>
      <c r="H27" s="217" t="n"/>
      <c r="I27" s="217" t="n"/>
      <c r="J27" s="217" t="n"/>
      <c r="K27" s="216" t="n"/>
      <c r="L27" s="217" t="n"/>
      <c r="M27" s="216" t="n"/>
      <c r="N27" s="164">
        <f>IF($K27="","",IF($M27="Concluído","—",DATEVALUE($K27)-TODAY()))</f>
        <v/>
      </c>
    </row>
    <row r="28" ht="30" customHeight="1" s="131">
      <c r="A28" s="216" t="n"/>
      <c r="B28" s="216" t="n"/>
      <c r="C28" s="216" t="n"/>
      <c r="D28" s="217" t="n"/>
      <c r="E28" s="216" t="n"/>
      <c r="F28" s="216" t="n"/>
      <c r="G28" s="217" t="n"/>
      <c r="H28" s="217" t="n"/>
      <c r="I28" s="217" t="n"/>
      <c r="J28" s="217" t="n"/>
      <c r="K28" s="216" t="n"/>
      <c r="L28" s="217" t="n"/>
      <c r="M28" s="216" t="n"/>
      <c r="N28" s="164">
        <f>IF($K28="","",IF($M28="Concluído","—",DATEVALUE($K28)-TODAY()))</f>
        <v/>
      </c>
    </row>
    <row r="29" ht="30" customHeight="1" s="131">
      <c r="A29" s="216" t="n"/>
      <c r="B29" s="216" t="n"/>
      <c r="C29" s="216" t="n"/>
      <c r="D29" s="217" t="n"/>
      <c r="E29" s="216" t="n"/>
      <c r="F29" s="216" t="n"/>
      <c r="G29" s="217" t="n"/>
      <c r="H29" s="217" t="n"/>
      <c r="I29" s="217" t="n"/>
      <c r="J29" s="217" t="n"/>
      <c r="K29" s="216" t="n"/>
      <c r="L29" s="217" t="n"/>
      <c r="M29" s="216" t="n"/>
      <c r="N29" s="164">
        <f>IF($K29="","",IF($M29="Concluído","—",DATEVALUE($K29)-TODAY()))</f>
        <v/>
      </c>
    </row>
    <row r="30" ht="30" customHeight="1" s="131">
      <c r="A30" s="216" t="n"/>
      <c r="B30" s="216" t="n"/>
      <c r="C30" s="216" t="n"/>
      <c r="D30" s="217" t="n"/>
      <c r="E30" s="216" t="n"/>
      <c r="F30" s="216" t="n"/>
      <c r="G30" s="217" t="n"/>
      <c r="H30" s="217" t="n"/>
      <c r="I30" s="217" t="n"/>
      <c r="J30" s="217" t="n"/>
      <c r="K30" s="216" t="n"/>
      <c r="L30" s="217" t="n"/>
      <c r="M30" s="216" t="n"/>
      <c r="N30" s="164">
        <f>IF($K30="","",IF($M30="Concluído","—",DATEVALUE($K30)-TODAY()))</f>
        <v/>
      </c>
    </row>
    <row r="31" ht="30" customHeight="1" s="131">
      <c r="A31" s="216" t="n"/>
      <c r="B31" s="216" t="n"/>
      <c r="C31" s="216" t="n"/>
      <c r="D31" s="217" t="n"/>
      <c r="E31" s="216" t="n"/>
      <c r="F31" s="216" t="n"/>
      <c r="G31" s="217" t="n"/>
      <c r="H31" s="217" t="n"/>
      <c r="I31" s="217" t="n"/>
      <c r="J31" s="217" t="n"/>
      <c r="K31" s="216" t="n"/>
      <c r="L31" s="217" t="n"/>
      <c r="M31" s="216" t="n"/>
      <c r="N31" s="164">
        <f>IF($K31="","",IF($M31="Concluído","—",DATEVALUE($K31)-TODAY()))</f>
        <v/>
      </c>
    </row>
    <row r="32" ht="30" customHeight="1" s="131">
      <c r="A32" s="216" t="n"/>
      <c r="B32" s="216" t="n"/>
      <c r="C32" s="216" t="n"/>
      <c r="D32" s="217" t="n"/>
      <c r="E32" s="216" t="n"/>
      <c r="F32" s="216" t="n"/>
      <c r="G32" s="217" t="n"/>
      <c r="H32" s="217" t="n"/>
      <c r="I32" s="217" t="n"/>
      <c r="J32" s="217" t="n"/>
      <c r="K32" s="216" t="n"/>
      <c r="L32" s="217" t="n"/>
      <c r="M32" s="216" t="n"/>
      <c r="N32" s="164">
        <f>IF($K32="","",IF($M32="Concluído","—",DATEVALUE($K32)-TODAY()))</f>
        <v/>
      </c>
    </row>
    <row r="33" ht="30" customHeight="1" s="131">
      <c r="A33" s="216" t="n"/>
      <c r="B33" s="216" t="n"/>
      <c r="C33" s="216" t="n"/>
      <c r="D33" s="217" t="n"/>
      <c r="E33" s="216" t="n"/>
      <c r="F33" s="216" t="n"/>
      <c r="G33" s="217" t="n"/>
      <c r="H33" s="217" t="n"/>
      <c r="I33" s="217" t="n"/>
      <c r="J33" s="217" t="n"/>
      <c r="K33" s="216" t="n"/>
      <c r="L33" s="217" t="n"/>
      <c r="M33" s="216" t="n"/>
      <c r="N33" s="164">
        <f>IF($K33="","",IF($M33="Concluído","—",DATEVALUE($K33)-TODAY()))</f>
        <v/>
      </c>
    </row>
    <row r="34" ht="30" customHeight="1" s="131">
      <c r="A34" s="216" t="n"/>
      <c r="B34" s="216" t="n"/>
      <c r="C34" s="216" t="n"/>
      <c r="D34" s="217" t="n"/>
      <c r="E34" s="216" t="n"/>
      <c r="F34" s="216" t="n"/>
      <c r="G34" s="217" t="n"/>
      <c r="H34" s="217" t="n"/>
      <c r="I34" s="217" t="n"/>
      <c r="J34" s="217" t="n"/>
      <c r="K34" s="216" t="n"/>
      <c r="L34" s="217" t="n"/>
      <c r="M34" s="216" t="n"/>
      <c r="N34" s="164">
        <f>IF($K34="","",IF($M34="Concluído","—",DATEVALUE($K34)-TODAY()))</f>
        <v/>
      </c>
    </row>
    <row r="35" ht="30" customHeight="1" s="131">
      <c r="A35" s="216" t="n"/>
      <c r="B35" s="216" t="n"/>
      <c r="C35" s="216" t="n"/>
      <c r="D35" s="217" t="n"/>
      <c r="E35" s="216" t="n"/>
      <c r="F35" s="216" t="n"/>
      <c r="G35" s="217" t="n"/>
      <c r="H35" s="217" t="n"/>
      <c r="I35" s="217" t="n"/>
      <c r="J35" s="217" t="n"/>
      <c r="K35" s="216" t="n"/>
      <c r="L35" s="217" t="n"/>
      <c r="M35" s="216" t="n"/>
      <c r="N35" s="164">
        <f>IF($K35="","",IF($M35="Concluído","—",DATEVALUE($K35)-TODAY()))</f>
        <v/>
      </c>
    </row>
    <row r="36" ht="30" customHeight="1" s="131">
      <c r="A36" s="216" t="n"/>
      <c r="B36" s="216" t="n"/>
      <c r="C36" s="216" t="n"/>
      <c r="D36" s="217" t="n"/>
      <c r="E36" s="216" t="n"/>
      <c r="F36" s="216" t="n"/>
      <c r="G36" s="217" t="n"/>
      <c r="H36" s="217" t="n"/>
      <c r="I36" s="217" t="n"/>
      <c r="J36" s="217" t="n"/>
      <c r="K36" s="216" t="n"/>
      <c r="L36" s="217" t="n"/>
      <c r="M36" s="216" t="n"/>
      <c r="N36" s="164">
        <f>IF($K36="","",IF($M36="Concluído","—",DATEVALUE($K36)-TODAY()))</f>
        <v/>
      </c>
    </row>
    <row r="37" ht="30" customHeight="1" s="131">
      <c r="A37" s="216" t="n"/>
      <c r="B37" s="216" t="n"/>
      <c r="C37" s="216" t="n"/>
      <c r="D37" s="217" t="n"/>
      <c r="E37" s="216" t="n"/>
      <c r="F37" s="216" t="n"/>
      <c r="G37" s="217" t="n"/>
      <c r="H37" s="217" t="n"/>
      <c r="I37" s="217" t="n"/>
      <c r="J37" s="217" t="n"/>
      <c r="K37" s="216" t="n"/>
      <c r="L37" s="217" t="n"/>
      <c r="M37" s="216" t="n"/>
      <c r="N37" s="164">
        <f>IF($K37="","",IF($M37="Concluído","—",DATEVALUE($K37)-TODAY()))</f>
        <v/>
      </c>
    </row>
    <row r="38" ht="30" customHeight="1" s="131">
      <c r="A38" s="216" t="n"/>
      <c r="B38" s="216" t="n"/>
      <c r="C38" s="216" t="n"/>
      <c r="D38" s="217" t="n"/>
      <c r="E38" s="216" t="n"/>
      <c r="F38" s="216" t="n"/>
      <c r="G38" s="217" t="n"/>
      <c r="H38" s="217" t="n"/>
      <c r="I38" s="217" t="n"/>
      <c r="J38" s="217" t="n"/>
      <c r="K38" s="216" t="n"/>
      <c r="L38" s="217" t="n"/>
      <c r="M38" s="216" t="n"/>
      <c r="N38" s="164">
        <f>IF($K38="","",IF($M38="Concluído","—",DATEVALUE($K38)-TODAY()))</f>
        <v/>
      </c>
    </row>
    <row r="39" ht="30" customHeight="1" s="131">
      <c r="A39" s="216" t="n"/>
      <c r="B39" s="216" t="n"/>
      <c r="C39" s="216" t="n"/>
      <c r="D39" s="217" t="n"/>
      <c r="E39" s="216" t="n"/>
      <c r="F39" s="216" t="n"/>
      <c r="G39" s="217" t="n"/>
      <c r="H39" s="217" t="n"/>
      <c r="I39" s="217" t="n"/>
      <c r="J39" s="217" t="n"/>
      <c r="K39" s="216" t="n"/>
      <c r="L39" s="217" t="n"/>
      <c r="M39" s="216" t="n"/>
      <c r="N39" s="164">
        <f>IF($K39="","",IF($M39="Concluído","—",DATEVALUE($K39)-TODAY()))</f>
        <v/>
      </c>
    </row>
    <row r="40" ht="30" customHeight="1" s="131">
      <c r="A40" s="216" t="n"/>
      <c r="B40" s="216" t="n"/>
      <c r="C40" s="216" t="n"/>
      <c r="D40" s="217" t="n"/>
      <c r="E40" s="216" t="n"/>
      <c r="F40" s="216" t="n"/>
      <c r="G40" s="217" t="n"/>
      <c r="H40" s="217" t="n"/>
      <c r="I40" s="217" t="n"/>
      <c r="J40" s="217" t="n"/>
      <c r="K40" s="216" t="n"/>
      <c r="L40" s="217" t="n"/>
      <c r="M40" s="216" t="n"/>
      <c r="N40" s="164">
        <f>IF($K40="","",IF($M40="Concluído","—",DATEVALUE($K40)-TODAY()))</f>
        <v/>
      </c>
    </row>
    <row r="41" ht="30" customHeight="1" s="131">
      <c r="A41" s="216" t="n"/>
      <c r="B41" s="216" t="n"/>
      <c r="C41" s="216" t="n"/>
      <c r="D41" s="217" t="n"/>
      <c r="E41" s="216" t="n"/>
      <c r="F41" s="216" t="n"/>
      <c r="G41" s="217" t="n"/>
      <c r="H41" s="217" t="n"/>
      <c r="I41" s="217" t="n"/>
      <c r="J41" s="217" t="n"/>
      <c r="K41" s="216" t="n"/>
      <c r="L41" s="217" t="n"/>
      <c r="M41" s="216" t="n"/>
      <c r="N41" s="164">
        <f>IF($K41="","",IF($M41="Concluído","—",DATEVALUE($K41)-TODAY()))</f>
        <v/>
      </c>
    </row>
    <row r="42" ht="30" customHeight="1" s="131">
      <c r="A42" s="216" t="n"/>
      <c r="B42" s="216" t="n"/>
      <c r="C42" s="216" t="n"/>
      <c r="D42" s="217" t="n"/>
      <c r="E42" s="216" t="n"/>
      <c r="F42" s="216" t="n"/>
      <c r="G42" s="217" t="n"/>
      <c r="H42" s="217" t="n"/>
      <c r="I42" s="217" t="n"/>
      <c r="J42" s="217" t="n"/>
      <c r="K42" s="216" t="n"/>
      <c r="L42" s="217" t="n"/>
      <c r="M42" s="216" t="n"/>
      <c r="N42" s="164">
        <f>IF($K42="","",IF($M42="Concluído","—",DATEVALUE($K42)-TODAY()))</f>
        <v/>
      </c>
    </row>
    <row r="43" ht="30" customHeight="1" s="131">
      <c r="A43" s="216" t="n"/>
      <c r="B43" s="216" t="n"/>
      <c r="C43" s="216" t="n"/>
      <c r="D43" s="217" t="n"/>
      <c r="E43" s="216" t="n"/>
      <c r="F43" s="216" t="n"/>
      <c r="G43" s="217" t="n"/>
      <c r="H43" s="217" t="n"/>
      <c r="I43" s="217" t="n"/>
      <c r="J43" s="217" t="n"/>
      <c r="K43" s="216" t="n"/>
      <c r="L43" s="217" t="n"/>
      <c r="M43" s="216" t="n"/>
      <c r="N43" s="164">
        <f>IF($K43="","",IF($M43="Concluído","—",DATEVALUE($K43)-TODAY()))</f>
        <v/>
      </c>
    </row>
    <row r="44" ht="30" customHeight="1" s="131">
      <c r="A44" s="216" t="n"/>
      <c r="B44" s="216" t="n"/>
      <c r="C44" s="216" t="n"/>
      <c r="D44" s="217" t="n"/>
      <c r="E44" s="216" t="n"/>
      <c r="F44" s="216" t="n"/>
      <c r="G44" s="217" t="n"/>
      <c r="H44" s="217" t="n"/>
      <c r="I44" s="217" t="n"/>
      <c r="J44" s="217" t="n"/>
      <c r="K44" s="216" t="n"/>
      <c r="L44" s="217" t="n"/>
      <c r="M44" s="216" t="n"/>
      <c r="N44" s="164">
        <f>IF($K44="","",IF($M44="Concluído","—",DATEVALUE($K44)-TODAY()))</f>
        <v/>
      </c>
    </row>
    <row r="45" ht="30" customHeight="1" s="131">
      <c r="A45" s="216" t="n"/>
      <c r="B45" s="216" t="n"/>
      <c r="C45" s="216" t="n"/>
      <c r="D45" s="217" t="n"/>
      <c r="E45" s="216" t="n"/>
      <c r="F45" s="216" t="n"/>
      <c r="G45" s="217" t="n"/>
      <c r="H45" s="217" t="n"/>
      <c r="I45" s="217" t="n"/>
      <c r="J45" s="217" t="n"/>
      <c r="K45" s="216" t="n"/>
      <c r="L45" s="217" t="n"/>
      <c r="M45" s="216" t="n"/>
      <c r="N45" s="164">
        <f>IF($K45="","",IF($M45="Concluído","—",DATEVALUE($K45)-TODAY()))</f>
        <v/>
      </c>
    </row>
    <row r="46" ht="30" customHeight="1" s="131">
      <c r="A46" s="216" t="n"/>
      <c r="B46" s="216" t="n"/>
      <c r="C46" s="216" t="n"/>
      <c r="D46" s="217" t="n"/>
      <c r="E46" s="216" t="n"/>
      <c r="F46" s="216" t="n"/>
      <c r="G46" s="217" t="n"/>
      <c r="H46" s="217" t="n"/>
      <c r="I46" s="217" t="n"/>
      <c r="J46" s="217" t="n"/>
      <c r="K46" s="216" t="n"/>
      <c r="L46" s="217" t="n"/>
      <c r="M46" s="216" t="n"/>
      <c r="N46" s="164">
        <f>IF($K46="","",IF($M46="Concluído","—",DATEVALUE($K46)-TODAY()))</f>
        <v/>
      </c>
    </row>
    <row r="47" ht="30" customHeight="1" s="131">
      <c r="A47" s="216" t="n"/>
      <c r="B47" s="216" t="n"/>
      <c r="C47" s="216" t="n"/>
      <c r="D47" s="217" t="n"/>
      <c r="E47" s="216" t="n"/>
      <c r="F47" s="216" t="n"/>
      <c r="G47" s="217" t="n"/>
      <c r="H47" s="217" t="n"/>
      <c r="I47" s="217" t="n"/>
      <c r="J47" s="217" t="n"/>
      <c r="K47" s="216" t="n"/>
      <c r="L47" s="217" t="n"/>
      <c r="M47" s="216" t="n"/>
      <c r="N47" s="164">
        <f>IF($K47="","",IF($M47="Concluído","—",DATEVALUE($K47)-TODAY()))</f>
        <v/>
      </c>
    </row>
    <row r="48" ht="30" customHeight="1" s="131">
      <c r="A48" s="216" t="n"/>
      <c r="B48" s="216" t="n"/>
      <c r="C48" s="216" t="n"/>
      <c r="D48" s="217" t="n"/>
      <c r="E48" s="216" t="n"/>
      <c r="F48" s="216" t="n"/>
      <c r="G48" s="217" t="n"/>
      <c r="H48" s="217" t="n"/>
      <c r="I48" s="217" t="n"/>
      <c r="J48" s="217" t="n"/>
      <c r="K48" s="216" t="n"/>
      <c r="L48" s="217" t="n"/>
      <c r="M48" s="216" t="n"/>
      <c r="N48" s="164">
        <f>IF($K48="","",IF($M48="Concluído","—",DATEVALUE($K48)-TODAY()))</f>
        <v/>
      </c>
    </row>
    <row r="49" ht="30" customHeight="1" s="131">
      <c r="A49" s="216" t="n"/>
      <c r="B49" s="216" t="n"/>
      <c r="C49" s="216" t="n"/>
      <c r="D49" s="217" t="n"/>
      <c r="E49" s="216" t="n"/>
      <c r="F49" s="216" t="n"/>
      <c r="G49" s="217" t="n"/>
      <c r="H49" s="217" t="n"/>
      <c r="I49" s="217" t="n"/>
      <c r="J49" s="217" t="n"/>
      <c r="K49" s="216" t="n"/>
      <c r="L49" s="217" t="n"/>
      <c r="M49" s="216" t="n"/>
      <c r="N49" s="164">
        <f>IF($K49="","",IF($M49="Concluído","—",DATEVALUE($K49)-TODAY()))</f>
        <v/>
      </c>
    </row>
    <row r="50" ht="30" customHeight="1" s="131">
      <c r="A50" s="216" t="n"/>
      <c r="B50" s="216" t="n"/>
      <c r="C50" s="216" t="n"/>
      <c r="D50" s="217" t="n"/>
      <c r="E50" s="216" t="n"/>
      <c r="F50" s="216" t="n"/>
      <c r="G50" s="217" t="n"/>
      <c r="H50" s="217" t="n"/>
      <c r="I50" s="217" t="n"/>
      <c r="J50" s="217" t="n"/>
      <c r="K50" s="216" t="n"/>
      <c r="L50" s="217" t="n"/>
      <c r="M50" s="216" t="n"/>
      <c r="N50" s="164">
        <f>IF($K50="","",IF($M50="Concluído","—",DATEVALUE($K50)-TODAY()))</f>
        <v/>
      </c>
    </row>
    <row r="51" ht="30" customHeight="1" s="131">
      <c r="A51" s="216" t="n"/>
      <c r="B51" s="216" t="n"/>
      <c r="C51" s="216" t="n"/>
      <c r="D51" s="217" t="n"/>
      <c r="E51" s="216" t="n"/>
      <c r="F51" s="216" t="n"/>
      <c r="G51" s="217" t="n"/>
      <c r="H51" s="217" t="n"/>
      <c r="I51" s="217" t="n"/>
      <c r="J51" s="217" t="n"/>
      <c r="K51" s="216" t="n"/>
      <c r="L51" s="217" t="n"/>
      <c r="M51" s="216" t="n"/>
      <c r="N51" s="164">
        <f>IF($K51="","",IF($M51="Concluído","—",DATEVALUE($K51)-TODAY()))</f>
        <v/>
      </c>
    </row>
    <row r="52" ht="30" customHeight="1" s="131">
      <c r="A52" s="216" t="n"/>
      <c r="B52" s="216" t="n"/>
      <c r="C52" s="216" t="n"/>
      <c r="D52" s="217" t="n"/>
      <c r="E52" s="216" t="n"/>
      <c r="F52" s="216" t="n"/>
      <c r="G52" s="217" t="n"/>
      <c r="H52" s="217" t="n"/>
      <c r="I52" s="217" t="n"/>
      <c r="J52" s="217" t="n"/>
      <c r="K52" s="216" t="n"/>
      <c r="L52" s="217" t="n"/>
      <c r="M52" s="216" t="n"/>
      <c r="N52" s="164">
        <f>IF($K52="","",IF($M52="Concluído","—",DATEVALUE($K52)-TODAY()))</f>
        <v/>
      </c>
    </row>
    <row r="53" ht="30" customHeight="1" s="131">
      <c r="A53" s="216" t="n"/>
      <c r="B53" s="216" t="n"/>
      <c r="C53" s="216" t="n"/>
      <c r="D53" s="217" t="n"/>
      <c r="E53" s="216" t="n"/>
      <c r="F53" s="216" t="n"/>
      <c r="G53" s="217" t="n"/>
      <c r="H53" s="217" t="n"/>
      <c r="I53" s="217" t="n"/>
      <c r="J53" s="217" t="n"/>
      <c r="K53" s="216" t="n"/>
      <c r="L53" s="217" t="n"/>
      <c r="M53" s="216" t="n"/>
      <c r="N53" s="164">
        <f>IF($K53="","",IF($M53="Concluído","—",DATEVALUE($K53)-TODAY()))</f>
        <v/>
      </c>
    </row>
    <row r="54" ht="30" customHeight="1" s="131">
      <c r="A54" s="216" t="n"/>
      <c r="B54" s="216" t="n"/>
      <c r="C54" s="216" t="n"/>
      <c r="D54" s="217" t="n"/>
      <c r="E54" s="216" t="n"/>
      <c r="F54" s="216" t="n"/>
      <c r="G54" s="217" t="n"/>
      <c r="H54" s="217" t="n"/>
      <c r="I54" s="217" t="n"/>
      <c r="J54" s="217" t="n"/>
      <c r="K54" s="216" t="n"/>
      <c r="L54" s="217" t="n"/>
      <c r="M54" s="216" t="n"/>
      <c r="N54" s="164">
        <f>IF($K54="","",IF($M54="Concluído","—",DATEVALUE($K54)-TODAY()))</f>
        <v/>
      </c>
    </row>
    <row r="55" ht="30" customHeight="1" s="131">
      <c r="A55" s="216" t="n"/>
      <c r="B55" s="216" t="n"/>
      <c r="C55" s="216" t="n"/>
      <c r="D55" s="217" t="n"/>
      <c r="E55" s="216" t="n"/>
      <c r="F55" s="216" t="n"/>
      <c r="G55" s="217" t="n"/>
      <c r="H55" s="217" t="n"/>
      <c r="I55" s="217" t="n"/>
      <c r="J55" s="217" t="n"/>
      <c r="K55" s="216" t="n"/>
      <c r="L55" s="217" t="n"/>
      <c r="M55" s="216" t="n"/>
      <c r="N55" s="164">
        <f>IF($K55="","",IF($M55="Concluído","—",DATEVALUE($K55)-TODAY()))</f>
        <v/>
      </c>
    </row>
    <row r="56" ht="30" customHeight="1" s="131">
      <c r="A56" s="216" t="n"/>
      <c r="B56" s="216" t="n"/>
      <c r="C56" s="216" t="n"/>
      <c r="D56" s="217" t="n"/>
      <c r="E56" s="216" t="n"/>
      <c r="F56" s="216" t="n"/>
      <c r="G56" s="217" t="n"/>
      <c r="H56" s="217" t="n"/>
      <c r="I56" s="217" t="n"/>
      <c r="J56" s="217" t="n"/>
      <c r="K56" s="216" t="n"/>
      <c r="L56" s="217" t="n"/>
      <c r="M56" s="216" t="n"/>
      <c r="N56" s="164">
        <f>IF($K56="","",IF($M56="Concluído","—",DATEVALUE($K56)-TODAY()))</f>
        <v/>
      </c>
    </row>
    <row r="57" ht="30" customHeight="1" s="131">
      <c r="A57" s="216" t="n"/>
      <c r="B57" s="216" t="n"/>
      <c r="C57" s="216" t="n"/>
      <c r="D57" s="217" t="n"/>
      <c r="E57" s="216" t="n"/>
      <c r="F57" s="216" t="n"/>
      <c r="G57" s="217" t="n"/>
      <c r="H57" s="217" t="n"/>
      <c r="I57" s="217" t="n"/>
      <c r="J57" s="217" t="n"/>
      <c r="K57" s="216" t="n"/>
      <c r="L57" s="217" t="n"/>
      <c r="M57" s="216" t="n"/>
      <c r="N57" s="164">
        <f>IF($K57="","",IF($M57="Concluído","—",DATEVALUE($K57)-TODAY()))</f>
        <v/>
      </c>
    </row>
    <row r="58" ht="30" customHeight="1" s="131">
      <c r="A58" s="216" t="n"/>
      <c r="B58" s="216" t="n"/>
      <c r="C58" s="216" t="n"/>
      <c r="D58" s="217" t="n"/>
      <c r="E58" s="216" t="n"/>
      <c r="F58" s="216" t="n"/>
      <c r="G58" s="217" t="n"/>
      <c r="H58" s="217" t="n"/>
      <c r="I58" s="217" t="n"/>
      <c r="J58" s="217" t="n"/>
      <c r="K58" s="216" t="n"/>
      <c r="L58" s="217" t="n"/>
      <c r="M58" s="216" t="n"/>
      <c r="N58" s="164">
        <f>IF($K58="","",IF($M58="Concluído","—",DATEVALUE($K58)-TODAY()))</f>
        <v/>
      </c>
    </row>
    <row r="59" ht="30" customHeight="1" s="131">
      <c r="A59" s="216" t="n"/>
      <c r="B59" s="216" t="n"/>
      <c r="C59" s="216" t="n"/>
      <c r="D59" s="217" t="n"/>
      <c r="E59" s="216" t="n"/>
      <c r="F59" s="216" t="n"/>
      <c r="G59" s="217" t="n"/>
      <c r="H59" s="217" t="n"/>
      <c r="I59" s="217" t="n"/>
      <c r="J59" s="217" t="n"/>
      <c r="K59" s="216" t="n"/>
      <c r="L59" s="217" t="n"/>
      <c r="M59" s="216" t="n"/>
      <c r="N59" s="164">
        <f>IF($K59="","",IF($M59="Concluído","—",DATEVALUE($K59)-TODAY()))</f>
        <v/>
      </c>
    </row>
    <row r="60" ht="30" customHeight="1" s="131">
      <c r="A60" s="216" t="n"/>
      <c r="B60" s="216" t="n"/>
      <c r="C60" s="216" t="n"/>
      <c r="D60" s="217" t="n"/>
      <c r="E60" s="216" t="n"/>
      <c r="F60" s="216" t="n"/>
      <c r="G60" s="217" t="n"/>
      <c r="H60" s="217" t="n"/>
      <c r="I60" s="217" t="n"/>
      <c r="J60" s="217" t="n"/>
      <c r="K60" s="216" t="n"/>
      <c r="L60" s="217" t="n"/>
      <c r="M60" s="216" t="n"/>
      <c r="N60" s="164">
        <f>IF($K60="","",IF($M60="Concluído","—",DATEVALUE($K60)-TODAY()))</f>
        <v/>
      </c>
    </row>
    <row r="61" ht="30" customHeight="1" s="131">
      <c r="A61" s="216" t="n"/>
      <c r="B61" s="216" t="n"/>
      <c r="C61" s="216" t="n"/>
      <c r="D61" s="217" t="n"/>
      <c r="E61" s="216" t="n"/>
      <c r="F61" s="216" t="n"/>
      <c r="G61" s="217" t="n"/>
      <c r="H61" s="217" t="n"/>
      <c r="I61" s="217" t="n"/>
      <c r="J61" s="217" t="n"/>
      <c r="K61" s="216" t="n"/>
      <c r="L61" s="217" t="n"/>
      <c r="M61" s="216" t="n"/>
      <c r="N61" s="164">
        <f>IF($K61="","",IF($M61="Concluído","—",DATEVALUE($K61)-TODAY()))</f>
        <v/>
      </c>
    </row>
    <row r="62" ht="30" customHeight="1" s="131">
      <c r="A62" s="216" t="n"/>
      <c r="B62" s="216" t="n"/>
      <c r="C62" s="216" t="n"/>
      <c r="D62" s="217" t="n"/>
      <c r="E62" s="216" t="n"/>
      <c r="F62" s="216" t="n"/>
      <c r="G62" s="217" t="n"/>
      <c r="H62" s="217" t="n"/>
      <c r="I62" s="217" t="n"/>
      <c r="J62" s="217" t="n"/>
      <c r="K62" s="216" t="n"/>
      <c r="L62" s="217" t="n"/>
      <c r="M62" s="216" t="n"/>
      <c r="N62" s="164">
        <f>IF($K62="","",IF($M62="Concluído","—",DATEVALUE($K62)-TODAY()))</f>
        <v/>
      </c>
    </row>
    <row r="63" ht="30" customHeight="1" s="131">
      <c r="A63" s="216" t="n"/>
      <c r="B63" s="216" t="n"/>
      <c r="C63" s="216" t="n"/>
      <c r="D63" s="217" t="n"/>
      <c r="E63" s="216" t="n"/>
      <c r="F63" s="216" t="n"/>
      <c r="G63" s="217" t="n"/>
      <c r="H63" s="217" t="n"/>
      <c r="I63" s="217" t="n"/>
      <c r="J63" s="217" t="n"/>
      <c r="K63" s="216" t="n"/>
      <c r="L63" s="217" t="n"/>
      <c r="M63" s="216" t="n"/>
      <c r="N63" s="164">
        <f>IF($K63="","",IF($M63="Concluído","—",DATEVALUE($K63)-TODAY()))</f>
        <v/>
      </c>
    </row>
    <row r="64" ht="30" customHeight="1" s="131">
      <c r="A64" s="216" t="n"/>
      <c r="B64" s="216" t="n"/>
      <c r="C64" s="216" t="n"/>
      <c r="D64" s="217" t="n"/>
      <c r="E64" s="216" t="n"/>
      <c r="F64" s="216" t="n"/>
      <c r="G64" s="217" t="n"/>
      <c r="H64" s="217" t="n"/>
      <c r="I64" s="217" t="n"/>
      <c r="J64" s="217" t="n"/>
      <c r="K64" s="216" t="n"/>
      <c r="L64" s="217" t="n"/>
      <c r="M64" s="216" t="n"/>
      <c r="N64" s="164">
        <f>IF($K64="","",IF($M64="Concluído","—",DATEVALUE($K64)-TODAY()))</f>
        <v/>
      </c>
    </row>
    <row r="65" ht="30" customHeight="1" s="131">
      <c r="A65" s="216" t="n"/>
      <c r="B65" s="216" t="n"/>
      <c r="C65" s="216" t="n"/>
      <c r="D65" s="217" t="n"/>
      <c r="E65" s="216" t="n"/>
      <c r="F65" s="216" t="n"/>
      <c r="G65" s="217" t="n"/>
      <c r="H65" s="217" t="n"/>
      <c r="I65" s="217" t="n"/>
      <c r="J65" s="217" t="n"/>
      <c r="K65" s="216" t="n"/>
      <c r="L65" s="217" t="n"/>
      <c r="M65" s="216" t="n"/>
      <c r="N65" s="164">
        <f>IF($K65="","",IF($M65="Concluído","—",DATEVALUE($K65)-TODAY()))</f>
        <v/>
      </c>
    </row>
    <row r="66" ht="30" customHeight="1" s="131">
      <c r="A66" s="216" t="n"/>
      <c r="B66" s="216" t="n"/>
      <c r="C66" s="216" t="n"/>
      <c r="D66" s="217" t="n"/>
      <c r="E66" s="216" t="n"/>
      <c r="F66" s="216" t="n"/>
      <c r="G66" s="217" t="n"/>
      <c r="H66" s="217" t="n"/>
      <c r="I66" s="217" t="n"/>
      <c r="J66" s="217" t="n"/>
      <c r="K66" s="216" t="n"/>
      <c r="L66" s="217" t="n"/>
      <c r="M66" s="216" t="n"/>
      <c r="N66" s="164">
        <f>IF($K66="","",IF($M66="Concluído","—",DATEVALUE($K66)-TODAY()))</f>
        <v/>
      </c>
    </row>
    <row r="67" ht="30" customHeight="1" s="131">
      <c r="A67" s="216" t="n"/>
      <c r="B67" s="216" t="n"/>
      <c r="C67" s="216" t="n"/>
      <c r="D67" s="217" t="n"/>
      <c r="E67" s="216" t="n"/>
      <c r="F67" s="216" t="n"/>
      <c r="G67" s="217" t="n"/>
      <c r="H67" s="217" t="n"/>
      <c r="I67" s="217" t="n"/>
      <c r="J67" s="217" t="n"/>
      <c r="K67" s="216" t="n"/>
      <c r="L67" s="217" t="n"/>
      <c r="M67" s="216" t="n"/>
      <c r="N67" s="164">
        <f>IF($K67="","",IF($M67="Concluído","—",DATEVALUE($K67)-TODAY()))</f>
        <v/>
      </c>
    </row>
    <row r="68" ht="30" customHeight="1" s="131">
      <c r="A68" s="216" t="n"/>
      <c r="B68" s="216" t="n"/>
      <c r="C68" s="216" t="n"/>
      <c r="D68" s="217" t="n"/>
      <c r="E68" s="216" t="n"/>
      <c r="F68" s="216" t="n"/>
      <c r="G68" s="217" t="n"/>
      <c r="H68" s="217" t="n"/>
      <c r="I68" s="217" t="n"/>
      <c r="J68" s="217" t="n"/>
      <c r="K68" s="216" t="n"/>
      <c r="L68" s="217" t="n"/>
      <c r="M68" s="216" t="n"/>
      <c r="N68" s="164">
        <f>IF($K68="","",IF($M68="Concluído","—",DATEVALUE($K68)-TODAY()))</f>
        <v/>
      </c>
    </row>
    <row r="69" ht="30" customHeight="1" s="131">
      <c r="A69" s="216" t="n"/>
      <c r="B69" s="216" t="n"/>
      <c r="C69" s="216" t="n"/>
      <c r="D69" s="217" t="n"/>
      <c r="E69" s="216" t="n"/>
      <c r="F69" s="216" t="n"/>
      <c r="G69" s="217" t="n"/>
      <c r="H69" s="217" t="n"/>
      <c r="I69" s="217" t="n"/>
      <c r="J69" s="217" t="n"/>
      <c r="K69" s="216" t="n"/>
      <c r="L69" s="217" t="n"/>
      <c r="M69" s="216" t="n"/>
      <c r="N69" s="164">
        <f>IF($K69="","",IF($M69="Concluído","—",DATEVALUE($K69)-TODAY()))</f>
        <v/>
      </c>
    </row>
    <row r="70" ht="30" customHeight="1" s="131">
      <c r="A70" s="216" t="n"/>
      <c r="B70" s="216" t="n"/>
      <c r="C70" s="216" t="n"/>
      <c r="D70" s="217" t="n"/>
      <c r="E70" s="216" t="n"/>
      <c r="F70" s="216" t="n"/>
      <c r="G70" s="217" t="n"/>
      <c r="H70" s="217" t="n"/>
      <c r="I70" s="217" t="n"/>
      <c r="J70" s="217" t="n"/>
      <c r="K70" s="216" t="n"/>
      <c r="L70" s="217" t="n"/>
      <c r="M70" s="216" t="n"/>
      <c r="N70" s="164">
        <f>IF($K70="","",IF($M70="Concluído","—",DATEVALUE($K70)-TODAY()))</f>
        <v/>
      </c>
    </row>
    <row r="71" ht="30" customHeight="1" s="131">
      <c r="A71" s="216" t="n"/>
      <c r="B71" s="216" t="n"/>
      <c r="C71" s="216" t="n"/>
      <c r="D71" s="217" t="n"/>
      <c r="E71" s="216" t="n"/>
      <c r="F71" s="216" t="n"/>
      <c r="G71" s="217" t="n"/>
      <c r="H71" s="217" t="n"/>
      <c r="I71" s="217" t="n"/>
      <c r="J71" s="217" t="n"/>
      <c r="K71" s="216" t="n"/>
      <c r="L71" s="217" t="n"/>
      <c r="M71" s="216" t="n"/>
      <c r="N71" s="164">
        <f>IF($K71="","",IF($M71="Concluído","—",DATEVALUE($K71)-TODAY()))</f>
        <v/>
      </c>
    </row>
    <row r="72" ht="30" customHeight="1" s="131">
      <c r="A72" s="216" t="n"/>
      <c r="B72" s="216" t="n"/>
      <c r="C72" s="216" t="n"/>
      <c r="D72" s="217" t="n"/>
      <c r="E72" s="216" t="n"/>
      <c r="F72" s="216" t="n"/>
      <c r="G72" s="217" t="n"/>
      <c r="H72" s="217" t="n"/>
      <c r="I72" s="217" t="n"/>
      <c r="J72" s="217" t="n"/>
      <c r="K72" s="216" t="n"/>
      <c r="L72" s="217" t="n"/>
      <c r="M72" s="216" t="n"/>
      <c r="N72" s="164">
        <f>IF($K72="","",IF($M72="Concluído","—",DATEVALUE($K72)-TODAY()))</f>
        <v/>
      </c>
    </row>
    <row r="73" ht="30" customHeight="1" s="131">
      <c r="A73" s="216" t="n"/>
      <c r="B73" s="216" t="n"/>
      <c r="C73" s="216" t="n"/>
      <c r="D73" s="217" t="n"/>
      <c r="E73" s="216" t="n"/>
      <c r="F73" s="216" t="n"/>
      <c r="G73" s="217" t="n"/>
      <c r="H73" s="217" t="n"/>
      <c r="I73" s="217" t="n"/>
      <c r="J73" s="217" t="n"/>
      <c r="K73" s="216" t="n"/>
      <c r="L73" s="217" t="n"/>
      <c r="M73" s="216" t="n"/>
      <c r="N73" s="164">
        <f>IF($K73="","",IF($M73="Concluído","—",DATEVALUE($K73)-TODAY()))</f>
        <v/>
      </c>
    </row>
    <row r="74" ht="30" customHeight="1" s="131">
      <c r="A74" s="216" t="n"/>
      <c r="B74" s="216" t="n"/>
      <c r="C74" s="216" t="n"/>
      <c r="D74" s="217" t="n"/>
      <c r="E74" s="216" t="n"/>
      <c r="F74" s="216" t="n"/>
      <c r="G74" s="217" t="n"/>
      <c r="H74" s="217" t="n"/>
      <c r="I74" s="217" t="n"/>
      <c r="J74" s="217" t="n"/>
      <c r="K74" s="216" t="n"/>
      <c r="L74" s="217" t="n"/>
      <c r="M74" s="216" t="n"/>
      <c r="N74" s="164">
        <f>IF($K74="","",IF($M74="Concluído","—",DATEVALUE($K74)-TODAY()))</f>
        <v/>
      </c>
    </row>
    <row r="75" ht="30" customHeight="1" s="131">
      <c r="A75" s="216" t="n"/>
      <c r="B75" s="216" t="n"/>
      <c r="C75" s="216" t="n"/>
      <c r="D75" s="217" t="n"/>
      <c r="E75" s="216" t="n"/>
      <c r="F75" s="216" t="n"/>
      <c r="G75" s="217" t="n"/>
      <c r="H75" s="217" t="n"/>
      <c r="I75" s="217" t="n"/>
      <c r="J75" s="217" t="n"/>
      <c r="K75" s="216" t="n"/>
      <c r="L75" s="217" t="n"/>
      <c r="M75" s="216" t="n"/>
      <c r="N75" s="164">
        <f>IF($K75="","",IF($M75="Concluído","—",DATEVALUE($K75)-TODAY()))</f>
        <v/>
      </c>
    </row>
    <row r="76" ht="30" customHeight="1" s="131">
      <c r="A76" s="216" t="n"/>
      <c r="B76" s="216" t="n"/>
      <c r="C76" s="216" t="n"/>
      <c r="D76" s="217" t="n"/>
      <c r="E76" s="216" t="n"/>
      <c r="F76" s="216" t="n"/>
      <c r="G76" s="217" t="n"/>
      <c r="H76" s="217" t="n"/>
      <c r="I76" s="217" t="n"/>
      <c r="J76" s="217" t="n"/>
      <c r="K76" s="216" t="n"/>
      <c r="L76" s="217" t="n"/>
      <c r="M76" s="216" t="n"/>
      <c r="N76" s="164">
        <f>IF($K76="","",IF($M76="Concluído","—",DATEVALUE($K76)-TODAY()))</f>
        <v/>
      </c>
    </row>
    <row r="77" ht="30" customHeight="1" s="131">
      <c r="A77" s="216" t="n"/>
      <c r="B77" s="216" t="n"/>
      <c r="C77" s="216" t="n"/>
      <c r="D77" s="217" t="n"/>
      <c r="E77" s="216" t="n"/>
      <c r="F77" s="216" t="n"/>
      <c r="G77" s="217" t="n"/>
      <c r="H77" s="217" t="n"/>
      <c r="I77" s="217" t="n"/>
      <c r="J77" s="217" t="n"/>
      <c r="K77" s="216" t="n"/>
      <c r="L77" s="217" t="n"/>
      <c r="M77" s="216" t="n"/>
      <c r="N77" s="164">
        <f>IF($K77="","",IF($M77="Concluído","—",DATEVALUE($K77)-TODAY()))</f>
        <v/>
      </c>
    </row>
    <row r="78" ht="30" customHeight="1" s="131">
      <c r="A78" s="216" t="n"/>
      <c r="B78" s="216" t="n"/>
      <c r="C78" s="216" t="n"/>
      <c r="D78" s="217" t="n"/>
      <c r="E78" s="216" t="n"/>
      <c r="F78" s="216" t="n"/>
      <c r="G78" s="217" t="n"/>
      <c r="H78" s="217" t="n"/>
      <c r="I78" s="217" t="n"/>
      <c r="J78" s="217" t="n"/>
      <c r="K78" s="216" t="n"/>
      <c r="L78" s="217" t="n"/>
      <c r="M78" s="216" t="n"/>
      <c r="N78" s="164">
        <f>IF($K78="","",IF($M78="Concluído","—",DATEVALUE($K78)-TODAY()))</f>
        <v/>
      </c>
    </row>
    <row r="79" ht="30" customHeight="1" s="131">
      <c r="A79" s="216" t="n"/>
      <c r="B79" s="216" t="n"/>
      <c r="C79" s="216" t="n"/>
      <c r="D79" s="217" t="n"/>
      <c r="E79" s="216" t="n"/>
      <c r="F79" s="216" t="n"/>
      <c r="G79" s="217" t="n"/>
      <c r="H79" s="217" t="n"/>
      <c r="I79" s="217" t="n"/>
      <c r="J79" s="217" t="n"/>
      <c r="K79" s="216" t="n"/>
      <c r="L79" s="217" t="n"/>
      <c r="M79" s="216" t="n"/>
      <c r="N79" s="164">
        <f>IF($K79="","",IF($M79="Concluído","—",DATEVALUE($K79)-TODAY()))</f>
        <v/>
      </c>
    </row>
    <row r="80" ht="30" customHeight="1" s="131">
      <c r="A80" s="216" t="n"/>
      <c r="B80" s="216" t="n"/>
      <c r="C80" s="216" t="n"/>
      <c r="D80" s="217" t="n"/>
      <c r="E80" s="216" t="n"/>
      <c r="F80" s="216" t="n"/>
      <c r="G80" s="217" t="n"/>
      <c r="H80" s="217" t="n"/>
      <c r="I80" s="217" t="n"/>
      <c r="J80" s="217" t="n"/>
      <c r="K80" s="216" t="n"/>
      <c r="L80" s="217" t="n"/>
      <c r="M80" s="216" t="n"/>
      <c r="N80" s="164">
        <f>IF($K80="","",IF($M80="Concluído","—",DATEVALUE($K80)-TODAY()))</f>
        <v/>
      </c>
    </row>
    <row r="81" ht="30" customHeight="1" s="131">
      <c r="A81" s="216" t="n"/>
      <c r="B81" s="216" t="n"/>
      <c r="C81" s="216" t="n"/>
      <c r="D81" s="217" t="n"/>
      <c r="E81" s="216" t="n"/>
      <c r="F81" s="216" t="n"/>
      <c r="G81" s="217" t="n"/>
      <c r="H81" s="217" t="n"/>
      <c r="I81" s="217" t="n"/>
      <c r="J81" s="217" t="n"/>
      <c r="K81" s="216" t="n"/>
      <c r="L81" s="217" t="n"/>
      <c r="M81" s="216" t="n"/>
      <c r="N81" s="164">
        <f>IF($K81="","",IF($M81="Concluído","—",DATEVALUE($K81)-TODAY()))</f>
        <v/>
      </c>
    </row>
    <row r="82" ht="30" customHeight="1" s="131">
      <c r="A82" s="216" t="n"/>
      <c r="B82" s="216" t="n"/>
      <c r="C82" s="216" t="n"/>
      <c r="D82" s="217" t="n"/>
      <c r="E82" s="216" t="n"/>
      <c r="F82" s="216" t="n"/>
      <c r="G82" s="217" t="n"/>
      <c r="H82" s="217" t="n"/>
      <c r="I82" s="217" t="n"/>
      <c r="J82" s="217" t="n"/>
      <c r="K82" s="216" t="n"/>
      <c r="L82" s="217" t="n"/>
      <c r="M82" s="216" t="n"/>
      <c r="N82" s="164">
        <f>IF($K82="","",IF($M82="Concluído","—",DATEVALUE($K82)-TODAY()))</f>
        <v/>
      </c>
    </row>
    <row r="83" ht="30" customHeight="1" s="131">
      <c r="A83" s="216" t="n"/>
      <c r="B83" s="216" t="n"/>
      <c r="C83" s="216" t="n"/>
      <c r="D83" s="217" t="n"/>
      <c r="E83" s="216" t="n"/>
      <c r="F83" s="216" t="n"/>
      <c r="G83" s="217" t="n"/>
      <c r="H83" s="217" t="n"/>
      <c r="I83" s="217" t="n"/>
      <c r="J83" s="217" t="n"/>
      <c r="K83" s="216" t="n"/>
      <c r="L83" s="217" t="n"/>
      <c r="M83" s="216" t="n"/>
      <c r="N83" s="164">
        <f>IF($K83="","",IF($M83="Concluído","—",DATEVALUE($K83)-TODAY()))</f>
        <v/>
      </c>
    </row>
    <row r="84" ht="30" customHeight="1" s="131">
      <c r="A84" s="216" t="n"/>
      <c r="B84" s="216" t="n"/>
      <c r="C84" s="216" t="n"/>
      <c r="D84" s="217" t="n"/>
      <c r="E84" s="216" t="n"/>
      <c r="F84" s="216" t="n"/>
      <c r="G84" s="217" t="n"/>
      <c r="H84" s="217" t="n"/>
      <c r="I84" s="217" t="n"/>
      <c r="J84" s="217" t="n"/>
      <c r="K84" s="216" t="n"/>
      <c r="L84" s="217" t="n"/>
      <c r="M84" s="216" t="n"/>
      <c r="N84" s="164">
        <f>IF($K84="","",IF($M84="Concluído","—",DATEVALUE($K84)-TODAY()))</f>
        <v/>
      </c>
    </row>
    <row r="85" ht="30" customHeight="1" s="131">
      <c r="A85" s="216" t="n"/>
      <c r="B85" s="216" t="n"/>
      <c r="C85" s="216" t="n"/>
      <c r="D85" s="217" t="n"/>
      <c r="E85" s="216" t="n"/>
      <c r="F85" s="216" t="n"/>
      <c r="G85" s="217" t="n"/>
      <c r="H85" s="217" t="n"/>
      <c r="I85" s="217" t="n"/>
      <c r="J85" s="217" t="n"/>
      <c r="K85" s="216" t="n"/>
      <c r="L85" s="217" t="n"/>
      <c r="M85" s="216" t="n"/>
      <c r="N85" s="164">
        <f>IF($K85="","",IF($M85="Concluído","—",DATEVALUE($K85)-TODAY()))</f>
        <v/>
      </c>
    </row>
    <row r="86" ht="30" customHeight="1" s="131">
      <c r="A86" s="216" t="n"/>
      <c r="B86" s="216" t="n"/>
      <c r="C86" s="216" t="n"/>
      <c r="D86" s="217" t="n"/>
      <c r="E86" s="216" t="n"/>
      <c r="F86" s="216" t="n"/>
      <c r="G86" s="217" t="n"/>
      <c r="H86" s="217" t="n"/>
      <c r="I86" s="217" t="n"/>
      <c r="J86" s="217" t="n"/>
      <c r="K86" s="216" t="n"/>
      <c r="L86" s="217" t="n"/>
      <c r="M86" s="216" t="n"/>
      <c r="N86" s="164">
        <f>IF($K86="","",IF($M86="Concluído","—",DATEVALUE($K86)-TODAY()))</f>
        <v/>
      </c>
    </row>
    <row r="87" ht="30" customHeight="1" s="131">
      <c r="A87" s="216" t="n"/>
      <c r="B87" s="216" t="n"/>
      <c r="C87" s="216" t="n"/>
      <c r="D87" s="217" t="n"/>
      <c r="E87" s="216" t="n"/>
      <c r="F87" s="216" t="n"/>
      <c r="G87" s="217" t="n"/>
      <c r="H87" s="217" t="n"/>
      <c r="I87" s="217" t="n"/>
      <c r="J87" s="217" t="n"/>
      <c r="K87" s="216" t="n"/>
      <c r="L87" s="217" t="n"/>
      <c r="M87" s="216" t="n"/>
      <c r="N87" s="164">
        <f>IF($K87="","",IF($M87="Concluído","—",DATEVALUE($K87)-TODAY()))</f>
        <v/>
      </c>
    </row>
    <row r="88" ht="30" customHeight="1" s="131">
      <c r="A88" s="216" t="n"/>
      <c r="B88" s="216" t="n"/>
      <c r="C88" s="216" t="n"/>
      <c r="D88" s="217" t="n"/>
      <c r="E88" s="216" t="n"/>
      <c r="F88" s="216" t="n"/>
      <c r="G88" s="217" t="n"/>
      <c r="H88" s="217" t="n"/>
      <c r="I88" s="217" t="n"/>
      <c r="J88" s="217" t="n"/>
      <c r="K88" s="216" t="n"/>
      <c r="L88" s="217" t="n"/>
      <c r="M88" s="216" t="n"/>
      <c r="N88" s="164">
        <f>IF($K88="","",IF($M88="Concluído","—",DATEVALUE($K88)-TODAY()))</f>
        <v/>
      </c>
    </row>
    <row r="89" ht="30" customHeight="1" s="131">
      <c r="A89" s="216" t="n"/>
      <c r="B89" s="216" t="n"/>
      <c r="C89" s="216" t="n"/>
      <c r="D89" s="217" t="n"/>
      <c r="E89" s="216" t="n"/>
      <c r="F89" s="216" t="n"/>
      <c r="G89" s="217" t="n"/>
      <c r="H89" s="217" t="n"/>
      <c r="I89" s="217" t="n"/>
      <c r="J89" s="217" t="n"/>
      <c r="K89" s="216" t="n"/>
      <c r="L89" s="217" t="n"/>
      <c r="M89" s="216" t="n"/>
      <c r="N89" s="164">
        <f>IF($K89="","",IF($M89="Concluído","—",DATEVALUE($K89)-TODAY()))</f>
        <v/>
      </c>
    </row>
    <row r="90" ht="30" customHeight="1" s="131">
      <c r="A90" s="216" t="n"/>
      <c r="B90" s="216" t="n"/>
      <c r="C90" s="216" t="n"/>
      <c r="D90" s="217" t="n"/>
      <c r="E90" s="216" t="n"/>
      <c r="F90" s="216" t="n"/>
      <c r="G90" s="217" t="n"/>
      <c r="H90" s="217" t="n"/>
      <c r="I90" s="217" t="n"/>
      <c r="J90" s="217" t="n"/>
      <c r="K90" s="216" t="n"/>
      <c r="L90" s="217" t="n"/>
      <c r="M90" s="216" t="n"/>
      <c r="N90" s="164">
        <f>IF($K90="","",IF($M90="Concluído","—",DATEVALUE($K90)-TODAY()))</f>
        <v/>
      </c>
    </row>
    <row r="91" ht="30" customHeight="1" s="131">
      <c r="A91" s="216" t="n"/>
      <c r="B91" s="216" t="n"/>
      <c r="C91" s="216" t="n"/>
      <c r="D91" s="217" t="n"/>
      <c r="E91" s="216" t="n"/>
      <c r="F91" s="216" t="n"/>
      <c r="G91" s="217" t="n"/>
      <c r="H91" s="217" t="n"/>
      <c r="I91" s="217" t="n"/>
      <c r="J91" s="217" t="n"/>
      <c r="K91" s="216" t="n"/>
      <c r="L91" s="217" t="n"/>
      <c r="M91" s="216" t="n"/>
      <c r="N91" s="164">
        <f>IF($K91="","",IF($M91="Concluído","—",DATEVALUE($K91)-TODAY()))</f>
        <v/>
      </c>
    </row>
    <row r="92" ht="30" customHeight="1" s="131">
      <c r="A92" s="216" t="n"/>
      <c r="B92" s="216" t="n"/>
      <c r="C92" s="216" t="n"/>
      <c r="D92" s="217" t="n"/>
      <c r="E92" s="216" t="n"/>
      <c r="F92" s="216" t="n"/>
      <c r="G92" s="217" t="n"/>
      <c r="H92" s="217" t="n"/>
      <c r="I92" s="217" t="n"/>
      <c r="J92" s="217" t="n"/>
      <c r="K92" s="216" t="n"/>
      <c r="L92" s="217" t="n"/>
      <c r="M92" s="216" t="n"/>
      <c r="N92" s="164">
        <f>IF($K92="","",IF($M92="Concluído","—",DATEVALUE($K92)-TODAY()))</f>
        <v/>
      </c>
    </row>
    <row r="93" ht="30" customHeight="1" s="131">
      <c r="A93" s="216" t="n"/>
      <c r="B93" s="216" t="n"/>
      <c r="C93" s="216" t="n"/>
      <c r="D93" s="217" t="n"/>
      <c r="E93" s="216" t="n"/>
      <c r="F93" s="216" t="n"/>
      <c r="G93" s="217" t="n"/>
      <c r="H93" s="217" t="n"/>
      <c r="I93" s="217" t="n"/>
      <c r="J93" s="217" t="n"/>
      <c r="K93" s="216" t="n"/>
      <c r="L93" s="217" t="n"/>
      <c r="M93" s="216" t="n"/>
      <c r="N93" s="164">
        <f>IF($K93="","",IF($M93="Concluído","—",DATEVALUE($K93)-TODAY()))</f>
        <v/>
      </c>
    </row>
    <row r="94" ht="30" customHeight="1" s="131">
      <c r="A94" s="216" t="n"/>
      <c r="B94" s="216" t="n"/>
      <c r="C94" s="216" t="n"/>
      <c r="D94" s="217" t="n"/>
      <c r="E94" s="216" t="n"/>
      <c r="F94" s="216" t="n"/>
      <c r="G94" s="217" t="n"/>
      <c r="H94" s="217" t="n"/>
      <c r="I94" s="217" t="n"/>
      <c r="J94" s="217" t="n"/>
      <c r="K94" s="216" t="n"/>
      <c r="L94" s="217" t="n"/>
      <c r="M94" s="216" t="n"/>
      <c r="N94" s="164">
        <f>IF($K94="","",IF($M94="Concluído","—",DATEVALUE($K94)-TODAY()))</f>
        <v/>
      </c>
    </row>
    <row r="95" ht="30" customHeight="1" s="131">
      <c r="A95" s="216" t="n"/>
      <c r="B95" s="216" t="n"/>
      <c r="C95" s="216" t="n"/>
      <c r="D95" s="217" t="n"/>
      <c r="E95" s="216" t="n"/>
      <c r="F95" s="216" t="n"/>
      <c r="G95" s="217" t="n"/>
      <c r="H95" s="217" t="n"/>
      <c r="I95" s="217" t="n"/>
      <c r="J95" s="217" t="n"/>
      <c r="K95" s="216" t="n"/>
      <c r="L95" s="217" t="n"/>
      <c r="M95" s="216" t="n"/>
      <c r="N95" s="164">
        <f>IF($K95="","",IF($M95="Concluído","—",DATEVALUE($K95)-TODAY()))</f>
        <v/>
      </c>
    </row>
    <row r="96" ht="30" customHeight="1" s="131">
      <c r="A96" s="216" t="n"/>
      <c r="B96" s="216" t="n"/>
      <c r="C96" s="216" t="n"/>
      <c r="D96" s="217" t="n"/>
      <c r="E96" s="216" t="n"/>
      <c r="F96" s="216" t="n"/>
      <c r="G96" s="217" t="n"/>
      <c r="H96" s="217" t="n"/>
      <c r="I96" s="217" t="n"/>
      <c r="J96" s="217" t="n"/>
      <c r="K96" s="216" t="n"/>
      <c r="L96" s="217" t="n"/>
      <c r="M96" s="216" t="n"/>
      <c r="N96" s="164">
        <f>IF($K96="","",IF($M96="Concluído","—",DATEVALUE($K96)-TODAY()))</f>
        <v/>
      </c>
    </row>
    <row r="97" ht="30" customHeight="1" s="131">
      <c r="A97" s="216" t="n"/>
      <c r="B97" s="216" t="n"/>
      <c r="C97" s="216" t="n"/>
      <c r="D97" s="217" t="n"/>
      <c r="E97" s="216" t="n"/>
      <c r="F97" s="216" t="n"/>
      <c r="G97" s="217" t="n"/>
      <c r="H97" s="217" t="n"/>
      <c r="I97" s="217" t="n"/>
      <c r="J97" s="217" t="n"/>
      <c r="K97" s="216" t="n"/>
      <c r="L97" s="217" t="n"/>
      <c r="M97" s="216" t="n"/>
      <c r="N97" s="164">
        <f>IF($K97="","",IF($M97="Concluído","—",DATEVALUE($K97)-TODAY()))</f>
        <v/>
      </c>
    </row>
    <row r="98" ht="30" customHeight="1" s="131">
      <c r="A98" s="216" t="n"/>
      <c r="B98" s="216" t="n"/>
      <c r="C98" s="216" t="n"/>
      <c r="D98" s="217" t="n"/>
      <c r="E98" s="216" t="n"/>
      <c r="F98" s="216" t="n"/>
      <c r="G98" s="217" t="n"/>
      <c r="H98" s="217" t="n"/>
      <c r="I98" s="217" t="n"/>
      <c r="J98" s="217" t="n"/>
      <c r="K98" s="216" t="n"/>
      <c r="L98" s="217" t="n"/>
      <c r="M98" s="216" t="n"/>
      <c r="N98" s="164">
        <f>IF($K98="","",IF($M98="Concluído","—",DATEVALUE($K98)-TODAY()))</f>
        <v/>
      </c>
    </row>
    <row r="99" ht="30" customHeight="1" s="131">
      <c r="A99" s="216" t="n"/>
      <c r="B99" s="216" t="n"/>
      <c r="C99" s="216" t="n"/>
      <c r="D99" s="217" t="n"/>
      <c r="E99" s="216" t="n"/>
      <c r="F99" s="216" t="n"/>
      <c r="G99" s="217" t="n"/>
      <c r="H99" s="217" t="n"/>
      <c r="I99" s="217" t="n"/>
      <c r="J99" s="217" t="n"/>
      <c r="K99" s="216" t="n"/>
      <c r="L99" s="217" t="n"/>
      <c r="M99" s="216" t="n"/>
      <c r="N99" s="164">
        <f>IF($K99="","",IF($M99="Concluído","—",DATEVALUE($K99)-TODAY()))</f>
        <v/>
      </c>
    </row>
    <row r="100" ht="30" customHeight="1" s="131">
      <c r="A100" s="216" t="n"/>
      <c r="B100" s="216" t="n"/>
      <c r="C100" s="216" t="n"/>
      <c r="D100" s="217" t="n"/>
      <c r="E100" s="216" t="n"/>
      <c r="F100" s="216" t="n"/>
      <c r="G100" s="217" t="n"/>
      <c r="H100" s="217" t="n"/>
      <c r="I100" s="217" t="n"/>
      <c r="J100" s="217" t="n"/>
      <c r="K100" s="216" t="n"/>
      <c r="L100" s="217" t="n"/>
      <c r="M100" s="216" t="n"/>
      <c r="N100" s="164">
        <f>IF($K100="","",IF($M100="Concluído","—",DATEVALUE($K100)-TODAY()))</f>
        <v/>
      </c>
    </row>
    <row r="101" ht="30" customHeight="1" s="131">
      <c r="A101" s="216" t="n"/>
      <c r="B101" s="216" t="n"/>
      <c r="C101" s="216" t="n"/>
      <c r="D101" s="217" t="n"/>
      <c r="E101" s="216" t="n"/>
      <c r="F101" s="216" t="n"/>
      <c r="G101" s="217" t="n"/>
      <c r="H101" s="217" t="n"/>
      <c r="I101" s="217" t="n"/>
      <c r="J101" s="217" t="n"/>
      <c r="K101" s="216" t="n"/>
      <c r="L101" s="217" t="n"/>
      <c r="M101" s="216" t="n"/>
      <c r="N101" s="164">
        <f>IF($K101="","",IF($M101="Concluído","—",DATEVALUE($K101)-TODAY()))</f>
        <v/>
      </c>
    </row>
    <row r="102" ht="30" customHeight="1" s="131">
      <c r="A102" s="216" t="n"/>
      <c r="B102" s="216" t="n"/>
      <c r="C102" s="216" t="n"/>
      <c r="D102" s="217" t="n"/>
      <c r="E102" s="216" t="n"/>
      <c r="F102" s="216" t="n"/>
      <c r="G102" s="217" t="n"/>
      <c r="H102" s="217" t="n"/>
      <c r="I102" s="217" t="n"/>
      <c r="J102" s="217" t="n"/>
      <c r="K102" s="216" t="n"/>
      <c r="L102" s="217" t="n"/>
      <c r="M102" s="216" t="n"/>
      <c r="N102" s="164">
        <f>IF($K102="","",IF($M102="Concluído","—",DATEVALUE($K102)-TODAY()))</f>
        <v/>
      </c>
    </row>
    <row r="103" ht="30" customHeight="1" s="131">
      <c r="A103" s="216" t="n"/>
      <c r="B103" s="216" t="n"/>
      <c r="C103" s="216" t="n"/>
      <c r="D103" s="217" t="n"/>
      <c r="E103" s="216" t="n"/>
      <c r="F103" s="216" t="n"/>
      <c r="G103" s="217" t="n"/>
      <c r="H103" s="217" t="n"/>
      <c r="I103" s="217" t="n"/>
      <c r="J103" s="217" t="n"/>
      <c r="K103" s="216" t="n"/>
      <c r="L103" s="217" t="n"/>
      <c r="M103" s="216" t="n"/>
      <c r="N103" s="164">
        <f>IF($K103="","",IF($M103="Concluído","—",DATEVALUE($K103)-TODAY()))</f>
        <v/>
      </c>
    </row>
    <row r="104" ht="30" customHeight="1" s="131">
      <c r="A104" s="216" t="n"/>
      <c r="B104" s="216" t="n"/>
      <c r="C104" s="216" t="n"/>
      <c r="D104" s="217" t="n"/>
      <c r="E104" s="216" t="n"/>
      <c r="F104" s="216" t="n"/>
      <c r="G104" s="217" t="n"/>
      <c r="H104" s="217" t="n"/>
      <c r="I104" s="217" t="n"/>
      <c r="J104" s="217" t="n"/>
      <c r="K104" s="216" t="n"/>
      <c r="L104" s="217" t="n"/>
      <c r="M104" s="216" t="n"/>
      <c r="N104" s="164">
        <f>IF($K104="","",IF($M104="Concluído","—",DATEVALUE($K104)-TODAY()))</f>
        <v/>
      </c>
    </row>
    <row r="105" ht="30" customHeight="1" s="131">
      <c r="A105" s="216" t="n"/>
      <c r="B105" s="216" t="n"/>
      <c r="C105" s="216" t="n"/>
      <c r="D105" s="217" t="n"/>
      <c r="E105" s="216" t="n"/>
      <c r="F105" s="216" t="n"/>
      <c r="G105" s="217" t="n"/>
      <c r="H105" s="217" t="n"/>
      <c r="I105" s="217" t="n"/>
      <c r="J105" s="217" t="n"/>
      <c r="K105" s="216" t="n"/>
      <c r="L105" s="217" t="n"/>
      <c r="M105" s="216" t="n"/>
      <c r="N105" s="164">
        <f>IF($K105="","",IF($M105="Concluído","—",DATEVALUE($K105)-TODAY()))</f>
        <v/>
      </c>
    </row>
    <row r="106" ht="30" customHeight="1" s="131">
      <c r="A106" s="216" t="n"/>
      <c r="B106" s="216" t="n"/>
      <c r="C106" s="216" t="n"/>
      <c r="D106" s="217" t="n"/>
      <c r="E106" s="216" t="n"/>
      <c r="F106" s="216" t="n"/>
      <c r="G106" s="217" t="n"/>
      <c r="H106" s="217" t="n"/>
      <c r="I106" s="217" t="n"/>
      <c r="J106" s="217" t="n"/>
      <c r="K106" s="216" t="n"/>
      <c r="L106" s="217" t="n"/>
      <c r="M106" s="216" t="n"/>
      <c r="N106" s="164">
        <f>IF($K106="","",IF($M106="Concluído","—",DATEVALUE($K106)-TODAY()))</f>
        <v/>
      </c>
    </row>
    <row r="107" ht="30" customHeight="1" s="131">
      <c r="A107" s="216" t="n"/>
      <c r="B107" s="216" t="n"/>
      <c r="C107" s="216" t="n"/>
      <c r="D107" s="217" t="n"/>
      <c r="E107" s="216" t="n"/>
      <c r="F107" s="216" t="n"/>
      <c r="G107" s="217" t="n"/>
      <c r="H107" s="217" t="n"/>
      <c r="I107" s="217" t="n"/>
      <c r="J107" s="217" t="n"/>
      <c r="K107" s="216" t="n"/>
      <c r="L107" s="217" t="n"/>
      <c r="M107" s="216" t="n"/>
      <c r="N107" s="164">
        <f>IF($K107="","",IF($M107="Concluído","—",DATEVALUE($K107)-TODAY()))</f>
        <v/>
      </c>
    </row>
    <row r="108" ht="30" customHeight="1" s="131">
      <c r="A108" s="216" t="n"/>
      <c r="B108" s="216" t="n"/>
      <c r="C108" s="216" t="n"/>
      <c r="D108" s="217" t="n"/>
      <c r="E108" s="216" t="n"/>
      <c r="F108" s="216" t="n"/>
      <c r="G108" s="217" t="n"/>
      <c r="H108" s="217" t="n"/>
      <c r="I108" s="217" t="n"/>
      <c r="J108" s="217" t="n"/>
      <c r="K108" s="216" t="n"/>
      <c r="L108" s="217" t="n"/>
      <c r="M108" s="216" t="n"/>
      <c r="N108" s="164">
        <f>IF($K108="","",IF($M108="Concluído","—",DATEVALUE($K108)-TODAY()))</f>
        <v/>
      </c>
    </row>
    <row r="109" ht="30" customHeight="1" s="131">
      <c r="A109" s="216" t="n"/>
      <c r="B109" s="216" t="n"/>
      <c r="C109" s="216" t="n"/>
      <c r="D109" s="217" t="n"/>
      <c r="E109" s="216" t="n"/>
      <c r="F109" s="216" t="n"/>
      <c r="G109" s="217" t="n"/>
      <c r="H109" s="217" t="n"/>
      <c r="I109" s="217" t="n"/>
      <c r="J109" s="217" t="n"/>
      <c r="K109" s="216" t="n"/>
      <c r="L109" s="217" t="n"/>
      <c r="M109" s="216" t="n"/>
      <c r="N109" s="164">
        <f>IF($K109="","",IF($M109="Concluído","—",DATEVALUE($K109)-TODAY()))</f>
        <v/>
      </c>
    </row>
    <row r="110" ht="30" customHeight="1" s="131">
      <c r="A110" s="216" t="n"/>
      <c r="B110" s="216" t="n"/>
      <c r="C110" s="216" t="n"/>
      <c r="D110" s="217" t="n"/>
      <c r="E110" s="216" t="n"/>
      <c r="F110" s="216" t="n"/>
      <c r="G110" s="217" t="n"/>
      <c r="H110" s="217" t="n"/>
      <c r="I110" s="217" t="n"/>
      <c r="J110" s="217" t="n"/>
      <c r="K110" s="216" t="n"/>
      <c r="L110" s="217" t="n"/>
      <c r="M110" s="216" t="n"/>
      <c r="N110" s="164">
        <f>IF($K110="","",IF($M110="Concluído","—",DATEVALUE($K110)-TODAY()))</f>
        <v/>
      </c>
    </row>
    <row r="111" ht="30" customHeight="1" s="131">
      <c r="A111" s="216" t="n"/>
      <c r="B111" s="216" t="n"/>
      <c r="C111" s="216" t="n"/>
      <c r="D111" s="217" t="n"/>
      <c r="E111" s="216" t="n"/>
      <c r="F111" s="216" t="n"/>
      <c r="G111" s="217" t="n"/>
      <c r="H111" s="217" t="n"/>
      <c r="I111" s="217" t="n"/>
      <c r="J111" s="217" t="n"/>
      <c r="K111" s="216" t="n"/>
      <c r="L111" s="217" t="n"/>
      <c r="M111" s="216" t="n"/>
      <c r="N111" s="164">
        <f>IF($K111="","",IF($M111="Concluído","—",DATEVALUE($K111)-TODAY()))</f>
        <v/>
      </c>
    </row>
    <row r="112" ht="30" customHeight="1" s="131">
      <c r="A112" s="216" t="n"/>
      <c r="B112" s="216" t="n"/>
      <c r="C112" s="216" t="n"/>
      <c r="D112" s="217" t="n"/>
      <c r="E112" s="216" t="n"/>
      <c r="F112" s="216" t="n"/>
      <c r="G112" s="217" t="n"/>
      <c r="H112" s="217" t="n"/>
      <c r="I112" s="217" t="n"/>
      <c r="J112" s="217" t="n"/>
      <c r="K112" s="216" t="n"/>
      <c r="L112" s="217" t="n"/>
      <c r="M112" s="216" t="n"/>
      <c r="N112" s="164">
        <f>IF($K112="","",IF($M112="Concluído","—",DATEVALUE($K112)-TODAY()))</f>
        <v/>
      </c>
    </row>
    <row r="113" ht="30" customHeight="1" s="131">
      <c r="A113" s="216" t="n"/>
      <c r="B113" s="216" t="n"/>
      <c r="C113" s="216" t="n"/>
      <c r="D113" s="217" t="n"/>
      <c r="E113" s="216" t="n"/>
      <c r="F113" s="216" t="n"/>
      <c r="G113" s="217" t="n"/>
      <c r="H113" s="217" t="n"/>
      <c r="I113" s="217" t="n"/>
      <c r="J113" s="217" t="n"/>
      <c r="K113" s="216" t="n"/>
      <c r="L113" s="217" t="n"/>
      <c r="M113" s="216" t="n"/>
      <c r="N113" s="164">
        <f>IF($K113="","",IF($M113="Concluído","—",DATEVALUE($K113)-TODAY()))</f>
        <v/>
      </c>
    </row>
    <row r="114" ht="30" customHeight="1" s="131">
      <c r="A114" s="216" t="n"/>
      <c r="B114" s="216" t="n"/>
      <c r="C114" s="216" t="n"/>
      <c r="D114" s="217" t="n"/>
      <c r="E114" s="216" t="n"/>
      <c r="F114" s="216" t="n"/>
      <c r="G114" s="217" t="n"/>
      <c r="H114" s="217" t="n"/>
      <c r="I114" s="217" t="n"/>
      <c r="J114" s="217" t="n"/>
      <c r="K114" s="216" t="n"/>
      <c r="L114" s="217" t="n"/>
      <c r="M114" s="216" t="n"/>
      <c r="N114" s="164">
        <f>IF($K114="","",IF($M114="Concluído","—",DATEVALUE($K114)-TODAY()))</f>
        <v/>
      </c>
    </row>
    <row r="115" ht="30" customHeight="1" s="131">
      <c r="A115" s="216" t="n"/>
      <c r="B115" s="216" t="n"/>
      <c r="C115" s="216" t="n"/>
      <c r="D115" s="217" t="n"/>
      <c r="E115" s="216" t="n"/>
      <c r="F115" s="216" t="n"/>
      <c r="G115" s="217" t="n"/>
      <c r="H115" s="217" t="n"/>
      <c r="I115" s="217" t="n"/>
      <c r="J115" s="217" t="n"/>
      <c r="K115" s="216" t="n"/>
      <c r="L115" s="217" t="n"/>
      <c r="M115" s="216" t="n"/>
      <c r="N115" s="164">
        <f>IF($K115="","",IF($M115="Concluído","—",DATEVALUE($K115)-TODAY()))</f>
        <v/>
      </c>
    </row>
    <row r="116" ht="30" customHeight="1" s="131">
      <c r="A116" s="216" t="n"/>
      <c r="B116" s="216" t="n"/>
      <c r="C116" s="216" t="n"/>
      <c r="D116" s="217" t="n"/>
      <c r="E116" s="216" t="n"/>
      <c r="F116" s="216" t="n"/>
      <c r="G116" s="217" t="n"/>
      <c r="H116" s="217" t="n"/>
      <c r="I116" s="217" t="n"/>
      <c r="J116" s="217" t="n"/>
      <c r="K116" s="216" t="n"/>
      <c r="L116" s="217" t="n"/>
      <c r="M116" s="216" t="n"/>
      <c r="N116" s="164">
        <f>IF($K116="","",IF($M116="Concluído","—",DATEVALUE($K116)-TODAY()))</f>
        <v/>
      </c>
    </row>
    <row r="117" ht="30" customHeight="1" s="131">
      <c r="A117" s="216" t="n"/>
      <c r="B117" s="216" t="n"/>
      <c r="C117" s="216" t="n"/>
      <c r="D117" s="217" t="n"/>
      <c r="E117" s="216" t="n"/>
      <c r="F117" s="216" t="n"/>
      <c r="G117" s="217" t="n"/>
      <c r="H117" s="217" t="n"/>
      <c r="I117" s="217" t="n"/>
      <c r="J117" s="217" t="n"/>
      <c r="K117" s="216" t="n"/>
      <c r="L117" s="217" t="n"/>
      <c r="M117" s="216" t="n"/>
      <c r="N117" s="164">
        <f>IF($K117="","",IF($M117="Concluído","—",DATEVALUE($K117)-TODAY()))</f>
        <v/>
      </c>
    </row>
    <row r="118" ht="30" customHeight="1" s="131">
      <c r="A118" s="216" t="n"/>
      <c r="B118" s="216" t="n"/>
      <c r="C118" s="216" t="n"/>
      <c r="D118" s="217" t="n"/>
      <c r="E118" s="216" t="n"/>
      <c r="F118" s="216" t="n"/>
      <c r="G118" s="217" t="n"/>
      <c r="H118" s="217" t="n"/>
      <c r="I118" s="217" t="n"/>
      <c r="J118" s="217" t="n"/>
      <c r="K118" s="216" t="n"/>
      <c r="L118" s="217" t="n"/>
      <c r="M118" s="216" t="n"/>
      <c r="N118" s="164">
        <f>IF($K118="","",IF($M118="Concluído","—",DATEVALUE($K118)-TODAY()))</f>
        <v/>
      </c>
    </row>
    <row r="119" ht="30" customHeight="1" s="131">
      <c r="A119" s="216" t="n"/>
      <c r="B119" s="216" t="n"/>
      <c r="C119" s="216" t="n"/>
      <c r="D119" s="217" t="n"/>
      <c r="E119" s="216" t="n"/>
      <c r="F119" s="216" t="n"/>
      <c r="G119" s="217" t="n"/>
      <c r="H119" s="217" t="n"/>
      <c r="I119" s="217" t="n"/>
      <c r="J119" s="217" t="n"/>
      <c r="K119" s="216" t="n"/>
      <c r="L119" s="217" t="n"/>
      <c r="M119" s="216" t="n"/>
      <c r="N119" s="164">
        <f>IF($K119="","",IF($M119="Concluído","—",DATEVALUE($K119)-TODAY()))</f>
        <v/>
      </c>
    </row>
    <row r="120" ht="30" customHeight="1" s="131">
      <c r="A120" s="216" t="n"/>
      <c r="B120" s="216" t="n"/>
      <c r="C120" s="216" t="n"/>
      <c r="D120" s="217" t="n"/>
      <c r="E120" s="216" t="n"/>
      <c r="F120" s="216" t="n"/>
      <c r="G120" s="217" t="n"/>
      <c r="H120" s="217" t="n"/>
      <c r="I120" s="217" t="n"/>
      <c r="J120" s="217" t="n"/>
      <c r="K120" s="216" t="n"/>
      <c r="L120" s="217" t="n"/>
      <c r="M120" s="216" t="n"/>
      <c r="N120" s="164">
        <f>IF($K120="","",IF($M120="Concluído","—",DATEVALUE($K120)-TODAY()))</f>
        <v/>
      </c>
    </row>
    <row r="121" ht="30" customHeight="1" s="131">
      <c r="A121" s="216" t="n"/>
      <c r="B121" s="216" t="n"/>
      <c r="C121" s="216" t="n"/>
      <c r="D121" s="217" t="n"/>
      <c r="E121" s="216" t="n"/>
      <c r="F121" s="216" t="n"/>
      <c r="G121" s="217" t="n"/>
      <c r="H121" s="217" t="n"/>
      <c r="I121" s="217" t="n"/>
      <c r="J121" s="217" t="n"/>
      <c r="K121" s="216" t="n"/>
      <c r="L121" s="217" t="n"/>
      <c r="M121" s="216" t="n"/>
      <c r="N121" s="164">
        <f>IF($K121="","",IF($M121="Concluído","—",DATEVALUE($K121)-TODAY()))</f>
        <v/>
      </c>
    </row>
    <row r="122" ht="30" customHeight="1" s="131">
      <c r="A122" s="216" t="n"/>
      <c r="B122" s="216" t="n"/>
      <c r="C122" s="216" t="n"/>
      <c r="D122" s="217" t="n"/>
      <c r="E122" s="216" t="n"/>
      <c r="F122" s="216" t="n"/>
      <c r="G122" s="217" t="n"/>
      <c r="H122" s="217" t="n"/>
      <c r="I122" s="217" t="n"/>
      <c r="J122" s="217" t="n"/>
      <c r="K122" s="216" t="n"/>
      <c r="L122" s="217" t="n"/>
      <c r="M122" s="216" t="n"/>
      <c r="N122" s="164">
        <f>IF($K122="","",IF($M122="Concluído","—",DATEVALUE($K122)-TODAY()))</f>
        <v/>
      </c>
    </row>
    <row r="123" ht="30" customHeight="1" s="131">
      <c r="A123" s="216" t="n"/>
      <c r="B123" s="216" t="n"/>
      <c r="C123" s="216" t="n"/>
      <c r="D123" s="217" t="n"/>
      <c r="E123" s="216" t="n"/>
      <c r="F123" s="216" t="n"/>
      <c r="G123" s="217" t="n"/>
      <c r="H123" s="217" t="n"/>
      <c r="I123" s="217" t="n"/>
      <c r="J123" s="217" t="n"/>
      <c r="K123" s="216" t="n"/>
      <c r="L123" s="217" t="n"/>
      <c r="M123" s="216" t="n"/>
      <c r="N123" s="164">
        <f>IF($K123="","",IF($M123="Concluído","—",DATEVALUE($K123)-TODAY()))</f>
        <v/>
      </c>
    </row>
    <row r="124" ht="30" customHeight="1" s="131">
      <c r="A124" s="216" t="n"/>
      <c r="B124" s="216" t="n"/>
      <c r="C124" s="216" t="n"/>
      <c r="D124" s="217" t="n"/>
      <c r="E124" s="216" t="n"/>
      <c r="F124" s="216" t="n"/>
      <c r="G124" s="217" t="n"/>
      <c r="H124" s="217" t="n"/>
      <c r="I124" s="217" t="n"/>
      <c r="J124" s="217" t="n"/>
      <c r="K124" s="216" t="n"/>
      <c r="L124" s="217" t="n"/>
      <c r="M124" s="216" t="n"/>
      <c r="N124" s="164">
        <f>IF($K124="","",IF($M124="Concluído","—",DATEVALUE($K124)-TODAY()))</f>
        <v/>
      </c>
    </row>
    <row r="125" ht="30" customHeight="1" s="131">
      <c r="A125" s="216" t="n"/>
      <c r="B125" s="216" t="n"/>
      <c r="C125" s="216" t="n"/>
      <c r="D125" s="217" t="n"/>
      <c r="E125" s="216" t="n"/>
      <c r="F125" s="216" t="n"/>
      <c r="G125" s="217" t="n"/>
      <c r="H125" s="217" t="n"/>
      <c r="I125" s="217" t="n"/>
      <c r="J125" s="217" t="n"/>
      <c r="K125" s="216" t="n"/>
      <c r="L125" s="217" t="n"/>
      <c r="M125" s="216" t="n"/>
      <c r="N125" s="164">
        <f>IF($K125="","",IF($M125="Concluído","—",DATEVALUE($K125)-TODAY()))</f>
        <v/>
      </c>
    </row>
    <row r="126" ht="30" customHeight="1" s="131">
      <c r="A126" s="216" t="n"/>
      <c r="B126" s="216" t="n"/>
      <c r="C126" s="216" t="n"/>
      <c r="D126" s="217" t="n"/>
      <c r="E126" s="216" t="n"/>
      <c r="F126" s="216" t="n"/>
      <c r="G126" s="217" t="n"/>
      <c r="H126" s="217" t="n"/>
      <c r="I126" s="217" t="n"/>
      <c r="J126" s="217" t="n"/>
      <c r="K126" s="216" t="n"/>
      <c r="L126" s="217" t="n"/>
      <c r="M126" s="216" t="n"/>
      <c r="N126" s="164">
        <f>IF($K126="","",IF($M126="Concluído","—",DATEVALUE($K126)-TODAY()))</f>
        <v/>
      </c>
    </row>
    <row r="127" ht="30" customHeight="1" s="131">
      <c r="A127" s="216" t="n"/>
      <c r="B127" s="216" t="n"/>
      <c r="C127" s="216" t="n"/>
      <c r="D127" s="217" t="n"/>
      <c r="E127" s="216" t="n"/>
      <c r="F127" s="216" t="n"/>
      <c r="G127" s="217" t="n"/>
      <c r="H127" s="217" t="n"/>
      <c r="I127" s="217" t="n"/>
      <c r="J127" s="217" t="n"/>
      <c r="K127" s="216" t="n"/>
      <c r="L127" s="217" t="n"/>
      <c r="M127" s="216" t="n"/>
      <c r="N127" s="164">
        <f>IF($K127="","",IF($M127="Concluído","—",DATEVALUE($K127)-TODAY()))</f>
        <v/>
      </c>
    </row>
    <row r="128" ht="30" customHeight="1" s="131">
      <c r="A128" s="216" t="n"/>
      <c r="B128" s="216" t="n"/>
      <c r="C128" s="216" t="n"/>
      <c r="D128" s="217" t="n"/>
      <c r="E128" s="216" t="n"/>
      <c r="F128" s="216" t="n"/>
      <c r="G128" s="217" t="n"/>
      <c r="H128" s="217" t="n"/>
      <c r="I128" s="217" t="n"/>
      <c r="J128" s="217" t="n"/>
      <c r="K128" s="216" t="n"/>
      <c r="L128" s="217" t="n"/>
      <c r="M128" s="216" t="n"/>
      <c r="N128" s="164">
        <f>IF($K128="","",IF($M128="Concluído","—",DATEVALUE($K128)-TODAY()))</f>
        <v/>
      </c>
    </row>
    <row r="129" ht="30" customHeight="1" s="131">
      <c r="A129" s="216" t="n"/>
      <c r="B129" s="216" t="n"/>
      <c r="C129" s="216" t="n"/>
      <c r="D129" s="217" t="n"/>
      <c r="E129" s="216" t="n"/>
      <c r="F129" s="216" t="n"/>
      <c r="G129" s="217" t="n"/>
      <c r="H129" s="217" t="n"/>
      <c r="I129" s="217" t="n"/>
      <c r="J129" s="217" t="n"/>
      <c r="K129" s="216" t="n"/>
      <c r="L129" s="217" t="n"/>
      <c r="M129" s="216" t="n"/>
      <c r="N129" s="164">
        <f>IF($K129="","",IF($M129="Concluído","—",DATEVALUE($K129)-TODAY()))</f>
        <v/>
      </c>
    </row>
    <row r="130" ht="30" customHeight="1" s="131">
      <c r="A130" s="216" t="n"/>
      <c r="B130" s="216" t="n"/>
      <c r="C130" s="216" t="n"/>
      <c r="D130" s="217" t="n"/>
      <c r="E130" s="216" t="n"/>
      <c r="F130" s="216" t="n"/>
      <c r="G130" s="217" t="n"/>
      <c r="H130" s="217" t="n"/>
      <c r="I130" s="217" t="n"/>
      <c r="J130" s="217" t="n"/>
      <c r="K130" s="216" t="n"/>
      <c r="L130" s="217" t="n"/>
      <c r="M130" s="216" t="n"/>
      <c r="N130" s="164">
        <f>IF($K130="","",IF($M130="Concluído","—",DATEVALUE($K130)-TODAY()))</f>
        <v/>
      </c>
    </row>
    <row r="131" ht="30" customHeight="1" s="131">
      <c r="A131" s="216" t="n"/>
      <c r="B131" s="216" t="n"/>
      <c r="C131" s="216" t="n"/>
      <c r="D131" s="217" t="n"/>
      <c r="E131" s="216" t="n"/>
      <c r="F131" s="216" t="n"/>
      <c r="G131" s="217" t="n"/>
      <c r="H131" s="217" t="n"/>
      <c r="I131" s="217" t="n"/>
      <c r="J131" s="217" t="n"/>
      <c r="K131" s="216" t="n"/>
      <c r="L131" s="217" t="n"/>
      <c r="M131" s="216" t="n"/>
      <c r="N131" s="164">
        <f>IF($K131="","",IF($M131="Concluído","—",DATEVALUE($K131)-TODAY()))</f>
        <v/>
      </c>
    </row>
    <row r="132" ht="30" customHeight="1" s="131">
      <c r="A132" s="216" t="n"/>
      <c r="B132" s="216" t="n"/>
      <c r="C132" s="216" t="n"/>
      <c r="D132" s="217" t="n"/>
      <c r="E132" s="216" t="n"/>
      <c r="F132" s="216" t="n"/>
      <c r="G132" s="217" t="n"/>
      <c r="H132" s="217" t="n"/>
      <c r="I132" s="217" t="n"/>
      <c r="J132" s="217" t="n"/>
      <c r="K132" s="216" t="n"/>
      <c r="L132" s="217" t="n"/>
      <c r="M132" s="216" t="n"/>
      <c r="N132" s="164">
        <f>IF($K132="","",IF($M132="Concluído","—",DATEVALUE($K132)-TODAY()))</f>
        <v/>
      </c>
    </row>
    <row r="133" ht="30" customHeight="1" s="131">
      <c r="A133" s="216" t="n"/>
      <c r="B133" s="216" t="n"/>
      <c r="C133" s="216" t="n"/>
      <c r="D133" s="217" t="n"/>
      <c r="E133" s="216" t="n"/>
      <c r="F133" s="216" t="n"/>
      <c r="G133" s="217" t="n"/>
      <c r="H133" s="217" t="n"/>
      <c r="I133" s="217" t="n"/>
      <c r="J133" s="217" t="n"/>
      <c r="K133" s="216" t="n"/>
      <c r="L133" s="217" t="n"/>
      <c r="M133" s="216" t="n"/>
      <c r="N133" s="164">
        <f>IF($K133="","",IF($M133="Concluído","—",DATEVALUE($K133)-TODAY()))</f>
        <v/>
      </c>
    </row>
    <row r="134" ht="30" customHeight="1" s="131">
      <c r="A134" s="216" t="n"/>
      <c r="B134" s="216" t="n"/>
      <c r="C134" s="216" t="n"/>
      <c r="D134" s="217" t="n"/>
      <c r="E134" s="216" t="n"/>
      <c r="F134" s="216" t="n"/>
      <c r="G134" s="217" t="n"/>
      <c r="H134" s="217" t="n"/>
      <c r="I134" s="217" t="n"/>
      <c r="J134" s="217" t="n"/>
      <c r="K134" s="216" t="n"/>
      <c r="L134" s="217" t="n"/>
      <c r="M134" s="216" t="n"/>
      <c r="N134" s="164">
        <f>IF($K134="","",IF($M134="Concluído","—",DATEVALUE($K134)-TODAY()))</f>
        <v/>
      </c>
    </row>
    <row r="135" ht="30" customHeight="1" s="131">
      <c r="A135" s="216" t="n"/>
      <c r="B135" s="216" t="n"/>
      <c r="C135" s="216" t="n"/>
      <c r="D135" s="217" t="n"/>
      <c r="E135" s="216" t="n"/>
      <c r="F135" s="216" t="n"/>
      <c r="G135" s="217" t="n"/>
      <c r="H135" s="217" t="n"/>
      <c r="I135" s="217" t="n"/>
      <c r="J135" s="217" t="n"/>
      <c r="K135" s="216" t="n"/>
      <c r="L135" s="217" t="n"/>
      <c r="M135" s="216" t="n"/>
      <c r="N135" s="164">
        <f>IF($K135="","",IF($M135="Concluído","—",DATEVALUE($K135)-TODAY()))</f>
        <v/>
      </c>
    </row>
    <row r="136" ht="30" customHeight="1" s="131">
      <c r="A136" s="216" t="n"/>
      <c r="B136" s="216" t="n"/>
      <c r="C136" s="216" t="n"/>
      <c r="D136" s="217" t="n"/>
      <c r="E136" s="216" t="n"/>
      <c r="F136" s="216" t="n"/>
      <c r="G136" s="217" t="n"/>
      <c r="H136" s="217" t="n"/>
      <c r="I136" s="217" t="n"/>
      <c r="J136" s="217" t="n"/>
      <c r="K136" s="216" t="n"/>
      <c r="L136" s="217" t="n"/>
      <c r="M136" s="216" t="n"/>
      <c r="N136" s="164">
        <f>IF($K136="","",IF($M136="Concluído","—",DATEVALUE($K136)-TODAY()))</f>
        <v/>
      </c>
    </row>
    <row r="137" ht="30" customHeight="1" s="131">
      <c r="A137" s="216" t="n"/>
      <c r="B137" s="216" t="n"/>
      <c r="C137" s="216" t="n"/>
      <c r="D137" s="217" t="n"/>
      <c r="E137" s="216" t="n"/>
      <c r="F137" s="216" t="n"/>
      <c r="G137" s="217" t="n"/>
      <c r="H137" s="217" t="n"/>
      <c r="I137" s="217" t="n"/>
      <c r="J137" s="217" t="n"/>
      <c r="K137" s="216" t="n"/>
      <c r="L137" s="217" t="n"/>
      <c r="M137" s="216" t="n"/>
      <c r="N137" s="164">
        <f>IF($K137="","",IF($M137="Concluído","—",DATEVALUE($K137)-TODAY()))</f>
        <v/>
      </c>
    </row>
    <row r="138" ht="30" customHeight="1" s="131">
      <c r="A138" s="216" t="n"/>
      <c r="B138" s="216" t="n"/>
      <c r="C138" s="216" t="n"/>
      <c r="D138" s="217" t="n"/>
      <c r="E138" s="216" t="n"/>
      <c r="F138" s="216" t="n"/>
      <c r="G138" s="217" t="n"/>
      <c r="H138" s="217" t="n"/>
      <c r="I138" s="217" t="n"/>
      <c r="J138" s="217" t="n"/>
      <c r="K138" s="216" t="n"/>
      <c r="L138" s="217" t="n"/>
      <c r="M138" s="216" t="n"/>
      <c r="N138" s="164">
        <f>IF($K138="","",IF($M138="Concluído","—",DATEVALUE($K138)-TODAY()))</f>
        <v/>
      </c>
    </row>
    <row r="139" ht="30" customHeight="1" s="131">
      <c r="A139" s="216" t="n"/>
      <c r="B139" s="216" t="n"/>
      <c r="C139" s="216" t="n"/>
      <c r="D139" s="217" t="n"/>
      <c r="E139" s="216" t="n"/>
      <c r="F139" s="216" t="n"/>
      <c r="G139" s="217" t="n"/>
      <c r="H139" s="217" t="n"/>
      <c r="I139" s="217" t="n"/>
      <c r="J139" s="217" t="n"/>
      <c r="K139" s="216" t="n"/>
      <c r="L139" s="217" t="n"/>
      <c r="M139" s="216" t="n"/>
      <c r="N139" s="164">
        <f>IF($K139="","",IF($M139="Concluído","—",DATEVALUE($K139)-TODAY()))</f>
        <v/>
      </c>
    </row>
    <row r="140" ht="30" customHeight="1" s="131">
      <c r="A140" s="216" t="n"/>
      <c r="B140" s="216" t="n"/>
      <c r="C140" s="216" t="n"/>
      <c r="D140" s="217" t="n"/>
      <c r="E140" s="216" t="n"/>
      <c r="F140" s="216" t="n"/>
      <c r="G140" s="217" t="n"/>
      <c r="H140" s="217" t="n"/>
      <c r="I140" s="217" t="n"/>
      <c r="J140" s="217" t="n"/>
      <c r="K140" s="216" t="n"/>
      <c r="L140" s="217" t="n"/>
      <c r="M140" s="216" t="n"/>
      <c r="N140" s="164">
        <f>IF($K140="","",IF($M140="Concluído","—",DATEVALUE($K140)-TODAY()))</f>
        <v/>
      </c>
    </row>
    <row r="141" ht="30" customHeight="1" s="131">
      <c r="A141" s="216" t="n"/>
      <c r="B141" s="216" t="n"/>
      <c r="C141" s="216" t="n"/>
      <c r="D141" s="217" t="n"/>
      <c r="E141" s="216" t="n"/>
      <c r="F141" s="216" t="n"/>
      <c r="G141" s="217" t="n"/>
      <c r="H141" s="217" t="n"/>
      <c r="I141" s="217" t="n"/>
      <c r="J141" s="217" t="n"/>
      <c r="K141" s="216" t="n"/>
      <c r="L141" s="217" t="n"/>
      <c r="M141" s="216" t="n"/>
      <c r="N141" s="164">
        <f>IF($K141="","",IF($M141="Concluído","—",DATEVALUE($K141)-TODAY()))</f>
        <v/>
      </c>
    </row>
    <row r="142" ht="30" customHeight="1" s="131">
      <c r="A142" s="216" t="n"/>
      <c r="B142" s="216" t="n"/>
      <c r="C142" s="216" t="n"/>
      <c r="D142" s="217" t="n"/>
      <c r="E142" s="216" t="n"/>
      <c r="F142" s="216" t="n"/>
      <c r="G142" s="217" t="n"/>
      <c r="H142" s="217" t="n"/>
      <c r="I142" s="217" t="n"/>
      <c r="J142" s="217" t="n"/>
      <c r="K142" s="216" t="n"/>
      <c r="L142" s="217" t="n"/>
      <c r="M142" s="216" t="n"/>
      <c r="N142" s="164">
        <f>IF($K142="","",IF($M142="Concluído","—",DATEVALUE($K142)-TODAY()))</f>
        <v/>
      </c>
    </row>
    <row r="143" ht="30" customHeight="1" s="131">
      <c r="A143" s="216" t="n"/>
      <c r="B143" s="216" t="n"/>
      <c r="C143" s="216" t="n"/>
      <c r="D143" s="217" t="n"/>
      <c r="E143" s="216" t="n"/>
      <c r="F143" s="216" t="n"/>
      <c r="G143" s="217" t="n"/>
      <c r="H143" s="217" t="n"/>
      <c r="I143" s="217" t="n"/>
      <c r="J143" s="217" t="n"/>
      <c r="K143" s="216" t="n"/>
      <c r="L143" s="217" t="n"/>
      <c r="M143" s="216" t="n"/>
      <c r="N143" s="164">
        <f>IF($K143="","",IF($M143="Concluído","—",DATEVALUE($K143)-TODAY()))</f>
        <v/>
      </c>
    </row>
    <row r="144" ht="30" customHeight="1" s="131">
      <c r="A144" s="216" t="n"/>
      <c r="B144" s="216" t="n"/>
      <c r="C144" s="216" t="n"/>
      <c r="D144" s="217" t="n"/>
      <c r="E144" s="216" t="n"/>
      <c r="F144" s="216" t="n"/>
      <c r="G144" s="217" t="n"/>
      <c r="H144" s="217" t="n"/>
      <c r="I144" s="217" t="n"/>
      <c r="J144" s="217" t="n"/>
      <c r="K144" s="216" t="n"/>
      <c r="L144" s="217" t="n"/>
      <c r="M144" s="216" t="n"/>
      <c r="N144" s="164">
        <f>IF($K144="","",IF($M144="Concluído","—",DATEVALUE($K144)-TODAY()))</f>
        <v/>
      </c>
    </row>
    <row r="145" ht="30" customHeight="1" s="131">
      <c r="A145" s="216" t="n"/>
      <c r="B145" s="216" t="n"/>
      <c r="C145" s="216" t="n"/>
      <c r="D145" s="217" t="n"/>
      <c r="E145" s="216" t="n"/>
      <c r="F145" s="216" t="n"/>
      <c r="G145" s="217" t="n"/>
      <c r="H145" s="217" t="n"/>
      <c r="I145" s="217" t="n"/>
      <c r="J145" s="217" t="n"/>
      <c r="K145" s="216" t="n"/>
      <c r="L145" s="217" t="n"/>
      <c r="M145" s="216" t="n"/>
      <c r="N145" s="164">
        <f>IF($K145="","",IF($M145="Concluído","—",DATEVALUE($K145)-TODAY()))</f>
        <v/>
      </c>
    </row>
    <row r="146" ht="30" customHeight="1" s="131">
      <c r="A146" s="216" t="n"/>
      <c r="B146" s="216" t="n"/>
      <c r="C146" s="216" t="n"/>
      <c r="D146" s="217" t="n"/>
      <c r="E146" s="216" t="n"/>
      <c r="F146" s="216" t="n"/>
      <c r="G146" s="217" t="n"/>
      <c r="H146" s="217" t="n"/>
      <c r="I146" s="217" t="n"/>
      <c r="J146" s="217" t="n"/>
      <c r="K146" s="216" t="n"/>
      <c r="L146" s="217" t="n"/>
      <c r="M146" s="216" t="n"/>
      <c r="N146" s="164">
        <f>IF($K146="","",IF($M146="Concluído","—",DATEVALUE($K146)-TODAY()))</f>
        <v/>
      </c>
    </row>
    <row r="147" ht="30" customHeight="1" s="131">
      <c r="A147" s="216" t="n"/>
      <c r="B147" s="216" t="n"/>
      <c r="C147" s="216" t="n"/>
      <c r="D147" s="217" t="n"/>
      <c r="E147" s="216" t="n"/>
      <c r="F147" s="216" t="n"/>
      <c r="G147" s="217" t="n"/>
      <c r="H147" s="217" t="n"/>
      <c r="I147" s="217" t="n"/>
      <c r="J147" s="217" t="n"/>
      <c r="K147" s="216" t="n"/>
      <c r="L147" s="217" t="n"/>
      <c r="M147" s="216" t="n"/>
      <c r="N147" s="164">
        <f>IF($K147="","",IF($M147="Concluído","—",DATEVALUE($K147)-TODAY()))</f>
        <v/>
      </c>
    </row>
    <row r="148" ht="30" customHeight="1" s="131">
      <c r="A148" s="216" t="n"/>
      <c r="B148" s="216" t="n"/>
      <c r="C148" s="216" t="n"/>
      <c r="D148" s="217" t="n"/>
      <c r="E148" s="216" t="n"/>
      <c r="F148" s="216" t="n"/>
      <c r="G148" s="217" t="n"/>
      <c r="H148" s="217" t="n"/>
      <c r="I148" s="217" t="n"/>
      <c r="J148" s="217" t="n"/>
      <c r="K148" s="216" t="n"/>
      <c r="L148" s="217" t="n"/>
      <c r="M148" s="216" t="n"/>
      <c r="N148" s="164">
        <f>IF($K148="","",IF($M148="Concluído","—",DATEVALUE($K148)-TODAY()))</f>
        <v/>
      </c>
    </row>
    <row r="149" ht="30" customHeight="1" s="131">
      <c r="A149" s="216" t="n"/>
      <c r="B149" s="216" t="n"/>
      <c r="C149" s="216" t="n"/>
      <c r="D149" s="217" t="n"/>
      <c r="E149" s="216" t="n"/>
      <c r="F149" s="216" t="n"/>
      <c r="G149" s="217" t="n"/>
      <c r="H149" s="217" t="n"/>
      <c r="I149" s="217" t="n"/>
      <c r="J149" s="217" t="n"/>
      <c r="K149" s="216" t="n"/>
      <c r="L149" s="217" t="n"/>
      <c r="M149" s="216" t="n"/>
      <c r="N149" s="164">
        <f>IF($K149="","",IF($M149="Concluído","—",DATEVALUE($K149)-TODAY()))</f>
        <v/>
      </c>
    </row>
    <row r="150" ht="30" customHeight="1" s="131">
      <c r="A150" s="216" t="n"/>
      <c r="B150" s="216" t="n"/>
      <c r="C150" s="216" t="n"/>
      <c r="D150" s="217" t="n"/>
      <c r="E150" s="216" t="n"/>
      <c r="F150" s="216" t="n"/>
      <c r="G150" s="217" t="n"/>
      <c r="H150" s="217" t="n"/>
      <c r="I150" s="217" t="n"/>
      <c r="J150" s="217" t="n"/>
      <c r="K150" s="216" t="n"/>
      <c r="L150" s="217" t="n"/>
      <c r="M150" s="216" t="n"/>
      <c r="N150" s="164">
        <f>IF($K150="","",IF($M150="Concluído","—",DATEVALUE($K150)-TODAY()))</f>
        <v/>
      </c>
    </row>
    <row r="151" ht="30" customHeight="1" s="131">
      <c r="A151" s="216" t="n"/>
      <c r="B151" s="216" t="n"/>
      <c r="C151" s="216" t="n"/>
      <c r="D151" s="217" t="n"/>
      <c r="E151" s="216" t="n"/>
      <c r="F151" s="216" t="n"/>
      <c r="G151" s="217" t="n"/>
      <c r="H151" s="217" t="n"/>
      <c r="I151" s="217" t="n"/>
      <c r="J151" s="217" t="n"/>
      <c r="K151" s="216" t="n"/>
      <c r="L151" s="217" t="n"/>
      <c r="M151" s="216" t="n"/>
      <c r="N151" s="164">
        <f>IF($K151="","",IF($M151="Concluído","—",DATEVALUE($K151)-TODAY()))</f>
        <v/>
      </c>
    </row>
    <row r="152" ht="30" customHeight="1" s="131">
      <c r="A152" s="216" t="n"/>
      <c r="B152" s="216" t="n"/>
      <c r="C152" s="216" t="n"/>
      <c r="D152" s="217" t="n"/>
      <c r="E152" s="216" t="n"/>
      <c r="F152" s="216" t="n"/>
      <c r="G152" s="217" t="n"/>
      <c r="H152" s="217" t="n"/>
      <c r="I152" s="217" t="n"/>
      <c r="J152" s="217" t="n"/>
      <c r="K152" s="216" t="n"/>
      <c r="L152" s="217" t="n"/>
      <c r="M152" s="216" t="n"/>
      <c r="N152" s="164">
        <f>IF($K152="","",IF($M152="Concluído","—",DATEVALUE($K152)-TODAY()))</f>
        <v/>
      </c>
    </row>
    <row r="153" ht="30" customHeight="1" s="131">
      <c r="A153" s="216" t="n"/>
      <c r="B153" s="216" t="n"/>
      <c r="C153" s="216" t="n"/>
      <c r="D153" s="217" t="n"/>
      <c r="E153" s="216" t="n"/>
      <c r="F153" s="216" t="n"/>
      <c r="G153" s="217" t="n"/>
      <c r="H153" s="217" t="n"/>
      <c r="I153" s="217" t="n"/>
      <c r="J153" s="217" t="n"/>
      <c r="K153" s="216" t="n"/>
      <c r="L153" s="217" t="n"/>
      <c r="M153" s="216" t="n"/>
      <c r="N153" s="164">
        <f>IF($K153="","",IF($M153="Concluído","—",DATEVALUE($K153)-TODAY()))</f>
        <v/>
      </c>
    </row>
    <row r="154" ht="30" customHeight="1" s="131">
      <c r="A154" s="216" t="n"/>
      <c r="B154" s="216" t="n"/>
      <c r="C154" s="216" t="n"/>
      <c r="D154" s="217" t="n"/>
      <c r="E154" s="216" t="n"/>
      <c r="F154" s="216" t="n"/>
      <c r="G154" s="217" t="n"/>
      <c r="H154" s="217" t="n"/>
      <c r="I154" s="217" t="n"/>
      <c r="J154" s="217" t="n"/>
      <c r="K154" s="216" t="n"/>
      <c r="L154" s="217" t="n"/>
      <c r="M154" s="216" t="n"/>
      <c r="N154" s="164">
        <f>IF($K154="","",IF($M154="Concluído","—",DATEVALUE($K154)-TODAY()))</f>
        <v/>
      </c>
    </row>
    <row r="155" ht="30" customHeight="1" s="131">
      <c r="A155" s="216" t="n"/>
      <c r="B155" s="216" t="n"/>
      <c r="C155" s="216" t="n"/>
      <c r="D155" s="217" t="n"/>
      <c r="E155" s="216" t="n"/>
      <c r="F155" s="216" t="n"/>
      <c r="G155" s="217" t="n"/>
      <c r="H155" s="217" t="n"/>
      <c r="I155" s="217" t="n"/>
      <c r="J155" s="217" t="n"/>
      <c r="K155" s="216" t="n"/>
      <c r="L155" s="217" t="n"/>
      <c r="M155" s="216" t="n"/>
      <c r="N155" s="164">
        <f>IF($K155="","",IF($M155="Concluído","—",DATEVALUE($K155)-TODAY()))</f>
        <v/>
      </c>
    </row>
    <row r="156" ht="30" customHeight="1" s="131">
      <c r="A156" s="216" t="n"/>
      <c r="B156" s="216" t="n"/>
      <c r="C156" s="216" t="n"/>
      <c r="D156" s="217" t="n"/>
      <c r="E156" s="216" t="n"/>
      <c r="F156" s="216" t="n"/>
      <c r="G156" s="217" t="n"/>
      <c r="H156" s="217" t="n"/>
      <c r="I156" s="217" t="n"/>
      <c r="J156" s="217" t="n"/>
      <c r="K156" s="216" t="n"/>
      <c r="L156" s="217" t="n"/>
      <c r="M156" s="216" t="n"/>
      <c r="N156" s="164">
        <f>IF($K156="","",IF($M156="Concluído","—",DATEVALUE($K156)-TODAY()))</f>
        <v/>
      </c>
    </row>
    <row r="157" ht="30" customHeight="1" s="131">
      <c r="A157" s="216" t="n"/>
      <c r="B157" s="216" t="n"/>
      <c r="C157" s="216" t="n"/>
      <c r="D157" s="217" t="n"/>
      <c r="E157" s="216" t="n"/>
      <c r="F157" s="216" t="n"/>
      <c r="G157" s="217" t="n"/>
      <c r="H157" s="217" t="n"/>
      <c r="I157" s="217" t="n"/>
      <c r="J157" s="217" t="n"/>
      <c r="K157" s="216" t="n"/>
      <c r="L157" s="217" t="n"/>
      <c r="M157" s="216" t="n"/>
      <c r="N157" s="164">
        <f>IF($K157="","",IF($M157="Concluído","—",DATEVALUE($K157)-TODAY()))</f>
        <v/>
      </c>
    </row>
    <row r="158" ht="30" customHeight="1" s="131">
      <c r="A158" s="216" t="n"/>
      <c r="B158" s="216" t="n"/>
      <c r="C158" s="216" t="n"/>
      <c r="D158" s="217" t="n"/>
      <c r="E158" s="216" t="n"/>
      <c r="F158" s="216" t="n"/>
      <c r="G158" s="217" t="n"/>
      <c r="H158" s="217" t="n"/>
      <c r="I158" s="217" t="n"/>
      <c r="J158" s="217" t="n"/>
      <c r="K158" s="216" t="n"/>
      <c r="L158" s="217" t="n"/>
      <c r="M158" s="216" t="n"/>
      <c r="N158" s="164">
        <f>IF($K158="","",IF($M158="Concluído","—",DATEVALUE($K158)-TODAY()))</f>
        <v/>
      </c>
    </row>
    <row r="159" ht="30" customHeight="1" s="131">
      <c r="A159" s="216" t="n"/>
      <c r="B159" s="216" t="n"/>
      <c r="C159" s="216" t="n"/>
      <c r="D159" s="217" t="n"/>
      <c r="E159" s="216" t="n"/>
      <c r="F159" s="216" t="n"/>
      <c r="G159" s="217" t="n"/>
      <c r="H159" s="217" t="n"/>
      <c r="I159" s="217" t="n"/>
      <c r="J159" s="217" t="n"/>
      <c r="K159" s="216" t="n"/>
      <c r="L159" s="217" t="n"/>
      <c r="M159" s="216" t="n"/>
      <c r="N159" s="164">
        <f>IF($K159="","",IF($M159="Concluído","—",DATEVALUE($K159)-TODAY()))</f>
        <v/>
      </c>
    </row>
    <row r="160" ht="30" customHeight="1" s="131">
      <c r="A160" s="216" t="n"/>
      <c r="B160" s="216" t="n"/>
      <c r="C160" s="216" t="n"/>
      <c r="D160" s="217" t="n"/>
      <c r="E160" s="216" t="n"/>
      <c r="F160" s="216" t="n"/>
      <c r="G160" s="217" t="n"/>
      <c r="H160" s="217" t="n"/>
      <c r="I160" s="217" t="n"/>
      <c r="J160" s="217" t="n"/>
      <c r="K160" s="216" t="n"/>
      <c r="L160" s="217" t="n"/>
      <c r="M160" s="216" t="n"/>
      <c r="N160" s="164">
        <f>IF($K160="","",IF($M160="Concluído","—",DATEVALUE($K160)-TODAY()))</f>
        <v/>
      </c>
    </row>
    <row r="161" ht="30" customHeight="1" s="131">
      <c r="A161" s="216" t="n"/>
      <c r="B161" s="216" t="n"/>
      <c r="C161" s="216" t="n"/>
      <c r="D161" s="217" t="n"/>
      <c r="E161" s="216" t="n"/>
      <c r="F161" s="216" t="n"/>
      <c r="G161" s="217" t="n"/>
      <c r="H161" s="217" t="n"/>
      <c r="I161" s="217" t="n"/>
      <c r="J161" s="217" t="n"/>
      <c r="K161" s="216" t="n"/>
      <c r="L161" s="217" t="n"/>
      <c r="M161" s="216" t="n"/>
      <c r="N161" s="164">
        <f>IF($K161="","",IF($M161="Concluído","—",DATEVALUE($K161)-TODAY()))</f>
        <v/>
      </c>
    </row>
    <row r="162" ht="30" customHeight="1" s="131">
      <c r="A162" s="216" t="n"/>
      <c r="B162" s="216" t="n"/>
      <c r="C162" s="216" t="n"/>
      <c r="D162" s="217" t="n"/>
      <c r="E162" s="216" t="n"/>
      <c r="F162" s="216" t="n"/>
      <c r="G162" s="217" t="n"/>
      <c r="H162" s="217" t="n"/>
      <c r="I162" s="217" t="n"/>
      <c r="J162" s="217" t="n"/>
      <c r="K162" s="216" t="n"/>
      <c r="L162" s="217" t="n"/>
      <c r="M162" s="216" t="n"/>
      <c r="N162" s="164">
        <f>IF($K162="","",IF($M162="Concluído","—",DATEVALUE($K162)-TODAY()))</f>
        <v/>
      </c>
    </row>
    <row r="163" ht="30" customHeight="1" s="131">
      <c r="A163" s="216" t="n"/>
      <c r="B163" s="216" t="n"/>
      <c r="C163" s="216" t="n"/>
      <c r="D163" s="217" t="n"/>
      <c r="E163" s="216" t="n"/>
      <c r="F163" s="216" t="n"/>
      <c r="G163" s="217" t="n"/>
      <c r="H163" s="217" t="n"/>
      <c r="I163" s="217" t="n"/>
      <c r="J163" s="217" t="n"/>
      <c r="K163" s="216" t="n"/>
      <c r="L163" s="217" t="n"/>
      <c r="M163" s="216" t="n"/>
      <c r="N163" s="164">
        <f>IF($K163="","",IF($M163="Concluído","—",DATEVALUE($K163)-TODAY()))</f>
        <v/>
      </c>
    </row>
    <row r="164" ht="30" customHeight="1" s="131">
      <c r="A164" s="216" t="n"/>
      <c r="B164" s="216" t="n"/>
      <c r="C164" s="216" t="n"/>
      <c r="D164" s="217" t="n"/>
      <c r="E164" s="216" t="n"/>
      <c r="F164" s="216" t="n"/>
      <c r="G164" s="217" t="n"/>
      <c r="H164" s="217" t="n"/>
      <c r="I164" s="217" t="n"/>
      <c r="J164" s="217" t="n"/>
      <c r="K164" s="216" t="n"/>
      <c r="L164" s="217" t="n"/>
      <c r="M164" s="216" t="n"/>
      <c r="N164" s="164">
        <f>IF($K164="","",IF($M164="Concluído","—",DATEVALUE($K164)-TODAY()))</f>
        <v/>
      </c>
    </row>
    <row r="165" ht="30" customHeight="1" s="131">
      <c r="A165" s="216" t="n"/>
      <c r="B165" s="216" t="n"/>
      <c r="C165" s="216" t="n"/>
      <c r="D165" s="217" t="n"/>
      <c r="E165" s="216" t="n"/>
      <c r="F165" s="216" t="n"/>
      <c r="G165" s="217" t="n"/>
      <c r="H165" s="217" t="n"/>
      <c r="I165" s="217" t="n"/>
      <c r="J165" s="217" t="n"/>
      <c r="K165" s="216" t="n"/>
      <c r="L165" s="217" t="n"/>
      <c r="M165" s="216" t="n"/>
      <c r="N165" s="164">
        <f>IF($K165="","",IF($M165="Concluído","—",DATEVALUE($K165)-TODAY()))</f>
        <v/>
      </c>
    </row>
    <row r="166" ht="30" customHeight="1" s="131">
      <c r="A166" s="216" t="n"/>
      <c r="B166" s="216" t="n"/>
      <c r="C166" s="216" t="n"/>
      <c r="D166" s="217" t="n"/>
      <c r="E166" s="216" t="n"/>
      <c r="F166" s="216" t="n"/>
      <c r="G166" s="217" t="n"/>
      <c r="H166" s="217" t="n"/>
      <c r="I166" s="217" t="n"/>
      <c r="J166" s="217" t="n"/>
      <c r="K166" s="216" t="n"/>
      <c r="L166" s="217" t="n"/>
      <c r="M166" s="216" t="n"/>
      <c r="N166" s="164">
        <f>IF($K166="","",IF($M166="Concluído","—",DATEVALUE($K166)-TODAY()))</f>
        <v/>
      </c>
    </row>
    <row r="167" ht="30" customHeight="1" s="131">
      <c r="A167" s="216" t="n"/>
      <c r="B167" s="216" t="n"/>
      <c r="C167" s="216" t="n"/>
      <c r="D167" s="217" t="n"/>
      <c r="E167" s="216" t="n"/>
      <c r="F167" s="216" t="n"/>
      <c r="G167" s="217" t="n"/>
      <c r="H167" s="217" t="n"/>
      <c r="I167" s="217" t="n"/>
      <c r="J167" s="217" t="n"/>
      <c r="K167" s="216" t="n"/>
      <c r="L167" s="217" t="n"/>
      <c r="M167" s="216" t="n"/>
      <c r="N167" s="164">
        <f>IF($K167="","",IF($M167="Concluído","—",DATEVALUE($K167)-TODAY()))</f>
        <v/>
      </c>
    </row>
    <row r="168" ht="30" customHeight="1" s="131">
      <c r="A168" s="216" t="n"/>
      <c r="B168" s="216" t="n"/>
      <c r="C168" s="216" t="n"/>
      <c r="D168" s="217" t="n"/>
      <c r="E168" s="216" t="n"/>
      <c r="F168" s="216" t="n"/>
      <c r="G168" s="217" t="n"/>
      <c r="H168" s="217" t="n"/>
      <c r="I168" s="217" t="n"/>
      <c r="J168" s="217" t="n"/>
      <c r="K168" s="216" t="n"/>
      <c r="L168" s="217" t="n"/>
      <c r="M168" s="216" t="n"/>
      <c r="N168" s="164">
        <f>IF($K168="","",IF($M168="Concluído","—",DATEVALUE($K168)-TODAY()))</f>
        <v/>
      </c>
    </row>
    <row r="169" ht="30" customHeight="1" s="131">
      <c r="A169" s="216" t="n"/>
      <c r="B169" s="216" t="n"/>
      <c r="C169" s="216" t="n"/>
      <c r="D169" s="217" t="n"/>
      <c r="E169" s="216" t="n"/>
      <c r="F169" s="216" t="n"/>
      <c r="G169" s="217" t="n"/>
      <c r="H169" s="217" t="n"/>
      <c r="I169" s="217" t="n"/>
      <c r="J169" s="217" t="n"/>
      <c r="K169" s="216" t="n"/>
      <c r="L169" s="217" t="n"/>
      <c r="M169" s="216" t="n"/>
      <c r="N169" s="164">
        <f>IF($K169="","",IF($M169="Concluído","—",DATEVALUE($K169)-TODAY()))</f>
        <v/>
      </c>
    </row>
    <row r="170" ht="30" customHeight="1" s="131">
      <c r="A170" s="216" t="n"/>
      <c r="B170" s="216" t="n"/>
      <c r="C170" s="216" t="n"/>
      <c r="D170" s="217" t="n"/>
      <c r="E170" s="216" t="n"/>
      <c r="F170" s="216" t="n"/>
      <c r="G170" s="217" t="n"/>
      <c r="H170" s="217" t="n"/>
      <c r="I170" s="217" t="n"/>
      <c r="J170" s="217" t="n"/>
      <c r="K170" s="216" t="n"/>
      <c r="L170" s="217" t="n"/>
      <c r="M170" s="216" t="n"/>
      <c r="N170" s="164">
        <f>IF($K170="","",IF($M170="Concluído","—",DATEVALUE($K170)-TODAY()))</f>
        <v/>
      </c>
    </row>
    <row r="171" ht="30" customHeight="1" s="131">
      <c r="A171" s="216" t="n"/>
      <c r="B171" s="216" t="n"/>
      <c r="C171" s="216" t="n"/>
      <c r="D171" s="217" t="n"/>
      <c r="E171" s="216" t="n"/>
      <c r="F171" s="216" t="n"/>
      <c r="G171" s="217" t="n"/>
      <c r="H171" s="217" t="n"/>
      <c r="I171" s="217" t="n"/>
      <c r="J171" s="217" t="n"/>
      <c r="K171" s="216" t="n"/>
      <c r="L171" s="217" t="n"/>
      <c r="M171" s="216" t="n"/>
      <c r="N171" s="164">
        <f>IF($K171="","",IF($M171="Concluído","—",DATEVALUE($K171)-TODAY()))</f>
        <v/>
      </c>
    </row>
    <row r="172" ht="30" customHeight="1" s="131">
      <c r="A172" s="216" t="n"/>
      <c r="B172" s="216" t="n"/>
      <c r="C172" s="216" t="n"/>
      <c r="D172" s="217" t="n"/>
      <c r="E172" s="216" t="n"/>
      <c r="F172" s="216" t="n"/>
      <c r="G172" s="217" t="n"/>
      <c r="H172" s="217" t="n"/>
      <c r="I172" s="217" t="n"/>
      <c r="J172" s="217" t="n"/>
      <c r="K172" s="216" t="n"/>
      <c r="L172" s="217" t="n"/>
      <c r="M172" s="216" t="n"/>
      <c r="N172" s="164">
        <f>IF($K172="","",IF($M172="Concluído","—",DATEVALUE($K172)-TODAY()))</f>
        <v/>
      </c>
    </row>
    <row r="173" ht="30" customHeight="1" s="131">
      <c r="A173" s="216" t="n"/>
      <c r="B173" s="216" t="n"/>
      <c r="C173" s="216" t="n"/>
      <c r="D173" s="217" t="n"/>
      <c r="E173" s="216" t="n"/>
      <c r="F173" s="216" t="n"/>
      <c r="G173" s="217" t="n"/>
      <c r="H173" s="217" t="n"/>
      <c r="I173" s="217" t="n"/>
      <c r="J173" s="217" t="n"/>
      <c r="K173" s="216" t="n"/>
      <c r="L173" s="217" t="n"/>
      <c r="M173" s="216" t="n"/>
      <c r="N173" s="164">
        <f>IF($K173="","",IF($M173="Concluído","—",DATEVALUE($K173)-TODAY()))</f>
        <v/>
      </c>
    </row>
    <row r="174" ht="30" customHeight="1" s="131">
      <c r="A174" s="216" t="n"/>
      <c r="B174" s="216" t="n"/>
      <c r="C174" s="216" t="n"/>
      <c r="D174" s="217" t="n"/>
      <c r="E174" s="216" t="n"/>
      <c r="F174" s="216" t="n"/>
      <c r="G174" s="217" t="n"/>
      <c r="H174" s="217" t="n"/>
      <c r="I174" s="217" t="n"/>
      <c r="J174" s="217" t="n"/>
      <c r="K174" s="216" t="n"/>
      <c r="L174" s="217" t="n"/>
      <c r="M174" s="216" t="n"/>
      <c r="N174" s="164">
        <f>IF($K174="","",IF($M174="Concluído","—",DATEVALUE($K174)-TODAY()))</f>
        <v/>
      </c>
    </row>
    <row r="175" ht="30" customHeight="1" s="131">
      <c r="A175" s="216" t="n"/>
      <c r="B175" s="216" t="n"/>
      <c r="C175" s="216" t="n"/>
      <c r="D175" s="217" t="n"/>
      <c r="E175" s="216" t="n"/>
      <c r="F175" s="216" t="n"/>
      <c r="G175" s="217" t="n"/>
      <c r="H175" s="217" t="n"/>
      <c r="I175" s="217" t="n"/>
      <c r="J175" s="217" t="n"/>
      <c r="K175" s="216" t="n"/>
      <c r="L175" s="217" t="n"/>
      <c r="M175" s="216" t="n"/>
      <c r="N175" s="164">
        <f>IF($K175="","",IF($M175="Concluído","—",DATEVALUE($K175)-TODAY()))</f>
        <v/>
      </c>
    </row>
    <row r="176" ht="30" customHeight="1" s="131">
      <c r="A176" s="216" t="n"/>
      <c r="B176" s="216" t="n"/>
      <c r="C176" s="216" t="n"/>
      <c r="D176" s="217" t="n"/>
      <c r="E176" s="216" t="n"/>
      <c r="F176" s="216" t="n"/>
      <c r="G176" s="217" t="n"/>
      <c r="H176" s="217" t="n"/>
      <c r="I176" s="217" t="n"/>
      <c r="J176" s="217" t="n"/>
      <c r="K176" s="216" t="n"/>
      <c r="L176" s="217" t="n"/>
      <c r="M176" s="216" t="n"/>
      <c r="N176" s="164">
        <f>IF($K176="","",IF($M176="Concluído","—",DATEVALUE($K176)-TODAY()))</f>
        <v/>
      </c>
    </row>
    <row r="177" ht="30" customHeight="1" s="131">
      <c r="A177" s="216" t="n"/>
      <c r="B177" s="216" t="n"/>
      <c r="C177" s="216" t="n"/>
      <c r="D177" s="217" t="n"/>
      <c r="E177" s="216" t="n"/>
      <c r="F177" s="216" t="n"/>
      <c r="G177" s="217" t="n"/>
      <c r="H177" s="217" t="n"/>
      <c r="I177" s="217" t="n"/>
      <c r="J177" s="217" t="n"/>
      <c r="K177" s="216" t="n"/>
      <c r="L177" s="217" t="n"/>
      <c r="M177" s="216" t="n"/>
      <c r="N177" s="164">
        <f>IF($K177="","",IF($M177="Concluído","—",DATEVALUE($K177)-TODAY()))</f>
        <v/>
      </c>
    </row>
    <row r="178" ht="30" customHeight="1" s="131">
      <c r="A178" s="216" t="n"/>
      <c r="B178" s="216" t="n"/>
      <c r="C178" s="216" t="n"/>
      <c r="D178" s="217" t="n"/>
      <c r="E178" s="216" t="n"/>
      <c r="F178" s="216" t="n"/>
      <c r="G178" s="217" t="n"/>
      <c r="H178" s="217" t="n"/>
      <c r="I178" s="217" t="n"/>
      <c r="J178" s="217" t="n"/>
      <c r="K178" s="216" t="n"/>
      <c r="L178" s="217" t="n"/>
      <c r="M178" s="216" t="n"/>
      <c r="N178" s="164">
        <f>IF($K178="","",IF($M178="Concluído","—",DATEVALUE($K178)-TODAY()))</f>
        <v/>
      </c>
    </row>
    <row r="179" ht="30" customHeight="1" s="131">
      <c r="A179" s="216" t="n"/>
      <c r="B179" s="216" t="n"/>
      <c r="C179" s="216" t="n"/>
      <c r="D179" s="217" t="n"/>
      <c r="E179" s="216" t="n"/>
      <c r="F179" s="216" t="n"/>
      <c r="G179" s="217" t="n"/>
      <c r="H179" s="217" t="n"/>
      <c r="I179" s="217" t="n"/>
      <c r="J179" s="217" t="n"/>
      <c r="K179" s="216" t="n"/>
      <c r="L179" s="217" t="n"/>
      <c r="M179" s="216" t="n"/>
      <c r="N179" s="164">
        <f>IF($K179="","",IF($M179="Concluído","—",DATEVALUE($K179)-TODAY()))</f>
        <v/>
      </c>
    </row>
    <row r="180" ht="30" customHeight="1" s="131">
      <c r="A180" s="216" t="n"/>
      <c r="B180" s="216" t="n"/>
      <c r="C180" s="216" t="n"/>
      <c r="D180" s="217" t="n"/>
      <c r="E180" s="216" t="n"/>
      <c r="F180" s="216" t="n"/>
      <c r="G180" s="217" t="n"/>
      <c r="H180" s="217" t="n"/>
      <c r="I180" s="217" t="n"/>
      <c r="J180" s="217" t="n"/>
      <c r="K180" s="216" t="n"/>
      <c r="L180" s="217" t="n"/>
      <c r="M180" s="216" t="n"/>
      <c r="N180" s="164">
        <f>IF($K180="","",IF($M180="Concluído","—",DATEVALUE($K180)-TODAY()))</f>
        <v/>
      </c>
    </row>
    <row r="181" ht="30" customHeight="1" s="131">
      <c r="A181" s="216" t="n"/>
      <c r="B181" s="216" t="n"/>
      <c r="C181" s="216" t="n"/>
      <c r="D181" s="217" t="n"/>
      <c r="E181" s="216" t="n"/>
      <c r="F181" s="216" t="n"/>
      <c r="G181" s="217" t="n"/>
      <c r="H181" s="217" t="n"/>
      <c r="I181" s="217" t="n"/>
      <c r="J181" s="217" t="n"/>
      <c r="K181" s="216" t="n"/>
      <c r="L181" s="217" t="n"/>
      <c r="M181" s="216" t="n"/>
      <c r="N181" s="164">
        <f>IF($K181="","",IF($M181="Concluído","—",DATEVALUE($K181)-TODAY()))</f>
        <v/>
      </c>
    </row>
    <row r="182" ht="30" customHeight="1" s="131">
      <c r="A182" s="216" t="n"/>
      <c r="B182" s="216" t="n"/>
      <c r="C182" s="216" t="n"/>
      <c r="D182" s="217" t="n"/>
      <c r="E182" s="216" t="n"/>
      <c r="F182" s="216" t="n"/>
      <c r="G182" s="217" t="n"/>
      <c r="H182" s="217" t="n"/>
      <c r="I182" s="217" t="n"/>
      <c r="J182" s="217" t="n"/>
      <c r="K182" s="216" t="n"/>
      <c r="L182" s="217" t="n"/>
      <c r="M182" s="216" t="n"/>
      <c r="N182" s="164">
        <f>IF($K182="","",IF($M182="Concluído","—",DATEVALUE($K182)-TODAY()))</f>
        <v/>
      </c>
    </row>
    <row r="183" ht="30" customHeight="1" s="131">
      <c r="A183" s="216" t="n"/>
      <c r="B183" s="216" t="n"/>
      <c r="C183" s="216" t="n"/>
      <c r="D183" s="217" t="n"/>
      <c r="E183" s="216" t="n"/>
      <c r="F183" s="216" t="n"/>
      <c r="G183" s="217" t="n"/>
      <c r="H183" s="217" t="n"/>
      <c r="I183" s="217" t="n"/>
      <c r="J183" s="217" t="n"/>
      <c r="K183" s="216" t="n"/>
      <c r="L183" s="217" t="n"/>
      <c r="M183" s="216" t="n"/>
      <c r="N183" s="164">
        <f>IF($K183="","",IF($M183="Concluído","—",DATEVALUE($K183)-TODAY()))</f>
        <v/>
      </c>
    </row>
    <row r="184" ht="30" customHeight="1" s="131">
      <c r="A184" s="216" t="n"/>
      <c r="B184" s="216" t="n"/>
      <c r="C184" s="216" t="n"/>
      <c r="D184" s="217" t="n"/>
      <c r="E184" s="216" t="n"/>
      <c r="F184" s="216" t="n"/>
      <c r="G184" s="217" t="n"/>
      <c r="H184" s="217" t="n"/>
      <c r="I184" s="217" t="n"/>
      <c r="J184" s="217" t="n"/>
      <c r="K184" s="216" t="n"/>
      <c r="L184" s="217" t="n"/>
      <c r="M184" s="216" t="n"/>
      <c r="N184" s="164">
        <f>IF($K184="","",IF($M184="Concluído","—",DATEVALUE($K184)-TODAY()))</f>
        <v/>
      </c>
    </row>
    <row r="185" ht="30" customHeight="1" s="131">
      <c r="A185" s="216" t="n"/>
      <c r="B185" s="216" t="n"/>
      <c r="C185" s="216" t="n"/>
      <c r="D185" s="217" t="n"/>
      <c r="E185" s="216" t="n"/>
      <c r="F185" s="216" t="n"/>
      <c r="G185" s="217" t="n"/>
      <c r="H185" s="217" t="n"/>
      <c r="I185" s="217" t="n"/>
      <c r="J185" s="217" t="n"/>
      <c r="K185" s="216" t="n"/>
      <c r="L185" s="217" t="n"/>
      <c r="M185" s="216" t="n"/>
      <c r="N185" s="164">
        <f>IF($K185="","",IF($M185="Concluído","—",DATEVALUE($K185)-TODAY()))</f>
        <v/>
      </c>
    </row>
    <row r="186" ht="30" customHeight="1" s="131">
      <c r="A186" s="216" t="n"/>
      <c r="B186" s="216" t="n"/>
      <c r="C186" s="216" t="n"/>
      <c r="D186" s="217" t="n"/>
      <c r="E186" s="216" t="n"/>
      <c r="F186" s="216" t="n"/>
      <c r="G186" s="217" t="n"/>
      <c r="H186" s="217" t="n"/>
      <c r="I186" s="217" t="n"/>
      <c r="J186" s="217" t="n"/>
      <c r="K186" s="216" t="n"/>
      <c r="L186" s="217" t="n"/>
      <c r="M186" s="216" t="n"/>
      <c r="N186" s="164">
        <f>IF($K186="","",IF($M186="Concluído","—",DATEVALUE($K186)-TODAY()))</f>
        <v/>
      </c>
    </row>
    <row r="187" ht="30" customHeight="1" s="131">
      <c r="A187" s="216" t="n"/>
      <c r="B187" s="216" t="n"/>
      <c r="C187" s="216" t="n"/>
      <c r="D187" s="217" t="n"/>
      <c r="E187" s="216" t="n"/>
      <c r="F187" s="216" t="n"/>
      <c r="G187" s="217" t="n"/>
      <c r="H187" s="217" t="n"/>
      <c r="I187" s="217" t="n"/>
      <c r="J187" s="217" t="n"/>
      <c r="K187" s="216" t="n"/>
      <c r="L187" s="217" t="n"/>
      <c r="M187" s="216" t="n"/>
      <c r="N187" s="164">
        <f>IF($K187="","",IF($M187="Concluído","—",DATEVALUE($K187)-TODAY()))</f>
        <v/>
      </c>
    </row>
    <row r="188" ht="30" customHeight="1" s="131">
      <c r="A188" s="216" t="n"/>
      <c r="B188" s="216" t="n"/>
      <c r="C188" s="216" t="n"/>
      <c r="D188" s="217" t="n"/>
      <c r="E188" s="216" t="n"/>
      <c r="F188" s="216" t="n"/>
      <c r="G188" s="217" t="n"/>
      <c r="H188" s="217" t="n"/>
      <c r="I188" s="217" t="n"/>
      <c r="J188" s="217" t="n"/>
      <c r="K188" s="216" t="n"/>
      <c r="L188" s="217" t="n"/>
      <c r="M188" s="216" t="n"/>
      <c r="N188" s="164">
        <f>IF($K188="","",IF($M188="Concluído","—",DATEVALUE($K188)-TODAY()))</f>
        <v/>
      </c>
    </row>
    <row r="189" ht="30" customHeight="1" s="131">
      <c r="A189" s="216" t="n"/>
      <c r="B189" s="216" t="n"/>
      <c r="C189" s="216" t="n"/>
      <c r="D189" s="217" t="n"/>
      <c r="E189" s="216" t="n"/>
      <c r="F189" s="216" t="n"/>
      <c r="G189" s="217" t="n"/>
      <c r="H189" s="217" t="n"/>
      <c r="I189" s="217" t="n"/>
      <c r="J189" s="217" t="n"/>
      <c r="K189" s="216" t="n"/>
      <c r="L189" s="217" t="n"/>
      <c r="M189" s="216" t="n"/>
      <c r="N189" s="164">
        <f>IF($K189="","",IF($M189="Concluído","—",DATEVALUE($K189)-TODAY()))</f>
        <v/>
      </c>
    </row>
    <row r="190" ht="30" customHeight="1" s="131">
      <c r="A190" s="216" t="n"/>
      <c r="B190" s="216" t="n"/>
      <c r="C190" s="216" t="n"/>
      <c r="D190" s="217" t="n"/>
      <c r="E190" s="216" t="n"/>
      <c r="F190" s="216" t="n"/>
      <c r="G190" s="217" t="n"/>
      <c r="H190" s="217" t="n"/>
      <c r="I190" s="217" t="n"/>
      <c r="J190" s="217" t="n"/>
      <c r="K190" s="216" t="n"/>
      <c r="L190" s="217" t="n"/>
      <c r="M190" s="216" t="n"/>
      <c r="N190" s="164">
        <f>IF($K190="","",IF($M190="Concluído","—",DATEVALUE($K190)-TODAY()))</f>
        <v/>
      </c>
    </row>
    <row r="191" ht="30" customHeight="1" s="131">
      <c r="A191" s="216" t="n"/>
      <c r="B191" s="216" t="n"/>
      <c r="C191" s="216" t="n"/>
      <c r="D191" s="217" t="n"/>
      <c r="E191" s="216" t="n"/>
      <c r="F191" s="216" t="n"/>
      <c r="G191" s="217" t="n"/>
      <c r="H191" s="217" t="n"/>
      <c r="I191" s="217" t="n"/>
      <c r="J191" s="217" t="n"/>
      <c r="K191" s="216" t="n"/>
      <c r="L191" s="217" t="n"/>
      <c r="M191" s="216" t="n"/>
      <c r="N191" s="164">
        <f>IF($K191="","",IF($M191="Concluído","—",DATEVALUE($K191)-TODAY()))</f>
        <v/>
      </c>
    </row>
    <row r="192" ht="30" customHeight="1" s="131">
      <c r="A192" s="216" t="n"/>
      <c r="B192" s="216" t="n"/>
      <c r="C192" s="216" t="n"/>
      <c r="D192" s="217" t="n"/>
      <c r="E192" s="216" t="n"/>
      <c r="F192" s="216" t="n"/>
      <c r="G192" s="217" t="n"/>
      <c r="H192" s="217" t="n"/>
      <c r="I192" s="217" t="n"/>
      <c r="J192" s="217" t="n"/>
      <c r="K192" s="216" t="n"/>
      <c r="L192" s="217" t="n"/>
      <c r="M192" s="216" t="n"/>
      <c r="N192" s="164">
        <f>IF($K192="","",IF($M192="Concluído","—",DATEVALUE($K192)-TODAY()))</f>
        <v/>
      </c>
    </row>
    <row r="193" ht="30" customHeight="1" s="131">
      <c r="A193" s="216" t="n"/>
      <c r="B193" s="216" t="n"/>
      <c r="C193" s="216" t="n"/>
      <c r="D193" s="217" t="n"/>
      <c r="E193" s="216" t="n"/>
      <c r="F193" s="216" t="n"/>
      <c r="G193" s="217" t="n"/>
      <c r="H193" s="217" t="n"/>
      <c r="I193" s="217" t="n"/>
      <c r="J193" s="217" t="n"/>
      <c r="K193" s="216" t="n"/>
      <c r="L193" s="217" t="n"/>
      <c r="M193" s="216" t="n"/>
      <c r="N193" s="164">
        <f>IF($K193="","",IF($M193="Concluído","—",DATEVALUE($K193)-TODAY()))</f>
        <v/>
      </c>
    </row>
    <row r="194" ht="30" customHeight="1" s="131">
      <c r="A194" s="216" t="n"/>
      <c r="B194" s="216" t="n"/>
      <c r="C194" s="216" t="n"/>
      <c r="D194" s="217" t="n"/>
      <c r="E194" s="216" t="n"/>
      <c r="F194" s="216" t="n"/>
      <c r="G194" s="217" t="n"/>
      <c r="H194" s="217" t="n"/>
      <c r="I194" s="217" t="n"/>
      <c r="J194" s="217" t="n"/>
      <c r="K194" s="216" t="n"/>
      <c r="L194" s="217" t="n"/>
      <c r="M194" s="216" t="n"/>
      <c r="N194" s="164">
        <f>IF($K194="","",IF($M194="Concluído","—",DATEVALUE($K194)-TODAY()))</f>
        <v/>
      </c>
    </row>
    <row r="195" ht="30" customHeight="1" s="131">
      <c r="A195" s="216" t="n"/>
      <c r="B195" s="216" t="n"/>
      <c r="C195" s="216" t="n"/>
      <c r="D195" s="217" t="n"/>
      <c r="E195" s="216" t="n"/>
      <c r="F195" s="216" t="n"/>
      <c r="G195" s="217" t="n"/>
      <c r="H195" s="217" t="n"/>
      <c r="I195" s="217" t="n"/>
      <c r="J195" s="217" t="n"/>
      <c r="K195" s="216" t="n"/>
      <c r="L195" s="217" t="n"/>
      <c r="M195" s="216" t="n"/>
      <c r="N195" s="164">
        <f>IF($K195="","",IF($M195="Concluído","—",DATEVALUE($K195)-TODAY()))</f>
        <v/>
      </c>
    </row>
    <row r="196" ht="30" customHeight="1" s="131">
      <c r="A196" s="216" t="n"/>
      <c r="B196" s="216" t="n"/>
      <c r="C196" s="216" t="n"/>
      <c r="D196" s="217" t="n"/>
      <c r="E196" s="216" t="n"/>
      <c r="F196" s="216" t="n"/>
      <c r="G196" s="217" t="n"/>
      <c r="H196" s="217" t="n"/>
      <c r="I196" s="217" t="n"/>
      <c r="J196" s="217" t="n"/>
      <c r="K196" s="216" t="n"/>
      <c r="L196" s="217" t="n"/>
      <c r="M196" s="216" t="n"/>
      <c r="N196" s="164">
        <f>IF($K196="","",IF($M196="Concluído","—",DATEVALUE($K196)-TODAY()))</f>
        <v/>
      </c>
    </row>
    <row r="197" ht="30" customHeight="1" s="131">
      <c r="A197" s="216" t="n"/>
      <c r="B197" s="216" t="n"/>
      <c r="C197" s="216" t="n"/>
      <c r="D197" s="217" t="n"/>
      <c r="E197" s="216" t="n"/>
      <c r="F197" s="216" t="n"/>
      <c r="G197" s="217" t="n"/>
      <c r="H197" s="217" t="n"/>
      <c r="I197" s="217" t="n"/>
      <c r="J197" s="217" t="n"/>
      <c r="K197" s="216" t="n"/>
      <c r="L197" s="217" t="n"/>
      <c r="M197" s="216" t="n"/>
      <c r="N197" s="164">
        <f>IF($K197="","",IF($M197="Concluído","—",DATEVALUE($K197)-TODAY()))</f>
        <v/>
      </c>
    </row>
    <row r="198" ht="30" customHeight="1" s="131">
      <c r="A198" s="216" t="n"/>
      <c r="B198" s="216" t="n"/>
      <c r="C198" s="216" t="n"/>
      <c r="D198" s="217" t="n"/>
      <c r="E198" s="216" t="n"/>
      <c r="F198" s="216" t="n"/>
      <c r="G198" s="217" t="n"/>
      <c r="H198" s="217" t="n"/>
      <c r="I198" s="217" t="n"/>
      <c r="J198" s="217" t="n"/>
      <c r="K198" s="216" t="n"/>
      <c r="L198" s="217" t="n"/>
      <c r="M198" s="216" t="n"/>
      <c r="N198" s="164">
        <f>IF($K198="","",IF($M198="Concluído","—",DATEVALUE($K198)-TODAY()))</f>
        <v/>
      </c>
    </row>
    <row r="199" ht="30" customHeight="1" s="131">
      <c r="A199" s="216" t="n"/>
      <c r="B199" s="216" t="n"/>
      <c r="C199" s="216" t="n"/>
      <c r="D199" s="217" t="n"/>
      <c r="E199" s="216" t="n"/>
      <c r="F199" s="216" t="n"/>
      <c r="G199" s="217" t="n"/>
      <c r="H199" s="217" t="n"/>
      <c r="I199" s="217" t="n"/>
      <c r="J199" s="217" t="n"/>
      <c r="K199" s="216" t="n"/>
      <c r="L199" s="217" t="n"/>
      <c r="M199" s="216" t="n"/>
      <c r="N199" s="164">
        <f>IF($K199="","",IF($M199="Concluído","—",DATEVALUE($K199)-TODAY()))</f>
        <v/>
      </c>
    </row>
    <row r="200" ht="30" customHeight="1" s="131">
      <c r="A200" s="216" t="n"/>
      <c r="B200" s="216" t="n"/>
      <c r="C200" s="216" t="n"/>
      <c r="D200" s="217" t="n"/>
      <c r="E200" s="216" t="n"/>
      <c r="F200" s="216" t="n"/>
      <c r="G200" s="217" t="n"/>
      <c r="H200" s="217" t="n"/>
      <c r="I200" s="217" t="n"/>
      <c r="J200" s="217" t="n"/>
      <c r="K200" s="216" t="n"/>
      <c r="L200" s="217" t="n"/>
      <c r="M200" s="216" t="n"/>
      <c r="N200" s="164">
        <f>IF($K200="","",IF($M200="Concluído","—",DATEVALUE($K200)-TODAY()))</f>
        <v/>
      </c>
    </row>
    <row r="201" ht="30" customHeight="1" s="131">
      <c r="A201" s="216" t="n"/>
      <c r="B201" s="216" t="n"/>
      <c r="C201" s="216" t="n"/>
      <c r="D201" s="217" t="n"/>
      <c r="E201" s="216" t="n"/>
      <c r="F201" s="216" t="n"/>
      <c r="G201" s="217" t="n"/>
      <c r="H201" s="217" t="n"/>
      <c r="I201" s="217" t="n"/>
      <c r="J201" s="217" t="n"/>
      <c r="K201" s="216" t="n"/>
      <c r="L201" s="217" t="n"/>
      <c r="M201" s="216" t="n"/>
      <c r="N201" s="164">
        <f>IF($K201="","",IF($M201="Concluído","—",DATEVALUE($K201)-TODAY()))</f>
        <v/>
      </c>
    </row>
    <row r="202" ht="30" customHeight="1" s="131">
      <c r="A202" s="216" t="n"/>
      <c r="B202" s="216" t="n"/>
      <c r="C202" s="216" t="n"/>
      <c r="D202" s="217" t="n"/>
      <c r="E202" s="216" t="n"/>
      <c r="F202" s="216" t="n"/>
      <c r="G202" s="217" t="n"/>
      <c r="H202" s="217" t="n"/>
      <c r="I202" s="217" t="n"/>
      <c r="J202" s="217" t="n"/>
      <c r="K202" s="216" t="n"/>
      <c r="L202" s="217" t="n"/>
      <c r="M202" s="216" t="n"/>
      <c r="N202" s="164">
        <f>IF($K202="","",IF($M202="Concluído","—",DATEVALUE($K202)-TODAY()))</f>
        <v/>
      </c>
    </row>
    <row r="203" ht="30" customHeight="1" s="131">
      <c r="A203" s="216" t="n"/>
      <c r="B203" s="216" t="n"/>
      <c r="C203" s="216" t="n"/>
      <c r="D203" s="217" t="n"/>
      <c r="E203" s="216" t="n"/>
      <c r="F203" s="216" t="n"/>
      <c r="G203" s="217" t="n"/>
      <c r="H203" s="217" t="n"/>
      <c r="I203" s="217" t="n"/>
      <c r="J203" s="217" t="n"/>
      <c r="K203" s="216" t="n"/>
      <c r="L203" s="217" t="n"/>
      <c r="M203" s="216" t="n"/>
      <c r="N203" s="164">
        <f>IF($K203="","",IF($M203="Concluído","—",DATEVALUE($K203)-TODAY()))</f>
        <v/>
      </c>
    </row>
    <row r="204" ht="30" customHeight="1" s="131">
      <c r="A204" s="216" t="n"/>
      <c r="B204" s="216" t="n"/>
      <c r="C204" s="216" t="n"/>
      <c r="D204" s="217" t="n"/>
      <c r="E204" s="216" t="n"/>
      <c r="F204" s="216" t="n"/>
      <c r="G204" s="217" t="n"/>
      <c r="H204" s="217" t="n"/>
      <c r="I204" s="217" t="n"/>
      <c r="J204" s="217" t="n"/>
      <c r="K204" s="216" t="n"/>
      <c r="L204" s="217" t="n"/>
      <c r="M204" s="216" t="n"/>
      <c r="N204" s="164">
        <f>IF($K204="","",IF($M204="Concluído","—",DATEVALUE($K204)-TODAY()))</f>
        <v/>
      </c>
    </row>
    <row r="205" ht="30" customHeight="1" s="131">
      <c r="A205" s="216" t="n"/>
      <c r="B205" s="216" t="n"/>
      <c r="C205" s="216" t="n"/>
      <c r="D205" s="217" t="n"/>
      <c r="E205" s="216" t="n"/>
      <c r="F205" s="216" t="n"/>
      <c r="G205" s="217" t="n"/>
      <c r="H205" s="217" t="n"/>
      <c r="I205" s="217" t="n"/>
      <c r="J205" s="217" t="n"/>
      <c r="K205" s="216" t="n"/>
      <c r="L205" s="217" t="n"/>
      <c r="M205" s="216" t="n"/>
      <c r="N205" s="164">
        <f>IF($K205="","",IF($M205="Concluído","—",DATEVALUE($K205)-TODAY()))</f>
        <v/>
      </c>
    </row>
    <row r="206" ht="30" customHeight="1" s="131">
      <c r="A206" s="216" t="n"/>
      <c r="B206" s="216" t="n"/>
      <c r="C206" s="216" t="n"/>
      <c r="D206" s="217" t="n"/>
      <c r="E206" s="216" t="n"/>
      <c r="F206" s="216" t="n"/>
      <c r="G206" s="217" t="n"/>
      <c r="H206" s="217" t="n"/>
      <c r="I206" s="217" t="n"/>
      <c r="J206" s="217" t="n"/>
      <c r="K206" s="216" t="n"/>
      <c r="L206" s="217" t="n"/>
      <c r="M206" s="216" t="n"/>
      <c r="N206" s="164">
        <f>IF($K206="","",IF($M206="Concluído","—",DATEVALUE($K206)-TODAY()))</f>
        <v/>
      </c>
    </row>
    <row r="207" ht="30" customHeight="1" s="131">
      <c r="A207" s="216" t="n"/>
      <c r="B207" s="216" t="n"/>
      <c r="C207" s="216" t="n"/>
      <c r="D207" s="217" t="n"/>
      <c r="E207" s="216" t="n"/>
      <c r="F207" s="216" t="n"/>
      <c r="G207" s="217" t="n"/>
      <c r="H207" s="217" t="n"/>
      <c r="I207" s="217" t="n"/>
      <c r="J207" s="217" t="n"/>
      <c r="K207" s="216" t="n"/>
      <c r="L207" s="217" t="n"/>
      <c r="M207" s="216" t="n"/>
      <c r="N207" s="164">
        <f>IF($K207="","",IF($M207="Concluído","—",DATEVALUE($K207)-TODAY()))</f>
        <v/>
      </c>
    </row>
    <row r="208" ht="30" customHeight="1" s="131">
      <c r="A208" s="216" t="n"/>
      <c r="B208" s="216" t="n"/>
      <c r="C208" s="216" t="n"/>
      <c r="D208" s="217" t="n"/>
      <c r="E208" s="216" t="n"/>
      <c r="F208" s="216" t="n"/>
      <c r="G208" s="217" t="n"/>
      <c r="H208" s="217" t="n"/>
      <c r="I208" s="217" t="n"/>
      <c r="J208" s="217" t="n"/>
      <c r="K208" s="216" t="n"/>
      <c r="L208" s="217" t="n"/>
      <c r="M208" s="216" t="n"/>
      <c r="N208" s="164">
        <f>IF($K208="","",IF($M208="Concluído","—",DATEVALUE($K208)-TODAY()))</f>
        <v/>
      </c>
    </row>
    <row r="209" ht="30" customHeight="1" s="131">
      <c r="A209" s="216" t="n"/>
      <c r="B209" s="216" t="n"/>
      <c r="C209" s="216" t="n"/>
      <c r="D209" s="217" t="n"/>
      <c r="E209" s="216" t="n"/>
      <c r="F209" s="216" t="n"/>
      <c r="G209" s="217" t="n"/>
      <c r="H209" s="217" t="n"/>
      <c r="I209" s="217" t="n"/>
      <c r="J209" s="217" t="n"/>
      <c r="K209" s="216" t="n"/>
      <c r="L209" s="217" t="n"/>
      <c r="M209" s="216" t="n"/>
      <c r="N209" s="164">
        <f>IF($K209="","",IF($M209="Concluído","—",DATEVALUE($K209)-TODAY()))</f>
        <v/>
      </c>
    </row>
    <row r="210" ht="30" customHeight="1" s="131">
      <c r="A210" s="216" t="n"/>
      <c r="B210" s="216" t="n"/>
      <c r="C210" s="216" t="n"/>
      <c r="D210" s="217" t="n"/>
      <c r="E210" s="216" t="n"/>
      <c r="F210" s="216" t="n"/>
      <c r="G210" s="217" t="n"/>
      <c r="H210" s="217" t="n"/>
      <c r="I210" s="217" t="n"/>
      <c r="J210" s="217" t="n"/>
      <c r="K210" s="216" t="n"/>
      <c r="L210" s="217" t="n"/>
      <c r="M210" s="216" t="n"/>
      <c r="N210" s="164">
        <f>IF($K210="","",IF($M210="Concluído","—",DATEVALUE($K210)-TODAY()))</f>
        <v/>
      </c>
    </row>
    <row r="211" ht="30" customHeight="1" s="131">
      <c r="A211" s="216" t="n"/>
      <c r="B211" s="216" t="n"/>
      <c r="C211" s="216" t="n"/>
      <c r="D211" s="217" t="n"/>
      <c r="E211" s="216" t="n"/>
      <c r="F211" s="216" t="n"/>
      <c r="G211" s="217" t="n"/>
      <c r="H211" s="217" t="n"/>
      <c r="I211" s="217" t="n"/>
      <c r="J211" s="217" t="n"/>
      <c r="K211" s="216" t="n"/>
      <c r="L211" s="217" t="n"/>
      <c r="M211" s="216" t="n"/>
      <c r="N211" s="164">
        <f>IF($K211="","",IF($M211="Concluído","—",DATEVALUE($K211)-TODAY()))</f>
        <v/>
      </c>
    </row>
    <row r="212" ht="30" customHeight="1" s="131">
      <c r="A212" s="216" t="n"/>
      <c r="B212" s="216" t="n"/>
      <c r="C212" s="216" t="n"/>
      <c r="D212" s="217" t="n"/>
      <c r="E212" s="216" t="n"/>
      <c r="F212" s="216" t="n"/>
      <c r="G212" s="217" t="n"/>
      <c r="H212" s="217" t="n"/>
      <c r="I212" s="217" t="n"/>
      <c r="J212" s="217" t="n"/>
      <c r="K212" s="216" t="n"/>
      <c r="L212" s="217" t="n"/>
      <c r="M212" s="216" t="n"/>
      <c r="N212" s="164">
        <f>IF($K212="","",IF($M212="Concluído","—",DATEVALUE($K212)-TODAY()))</f>
        <v/>
      </c>
    </row>
    <row r="213" ht="30" customHeight="1" s="131">
      <c r="A213" s="216" t="n"/>
      <c r="B213" s="216" t="n"/>
      <c r="C213" s="216" t="n"/>
      <c r="D213" s="217" t="n"/>
      <c r="E213" s="216" t="n"/>
      <c r="F213" s="216" t="n"/>
      <c r="G213" s="217" t="n"/>
      <c r="H213" s="217" t="n"/>
      <c r="I213" s="217" t="n"/>
      <c r="J213" s="217" t="n"/>
      <c r="K213" s="216" t="n"/>
      <c r="L213" s="217" t="n"/>
      <c r="M213" s="216" t="n"/>
      <c r="N213" s="164">
        <f>IF($K213="","",IF($M213="Concluído","—",DATEVALUE($K213)-TODAY()))</f>
        <v/>
      </c>
    </row>
    <row r="214" ht="30" customHeight="1" s="131">
      <c r="A214" s="216" t="n"/>
      <c r="B214" s="216" t="n"/>
      <c r="C214" s="216" t="n"/>
      <c r="D214" s="217" t="n"/>
      <c r="E214" s="216" t="n"/>
      <c r="F214" s="216" t="n"/>
      <c r="G214" s="217" t="n"/>
      <c r="H214" s="217" t="n"/>
      <c r="I214" s="217" t="n"/>
      <c r="J214" s="217" t="n"/>
      <c r="K214" s="216" t="n"/>
      <c r="L214" s="217" t="n"/>
      <c r="M214" s="216" t="n"/>
      <c r="N214" s="164">
        <f>IF($K214="","",IF($M214="Concluído","—",DATEVALUE($K214)-TODAY()))</f>
        <v/>
      </c>
    </row>
    <row r="215" ht="30" customHeight="1" s="131">
      <c r="A215" s="216" t="n"/>
      <c r="B215" s="216" t="n"/>
      <c r="C215" s="216" t="n"/>
      <c r="D215" s="217" t="n"/>
      <c r="E215" s="216" t="n"/>
      <c r="F215" s="216" t="n"/>
      <c r="G215" s="217" t="n"/>
      <c r="H215" s="217" t="n"/>
      <c r="I215" s="217" t="n"/>
      <c r="J215" s="217" t="n"/>
      <c r="K215" s="216" t="n"/>
      <c r="L215" s="217" t="n"/>
      <c r="M215" s="216" t="n"/>
      <c r="N215" s="164">
        <f>IF($K215="","",IF($M215="Concluído","—",DATEVALUE($K215)-TODAY()))</f>
        <v/>
      </c>
    </row>
    <row r="216" ht="30" customHeight="1" s="131">
      <c r="A216" s="216" t="n"/>
      <c r="B216" s="216" t="n"/>
      <c r="C216" s="216" t="n"/>
      <c r="D216" s="217" t="n"/>
      <c r="E216" s="216" t="n"/>
      <c r="F216" s="216" t="n"/>
      <c r="G216" s="217" t="n"/>
      <c r="H216" s="217" t="n"/>
      <c r="I216" s="217" t="n"/>
      <c r="J216" s="217" t="n"/>
      <c r="K216" s="216" t="n"/>
      <c r="L216" s="217" t="n"/>
      <c r="M216" s="216" t="n"/>
      <c r="N216" s="164">
        <f>IF($K216="","",IF($M216="Concluído","—",DATEVALUE($K216)-TODAY()))</f>
        <v/>
      </c>
    </row>
    <row r="217" ht="30" customHeight="1" s="131">
      <c r="A217" s="216" t="n"/>
      <c r="B217" s="216" t="n"/>
      <c r="C217" s="216" t="n"/>
      <c r="D217" s="217" t="n"/>
      <c r="E217" s="216" t="n"/>
      <c r="F217" s="216" t="n"/>
      <c r="G217" s="217" t="n"/>
      <c r="H217" s="217" t="n"/>
      <c r="I217" s="217" t="n"/>
      <c r="J217" s="217" t="n"/>
      <c r="K217" s="216" t="n"/>
      <c r="L217" s="217" t="n"/>
      <c r="M217" s="216" t="n"/>
      <c r="N217" s="164">
        <f>IF($K217="","",IF($M217="Concluído","—",DATEVALUE($K217)-TODAY()))</f>
        <v/>
      </c>
    </row>
    <row r="218" ht="30" customHeight="1" s="131">
      <c r="A218" s="216" t="n"/>
      <c r="B218" s="216" t="n"/>
      <c r="C218" s="216" t="n"/>
      <c r="D218" s="217" t="n"/>
      <c r="E218" s="216" t="n"/>
      <c r="F218" s="216" t="n"/>
      <c r="G218" s="217" t="n"/>
      <c r="H218" s="217" t="n"/>
      <c r="I218" s="217" t="n"/>
      <c r="J218" s="217" t="n"/>
      <c r="K218" s="216" t="n"/>
      <c r="L218" s="217" t="n"/>
      <c r="M218" s="216" t="n"/>
      <c r="N218" s="164">
        <f>IF($K218="","",IF($M218="Concluído","—",DATEVALUE($K218)-TODAY()))</f>
        <v/>
      </c>
    </row>
    <row r="219" ht="30" customHeight="1" s="131">
      <c r="A219" s="216" t="n"/>
      <c r="B219" s="216" t="n"/>
      <c r="C219" s="216" t="n"/>
      <c r="D219" s="217" t="n"/>
      <c r="E219" s="216" t="n"/>
      <c r="F219" s="216" t="n"/>
      <c r="G219" s="217" t="n"/>
      <c r="H219" s="217" t="n"/>
      <c r="I219" s="217" t="n"/>
      <c r="J219" s="217" t="n"/>
      <c r="K219" s="216" t="n"/>
      <c r="L219" s="217" t="n"/>
      <c r="M219" s="216" t="n"/>
      <c r="N219" s="164">
        <f>IF($K219="","",IF($M219="Concluído","—",DATEVALUE($K219)-TODAY()))</f>
        <v/>
      </c>
    </row>
    <row r="220" ht="30" customHeight="1" s="131">
      <c r="A220" s="216" t="n"/>
      <c r="B220" s="216" t="n"/>
      <c r="C220" s="216" t="n"/>
      <c r="D220" s="217" t="n"/>
      <c r="E220" s="216" t="n"/>
      <c r="F220" s="216" t="n"/>
      <c r="G220" s="217" t="n"/>
      <c r="H220" s="217" t="n"/>
      <c r="I220" s="217" t="n"/>
      <c r="J220" s="217" t="n"/>
      <c r="K220" s="216" t="n"/>
      <c r="L220" s="217" t="n"/>
      <c r="M220" s="216" t="n"/>
      <c r="N220" s="164">
        <f>IF($K220="","",IF($M220="Concluído","—",DATEVALUE($K220)-TODAY()))</f>
        <v/>
      </c>
    </row>
    <row r="221" ht="30" customHeight="1" s="131">
      <c r="A221" s="216" t="n"/>
      <c r="B221" s="216" t="n"/>
      <c r="C221" s="216" t="n"/>
      <c r="D221" s="217" t="n"/>
      <c r="E221" s="216" t="n"/>
      <c r="F221" s="216" t="n"/>
      <c r="G221" s="217" t="n"/>
      <c r="H221" s="217" t="n"/>
      <c r="I221" s="217" t="n"/>
      <c r="J221" s="217" t="n"/>
      <c r="K221" s="216" t="n"/>
      <c r="L221" s="217" t="n"/>
      <c r="M221" s="216" t="n"/>
      <c r="N221" s="164">
        <f>IF($K221="","",IF($M221="Concluído","—",DATEVALUE($K221)-TODAY()))</f>
        <v/>
      </c>
    </row>
    <row r="222" ht="30" customHeight="1" s="131">
      <c r="A222" s="216" t="n"/>
      <c r="B222" s="216" t="n"/>
      <c r="C222" s="216" t="n"/>
      <c r="D222" s="217" t="n"/>
      <c r="E222" s="216" t="n"/>
      <c r="F222" s="216" t="n"/>
      <c r="G222" s="217" t="n"/>
      <c r="H222" s="217" t="n"/>
      <c r="I222" s="217" t="n"/>
      <c r="J222" s="217" t="n"/>
      <c r="K222" s="216" t="n"/>
      <c r="L222" s="217" t="n"/>
      <c r="M222" s="216" t="n"/>
      <c r="N222" s="164">
        <f>IF($K222="","",IF($M222="Concluído","—",DATEVALUE($K222)-TODAY()))</f>
        <v/>
      </c>
    </row>
    <row r="223" ht="30" customHeight="1" s="131">
      <c r="A223" s="216" t="n"/>
      <c r="B223" s="216" t="n"/>
      <c r="C223" s="216" t="n"/>
      <c r="D223" s="217" t="n"/>
      <c r="E223" s="216" t="n"/>
      <c r="F223" s="216" t="n"/>
      <c r="G223" s="217" t="n"/>
      <c r="H223" s="217" t="n"/>
      <c r="I223" s="217" t="n"/>
      <c r="J223" s="217" t="n"/>
      <c r="K223" s="216" t="n"/>
      <c r="L223" s="217" t="n"/>
      <c r="M223" s="216" t="n"/>
      <c r="N223" s="164">
        <f>IF($K223="","",IF($M223="Concluído","—",DATEVALUE($K223)-TODAY()))</f>
        <v/>
      </c>
    </row>
    <row r="224" ht="30" customHeight="1" s="131">
      <c r="A224" s="216" t="n"/>
      <c r="B224" s="216" t="n"/>
      <c r="C224" s="216" t="n"/>
      <c r="D224" s="217" t="n"/>
      <c r="E224" s="216" t="n"/>
      <c r="F224" s="216" t="n"/>
      <c r="G224" s="217" t="n"/>
      <c r="H224" s="217" t="n"/>
      <c r="I224" s="217" t="n"/>
      <c r="J224" s="217" t="n"/>
      <c r="K224" s="216" t="n"/>
      <c r="L224" s="217" t="n"/>
      <c r="M224" s="216" t="n"/>
      <c r="N224" s="164">
        <f>IF($K224="","",IF($M224="Concluído","—",DATEVALUE($K224)-TODAY()))</f>
        <v/>
      </c>
    </row>
    <row r="225" ht="30" customHeight="1" s="131">
      <c r="A225" s="216" t="n"/>
      <c r="B225" s="216" t="n"/>
      <c r="C225" s="216" t="n"/>
      <c r="D225" s="217" t="n"/>
      <c r="E225" s="216" t="n"/>
      <c r="F225" s="216" t="n"/>
      <c r="G225" s="217" t="n"/>
      <c r="H225" s="217" t="n"/>
      <c r="I225" s="217" t="n"/>
      <c r="J225" s="217" t="n"/>
      <c r="K225" s="216" t="n"/>
      <c r="L225" s="217" t="n"/>
      <c r="M225" s="216" t="n"/>
      <c r="N225" s="164">
        <f>IF($K225="","",IF($M225="Concluído","—",DATEVALUE($K225)-TODAY()))</f>
        <v/>
      </c>
    </row>
    <row r="226" ht="30" customHeight="1" s="131">
      <c r="A226" s="216" t="n"/>
      <c r="B226" s="216" t="n"/>
      <c r="C226" s="216" t="n"/>
      <c r="D226" s="217" t="n"/>
      <c r="E226" s="216" t="n"/>
      <c r="F226" s="216" t="n"/>
      <c r="G226" s="217" t="n"/>
      <c r="H226" s="217" t="n"/>
      <c r="I226" s="217" t="n"/>
      <c r="J226" s="217" t="n"/>
      <c r="K226" s="216" t="n"/>
      <c r="L226" s="217" t="n"/>
      <c r="M226" s="216" t="n"/>
      <c r="N226" s="164">
        <f>IF($K226="","",IF($M226="Concluído","—",DATEVALUE($K226)-TODAY()))</f>
        <v/>
      </c>
    </row>
    <row r="227" ht="30" customHeight="1" s="131">
      <c r="A227" s="216" t="n"/>
      <c r="B227" s="216" t="n"/>
      <c r="C227" s="216" t="n"/>
      <c r="D227" s="217" t="n"/>
      <c r="E227" s="216" t="n"/>
      <c r="F227" s="216" t="n"/>
      <c r="G227" s="217" t="n"/>
      <c r="H227" s="217" t="n"/>
      <c r="I227" s="217" t="n"/>
      <c r="J227" s="217" t="n"/>
      <c r="K227" s="216" t="n"/>
      <c r="L227" s="217" t="n"/>
      <c r="M227" s="216" t="n"/>
      <c r="N227" s="164">
        <f>IF($K227="","",IF($M227="Concluído","—",DATEVALUE($K227)-TODAY()))</f>
        <v/>
      </c>
    </row>
    <row r="228" ht="30" customHeight="1" s="131">
      <c r="A228" s="216" t="n"/>
      <c r="B228" s="216" t="n"/>
      <c r="C228" s="216" t="n"/>
      <c r="D228" s="217" t="n"/>
      <c r="E228" s="216" t="n"/>
      <c r="F228" s="216" t="n"/>
      <c r="G228" s="217" t="n"/>
      <c r="H228" s="217" t="n"/>
      <c r="I228" s="217" t="n"/>
      <c r="J228" s="217" t="n"/>
      <c r="K228" s="216" t="n"/>
      <c r="L228" s="217" t="n"/>
      <c r="M228" s="216" t="n"/>
      <c r="N228" s="164">
        <f>IF($K228="","",IF($M228="Concluído","—",DATEVALUE($K228)-TODAY()))</f>
        <v/>
      </c>
    </row>
    <row r="229" ht="30" customHeight="1" s="131">
      <c r="A229" s="216" t="n"/>
      <c r="B229" s="216" t="n"/>
      <c r="C229" s="216" t="n"/>
      <c r="D229" s="217" t="n"/>
      <c r="E229" s="216" t="n"/>
      <c r="F229" s="216" t="n"/>
      <c r="G229" s="217" t="n"/>
      <c r="H229" s="217" t="n"/>
      <c r="I229" s="217" t="n"/>
      <c r="J229" s="217" t="n"/>
      <c r="K229" s="216" t="n"/>
      <c r="L229" s="217" t="n"/>
      <c r="M229" s="216" t="n"/>
      <c r="N229" s="164">
        <f>IF($K229="","",IF($M229="Concluído","—",DATEVALUE($K229)-TODAY()))</f>
        <v/>
      </c>
    </row>
    <row r="230" ht="30" customHeight="1" s="131">
      <c r="A230" s="216" t="n"/>
      <c r="B230" s="216" t="n"/>
      <c r="C230" s="216" t="n"/>
      <c r="D230" s="217" t="n"/>
      <c r="E230" s="216" t="n"/>
      <c r="F230" s="216" t="n"/>
      <c r="G230" s="217" t="n"/>
      <c r="H230" s="217" t="n"/>
      <c r="I230" s="217" t="n"/>
      <c r="J230" s="217" t="n"/>
      <c r="K230" s="216" t="n"/>
      <c r="L230" s="217" t="n"/>
      <c r="M230" s="216" t="n"/>
      <c r="N230" s="164">
        <f>IF($K230="","",IF($M230="Concluído","—",DATEVALUE($K230)-TODAY()))</f>
        <v/>
      </c>
    </row>
    <row r="231" ht="30" customHeight="1" s="131">
      <c r="A231" s="216" t="n"/>
      <c r="B231" s="216" t="n"/>
      <c r="C231" s="216" t="n"/>
      <c r="D231" s="217" t="n"/>
      <c r="E231" s="216" t="n"/>
      <c r="F231" s="216" t="n"/>
      <c r="G231" s="217" t="n"/>
      <c r="H231" s="217" t="n"/>
      <c r="I231" s="217" t="n"/>
      <c r="J231" s="217" t="n"/>
      <c r="K231" s="216" t="n"/>
      <c r="L231" s="217" t="n"/>
      <c r="M231" s="216" t="n"/>
      <c r="N231" s="164">
        <f>IF($K231="","",IF($M231="Concluído","—",DATEVALUE($K231)-TODAY()))</f>
        <v/>
      </c>
    </row>
    <row r="232" ht="30" customHeight="1" s="131">
      <c r="A232" s="216" t="n"/>
      <c r="B232" s="216" t="n"/>
      <c r="C232" s="216" t="n"/>
      <c r="D232" s="217" t="n"/>
      <c r="E232" s="216" t="n"/>
      <c r="F232" s="216" t="n"/>
      <c r="G232" s="217" t="n"/>
      <c r="H232" s="217" t="n"/>
      <c r="I232" s="217" t="n"/>
      <c r="J232" s="217" t="n"/>
      <c r="K232" s="216" t="n"/>
      <c r="L232" s="217" t="n"/>
      <c r="M232" s="216" t="n"/>
      <c r="N232" s="164">
        <f>IF($K232="","",IF($M232="Concluído","—",DATEVALUE($K232)-TODAY()))</f>
        <v/>
      </c>
    </row>
    <row r="233" ht="30" customHeight="1" s="131">
      <c r="A233" s="216" t="n"/>
      <c r="B233" s="216" t="n"/>
      <c r="C233" s="216" t="n"/>
      <c r="D233" s="217" t="n"/>
      <c r="E233" s="216" t="n"/>
      <c r="F233" s="216" t="n"/>
      <c r="G233" s="217" t="n"/>
      <c r="H233" s="217" t="n"/>
      <c r="I233" s="217" t="n"/>
      <c r="J233" s="217" t="n"/>
      <c r="K233" s="216" t="n"/>
      <c r="L233" s="217" t="n"/>
      <c r="M233" s="216" t="n"/>
      <c r="N233" s="164">
        <f>IF($K233="","",IF($M233="Concluído","—",DATEVALUE($K233)-TODAY()))</f>
        <v/>
      </c>
    </row>
    <row r="234" ht="30" customHeight="1" s="131">
      <c r="A234" s="216" t="n"/>
      <c r="B234" s="216" t="n"/>
      <c r="C234" s="216" t="n"/>
      <c r="D234" s="217" t="n"/>
      <c r="E234" s="216" t="n"/>
      <c r="F234" s="216" t="n"/>
      <c r="G234" s="217" t="n"/>
      <c r="H234" s="217" t="n"/>
      <c r="I234" s="217" t="n"/>
      <c r="J234" s="217" t="n"/>
      <c r="K234" s="216" t="n"/>
      <c r="L234" s="217" t="n"/>
      <c r="M234" s="216" t="n"/>
      <c r="N234" s="164">
        <f>IF($K234="","",IF($M234="Concluído","—",DATEVALUE($K234)-TODAY()))</f>
        <v/>
      </c>
    </row>
    <row r="235" ht="30" customHeight="1" s="131">
      <c r="A235" s="216" t="n"/>
      <c r="B235" s="216" t="n"/>
      <c r="C235" s="216" t="n"/>
      <c r="D235" s="217" t="n"/>
      <c r="E235" s="216" t="n"/>
      <c r="F235" s="216" t="n"/>
      <c r="G235" s="217" t="n"/>
      <c r="H235" s="217" t="n"/>
      <c r="I235" s="217" t="n"/>
      <c r="J235" s="217" t="n"/>
      <c r="K235" s="216" t="n"/>
      <c r="L235" s="217" t="n"/>
      <c r="M235" s="216" t="n"/>
      <c r="N235" s="164">
        <f>IF($K235="","",IF($M235="Concluído","—",DATEVALUE($K235)-TODAY()))</f>
        <v/>
      </c>
    </row>
    <row r="236" ht="30" customHeight="1" s="131">
      <c r="A236" s="216" t="n"/>
      <c r="B236" s="216" t="n"/>
      <c r="C236" s="216" t="n"/>
      <c r="D236" s="217" t="n"/>
      <c r="E236" s="216" t="n"/>
      <c r="F236" s="216" t="n"/>
      <c r="G236" s="217" t="n"/>
      <c r="H236" s="217" t="n"/>
      <c r="I236" s="217" t="n"/>
      <c r="J236" s="217" t="n"/>
      <c r="K236" s="216" t="n"/>
      <c r="L236" s="217" t="n"/>
      <c r="M236" s="216" t="n"/>
      <c r="N236" s="164">
        <f>IF($K236="","",IF($M236="Concluído","—",DATEVALUE($K236)-TODAY()))</f>
        <v/>
      </c>
    </row>
    <row r="237" ht="30" customHeight="1" s="131">
      <c r="A237" s="216" t="n"/>
      <c r="B237" s="216" t="n"/>
      <c r="C237" s="216" t="n"/>
      <c r="D237" s="217" t="n"/>
      <c r="E237" s="216" t="n"/>
      <c r="F237" s="216" t="n"/>
      <c r="G237" s="217" t="n"/>
      <c r="H237" s="217" t="n"/>
      <c r="I237" s="217" t="n"/>
      <c r="J237" s="217" t="n"/>
      <c r="K237" s="216" t="n"/>
      <c r="L237" s="217" t="n"/>
      <c r="M237" s="216" t="n"/>
      <c r="N237" s="164">
        <f>IF($K237="","",IF($M237="Concluído","—",DATEVALUE($K237)-TODAY()))</f>
        <v/>
      </c>
    </row>
    <row r="238" ht="30" customHeight="1" s="131">
      <c r="A238" s="216" t="n"/>
      <c r="B238" s="216" t="n"/>
      <c r="C238" s="216" t="n"/>
      <c r="D238" s="217" t="n"/>
      <c r="E238" s="216" t="n"/>
      <c r="F238" s="216" t="n"/>
      <c r="G238" s="217" t="n"/>
      <c r="H238" s="217" t="n"/>
      <c r="I238" s="217" t="n"/>
      <c r="J238" s="217" t="n"/>
      <c r="K238" s="216" t="n"/>
      <c r="L238" s="217" t="n"/>
      <c r="M238" s="216" t="n"/>
      <c r="N238" s="164">
        <f>IF($K238="","",IF($M238="Concluído","—",DATEVALUE($K238)-TODAY()))</f>
        <v/>
      </c>
    </row>
    <row r="239" ht="30" customHeight="1" s="131">
      <c r="A239" s="216" t="n"/>
      <c r="B239" s="216" t="n"/>
      <c r="C239" s="216" t="n"/>
      <c r="D239" s="217" t="n"/>
      <c r="E239" s="216" t="n"/>
      <c r="F239" s="216" t="n"/>
      <c r="G239" s="217" t="n"/>
      <c r="H239" s="217" t="n"/>
      <c r="I239" s="217" t="n"/>
      <c r="J239" s="217" t="n"/>
      <c r="K239" s="216" t="n"/>
      <c r="L239" s="217" t="n"/>
      <c r="M239" s="216" t="n"/>
      <c r="N239" s="164">
        <f>IF($K239="","",IF($M239="Concluído","—",DATEVALUE($K239)-TODAY()))</f>
        <v/>
      </c>
    </row>
    <row r="240" ht="30" customHeight="1" s="131">
      <c r="A240" s="216" t="n"/>
      <c r="B240" s="216" t="n"/>
      <c r="C240" s="216" t="n"/>
      <c r="D240" s="217" t="n"/>
      <c r="E240" s="216" t="n"/>
      <c r="F240" s="216" t="n"/>
      <c r="G240" s="217" t="n"/>
      <c r="H240" s="217" t="n"/>
      <c r="I240" s="217" t="n"/>
      <c r="J240" s="217" t="n"/>
      <c r="K240" s="216" t="n"/>
      <c r="L240" s="217" t="n"/>
      <c r="M240" s="216" t="n"/>
      <c r="N240" s="164">
        <f>IF($K240="","",IF($M240="Concluído","—",DATEVALUE($K240)-TODAY()))</f>
        <v/>
      </c>
    </row>
    <row r="241" ht="30" customHeight="1" s="131">
      <c r="A241" s="216" t="n"/>
      <c r="B241" s="216" t="n"/>
      <c r="C241" s="216" t="n"/>
      <c r="D241" s="217" t="n"/>
      <c r="E241" s="216" t="n"/>
      <c r="F241" s="216" t="n"/>
      <c r="G241" s="217" t="n"/>
      <c r="H241" s="217" t="n"/>
      <c r="I241" s="217" t="n"/>
      <c r="J241" s="217" t="n"/>
      <c r="K241" s="216" t="n"/>
      <c r="L241" s="217" t="n"/>
      <c r="M241" s="216" t="n"/>
      <c r="N241" s="164">
        <f>IF($K241="","",IF($M241="Concluído","—",DATEVALUE($K241)-TODAY()))</f>
        <v/>
      </c>
    </row>
    <row r="242" ht="30" customHeight="1" s="131">
      <c r="A242" s="216" t="n"/>
      <c r="B242" s="216" t="n"/>
      <c r="C242" s="216" t="n"/>
      <c r="D242" s="217" t="n"/>
      <c r="E242" s="216" t="n"/>
      <c r="F242" s="216" t="n"/>
      <c r="G242" s="217" t="n"/>
      <c r="H242" s="217" t="n"/>
      <c r="I242" s="217" t="n"/>
      <c r="J242" s="217" t="n"/>
      <c r="K242" s="216" t="n"/>
      <c r="L242" s="217" t="n"/>
      <c r="M242" s="216" t="n"/>
      <c r="N242" s="164">
        <f>IF($K242="","",IF($M242="Concluído","—",DATEVALUE($K242)-TODAY()))</f>
        <v/>
      </c>
    </row>
    <row r="243" ht="30" customHeight="1" s="131">
      <c r="A243" s="216" t="n"/>
      <c r="B243" s="216" t="n"/>
      <c r="C243" s="216" t="n"/>
      <c r="D243" s="217" t="n"/>
      <c r="E243" s="216" t="n"/>
      <c r="F243" s="216" t="n"/>
      <c r="G243" s="217" t="n"/>
      <c r="H243" s="217" t="n"/>
      <c r="I243" s="217" t="n"/>
      <c r="J243" s="217" t="n"/>
      <c r="K243" s="216" t="n"/>
      <c r="L243" s="217" t="n"/>
      <c r="M243" s="216" t="n"/>
      <c r="N243" s="164">
        <f>IF($K243="","",IF($M243="Concluído","—",DATEVALUE($K243)-TODAY()))</f>
        <v/>
      </c>
    </row>
    <row r="244" ht="30" customHeight="1" s="131">
      <c r="A244" s="216" t="n"/>
      <c r="B244" s="216" t="n"/>
      <c r="C244" s="216" t="n"/>
      <c r="D244" s="217" t="n"/>
      <c r="E244" s="216" t="n"/>
      <c r="F244" s="216" t="n"/>
      <c r="G244" s="217" t="n"/>
      <c r="H244" s="217" t="n"/>
      <c r="I244" s="217" t="n"/>
      <c r="J244" s="217" t="n"/>
      <c r="K244" s="216" t="n"/>
      <c r="L244" s="217" t="n"/>
      <c r="M244" s="216" t="n"/>
      <c r="N244" s="164">
        <f>IF($K244="","",IF($M244="Concluído","—",DATEVALUE($K244)-TODAY()))</f>
        <v/>
      </c>
    </row>
    <row r="245" ht="30" customHeight="1" s="131">
      <c r="A245" s="216" t="n"/>
      <c r="B245" s="216" t="n"/>
      <c r="C245" s="216" t="n"/>
      <c r="D245" s="217" t="n"/>
      <c r="E245" s="216" t="n"/>
      <c r="F245" s="216" t="n"/>
      <c r="G245" s="217" t="n"/>
      <c r="H245" s="217" t="n"/>
      <c r="I245" s="217" t="n"/>
      <c r="J245" s="217" t="n"/>
      <c r="K245" s="216" t="n"/>
      <c r="L245" s="217" t="n"/>
      <c r="M245" s="216" t="n"/>
      <c r="N245" s="164">
        <f>IF($K245="","",IF($M245="Concluído","—",DATEVALUE($K245)-TODAY()))</f>
        <v/>
      </c>
    </row>
    <row r="246" ht="30" customHeight="1" s="131">
      <c r="A246" s="216" t="n"/>
      <c r="B246" s="216" t="n"/>
      <c r="C246" s="216" t="n"/>
      <c r="D246" s="217" t="n"/>
      <c r="E246" s="216" t="n"/>
      <c r="F246" s="216" t="n"/>
      <c r="G246" s="217" t="n"/>
      <c r="H246" s="217" t="n"/>
      <c r="I246" s="217" t="n"/>
      <c r="J246" s="217" t="n"/>
      <c r="K246" s="216" t="n"/>
      <c r="L246" s="217" t="n"/>
      <c r="M246" s="216" t="n"/>
      <c r="N246" s="164">
        <f>IF($K246="","",IF($M246="Concluído","—",DATEVALUE($K246)-TODAY()))</f>
        <v/>
      </c>
    </row>
    <row r="247" ht="30" customHeight="1" s="131">
      <c r="A247" s="216" t="n"/>
      <c r="B247" s="216" t="n"/>
      <c r="C247" s="216" t="n"/>
      <c r="D247" s="217" t="n"/>
      <c r="E247" s="216" t="n"/>
      <c r="F247" s="216" t="n"/>
      <c r="G247" s="217" t="n"/>
      <c r="H247" s="217" t="n"/>
      <c r="I247" s="217" t="n"/>
      <c r="J247" s="217" t="n"/>
      <c r="K247" s="216" t="n"/>
      <c r="L247" s="217" t="n"/>
      <c r="M247" s="216" t="n"/>
      <c r="N247" s="164">
        <f>IF($K247="","",IF($M247="Concluído","—",DATEVALUE($K247)-TODAY()))</f>
        <v/>
      </c>
    </row>
    <row r="248" ht="30" customHeight="1" s="131">
      <c r="A248" s="216" t="n"/>
      <c r="B248" s="216" t="n"/>
      <c r="C248" s="216" t="n"/>
      <c r="D248" s="217" t="n"/>
      <c r="E248" s="216" t="n"/>
      <c r="F248" s="216" t="n"/>
      <c r="G248" s="217" t="n"/>
      <c r="H248" s="217" t="n"/>
      <c r="I248" s="217" t="n"/>
      <c r="J248" s="217" t="n"/>
      <c r="K248" s="216" t="n"/>
      <c r="L248" s="217" t="n"/>
      <c r="M248" s="216" t="n"/>
      <c r="N248" s="164">
        <f>IF($K248="","",IF($M248="Concluído","—",DATEVALUE($K248)-TODAY()))</f>
        <v/>
      </c>
    </row>
    <row r="249" ht="30" customHeight="1" s="131">
      <c r="A249" s="216" t="n"/>
      <c r="B249" s="216" t="n"/>
      <c r="C249" s="216" t="n"/>
      <c r="D249" s="217" t="n"/>
      <c r="E249" s="216" t="n"/>
      <c r="F249" s="216" t="n"/>
      <c r="G249" s="217" t="n"/>
      <c r="H249" s="217" t="n"/>
      <c r="I249" s="217" t="n"/>
      <c r="J249" s="217" t="n"/>
      <c r="K249" s="216" t="n"/>
      <c r="L249" s="217" t="n"/>
      <c r="M249" s="216" t="n"/>
      <c r="N249" s="164">
        <f>IF($K249="","",IF($M249="Concluído","—",DATEVALUE($K249)-TODAY()))</f>
        <v/>
      </c>
    </row>
    <row r="250" ht="30" customHeight="1" s="131">
      <c r="A250" s="216" t="n"/>
      <c r="B250" s="216" t="n"/>
      <c r="C250" s="216" t="n"/>
      <c r="D250" s="217" t="n"/>
      <c r="E250" s="216" t="n"/>
      <c r="F250" s="216" t="n"/>
      <c r="G250" s="217" t="n"/>
      <c r="H250" s="217" t="n"/>
      <c r="I250" s="217" t="n"/>
      <c r="J250" s="217" t="n"/>
      <c r="K250" s="216" t="n"/>
      <c r="L250" s="217" t="n"/>
      <c r="M250" s="216" t="n"/>
      <c r="N250" s="164">
        <f>IF($K250="","",IF($M250="Concluído","—",DATEVALUE($K250)-TODAY()))</f>
        <v/>
      </c>
    </row>
    <row r="251" ht="30" customHeight="1" s="131">
      <c r="A251" s="216" t="n"/>
      <c r="B251" s="216" t="n"/>
      <c r="C251" s="216" t="n"/>
      <c r="D251" s="217" t="n"/>
      <c r="E251" s="216" t="n"/>
      <c r="F251" s="216" t="n"/>
      <c r="G251" s="217" t="n"/>
      <c r="H251" s="217" t="n"/>
      <c r="I251" s="217" t="n"/>
      <c r="J251" s="217" t="n"/>
      <c r="K251" s="216" t="n"/>
      <c r="L251" s="217" t="n"/>
      <c r="M251" s="216" t="n"/>
      <c r="N251" s="164">
        <f>IF($K251="","",IF($M251="Concluído","—",DATEVALUE($K251)-TODAY()))</f>
        <v/>
      </c>
    </row>
    <row r="252" ht="30" customHeight="1" s="131">
      <c r="A252" s="216" t="n"/>
      <c r="B252" s="216" t="n"/>
      <c r="C252" s="216" t="n"/>
      <c r="D252" s="217" t="n"/>
      <c r="E252" s="216" t="n"/>
      <c r="F252" s="216" t="n"/>
      <c r="G252" s="217" t="n"/>
      <c r="H252" s="217" t="n"/>
      <c r="I252" s="217" t="n"/>
      <c r="J252" s="217" t="n"/>
      <c r="K252" s="216" t="n"/>
      <c r="L252" s="217" t="n"/>
      <c r="M252" s="216" t="n"/>
      <c r="N252" s="164">
        <f>IF($K252="","",IF($M252="Concluído","—",DATEVALUE($K252)-TODAY()))</f>
        <v/>
      </c>
    </row>
    <row r="253" ht="30" customHeight="1" s="131">
      <c r="A253" s="216" t="n"/>
      <c r="B253" s="216" t="n"/>
      <c r="C253" s="216" t="n"/>
      <c r="D253" s="217" t="n"/>
      <c r="E253" s="216" t="n"/>
      <c r="F253" s="216" t="n"/>
      <c r="G253" s="217" t="n"/>
      <c r="H253" s="217" t="n"/>
      <c r="I253" s="217" t="n"/>
      <c r="J253" s="217" t="n"/>
      <c r="K253" s="216" t="n"/>
      <c r="L253" s="217" t="n"/>
      <c r="M253" s="216" t="n"/>
      <c r="N253" s="164">
        <f>IF($K253="","",IF($M253="Concluído","—",DATEVALUE($K253)-TODAY()))</f>
        <v/>
      </c>
    </row>
    <row r="254" ht="30" customHeight="1" s="131">
      <c r="A254" s="216" t="n"/>
      <c r="B254" s="216" t="n"/>
      <c r="C254" s="216" t="n"/>
      <c r="D254" s="217" t="n"/>
      <c r="E254" s="216" t="n"/>
      <c r="F254" s="216" t="n"/>
      <c r="G254" s="217" t="n"/>
      <c r="H254" s="217" t="n"/>
      <c r="I254" s="217" t="n"/>
      <c r="J254" s="217" t="n"/>
      <c r="K254" s="216" t="n"/>
      <c r="L254" s="217" t="n"/>
      <c r="M254" s="216" t="n"/>
      <c r="N254" s="164">
        <f>IF($K254="","",IF($M254="Concluído","—",DATEVALUE($K254)-TODAY()))</f>
        <v/>
      </c>
    </row>
    <row r="255" ht="30" customHeight="1" s="131">
      <c r="A255" s="216" t="n"/>
      <c r="B255" s="216" t="n"/>
      <c r="C255" s="216" t="n"/>
      <c r="D255" s="217" t="n"/>
      <c r="E255" s="216" t="n"/>
      <c r="F255" s="216" t="n"/>
      <c r="G255" s="217" t="n"/>
      <c r="H255" s="217" t="n"/>
      <c r="I255" s="217" t="n"/>
      <c r="J255" s="217" t="n"/>
      <c r="K255" s="216" t="n"/>
      <c r="L255" s="217" t="n"/>
      <c r="M255" s="216" t="n"/>
      <c r="N255" s="164">
        <f>IF($K255="","",IF($M255="Concluído","—",DATEVALUE($K255)-TODAY()))</f>
        <v/>
      </c>
    </row>
    <row r="256" ht="30" customHeight="1" s="131">
      <c r="A256" s="216" t="n"/>
      <c r="B256" s="216" t="n"/>
      <c r="C256" s="216" t="n"/>
      <c r="D256" s="217" t="n"/>
      <c r="E256" s="216" t="n"/>
      <c r="F256" s="216" t="n"/>
      <c r="G256" s="217" t="n"/>
      <c r="H256" s="217" t="n"/>
      <c r="I256" s="217" t="n"/>
      <c r="J256" s="217" t="n"/>
      <c r="K256" s="216" t="n"/>
      <c r="L256" s="217" t="n"/>
      <c r="M256" s="216" t="n"/>
      <c r="N256" s="164">
        <f>IF($K256="","",IF($M256="Concluído","—",DATEVALUE($K256)-TODAY()))</f>
        <v/>
      </c>
    </row>
    <row r="257" ht="30" customHeight="1" s="131">
      <c r="A257" s="216" t="n"/>
      <c r="B257" s="216" t="n"/>
      <c r="C257" s="216" t="n"/>
      <c r="D257" s="217" t="n"/>
      <c r="E257" s="216" t="n"/>
      <c r="F257" s="216" t="n"/>
      <c r="G257" s="217" t="n"/>
      <c r="H257" s="217" t="n"/>
      <c r="I257" s="217" t="n"/>
      <c r="J257" s="217" t="n"/>
      <c r="K257" s="216" t="n"/>
      <c r="L257" s="217" t="n"/>
      <c r="M257" s="216" t="n"/>
      <c r="N257" s="164">
        <f>IF($K257="","",IF($M257="Concluído","—",DATEVALUE($K257)-TODAY()))</f>
        <v/>
      </c>
    </row>
    <row r="258" ht="30" customHeight="1" s="131">
      <c r="A258" s="216" t="n"/>
      <c r="B258" s="216" t="n"/>
      <c r="C258" s="216" t="n"/>
      <c r="D258" s="217" t="n"/>
      <c r="E258" s="216" t="n"/>
      <c r="F258" s="216" t="n"/>
      <c r="G258" s="217" t="n"/>
      <c r="H258" s="217" t="n"/>
      <c r="I258" s="217" t="n"/>
      <c r="J258" s="217" t="n"/>
      <c r="K258" s="216" t="n"/>
      <c r="L258" s="217" t="n"/>
      <c r="M258" s="216" t="n"/>
      <c r="N258" s="164">
        <f>IF($K258="","",IF($M258="Concluído","—",DATEVALUE($K258)-TODAY()))</f>
        <v/>
      </c>
    </row>
    <row r="259" ht="30" customHeight="1" s="131">
      <c r="A259" s="216" t="n"/>
      <c r="B259" s="216" t="n"/>
      <c r="C259" s="216" t="n"/>
      <c r="D259" s="217" t="n"/>
      <c r="E259" s="216" t="n"/>
      <c r="F259" s="216" t="n"/>
      <c r="G259" s="217" t="n"/>
      <c r="H259" s="217" t="n"/>
      <c r="I259" s="217" t="n"/>
      <c r="J259" s="217" t="n"/>
      <c r="K259" s="216" t="n"/>
      <c r="L259" s="217" t="n"/>
      <c r="M259" s="216" t="n"/>
      <c r="N259" s="164">
        <f>IF($K259="","",IF($M259="Concluído","—",DATEVALUE($K259)-TODAY()))</f>
        <v/>
      </c>
    </row>
    <row r="260" ht="30" customHeight="1" s="131">
      <c r="A260" s="216" t="n"/>
      <c r="B260" s="216" t="n"/>
      <c r="C260" s="216" t="n"/>
      <c r="D260" s="217" t="n"/>
      <c r="E260" s="216" t="n"/>
      <c r="F260" s="216" t="n"/>
      <c r="G260" s="217" t="n"/>
      <c r="H260" s="217" t="n"/>
      <c r="I260" s="217" t="n"/>
      <c r="J260" s="217" t="n"/>
      <c r="K260" s="216" t="n"/>
      <c r="L260" s="217" t="n"/>
      <c r="M260" s="216" t="n"/>
      <c r="N260" s="164">
        <f>IF($K260="","",IF($M260="Concluído","—",DATEVALUE($K260)-TODAY()))</f>
        <v/>
      </c>
    </row>
    <row r="261" ht="30" customHeight="1" s="131">
      <c r="A261" s="216" t="n"/>
      <c r="B261" s="216" t="n"/>
      <c r="C261" s="216" t="n"/>
      <c r="D261" s="217" t="n"/>
      <c r="E261" s="216" t="n"/>
      <c r="F261" s="216" t="n"/>
      <c r="G261" s="217" t="n"/>
      <c r="H261" s="217" t="n"/>
      <c r="I261" s="217" t="n"/>
      <c r="J261" s="217" t="n"/>
      <c r="K261" s="216" t="n"/>
      <c r="L261" s="217" t="n"/>
      <c r="M261" s="216" t="n"/>
      <c r="N261" s="164">
        <f>IF($K261="","",IF($M261="Concluído","—",DATEVALUE($K261)-TODAY()))</f>
        <v/>
      </c>
    </row>
    <row r="262" ht="30" customHeight="1" s="131">
      <c r="A262" s="216" t="n"/>
      <c r="B262" s="216" t="n"/>
      <c r="C262" s="216" t="n"/>
      <c r="D262" s="217" t="n"/>
      <c r="E262" s="216" t="n"/>
      <c r="F262" s="216" t="n"/>
      <c r="G262" s="217" t="n"/>
      <c r="H262" s="217" t="n"/>
      <c r="I262" s="217" t="n"/>
      <c r="J262" s="217" t="n"/>
      <c r="K262" s="216" t="n"/>
      <c r="L262" s="217" t="n"/>
      <c r="M262" s="216" t="n"/>
      <c r="N262" s="164">
        <f>IF($K262="","",IF($M262="Concluído","—",DATEVALUE($K262)-TODAY()))</f>
        <v/>
      </c>
    </row>
    <row r="263" ht="30" customHeight="1" s="131">
      <c r="A263" s="216" t="n"/>
      <c r="B263" s="216" t="n"/>
      <c r="C263" s="216" t="n"/>
      <c r="D263" s="217" t="n"/>
      <c r="E263" s="216" t="n"/>
      <c r="F263" s="216" t="n"/>
      <c r="G263" s="217" t="n"/>
      <c r="H263" s="217" t="n"/>
      <c r="I263" s="217" t="n"/>
      <c r="J263" s="217" t="n"/>
      <c r="K263" s="216" t="n"/>
      <c r="L263" s="217" t="n"/>
      <c r="M263" s="216" t="n"/>
      <c r="N263" s="164">
        <f>IF($K263="","",IF($M263="Concluído","—",DATEVALUE($K263)-TODAY()))</f>
        <v/>
      </c>
    </row>
    <row r="264" ht="30" customHeight="1" s="131">
      <c r="A264" s="216" t="n"/>
      <c r="B264" s="216" t="n"/>
      <c r="C264" s="216" t="n"/>
      <c r="D264" s="217" t="n"/>
      <c r="E264" s="216" t="n"/>
      <c r="F264" s="216" t="n"/>
      <c r="G264" s="217" t="n"/>
      <c r="H264" s="217" t="n"/>
      <c r="I264" s="217" t="n"/>
      <c r="J264" s="217" t="n"/>
      <c r="K264" s="216" t="n"/>
      <c r="L264" s="217" t="n"/>
      <c r="M264" s="216" t="n"/>
      <c r="N264" s="164">
        <f>IF($K264="","",IF($M264="Concluído","—",DATEVALUE($K264)-TODAY()))</f>
        <v/>
      </c>
    </row>
    <row r="265" ht="30" customHeight="1" s="131">
      <c r="A265" s="216" t="n"/>
      <c r="B265" s="216" t="n"/>
      <c r="C265" s="216" t="n"/>
      <c r="D265" s="217" t="n"/>
      <c r="E265" s="216" t="n"/>
      <c r="F265" s="216" t="n"/>
      <c r="G265" s="217" t="n"/>
      <c r="H265" s="217" t="n"/>
      <c r="I265" s="217" t="n"/>
      <c r="J265" s="217" t="n"/>
      <c r="K265" s="216" t="n"/>
      <c r="L265" s="217" t="n"/>
      <c r="M265" s="216" t="n"/>
      <c r="N265" s="164">
        <f>IF($K265="","",IF($M265="Concluído","—",DATEVALUE($K265)-TODAY()))</f>
        <v/>
      </c>
    </row>
    <row r="266" ht="30" customHeight="1" s="131">
      <c r="A266" s="216" t="n"/>
      <c r="B266" s="216" t="n"/>
      <c r="C266" s="216" t="n"/>
      <c r="D266" s="217" t="n"/>
      <c r="E266" s="216" t="n"/>
      <c r="F266" s="216" t="n"/>
      <c r="G266" s="217" t="n"/>
      <c r="H266" s="217" t="n"/>
      <c r="I266" s="217" t="n"/>
      <c r="J266" s="217" t="n"/>
      <c r="K266" s="216" t="n"/>
      <c r="L266" s="217" t="n"/>
      <c r="M266" s="216" t="n"/>
      <c r="N266" s="164">
        <f>IF($K266="","",IF($M266="Concluído","—",DATEVALUE($K266)-TODAY()))</f>
        <v/>
      </c>
    </row>
    <row r="267" ht="30" customHeight="1" s="131">
      <c r="A267" s="216" t="n"/>
      <c r="B267" s="216" t="n"/>
      <c r="C267" s="216" t="n"/>
      <c r="D267" s="217" t="n"/>
      <c r="E267" s="216" t="n"/>
      <c r="F267" s="216" t="n"/>
      <c r="G267" s="217" t="n"/>
      <c r="H267" s="217" t="n"/>
      <c r="I267" s="217" t="n"/>
      <c r="J267" s="217" t="n"/>
      <c r="K267" s="216" t="n"/>
      <c r="L267" s="217" t="n"/>
      <c r="M267" s="216" t="n"/>
      <c r="N267" s="164">
        <f>IF($K267="","",IF($M267="Concluído","—",DATEVALUE($K267)-TODAY()))</f>
        <v/>
      </c>
    </row>
    <row r="268" ht="30" customHeight="1" s="131">
      <c r="A268" s="216" t="n"/>
      <c r="B268" s="216" t="n"/>
      <c r="C268" s="216" t="n"/>
      <c r="D268" s="217" t="n"/>
      <c r="E268" s="216" t="n"/>
      <c r="F268" s="216" t="n"/>
      <c r="G268" s="217" t="n"/>
      <c r="H268" s="217" t="n"/>
      <c r="I268" s="217" t="n"/>
      <c r="J268" s="217" t="n"/>
      <c r="K268" s="216" t="n"/>
      <c r="L268" s="217" t="n"/>
      <c r="M268" s="216" t="n"/>
      <c r="N268" s="164">
        <f>IF($K268="","",IF($M268="Concluído","—",DATEVALUE($K268)-TODAY()))</f>
        <v/>
      </c>
    </row>
    <row r="269" ht="30" customHeight="1" s="131">
      <c r="A269" s="216" t="n"/>
      <c r="B269" s="216" t="n"/>
      <c r="C269" s="216" t="n"/>
      <c r="D269" s="217" t="n"/>
      <c r="E269" s="216" t="n"/>
      <c r="F269" s="216" t="n"/>
      <c r="G269" s="217" t="n"/>
      <c r="H269" s="217" t="n"/>
      <c r="I269" s="217" t="n"/>
      <c r="J269" s="217" t="n"/>
      <c r="K269" s="216" t="n"/>
      <c r="L269" s="217" t="n"/>
      <c r="M269" s="216" t="n"/>
      <c r="N269" s="164">
        <f>IF($K269="","",IF($M269="Concluído","—",DATEVALUE($K269)-TODAY()))</f>
        <v/>
      </c>
    </row>
    <row r="270" ht="30" customHeight="1" s="131">
      <c r="A270" s="216" t="n"/>
      <c r="B270" s="216" t="n"/>
      <c r="C270" s="216" t="n"/>
      <c r="D270" s="217" t="n"/>
      <c r="E270" s="216" t="n"/>
      <c r="F270" s="216" t="n"/>
      <c r="G270" s="217" t="n"/>
      <c r="H270" s="217" t="n"/>
      <c r="I270" s="217" t="n"/>
      <c r="J270" s="217" t="n"/>
      <c r="K270" s="216" t="n"/>
      <c r="L270" s="217" t="n"/>
      <c r="M270" s="216" t="n"/>
      <c r="N270" s="164">
        <f>IF($K270="","",IF($M270="Concluído","—",DATEVALUE($K270)-TODAY()))</f>
        <v/>
      </c>
    </row>
    <row r="271" ht="30" customHeight="1" s="131">
      <c r="A271" s="216" t="n"/>
      <c r="B271" s="216" t="n"/>
      <c r="C271" s="216" t="n"/>
      <c r="D271" s="217" t="n"/>
      <c r="E271" s="216" t="n"/>
      <c r="F271" s="216" t="n"/>
      <c r="G271" s="217" t="n"/>
      <c r="H271" s="217" t="n"/>
      <c r="I271" s="217" t="n"/>
      <c r="J271" s="217" t="n"/>
      <c r="K271" s="216" t="n"/>
      <c r="L271" s="217" t="n"/>
      <c r="M271" s="216" t="n"/>
      <c r="N271" s="164">
        <f>IF($K271="","",IF($M271="Concluído","—",DATEVALUE($K271)-TODAY()))</f>
        <v/>
      </c>
    </row>
    <row r="272" ht="30" customHeight="1" s="131">
      <c r="A272" s="216" t="n"/>
      <c r="B272" s="216" t="n"/>
      <c r="C272" s="216" t="n"/>
      <c r="D272" s="217" t="n"/>
      <c r="E272" s="216" t="n"/>
      <c r="F272" s="216" t="n"/>
      <c r="G272" s="217" t="n"/>
      <c r="H272" s="217" t="n"/>
      <c r="I272" s="217" t="n"/>
      <c r="J272" s="217" t="n"/>
      <c r="K272" s="216" t="n"/>
      <c r="L272" s="217" t="n"/>
      <c r="M272" s="216" t="n"/>
      <c r="N272" s="164">
        <f>IF($K272="","",IF($M272="Concluído","—",DATEVALUE($K272)-TODAY()))</f>
        <v/>
      </c>
    </row>
    <row r="273" ht="30" customHeight="1" s="131">
      <c r="A273" s="216" t="n"/>
      <c r="B273" s="216" t="n"/>
      <c r="C273" s="216" t="n"/>
      <c r="D273" s="217" t="n"/>
      <c r="E273" s="216" t="n"/>
      <c r="F273" s="216" t="n"/>
      <c r="G273" s="217" t="n"/>
      <c r="H273" s="217" t="n"/>
      <c r="I273" s="217" t="n"/>
      <c r="J273" s="217" t="n"/>
      <c r="K273" s="216" t="n"/>
      <c r="L273" s="217" t="n"/>
      <c r="M273" s="216" t="n"/>
      <c r="N273" s="164">
        <f>IF($K273="","",IF($M273="Concluído","—",DATEVALUE($K273)-TODAY()))</f>
        <v/>
      </c>
    </row>
    <row r="274" ht="30" customHeight="1" s="131">
      <c r="A274" s="216" t="n"/>
      <c r="B274" s="216" t="n"/>
      <c r="C274" s="216" t="n"/>
      <c r="D274" s="217" t="n"/>
      <c r="E274" s="216" t="n"/>
      <c r="F274" s="216" t="n"/>
      <c r="G274" s="217" t="n"/>
      <c r="H274" s="217" t="n"/>
      <c r="I274" s="217" t="n"/>
      <c r="J274" s="217" t="n"/>
      <c r="K274" s="216" t="n"/>
      <c r="L274" s="217" t="n"/>
      <c r="M274" s="216" t="n"/>
      <c r="N274" s="164">
        <f>IF($K274="","",IF($M274="Concluído","—",DATEVALUE($K274)-TODAY()))</f>
        <v/>
      </c>
    </row>
    <row r="275" ht="30" customHeight="1" s="131">
      <c r="A275" s="216" t="n"/>
      <c r="B275" s="216" t="n"/>
      <c r="C275" s="216" t="n"/>
      <c r="D275" s="217" t="n"/>
      <c r="E275" s="216" t="n"/>
      <c r="F275" s="216" t="n"/>
      <c r="G275" s="217" t="n"/>
      <c r="H275" s="217" t="n"/>
      <c r="I275" s="217" t="n"/>
      <c r="J275" s="217" t="n"/>
      <c r="K275" s="216" t="n"/>
      <c r="L275" s="217" t="n"/>
      <c r="M275" s="216" t="n"/>
      <c r="N275" s="164">
        <f>IF($K275="","",IF($M275="Concluído","—",DATEVALUE($K275)-TODAY()))</f>
        <v/>
      </c>
    </row>
    <row r="276" ht="30" customHeight="1" s="131">
      <c r="A276" s="216" t="n"/>
      <c r="B276" s="216" t="n"/>
      <c r="C276" s="216" t="n"/>
      <c r="D276" s="217" t="n"/>
      <c r="E276" s="216" t="n"/>
      <c r="F276" s="216" t="n"/>
      <c r="G276" s="217" t="n"/>
      <c r="H276" s="217" t="n"/>
      <c r="I276" s="217" t="n"/>
      <c r="J276" s="217" t="n"/>
      <c r="K276" s="216" t="n"/>
      <c r="L276" s="217" t="n"/>
      <c r="M276" s="216" t="n"/>
      <c r="N276" s="164">
        <f>IF($K276="","",IF($M276="Concluído","—",DATEVALUE($K276)-TODAY()))</f>
        <v/>
      </c>
    </row>
    <row r="277" ht="30" customHeight="1" s="131">
      <c r="A277" s="216" t="n"/>
      <c r="B277" s="216" t="n"/>
      <c r="C277" s="216" t="n"/>
      <c r="D277" s="217" t="n"/>
      <c r="E277" s="216" t="n"/>
      <c r="F277" s="216" t="n"/>
      <c r="G277" s="217" t="n"/>
      <c r="H277" s="217" t="n"/>
      <c r="I277" s="217" t="n"/>
      <c r="J277" s="217" t="n"/>
      <c r="K277" s="216" t="n"/>
      <c r="L277" s="217" t="n"/>
      <c r="M277" s="216" t="n"/>
      <c r="N277" s="164">
        <f>IF($K277="","",IF($M277="Concluído","—",DATEVALUE($K277)-TODAY()))</f>
        <v/>
      </c>
    </row>
    <row r="278" ht="30" customHeight="1" s="131">
      <c r="A278" s="216" t="n"/>
      <c r="B278" s="216" t="n"/>
      <c r="C278" s="216" t="n"/>
      <c r="D278" s="217" t="n"/>
      <c r="E278" s="216" t="n"/>
      <c r="F278" s="216" t="n"/>
      <c r="G278" s="217" t="n"/>
      <c r="H278" s="217" t="n"/>
      <c r="I278" s="217" t="n"/>
      <c r="J278" s="217" t="n"/>
      <c r="K278" s="216" t="n"/>
      <c r="L278" s="217" t="n"/>
      <c r="M278" s="216" t="n"/>
      <c r="N278" s="164">
        <f>IF($K278="","",IF($M278="Concluído","—",DATEVALUE($K278)-TODAY()))</f>
        <v/>
      </c>
    </row>
    <row r="279" ht="30" customHeight="1" s="131">
      <c r="A279" s="216" t="n"/>
      <c r="B279" s="216" t="n"/>
      <c r="C279" s="216" t="n"/>
      <c r="D279" s="217" t="n"/>
      <c r="E279" s="216" t="n"/>
      <c r="F279" s="216" t="n"/>
      <c r="G279" s="217" t="n"/>
      <c r="H279" s="217" t="n"/>
      <c r="I279" s="217" t="n"/>
      <c r="J279" s="217" t="n"/>
      <c r="K279" s="216" t="n"/>
      <c r="L279" s="217" t="n"/>
      <c r="M279" s="216" t="n"/>
      <c r="N279" s="164">
        <f>IF($K279="","",IF($M279="Concluído","—",DATEVALUE($K279)-TODAY()))</f>
        <v/>
      </c>
    </row>
    <row r="280" ht="30" customHeight="1" s="131">
      <c r="A280" s="216" t="n"/>
      <c r="B280" s="216" t="n"/>
      <c r="C280" s="216" t="n"/>
      <c r="D280" s="217" t="n"/>
      <c r="E280" s="216" t="n"/>
      <c r="F280" s="216" t="n"/>
      <c r="G280" s="217" t="n"/>
      <c r="H280" s="217" t="n"/>
      <c r="I280" s="217" t="n"/>
      <c r="J280" s="217" t="n"/>
      <c r="K280" s="216" t="n"/>
      <c r="L280" s="217" t="n"/>
      <c r="M280" s="216" t="n"/>
      <c r="N280" s="164">
        <f>IF($K280="","",IF($M280="Concluído","—",DATEVALUE($K280)-TODAY()))</f>
        <v/>
      </c>
    </row>
    <row r="281" ht="30" customHeight="1" s="131">
      <c r="A281" s="216" t="n"/>
      <c r="B281" s="216" t="n"/>
      <c r="C281" s="216" t="n"/>
      <c r="D281" s="217" t="n"/>
      <c r="E281" s="216" t="n"/>
      <c r="F281" s="216" t="n"/>
      <c r="G281" s="217" t="n"/>
      <c r="H281" s="217" t="n"/>
      <c r="I281" s="217" t="n"/>
      <c r="J281" s="217" t="n"/>
      <c r="K281" s="216" t="n"/>
      <c r="L281" s="217" t="n"/>
      <c r="M281" s="216" t="n"/>
      <c r="N281" s="164">
        <f>IF($K281="","",IF($M281="Concluído","—",DATEVALUE($K281)-TODAY()))</f>
        <v/>
      </c>
    </row>
    <row r="282" ht="30" customHeight="1" s="131">
      <c r="A282" s="216" t="n"/>
      <c r="B282" s="216" t="n"/>
      <c r="C282" s="216" t="n"/>
      <c r="D282" s="217" t="n"/>
      <c r="E282" s="216" t="n"/>
      <c r="F282" s="216" t="n"/>
      <c r="G282" s="217" t="n"/>
      <c r="H282" s="217" t="n"/>
      <c r="I282" s="217" t="n"/>
      <c r="J282" s="217" t="n"/>
      <c r="K282" s="216" t="n"/>
      <c r="L282" s="217" t="n"/>
      <c r="M282" s="216" t="n"/>
      <c r="N282" s="164">
        <f>IF($K282="","",IF($M282="Concluído","—",DATEVALUE($K282)-TODAY()))</f>
        <v/>
      </c>
    </row>
    <row r="283" ht="30" customHeight="1" s="131">
      <c r="A283" s="216" t="n"/>
      <c r="B283" s="216" t="n"/>
      <c r="C283" s="216" t="n"/>
      <c r="D283" s="217" t="n"/>
      <c r="E283" s="216" t="n"/>
      <c r="F283" s="216" t="n"/>
      <c r="G283" s="217" t="n"/>
      <c r="H283" s="217" t="n"/>
      <c r="I283" s="217" t="n"/>
      <c r="J283" s="217" t="n"/>
      <c r="K283" s="216" t="n"/>
      <c r="L283" s="217" t="n"/>
      <c r="M283" s="216" t="n"/>
      <c r="N283" s="164">
        <f>IF($K283="","",IF($M283="Concluído","—",DATEVALUE($K283)-TODAY()))</f>
        <v/>
      </c>
    </row>
    <row r="284" ht="30" customHeight="1" s="131">
      <c r="A284" s="216" t="n"/>
      <c r="B284" s="216" t="n"/>
      <c r="C284" s="216" t="n"/>
      <c r="D284" s="217" t="n"/>
      <c r="E284" s="216" t="n"/>
      <c r="F284" s="216" t="n"/>
      <c r="G284" s="217" t="n"/>
      <c r="H284" s="217" t="n"/>
      <c r="I284" s="217" t="n"/>
      <c r="J284" s="217" t="n"/>
      <c r="K284" s="216" t="n"/>
      <c r="L284" s="217" t="n"/>
      <c r="M284" s="216" t="n"/>
      <c r="N284" s="164">
        <f>IF($K284="","",IF($M284="Concluído","—",DATEVALUE($K284)-TODAY()))</f>
        <v/>
      </c>
    </row>
    <row r="285" ht="30" customHeight="1" s="131">
      <c r="A285" s="216" t="n"/>
      <c r="B285" s="216" t="n"/>
      <c r="C285" s="216" t="n"/>
      <c r="D285" s="217" t="n"/>
      <c r="E285" s="216" t="n"/>
      <c r="F285" s="216" t="n"/>
      <c r="G285" s="217" t="n"/>
      <c r="H285" s="217" t="n"/>
      <c r="I285" s="217" t="n"/>
      <c r="J285" s="217" t="n"/>
      <c r="K285" s="216" t="n"/>
      <c r="L285" s="217" t="n"/>
      <c r="M285" s="216" t="n"/>
      <c r="N285" s="164">
        <f>IF($K285="","",IF($M285="Concluído","—",DATEVALUE($K285)-TODAY()))</f>
        <v/>
      </c>
    </row>
    <row r="286" ht="30" customHeight="1" s="131">
      <c r="A286" s="216" t="n"/>
      <c r="B286" s="216" t="n"/>
      <c r="C286" s="216" t="n"/>
      <c r="D286" s="217" t="n"/>
      <c r="E286" s="216" t="n"/>
      <c r="F286" s="216" t="n"/>
      <c r="G286" s="217" t="n"/>
      <c r="H286" s="217" t="n"/>
      <c r="I286" s="217" t="n"/>
      <c r="J286" s="217" t="n"/>
      <c r="K286" s="216" t="n"/>
      <c r="L286" s="217" t="n"/>
      <c r="M286" s="216" t="n"/>
      <c r="N286" s="164">
        <f>IF($K286="","",IF($M286="Concluído","—",DATEVALUE($K286)-TODAY()))</f>
        <v/>
      </c>
    </row>
    <row r="287" ht="30" customHeight="1" s="131">
      <c r="A287" s="216" t="n"/>
      <c r="B287" s="216" t="n"/>
      <c r="C287" s="216" t="n"/>
      <c r="D287" s="217" t="n"/>
      <c r="E287" s="216" t="n"/>
      <c r="F287" s="216" t="n"/>
      <c r="G287" s="217" t="n"/>
      <c r="H287" s="217" t="n"/>
      <c r="I287" s="217" t="n"/>
      <c r="J287" s="217" t="n"/>
      <c r="K287" s="216" t="n"/>
      <c r="L287" s="217" t="n"/>
      <c r="M287" s="216" t="n"/>
      <c r="N287" s="164">
        <f>IF($K287="","",IF($M287="Concluído","—",DATEVALUE($K287)-TODAY()))</f>
        <v/>
      </c>
    </row>
    <row r="288" ht="30" customHeight="1" s="131">
      <c r="A288" s="216" t="n"/>
      <c r="B288" s="216" t="n"/>
      <c r="C288" s="216" t="n"/>
      <c r="D288" s="217" t="n"/>
      <c r="E288" s="216" t="n"/>
      <c r="F288" s="216" t="n"/>
      <c r="G288" s="217" t="n"/>
      <c r="H288" s="217" t="n"/>
      <c r="I288" s="217" t="n"/>
      <c r="J288" s="217" t="n"/>
      <c r="K288" s="216" t="n"/>
      <c r="L288" s="217" t="n"/>
      <c r="M288" s="216" t="n"/>
      <c r="N288" s="164">
        <f>IF($K288="","",IF($M288="Concluído","—",DATEVALUE($K288)-TODAY()))</f>
        <v/>
      </c>
    </row>
    <row r="289" ht="30" customHeight="1" s="131">
      <c r="A289" s="216" t="n"/>
      <c r="B289" s="216" t="n"/>
      <c r="C289" s="216" t="n"/>
      <c r="D289" s="217" t="n"/>
      <c r="E289" s="216" t="n"/>
      <c r="F289" s="216" t="n"/>
      <c r="G289" s="217" t="n"/>
      <c r="H289" s="217" t="n"/>
      <c r="I289" s="217" t="n"/>
      <c r="J289" s="217" t="n"/>
      <c r="K289" s="216" t="n"/>
      <c r="L289" s="217" t="n"/>
      <c r="M289" s="216" t="n"/>
      <c r="N289" s="164">
        <f>IF($K289="","",IF($M289="Concluído","—",DATEVALUE($K289)-TODAY()))</f>
        <v/>
      </c>
    </row>
    <row r="290" ht="30" customHeight="1" s="131">
      <c r="A290" s="216" t="n"/>
      <c r="B290" s="216" t="n"/>
      <c r="C290" s="216" t="n"/>
      <c r="D290" s="217" t="n"/>
      <c r="E290" s="216" t="n"/>
      <c r="F290" s="216" t="n"/>
      <c r="G290" s="217" t="n"/>
      <c r="H290" s="217" t="n"/>
      <c r="I290" s="217" t="n"/>
      <c r="J290" s="217" t="n"/>
      <c r="K290" s="216" t="n"/>
      <c r="L290" s="217" t="n"/>
      <c r="M290" s="216" t="n"/>
      <c r="N290" s="164">
        <f>IF($K290="","",IF($M290="Concluído","—",DATEVALUE($K290)-TODAY()))</f>
        <v/>
      </c>
    </row>
    <row r="291" ht="30" customHeight="1" s="131">
      <c r="A291" s="216" t="n"/>
      <c r="B291" s="216" t="n"/>
      <c r="C291" s="216" t="n"/>
      <c r="D291" s="217" t="n"/>
      <c r="E291" s="216" t="n"/>
      <c r="F291" s="216" t="n"/>
      <c r="G291" s="217" t="n"/>
      <c r="H291" s="217" t="n"/>
      <c r="I291" s="217" t="n"/>
      <c r="J291" s="217" t="n"/>
      <c r="K291" s="216" t="n"/>
      <c r="L291" s="217" t="n"/>
      <c r="M291" s="216" t="n"/>
      <c r="N291" s="164">
        <f>IF($K291="","",IF($M291="Concluído","—",DATEVALUE($K291)-TODAY()))</f>
        <v/>
      </c>
    </row>
    <row r="292" ht="30" customHeight="1" s="131">
      <c r="A292" s="216" t="n"/>
      <c r="B292" s="216" t="n"/>
      <c r="C292" s="216" t="n"/>
      <c r="D292" s="217" t="n"/>
      <c r="E292" s="216" t="n"/>
      <c r="F292" s="216" t="n"/>
      <c r="G292" s="217" t="n"/>
      <c r="H292" s="217" t="n"/>
      <c r="I292" s="217" t="n"/>
      <c r="J292" s="217" t="n"/>
      <c r="K292" s="216" t="n"/>
      <c r="L292" s="217" t="n"/>
      <c r="M292" s="216" t="n"/>
      <c r="N292" s="164">
        <f>IF($K292="","",IF($M292="Concluído","—",DATEVALUE($K292)-TODAY()))</f>
        <v/>
      </c>
    </row>
    <row r="293" ht="30" customHeight="1" s="131">
      <c r="A293" s="216" t="n"/>
      <c r="B293" s="216" t="n"/>
      <c r="C293" s="216" t="n"/>
      <c r="D293" s="217" t="n"/>
      <c r="E293" s="216" t="n"/>
      <c r="F293" s="216" t="n"/>
      <c r="G293" s="217" t="n"/>
      <c r="H293" s="217" t="n"/>
      <c r="I293" s="217" t="n"/>
      <c r="J293" s="217" t="n"/>
      <c r="K293" s="216" t="n"/>
      <c r="L293" s="217" t="n"/>
      <c r="M293" s="216" t="n"/>
      <c r="N293" s="164">
        <f>IF($K293="","",IF($M293="Concluído","—",DATEVALUE($K293)-TODAY()))</f>
        <v/>
      </c>
    </row>
    <row r="294" ht="30" customHeight="1" s="131">
      <c r="A294" s="216" t="n"/>
      <c r="B294" s="216" t="n"/>
      <c r="C294" s="216" t="n"/>
      <c r="D294" s="217" t="n"/>
      <c r="E294" s="216" t="n"/>
      <c r="F294" s="216" t="n"/>
      <c r="G294" s="217" t="n"/>
      <c r="H294" s="217" t="n"/>
      <c r="I294" s="217" t="n"/>
      <c r="J294" s="217" t="n"/>
      <c r="K294" s="216" t="n"/>
      <c r="L294" s="217" t="n"/>
      <c r="M294" s="216" t="n"/>
      <c r="N294" s="164">
        <f>IF($K294="","",IF($M294="Concluído","—",DATEVALUE($K294)-TODAY()))</f>
        <v/>
      </c>
    </row>
    <row r="295" ht="30" customHeight="1" s="131">
      <c r="A295" s="216" t="n"/>
      <c r="B295" s="216" t="n"/>
      <c r="C295" s="216" t="n"/>
      <c r="D295" s="217" t="n"/>
      <c r="E295" s="216" t="n"/>
      <c r="F295" s="216" t="n"/>
      <c r="G295" s="217" t="n"/>
      <c r="H295" s="217" t="n"/>
      <c r="I295" s="217" t="n"/>
      <c r="J295" s="217" t="n"/>
      <c r="K295" s="216" t="n"/>
      <c r="L295" s="217" t="n"/>
      <c r="M295" s="216" t="n"/>
      <c r="N295" s="164">
        <f>IF($K295="","",IF($M295="Concluído","—",DATEVALUE($K295)-TODAY()))</f>
        <v/>
      </c>
    </row>
    <row r="296" ht="30" customHeight="1" s="131">
      <c r="A296" s="216" t="n"/>
      <c r="B296" s="216" t="n"/>
      <c r="C296" s="216" t="n"/>
      <c r="D296" s="217" t="n"/>
      <c r="E296" s="216" t="n"/>
      <c r="F296" s="216" t="n"/>
      <c r="G296" s="217" t="n"/>
      <c r="H296" s="217" t="n"/>
      <c r="I296" s="217" t="n"/>
      <c r="J296" s="217" t="n"/>
      <c r="K296" s="216" t="n"/>
      <c r="L296" s="217" t="n"/>
      <c r="M296" s="216" t="n"/>
      <c r="N296" s="164">
        <f>IF($K296="","",IF($M296="Concluído","—",DATEVALUE($K296)-TODAY()))</f>
        <v/>
      </c>
    </row>
    <row r="297" ht="30" customHeight="1" s="131">
      <c r="A297" s="216" t="n"/>
      <c r="B297" s="216" t="n"/>
      <c r="C297" s="216" t="n"/>
      <c r="D297" s="217" t="n"/>
      <c r="E297" s="216" t="n"/>
      <c r="F297" s="216" t="n"/>
      <c r="G297" s="217" t="n"/>
      <c r="H297" s="217" t="n"/>
      <c r="I297" s="217" t="n"/>
      <c r="J297" s="217" t="n"/>
      <c r="K297" s="216" t="n"/>
      <c r="L297" s="217" t="n"/>
      <c r="M297" s="216" t="n"/>
      <c r="N297" s="164">
        <f>IF($K297="","",IF($M297="Concluído","—",DATEVALUE($K297)-TODAY()))</f>
        <v/>
      </c>
    </row>
    <row r="298" ht="30" customHeight="1" s="131">
      <c r="A298" s="216" t="n"/>
      <c r="B298" s="216" t="n"/>
      <c r="C298" s="216" t="n"/>
      <c r="D298" s="217" t="n"/>
      <c r="E298" s="216" t="n"/>
      <c r="F298" s="216" t="n"/>
      <c r="G298" s="217" t="n"/>
      <c r="H298" s="217" t="n"/>
      <c r="I298" s="217" t="n"/>
      <c r="J298" s="217" t="n"/>
      <c r="K298" s="216" t="n"/>
      <c r="L298" s="217" t="n"/>
      <c r="M298" s="216" t="n"/>
      <c r="N298" s="164">
        <f>IF($K298="","",IF($M298="Concluído","—",DATEVALUE($K298)-TODAY()))</f>
        <v/>
      </c>
    </row>
    <row r="299" ht="30" customHeight="1" s="131">
      <c r="A299" s="216" t="n"/>
      <c r="B299" s="216" t="n"/>
      <c r="C299" s="216" t="n"/>
      <c r="D299" s="217" t="n"/>
      <c r="E299" s="216" t="n"/>
      <c r="F299" s="216" t="n"/>
      <c r="G299" s="217" t="n"/>
      <c r="H299" s="217" t="n"/>
      <c r="I299" s="217" t="n"/>
      <c r="J299" s="217" t="n"/>
      <c r="K299" s="216" t="n"/>
      <c r="L299" s="217" t="n"/>
      <c r="M299" s="216" t="n"/>
      <c r="N299" s="164">
        <f>IF($K299="","",IF($M299="Concluído","—",DATEVALUE($K299)-TODAY()))</f>
        <v/>
      </c>
    </row>
    <row r="300" ht="30" customHeight="1" s="131">
      <c r="A300" s="216" t="n"/>
      <c r="B300" s="216" t="n"/>
      <c r="C300" s="216" t="n"/>
      <c r="D300" s="217" t="n"/>
      <c r="E300" s="216" t="n"/>
      <c r="F300" s="216" t="n"/>
      <c r="G300" s="217" t="n"/>
      <c r="H300" s="217" t="n"/>
      <c r="I300" s="217" t="n"/>
      <c r="J300" s="217" t="n"/>
      <c r="K300" s="216" t="n"/>
      <c r="L300" s="217" t="n"/>
      <c r="M300" s="216" t="n"/>
      <c r="N300" s="164">
        <f>IF($K300="","",IF($M300="Concluído","—",DATEVALUE($K300)-TODAY()))</f>
        <v/>
      </c>
    </row>
    <row r="301" ht="30" customHeight="1" s="131">
      <c r="A301" s="216" t="n"/>
      <c r="B301" s="216" t="n"/>
      <c r="C301" s="216" t="n"/>
      <c r="D301" s="217" t="n"/>
      <c r="E301" s="216" t="n"/>
      <c r="F301" s="216" t="n"/>
      <c r="G301" s="217" t="n"/>
      <c r="H301" s="217" t="n"/>
      <c r="I301" s="217" t="n"/>
      <c r="J301" s="217" t="n"/>
      <c r="K301" s="216" t="n"/>
      <c r="L301" s="217" t="n"/>
      <c r="M301" s="216" t="n"/>
      <c r="N301" s="164">
        <f>IF($K301="","",IF($M301="Concluído","—",DATEVALUE($K301)-TODAY()))</f>
        <v/>
      </c>
    </row>
    <row r="302" ht="30" customHeight="1" s="131">
      <c r="A302" s="216" t="n"/>
      <c r="B302" s="216" t="n"/>
      <c r="C302" s="216" t="n"/>
      <c r="D302" s="217" t="n"/>
      <c r="E302" s="216" t="n"/>
      <c r="F302" s="216" t="n"/>
      <c r="G302" s="217" t="n"/>
      <c r="H302" s="217" t="n"/>
      <c r="I302" s="217" t="n"/>
      <c r="J302" s="217" t="n"/>
      <c r="K302" s="216" t="n"/>
      <c r="L302" s="217" t="n"/>
      <c r="M302" s="216" t="n"/>
      <c r="N302" s="164">
        <f>IF($K302="","",IF($M302="Concluído","—",DATEVALUE($K302)-TODAY()))</f>
        <v/>
      </c>
    </row>
    <row r="303" ht="30" customHeight="1" s="131">
      <c r="A303" s="216" t="n"/>
      <c r="B303" s="216" t="n"/>
      <c r="C303" s="216" t="n"/>
      <c r="D303" s="217" t="n"/>
      <c r="E303" s="216" t="n"/>
      <c r="F303" s="216" t="n"/>
      <c r="G303" s="217" t="n"/>
      <c r="H303" s="217" t="n"/>
      <c r="I303" s="217" t="n"/>
      <c r="J303" s="217" t="n"/>
      <c r="K303" s="216" t="n"/>
      <c r="L303" s="217" t="n"/>
      <c r="M303" s="216" t="n"/>
      <c r="N303" s="164">
        <f>IF($K303="","",IF($M303="Concluído","—",DATEVALUE($K303)-TODAY()))</f>
        <v/>
      </c>
    </row>
    <row r="304" ht="30" customHeight="1" s="131">
      <c r="A304" s="216" t="n"/>
      <c r="B304" s="216" t="n"/>
      <c r="C304" s="216" t="n"/>
      <c r="D304" s="217" t="n"/>
      <c r="E304" s="216" t="n"/>
      <c r="F304" s="216" t="n"/>
      <c r="G304" s="217" t="n"/>
      <c r="H304" s="217" t="n"/>
      <c r="I304" s="217" t="n"/>
      <c r="J304" s="217" t="n"/>
      <c r="K304" s="216" t="n"/>
      <c r="L304" s="217" t="n"/>
      <c r="M304" s="216" t="n"/>
      <c r="N304" s="164">
        <f>IF($K304="","",IF($M304="Concluído","—",DATEVALUE($K304)-TODAY()))</f>
        <v/>
      </c>
    </row>
    <row r="305" ht="30" customHeight="1" s="131">
      <c r="A305" s="216" t="n"/>
      <c r="B305" s="216" t="n"/>
      <c r="C305" s="216" t="n"/>
      <c r="D305" s="217" t="n"/>
      <c r="E305" s="216" t="n"/>
      <c r="F305" s="216" t="n"/>
      <c r="G305" s="217" t="n"/>
      <c r="H305" s="217" t="n"/>
      <c r="I305" s="217" t="n"/>
      <c r="J305" s="217" t="n"/>
      <c r="K305" s="216" t="n"/>
      <c r="L305" s="217" t="n"/>
      <c r="M305" s="216" t="n"/>
      <c r="N305" s="164">
        <f>IF($K305="","",IF($M305="Concluído","—",DATEVALUE($K305)-TODAY()))</f>
        <v/>
      </c>
    </row>
    <row r="306" ht="30" customHeight="1" s="131">
      <c r="A306" s="216" t="n"/>
      <c r="B306" s="216" t="n"/>
      <c r="C306" s="216" t="n"/>
      <c r="D306" s="217" t="n"/>
      <c r="E306" s="216" t="n"/>
      <c r="F306" s="216" t="n"/>
      <c r="G306" s="217" t="n"/>
      <c r="H306" s="217" t="n"/>
      <c r="I306" s="217" t="n"/>
      <c r="J306" s="217" t="n"/>
      <c r="K306" s="216" t="n"/>
      <c r="L306" s="217" t="n"/>
      <c r="M306" s="216" t="n"/>
      <c r="N306" s="164">
        <f>IF($K306="","",IF($M306="Concluído","—",DATEVALUE($K306)-TODAY()))</f>
        <v/>
      </c>
    </row>
    <row r="307" ht="30" customHeight="1" s="131">
      <c r="A307" s="216" t="n"/>
      <c r="B307" s="216" t="n"/>
      <c r="C307" s="216" t="n"/>
      <c r="D307" s="217" t="n"/>
      <c r="E307" s="216" t="n"/>
      <c r="F307" s="216" t="n"/>
      <c r="G307" s="217" t="n"/>
      <c r="H307" s="217" t="n"/>
      <c r="I307" s="217" t="n"/>
      <c r="J307" s="217" t="n"/>
      <c r="K307" s="216" t="n"/>
      <c r="L307" s="217" t="n"/>
      <c r="M307" s="216" t="n"/>
      <c r="N307" s="164">
        <f>IF($K307="","",IF($M307="Concluído","—",DATEVALUE($K307)-TODAY()))</f>
        <v/>
      </c>
    </row>
    <row r="308" ht="30" customHeight="1" s="131">
      <c r="A308" s="216" t="n"/>
      <c r="B308" s="216" t="n"/>
      <c r="C308" s="216" t="n"/>
      <c r="D308" s="217" t="n"/>
      <c r="E308" s="216" t="n"/>
      <c r="F308" s="216" t="n"/>
      <c r="G308" s="217" t="n"/>
      <c r="H308" s="217" t="n"/>
      <c r="I308" s="217" t="n"/>
      <c r="J308" s="217" t="n"/>
      <c r="K308" s="216" t="n"/>
      <c r="L308" s="217" t="n"/>
      <c r="M308" s="216" t="n"/>
      <c r="N308" s="164">
        <f>IF($K308="","",IF($M308="Concluído","—",DATEVALUE($K308)-TODAY()))</f>
        <v/>
      </c>
    </row>
    <row r="310" ht="15" customHeight="1" s="131">
      <c r="A310" s="140" t="inlineStr">
        <is>
          <t>As primeiras linhas são exemplos ligados aos recortes que estão fora da meta — apague antes do uso real. Sem plano registrado, o KPI permanece formalmente em alerta. Para recorte de disciplina, use o texto da coluna 'Recorte para METAS' da aba DISCIPLINAS.</t>
        </is>
      </c>
    </row>
  </sheetData>
  <mergeCells count="4">
    <mergeCell ref="G5:N5"/>
    <mergeCell ref="A2:N2"/>
    <mergeCell ref="A310:N310"/>
    <mergeCell ref="A1:N1"/>
  </mergeCells>
  <conditionalFormatting sqref="G5">
    <cfRule type="expression" rank="0" priority="2" equalAverage="0" aboveAverage="0" dxfId="8" text="" percent="0" bottom="0">
      <formula>AND($B$5&gt;0,$D$5&lt;$B$5)</formula>
    </cfRule>
    <cfRule type="expression" rank="0" priority="3" equalAverage="0" aboveAverage="0" dxfId="9" text="" percent="0" bottom="0">
      <formula>AND($B$5&gt;0,$D$5&gt;=$B$5)</formula>
    </cfRule>
  </conditionalFormatting>
  <dataValidations count="3">
    <dataValidation sqref="C9:C308" showDropDown="0" showInputMessage="0" showErrorMessage="0" allowBlank="1" type="list" errorStyle="stop" operator="between">
      <formula1>'LISTAS DE APOIO'!$B$5:$B$7</formula1>
      <formula2>0</formula2>
    </dataValidation>
    <dataValidation sqref="B9:B308" showDropDown="0" showInputMessage="0" showErrorMessage="0" allowBlank="1" type="list" errorStyle="stop" operator="between">
      <formula1>DIM_MES!$B$5:$B$148</formula1>
      <formula2>0</formula2>
    </dataValidation>
    <dataValidation sqref="M9:M308" showDropDown="0" showInputMessage="0" showErrorMessage="0" allowBlank="1" type="list" errorStyle="stop" operator="between">
      <formula1>'LISTAS DE APOIO'!$F$5:$F$9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J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7" customWidth="1" style="130" min="1" max="1"/>
    <col width="34" customWidth="1" style="130" min="2" max="2"/>
    <col width="19" customWidth="1" style="130" min="3" max="6"/>
    <col width="16" customWidth="1" style="130" min="7" max="7"/>
    <col width="20" customWidth="1" style="130" min="8" max="8"/>
    <col width="22" customWidth="1" style="130" min="9" max="9"/>
    <col width="34" customWidth="1" style="130" min="10" max="10"/>
  </cols>
  <sheetData>
    <row r="1" ht="24" customHeight="1" s="131">
      <c r="A1" s="132" t="inlineStr">
        <is>
          <t>ENTRADA — DTNH-01 · NPS Discente da Área</t>
        </is>
      </c>
    </row>
    <row r="2" ht="30" customHeight="1" s="131">
      <c r="A2" s="133" t="inlineStr">
        <is>
          <t>Periodicidade de alimentação: Mensal.  Uma linha por período e curso. Colunas amarelas de preenchimento; "Valor da Linha" é calculada.</t>
        </is>
      </c>
    </row>
    <row r="4" ht="30" customHeight="1" s="131">
      <c r="A4" s="199" t="inlineStr">
        <is>
          <t>Período</t>
        </is>
      </c>
      <c r="B4" s="199" t="inlineStr">
        <is>
          <t>Curso</t>
        </is>
      </c>
      <c r="C4" s="199" t="inlineStr">
        <is>
          <t>Respondentes</t>
        </is>
      </c>
      <c r="D4" s="199" t="inlineStr">
        <is>
          <t>Promotores (9-10)</t>
        </is>
      </c>
      <c r="E4" s="199" t="inlineStr">
        <is>
          <t>Neutros (7-8)</t>
        </is>
      </c>
      <c r="F4" s="199" t="inlineStr">
        <is>
          <t>Detratores (0-6)</t>
        </is>
      </c>
      <c r="G4" s="199" t="inlineStr">
        <is>
          <t>Valor da Linha</t>
        </is>
      </c>
      <c r="H4" s="199" t="inlineStr">
        <is>
          <t>Data do lançamento</t>
        </is>
      </c>
      <c r="I4" s="199" t="inlineStr">
        <is>
          <t>Lançado por</t>
        </is>
      </c>
      <c r="J4" s="199" t="inlineStr">
        <is>
          <t>Validação da linha</t>
        </is>
      </c>
    </row>
    <row r="5" ht="15" customHeight="1" s="131">
      <c r="A5" s="164" t="inlineStr">
        <is>
          <t>2026-06</t>
        </is>
      </c>
      <c r="B5" s="218" t="inlineStr">
        <is>
          <t>Administração</t>
        </is>
      </c>
      <c r="C5" s="164" t="n">
        <v>110</v>
      </c>
      <c r="D5" s="164" t="n">
        <v>65</v>
      </c>
      <c r="E5" s="164" t="n">
        <v>29</v>
      </c>
      <c r="F5" s="164" t="n">
        <v>16</v>
      </c>
      <c r="G5" s="169">
        <f>IFERROR((D5-F5)/C5*100,"")</f>
        <v/>
      </c>
      <c r="H5" s="219" t="inlineStr">
        <is>
          <t>2026-08-10</t>
        </is>
      </c>
      <c r="I5" s="220" t="inlineStr">
        <is>
          <t>mateus.valentim@ivc.br</t>
        </is>
      </c>
      <c r="J5" s="221">
        <f>IF(COUNTA(A5:F5)=0,"",IF(OR(C5&lt;0,D5&lt;0,E5&lt;0,F5&lt;0),"ERRO: valor negativo",IF(C5&lt;&gt;SUM(D5:F5),"ERRO: categorias diferem dos respondentes",IF(COUNTIFS($A$5:$A$1200,A5,$B$5:$B$1200,B5)&gt;1,"ERRO: período e curso duplicados","OK"))))</f>
        <v/>
      </c>
    </row>
    <row r="6" ht="15" customHeight="1" s="131">
      <c r="A6" s="164" t="inlineStr">
        <is>
          <t>2026-06</t>
        </is>
      </c>
      <c r="B6" s="218" t="inlineStr">
        <is>
          <t>Agronomia</t>
        </is>
      </c>
      <c r="C6" s="164" t="n">
        <v>55</v>
      </c>
      <c r="D6" s="164" t="n">
        <v>28</v>
      </c>
      <c r="E6" s="164" t="n">
        <v>17</v>
      </c>
      <c r="F6" s="164" t="n">
        <v>10</v>
      </c>
      <c r="G6" s="169">
        <f>IFERROR((D6-F6)/C6*100,"")</f>
        <v/>
      </c>
      <c r="H6" s="219" t="inlineStr">
        <is>
          <t>2026-08-10</t>
        </is>
      </c>
      <c r="I6" s="220" t="inlineStr">
        <is>
          <t>mateus.valentim@ivc.br</t>
        </is>
      </c>
      <c r="J6" s="221">
        <f>IF(COUNTA(A6:F6)=0,"",IF(OR(C6&lt;0,D6&lt;0,E6&lt;0,F6&lt;0),"ERRO: valor negativo",IF(C6&lt;&gt;SUM(D6:F6),"ERRO: categorias diferem dos respondentes",IF(COUNTIFS($A$5:$A$1200,A6,$B$5:$B$1200,B6)&gt;1,"ERRO: período e curso duplicados","OK"))))</f>
        <v/>
      </c>
    </row>
    <row r="7" ht="15" customHeight="1" s="131">
      <c r="A7" s="164" t="inlineStr">
        <is>
          <t>2026-06</t>
        </is>
      </c>
      <c r="B7" s="218" t="inlineStr">
        <is>
          <t>Análise e Desenvolvimento de Sistemas</t>
        </is>
      </c>
      <c r="C7" s="164" t="n">
        <v>119</v>
      </c>
      <c r="D7" s="164" t="n">
        <v>49</v>
      </c>
      <c r="E7" s="164" t="n">
        <v>51</v>
      </c>
      <c r="F7" s="164" t="n">
        <v>19</v>
      </c>
      <c r="G7" s="169">
        <f>IFERROR((D7-F7)/C7*100,"")</f>
        <v/>
      </c>
      <c r="H7" s="219" t="inlineStr">
        <is>
          <t>2026-08-10</t>
        </is>
      </c>
      <c r="I7" s="220" t="inlineStr">
        <is>
          <t>mateus.valentim@ivc.br</t>
        </is>
      </c>
      <c r="J7" s="221">
        <f>IF(COUNTA(A7:F7)=0,"",IF(OR(C7&lt;0,D7&lt;0,E7&lt;0,F7&lt;0),"ERRO: valor negativo",IF(C7&lt;&gt;SUM(D7:F7),"ERRO: categorias diferem dos respondentes",IF(COUNTIFS($A$5:$A$1200,A7,$B$5:$B$1200,B7)&gt;1,"ERRO: período e curso duplicados","OK"))))</f>
        <v/>
      </c>
    </row>
    <row r="8" ht="15" customHeight="1" s="131">
      <c r="A8" s="164" t="inlineStr">
        <is>
          <t>2026-06</t>
        </is>
      </c>
      <c r="B8" s="218" t="inlineStr">
        <is>
          <t>Ciências Contábeis</t>
        </is>
      </c>
      <c r="C8" s="164" t="n">
        <v>84</v>
      </c>
      <c r="D8" s="164" t="n">
        <v>32</v>
      </c>
      <c r="E8" s="164" t="n">
        <v>39</v>
      </c>
      <c r="F8" s="164" t="n">
        <v>13</v>
      </c>
      <c r="G8" s="169">
        <f>IFERROR((D8-F8)/C8*100,"")</f>
        <v/>
      </c>
      <c r="H8" s="219" t="inlineStr">
        <is>
          <t>2026-08-10</t>
        </is>
      </c>
      <c r="I8" s="220" t="inlineStr">
        <is>
          <t>mateus.valentim@ivc.br</t>
        </is>
      </c>
      <c r="J8" s="221">
        <f>IF(COUNTA(A8:F8)=0,"",IF(OR(C8&lt;0,D8&lt;0,E8&lt;0,F8&lt;0),"ERRO: valor negativo",IF(C8&lt;&gt;SUM(D8:F8),"ERRO: categorias diferem dos respondentes",IF(COUNTIFS($A$5:$A$1200,A8,$B$5:$B$1200,B8)&gt;1,"ERRO: período e curso duplicados","OK"))))</f>
        <v/>
      </c>
    </row>
    <row r="9" ht="15" customHeight="1" s="131">
      <c r="A9" s="164" t="inlineStr">
        <is>
          <t>2026-06</t>
        </is>
      </c>
      <c r="B9" s="218" t="inlineStr">
        <is>
          <t>Comunicação Social</t>
        </is>
      </c>
      <c r="C9" s="164" t="n">
        <v>56</v>
      </c>
      <c r="D9" s="164" t="n">
        <v>30</v>
      </c>
      <c r="E9" s="164" t="n">
        <v>14</v>
      </c>
      <c r="F9" s="164" t="n">
        <v>12</v>
      </c>
      <c r="G9" s="169">
        <f>IFERROR((D9-F9)/C9*100,"")</f>
        <v/>
      </c>
      <c r="H9" s="219" t="inlineStr">
        <is>
          <t>2026-08-10</t>
        </is>
      </c>
      <c r="I9" s="220" t="inlineStr">
        <is>
          <t>mateus.valentim@ivc.br</t>
        </is>
      </c>
      <c r="J9" s="221">
        <f>IF(COUNTA(A9:F9)=0,"",IF(OR(C9&lt;0,D9&lt;0,E9&lt;0,F9&lt;0),"ERRO: valor negativo",IF(C9&lt;&gt;SUM(D9:F9),"ERRO: categorias diferem dos respondentes",IF(COUNTIFS($A$5:$A$1200,A9,$B$5:$B$1200,B9)&gt;1,"ERRO: período e curso duplicados","OK"))))</f>
        <v/>
      </c>
    </row>
    <row r="10" ht="15" customHeight="1" s="131">
      <c r="A10" s="164" t="inlineStr">
        <is>
          <t>2026-06</t>
        </is>
      </c>
      <c r="B10" s="218" t="inlineStr">
        <is>
          <t>Direito</t>
        </is>
      </c>
      <c r="C10" s="164" t="n">
        <v>194</v>
      </c>
      <c r="D10" s="164" t="n">
        <v>101</v>
      </c>
      <c r="E10" s="164" t="n">
        <v>57</v>
      </c>
      <c r="F10" s="164" t="n">
        <v>36</v>
      </c>
      <c r="G10" s="169">
        <f>IFERROR((D10-F10)/C10*100,"")</f>
        <v/>
      </c>
      <c r="H10" s="219" t="inlineStr">
        <is>
          <t>2026-08-10</t>
        </is>
      </c>
      <c r="I10" s="220" t="inlineStr">
        <is>
          <t>mateus.valentim@ivc.br</t>
        </is>
      </c>
      <c r="J10" s="221">
        <f>IF(COUNTA(A10:F10)=0,"",IF(OR(C10&lt;0,D10&lt;0,E10&lt;0,F10&lt;0),"ERRO: valor negativo",IF(C10&lt;&gt;SUM(D10:F10),"ERRO: categorias diferem dos respondentes",IF(COUNTIFS($A$5:$A$1200,A10,$B$5:$B$1200,B10)&gt;1,"ERRO: período e curso duplicados","OK"))))</f>
        <v/>
      </c>
    </row>
    <row r="11" ht="15" customHeight="1" s="131">
      <c r="A11" s="164" t="inlineStr">
        <is>
          <t>2026-06</t>
        </is>
      </c>
      <c r="B11" s="218" t="inlineStr">
        <is>
          <t>Engenharia de Produção</t>
        </is>
      </c>
      <c r="C11" s="164" t="n">
        <v>62</v>
      </c>
      <c r="D11" s="164" t="n">
        <v>34</v>
      </c>
      <c r="E11" s="164" t="n">
        <v>20</v>
      </c>
      <c r="F11" s="164" t="n">
        <v>8</v>
      </c>
      <c r="G11" s="169">
        <f>IFERROR((D11-F11)/C11*100,"")</f>
        <v/>
      </c>
      <c r="H11" s="219" t="inlineStr">
        <is>
          <t>2026-08-10</t>
        </is>
      </c>
      <c r="I11" s="220" t="inlineStr">
        <is>
          <t>mateus.valentim@ivc.br</t>
        </is>
      </c>
      <c r="J11" s="221">
        <f>IF(COUNTA(A11:F11)=0,"",IF(OR(C11&lt;0,D11&lt;0,E11&lt;0,F11&lt;0),"ERRO: valor negativo",IF(C11&lt;&gt;SUM(D11:F11),"ERRO: categorias diferem dos respondentes",IF(COUNTIFS($A$5:$A$1200,A11,$B$5:$B$1200,B11)&gt;1,"ERRO: período e curso duplicados","OK"))))</f>
        <v/>
      </c>
    </row>
    <row r="12" ht="15" customHeight="1" s="131">
      <c r="A12" s="164" t="inlineStr">
        <is>
          <t>2026-06</t>
        </is>
      </c>
      <c r="B12" s="218" t="inlineStr">
        <is>
          <t>Engenharia Mecânica</t>
        </is>
      </c>
      <c r="C12" s="164" t="n">
        <v>92</v>
      </c>
      <c r="D12" s="164" t="n">
        <v>53</v>
      </c>
      <c r="E12" s="164" t="n">
        <v>28</v>
      </c>
      <c r="F12" s="164" t="n">
        <v>11</v>
      </c>
      <c r="G12" s="169">
        <f>IFERROR((D12-F12)/C12*100,"")</f>
        <v/>
      </c>
      <c r="H12" s="219" t="inlineStr">
        <is>
          <t>2026-08-10</t>
        </is>
      </c>
      <c r="I12" s="220" t="inlineStr">
        <is>
          <t>mateus.valentim@ivc.br</t>
        </is>
      </c>
      <c r="J12" s="221">
        <f>IF(COUNTA(A12:F12)=0,"",IF(OR(C12&lt;0,D12&lt;0,E12&lt;0,F12&lt;0),"ERRO: valor negativo",IF(C12&lt;&gt;SUM(D12:F12),"ERRO: categorias diferem dos respondentes",IF(COUNTIFS($A$5:$A$1200,A12,$B$5:$B$1200,B12)&gt;1,"ERRO: período e curso duplicados","OK"))))</f>
        <v/>
      </c>
    </row>
    <row r="13" ht="15" customHeight="1" s="131">
      <c r="A13" s="164" t="inlineStr">
        <is>
          <t>2026-07</t>
        </is>
      </c>
      <c r="B13" s="218" t="inlineStr">
        <is>
          <t>Administração</t>
        </is>
      </c>
      <c r="C13" s="164" t="n">
        <v>82</v>
      </c>
      <c r="D13" s="164" t="n">
        <v>44</v>
      </c>
      <c r="E13" s="164" t="n">
        <v>32</v>
      </c>
      <c r="F13" s="164" t="n">
        <v>6</v>
      </c>
      <c r="G13" s="169">
        <f>IFERROR((D13-F13)/C13*100,"")</f>
        <v/>
      </c>
      <c r="H13" s="219" t="inlineStr">
        <is>
          <t>2026-08-10</t>
        </is>
      </c>
      <c r="I13" s="220" t="inlineStr">
        <is>
          <t>mateus.valentim@ivc.br</t>
        </is>
      </c>
      <c r="J13" s="221">
        <f>IF(COUNTA(A13:F13)=0,"",IF(OR(C13&lt;0,D13&lt;0,E13&lt;0,F13&lt;0),"ERRO: valor negativo",IF(C13&lt;&gt;SUM(D13:F13),"ERRO: categorias diferem dos respondentes",IF(COUNTIFS($A$5:$A$1200,A13,$B$5:$B$1200,B13)&gt;1,"ERRO: período e curso duplicados","OK"))))</f>
        <v/>
      </c>
    </row>
    <row r="14" ht="15" customHeight="1" s="131">
      <c r="A14" s="164" t="inlineStr">
        <is>
          <t>2026-07</t>
        </is>
      </c>
      <c r="B14" s="218" t="inlineStr">
        <is>
          <t>Agronomia</t>
        </is>
      </c>
      <c r="C14" s="164" t="n">
        <v>52</v>
      </c>
      <c r="D14" s="164" t="n">
        <v>36</v>
      </c>
      <c r="E14" s="164" t="n">
        <v>8</v>
      </c>
      <c r="F14" s="164" t="n">
        <v>8</v>
      </c>
      <c r="G14" s="169">
        <f>IFERROR((D14-F14)/C14*100,"")</f>
        <v/>
      </c>
      <c r="H14" s="219" t="inlineStr">
        <is>
          <t>2026-08-10</t>
        </is>
      </c>
      <c r="I14" s="220" t="inlineStr">
        <is>
          <t>mateus.valentim@ivc.br</t>
        </is>
      </c>
      <c r="J14" s="221">
        <f>IF(COUNTA(A14:F14)=0,"",IF(OR(C14&lt;0,D14&lt;0,E14&lt;0,F14&lt;0),"ERRO: valor negativo",IF(C14&lt;&gt;SUM(D14:F14),"ERRO: categorias diferem dos respondentes",IF(COUNTIFS($A$5:$A$1200,A14,$B$5:$B$1200,B14)&gt;1,"ERRO: período e curso duplicados","OK"))))</f>
        <v/>
      </c>
    </row>
    <row r="15" ht="15" customHeight="1" s="131">
      <c r="A15" s="164" t="inlineStr">
        <is>
          <t>2026-07</t>
        </is>
      </c>
      <c r="B15" s="218" t="inlineStr">
        <is>
          <t>Análise e Desenvolvimento de Sistemas</t>
        </is>
      </c>
      <c r="C15" s="164" t="n">
        <v>133</v>
      </c>
      <c r="D15" s="164" t="n">
        <v>52</v>
      </c>
      <c r="E15" s="164" t="n">
        <v>64</v>
      </c>
      <c r="F15" s="164" t="n">
        <v>17</v>
      </c>
      <c r="G15" s="169">
        <f>IFERROR((D15-F15)/C15*100,"")</f>
        <v/>
      </c>
      <c r="H15" s="219" t="inlineStr">
        <is>
          <t>2026-08-10</t>
        </is>
      </c>
      <c r="I15" s="220" t="inlineStr">
        <is>
          <t>mateus.valentim@ivc.br</t>
        </is>
      </c>
      <c r="J15" s="221">
        <f>IF(COUNTA(A15:F15)=0,"",IF(OR(C15&lt;0,D15&lt;0,E15&lt;0,F15&lt;0),"ERRO: valor negativo",IF(C15&lt;&gt;SUM(D15:F15),"ERRO: categorias diferem dos respondentes",IF(COUNTIFS($A$5:$A$1200,A15,$B$5:$B$1200,B15)&gt;1,"ERRO: período e curso duplicados","OK"))))</f>
        <v/>
      </c>
    </row>
    <row r="16" ht="15" customHeight="1" s="131">
      <c r="A16" s="164" t="inlineStr">
        <is>
          <t>2026-07</t>
        </is>
      </c>
      <c r="B16" s="218" t="inlineStr">
        <is>
          <t>Ciências Contábeis</t>
        </is>
      </c>
      <c r="C16" s="164" t="n">
        <v>86</v>
      </c>
      <c r="D16" s="164" t="n">
        <v>33</v>
      </c>
      <c r="E16" s="164" t="n">
        <v>41</v>
      </c>
      <c r="F16" s="164" t="n">
        <v>12</v>
      </c>
      <c r="G16" s="169">
        <f>IFERROR((D16-F16)/C16*100,"")</f>
        <v/>
      </c>
      <c r="H16" s="219" t="inlineStr">
        <is>
          <t>2026-08-10</t>
        </is>
      </c>
      <c r="I16" s="220" t="inlineStr">
        <is>
          <t>mateus.valentim@ivc.br</t>
        </is>
      </c>
      <c r="J16" s="221">
        <f>IF(COUNTA(A16:F16)=0,"",IF(OR(C16&lt;0,D16&lt;0,E16&lt;0,F16&lt;0),"ERRO: valor negativo",IF(C16&lt;&gt;SUM(D16:F16),"ERRO: categorias diferem dos respondentes",IF(COUNTIFS($A$5:$A$1200,A16,$B$5:$B$1200,B16)&gt;1,"ERRO: período e curso duplicados","OK"))))</f>
        <v/>
      </c>
    </row>
    <row r="17" ht="15" customHeight="1" s="131">
      <c r="A17" s="164" t="inlineStr">
        <is>
          <t>2026-07</t>
        </is>
      </c>
      <c r="B17" s="218" t="inlineStr">
        <is>
          <t>Comunicação Social</t>
        </is>
      </c>
      <c r="C17" s="164" t="n">
        <v>53</v>
      </c>
      <c r="D17" s="164" t="n">
        <v>20</v>
      </c>
      <c r="E17" s="164" t="n">
        <v>25</v>
      </c>
      <c r="F17" s="164" t="n">
        <v>8</v>
      </c>
      <c r="G17" s="169">
        <f>IFERROR((D17-F17)/C17*100,"")</f>
        <v/>
      </c>
      <c r="H17" s="219" t="inlineStr">
        <is>
          <t>2026-08-10</t>
        </is>
      </c>
      <c r="I17" s="220" t="inlineStr">
        <is>
          <t>mateus.valentim@ivc.br</t>
        </is>
      </c>
      <c r="J17" s="221">
        <f>IF(COUNTA(A17:F17)=0,"",IF(OR(C17&lt;0,D17&lt;0,E17&lt;0,F17&lt;0),"ERRO: valor negativo",IF(C17&lt;&gt;SUM(D17:F17),"ERRO: categorias diferem dos respondentes",IF(COUNTIFS($A$5:$A$1200,A17,$B$5:$B$1200,B17)&gt;1,"ERRO: período e curso duplicados","OK"))))</f>
        <v/>
      </c>
    </row>
    <row r="18" ht="15" customHeight="1" s="131">
      <c r="A18" s="164" t="inlineStr">
        <is>
          <t>2026-07</t>
        </is>
      </c>
      <c r="B18" s="218" t="inlineStr">
        <is>
          <t>Direito</t>
        </is>
      </c>
      <c r="C18" s="164" t="n">
        <v>177</v>
      </c>
      <c r="D18" s="164" t="n">
        <v>89</v>
      </c>
      <c r="E18" s="164" t="n">
        <v>71</v>
      </c>
      <c r="F18" s="164" t="n">
        <v>17</v>
      </c>
      <c r="G18" s="169">
        <f>IFERROR((D18-F18)/C18*100,"")</f>
        <v/>
      </c>
      <c r="H18" s="219" t="inlineStr">
        <is>
          <t>2026-08-10</t>
        </is>
      </c>
      <c r="I18" s="220" t="inlineStr">
        <is>
          <t>mateus.valentim@ivc.br</t>
        </is>
      </c>
      <c r="J18" s="221">
        <f>IF(COUNTA(A18:F18)=0,"",IF(OR(C18&lt;0,D18&lt;0,E18&lt;0,F18&lt;0),"ERRO: valor negativo",IF(C18&lt;&gt;SUM(D18:F18),"ERRO: categorias diferem dos respondentes",IF(COUNTIFS($A$5:$A$1200,A18,$B$5:$B$1200,B18)&gt;1,"ERRO: período e curso duplicados","OK"))))</f>
        <v/>
      </c>
    </row>
    <row r="19" ht="15" customHeight="1" s="131">
      <c r="A19" s="164" t="inlineStr">
        <is>
          <t>2026-07</t>
        </is>
      </c>
      <c r="B19" s="218" t="inlineStr">
        <is>
          <t>Engenharia de Produção</t>
        </is>
      </c>
      <c r="C19" s="164" t="n">
        <v>69</v>
      </c>
      <c r="D19" s="164" t="n">
        <v>33</v>
      </c>
      <c r="E19" s="164" t="n">
        <v>27</v>
      </c>
      <c r="F19" s="164" t="n">
        <v>9</v>
      </c>
      <c r="G19" s="169">
        <f>IFERROR((D19-F19)/C19*100,"")</f>
        <v/>
      </c>
      <c r="H19" s="219" t="inlineStr">
        <is>
          <t>2026-08-10</t>
        </is>
      </c>
      <c r="I19" s="220" t="inlineStr">
        <is>
          <t>mateus.valentim@ivc.br</t>
        </is>
      </c>
      <c r="J19" s="221">
        <f>IF(COUNTA(A19:F19)=0,"",IF(OR(C19&lt;0,D19&lt;0,E19&lt;0,F19&lt;0),"ERRO: valor negativo",IF(C19&lt;&gt;SUM(D19:F19),"ERRO: categorias diferem dos respondentes",IF(COUNTIFS($A$5:$A$1200,A19,$B$5:$B$1200,B19)&gt;1,"ERRO: período e curso duplicados","OK"))))</f>
        <v/>
      </c>
    </row>
    <row r="20" ht="15" customHeight="1" s="131">
      <c r="A20" s="164" t="inlineStr">
        <is>
          <t>2026-07</t>
        </is>
      </c>
      <c r="B20" s="218" t="inlineStr">
        <is>
          <t>Engenharia Mecânica</t>
        </is>
      </c>
      <c r="C20" s="164" t="n">
        <v>89</v>
      </c>
      <c r="D20" s="164" t="n">
        <v>58</v>
      </c>
      <c r="E20" s="164" t="n">
        <v>16</v>
      </c>
      <c r="F20" s="164" t="n">
        <v>15</v>
      </c>
      <c r="G20" s="169">
        <f>IFERROR((D20-F20)/C20*100,"")</f>
        <v/>
      </c>
      <c r="H20" s="219" t="inlineStr">
        <is>
          <t>2026-08-10</t>
        </is>
      </c>
      <c r="I20" s="220" t="inlineStr">
        <is>
          <t>mateus.valentim@ivc.br</t>
        </is>
      </c>
      <c r="J20" s="221">
        <f>IF(COUNTA(A20:F20)=0,"",IF(OR(C20&lt;0,D20&lt;0,E20&lt;0,F20&lt;0),"ERRO: valor negativo",IF(C20&lt;&gt;SUM(D20:F20),"ERRO: categorias diferem dos respondentes",IF(COUNTIFS($A$5:$A$1200,A20,$B$5:$B$1200,B20)&gt;1,"ERRO: período e curso duplicados","OK"))))</f>
        <v/>
      </c>
    </row>
    <row r="21" ht="15" customHeight="1" s="131">
      <c r="A21" s="164" t="inlineStr">
        <is>
          <t>2026-08</t>
        </is>
      </c>
      <c r="B21" s="218" t="inlineStr">
        <is>
          <t>Administração</t>
        </is>
      </c>
      <c r="C21" s="164" t="n">
        <v>92</v>
      </c>
      <c r="D21" s="164" t="n">
        <v>56</v>
      </c>
      <c r="E21" s="164" t="n">
        <v>19</v>
      </c>
      <c r="F21" s="164" t="n">
        <v>17</v>
      </c>
      <c r="G21" s="169">
        <f>IFERROR((D21-F21)/C21*100,"")</f>
        <v/>
      </c>
      <c r="H21" s="219" t="inlineStr">
        <is>
          <t>2026-08-10</t>
        </is>
      </c>
      <c r="I21" s="220" t="inlineStr">
        <is>
          <t>mateus.valentim@ivc.br</t>
        </is>
      </c>
      <c r="J21" s="221">
        <f>IF(COUNTA(A21:F21)=0,"",IF(OR(C21&lt;0,D21&lt;0,E21&lt;0,F21&lt;0),"ERRO: valor negativo",IF(C21&lt;&gt;SUM(D21:F21),"ERRO: categorias diferem dos respondentes",IF(COUNTIFS($A$5:$A$1200,A21,$B$5:$B$1200,B21)&gt;1,"ERRO: período e curso duplicados","OK"))))</f>
        <v/>
      </c>
    </row>
    <row r="22" ht="15" customHeight="1" s="131">
      <c r="A22" s="164" t="inlineStr">
        <is>
          <t>2026-08</t>
        </is>
      </c>
      <c r="B22" s="218" t="inlineStr">
        <is>
          <t>Agronomia</t>
        </is>
      </c>
      <c r="C22" s="164" t="n">
        <v>51</v>
      </c>
      <c r="D22" s="164" t="n">
        <v>25</v>
      </c>
      <c r="E22" s="164" t="n">
        <v>23</v>
      </c>
      <c r="F22" s="164" t="n">
        <v>3</v>
      </c>
      <c r="G22" s="169">
        <f>IFERROR((D22-F22)/C22*100,"")</f>
        <v/>
      </c>
      <c r="H22" s="219" t="inlineStr">
        <is>
          <t>2026-08-10</t>
        </is>
      </c>
      <c r="I22" s="220" t="inlineStr">
        <is>
          <t>mateus.valentim@ivc.br</t>
        </is>
      </c>
      <c r="J22" s="221">
        <f>IF(COUNTA(A22:F22)=0,"",IF(OR(C22&lt;0,D22&lt;0,E22&lt;0,F22&lt;0),"ERRO: valor negativo",IF(C22&lt;&gt;SUM(D22:F22),"ERRO: categorias diferem dos respondentes",IF(COUNTIFS($A$5:$A$1200,A22,$B$5:$B$1200,B22)&gt;1,"ERRO: período e curso duplicados","OK"))))</f>
        <v/>
      </c>
    </row>
    <row r="23" ht="15" customHeight="1" s="131">
      <c r="A23" s="164" t="inlineStr">
        <is>
          <t>2026-08</t>
        </is>
      </c>
      <c r="B23" s="218" t="inlineStr">
        <is>
          <t>Análise e Desenvolvimento de Sistemas</t>
        </is>
      </c>
      <c r="C23" s="164" t="n">
        <v>110</v>
      </c>
      <c r="D23" s="164" t="n">
        <v>44</v>
      </c>
      <c r="E23" s="164" t="n">
        <v>58</v>
      </c>
      <c r="F23" s="164" t="n">
        <v>8</v>
      </c>
      <c r="G23" s="169">
        <f>IFERROR((D23-F23)/C23*100,"")</f>
        <v/>
      </c>
      <c r="H23" s="219" t="inlineStr">
        <is>
          <t>2026-08-10</t>
        </is>
      </c>
      <c r="I23" s="220" t="inlineStr">
        <is>
          <t>mateus.valentim@ivc.br</t>
        </is>
      </c>
      <c r="J23" s="221">
        <f>IF(COUNTA(A23:F23)=0,"",IF(OR(C23&lt;0,D23&lt;0,E23&lt;0,F23&lt;0),"ERRO: valor negativo",IF(C23&lt;&gt;SUM(D23:F23),"ERRO: categorias diferem dos respondentes",IF(COUNTIFS($A$5:$A$1200,A23,$B$5:$B$1200,B23)&gt;1,"ERRO: período e curso duplicados","OK"))))</f>
        <v/>
      </c>
    </row>
    <row r="24" ht="15" customHeight="1" s="131">
      <c r="A24" s="164" t="inlineStr">
        <is>
          <t>2026-08</t>
        </is>
      </c>
      <c r="B24" s="218" t="inlineStr">
        <is>
          <t>Ciências Contábeis</t>
        </is>
      </c>
      <c r="C24" s="164" t="n">
        <v>90</v>
      </c>
      <c r="D24" s="164" t="n">
        <v>48</v>
      </c>
      <c r="E24" s="164" t="n">
        <v>22</v>
      </c>
      <c r="F24" s="164" t="n">
        <v>20</v>
      </c>
      <c r="G24" s="169">
        <f>IFERROR((D24-F24)/C24*100,"")</f>
        <v/>
      </c>
      <c r="H24" s="219" t="inlineStr">
        <is>
          <t>2026-08-10</t>
        </is>
      </c>
      <c r="I24" s="220" t="inlineStr">
        <is>
          <t>mateus.valentim@ivc.br</t>
        </is>
      </c>
      <c r="J24" s="221">
        <f>IF(COUNTA(A24:F24)=0,"",IF(OR(C24&lt;0,D24&lt;0,E24&lt;0,F24&lt;0),"ERRO: valor negativo",IF(C24&lt;&gt;SUM(D24:F24),"ERRO: categorias diferem dos respondentes",IF(COUNTIFS($A$5:$A$1200,A24,$B$5:$B$1200,B24)&gt;1,"ERRO: período e curso duplicados","OK"))))</f>
        <v/>
      </c>
    </row>
    <row r="25" ht="15" customHeight="1" s="131">
      <c r="A25" s="164" t="inlineStr">
        <is>
          <t>2026-08</t>
        </is>
      </c>
      <c r="B25" s="218" t="inlineStr">
        <is>
          <t>Comunicação Social</t>
        </is>
      </c>
      <c r="C25" s="164" t="n">
        <v>46</v>
      </c>
      <c r="D25" s="164" t="n">
        <v>20</v>
      </c>
      <c r="E25" s="164" t="n">
        <v>18</v>
      </c>
      <c r="F25" s="164" t="n">
        <v>8</v>
      </c>
      <c r="G25" s="169">
        <f>IFERROR((D25-F25)/C25*100,"")</f>
        <v/>
      </c>
      <c r="H25" s="219" t="inlineStr">
        <is>
          <t>2026-08-10</t>
        </is>
      </c>
      <c r="I25" s="220" t="inlineStr">
        <is>
          <t>mateus.valentim@ivc.br</t>
        </is>
      </c>
      <c r="J25" s="221">
        <f>IF(COUNTA(A25:F25)=0,"",IF(OR(C25&lt;0,D25&lt;0,E25&lt;0,F25&lt;0),"ERRO: valor negativo",IF(C25&lt;&gt;SUM(D25:F25),"ERRO: categorias diferem dos respondentes",IF(COUNTIFS($A$5:$A$1200,A25,$B$5:$B$1200,B25)&gt;1,"ERRO: período e curso duplicados","OK"))))</f>
        <v/>
      </c>
    </row>
    <row r="26" ht="15" customHeight="1" s="131">
      <c r="A26" s="164" t="inlineStr">
        <is>
          <t>2026-08</t>
        </is>
      </c>
      <c r="B26" s="218" t="inlineStr">
        <is>
          <t>Direito</t>
        </is>
      </c>
      <c r="C26" s="164" t="n">
        <v>187</v>
      </c>
      <c r="D26" s="164" t="n">
        <v>120</v>
      </c>
      <c r="E26" s="164" t="n">
        <v>49</v>
      </c>
      <c r="F26" s="164" t="n">
        <v>18</v>
      </c>
      <c r="G26" s="169">
        <f>IFERROR((D26-F26)/C26*100,"")</f>
        <v/>
      </c>
      <c r="H26" s="219" t="inlineStr">
        <is>
          <t>2026-08-10</t>
        </is>
      </c>
      <c r="I26" s="220" t="inlineStr">
        <is>
          <t>mateus.valentim@ivc.br</t>
        </is>
      </c>
      <c r="J26" s="221">
        <f>IF(COUNTA(A26:F26)=0,"",IF(OR(C26&lt;0,D26&lt;0,E26&lt;0,F26&lt;0),"ERRO: valor negativo",IF(C26&lt;&gt;SUM(D26:F26),"ERRO: categorias diferem dos respondentes",IF(COUNTIFS($A$5:$A$1200,A26,$B$5:$B$1200,B26)&gt;1,"ERRO: período e curso duplicados","OK"))))</f>
        <v/>
      </c>
    </row>
    <row r="27" ht="15" customHeight="1" s="131">
      <c r="A27" s="164" t="inlineStr">
        <is>
          <t>2026-08</t>
        </is>
      </c>
      <c r="B27" s="218" t="inlineStr">
        <is>
          <t>Engenharia de Produção</t>
        </is>
      </c>
      <c r="C27" s="164" t="n">
        <v>72</v>
      </c>
      <c r="D27" s="164" t="n">
        <v>35</v>
      </c>
      <c r="E27" s="164" t="n">
        <v>32</v>
      </c>
      <c r="F27" s="164" t="n">
        <v>5</v>
      </c>
      <c r="G27" s="169">
        <f>IFERROR((D27-F27)/C27*100,"")</f>
        <v/>
      </c>
      <c r="H27" s="219" t="inlineStr">
        <is>
          <t>2026-08-10</t>
        </is>
      </c>
      <c r="I27" s="220" t="inlineStr">
        <is>
          <t>mateus.valentim@ivc.br</t>
        </is>
      </c>
      <c r="J27" s="221">
        <f>IF(COUNTA(A27:F27)=0,"",IF(OR(C27&lt;0,D27&lt;0,E27&lt;0,F27&lt;0),"ERRO: valor negativo",IF(C27&lt;&gt;SUM(D27:F27),"ERRO: categorias diferem dos respondentes",IF(COUNTIFS($A$5:$A$1200,A27,$B$5:$B$1200,B27)&gt;1,"ERRO: período e curso duplicados","OK"))))</f>
        <v/>
      </c>
    </row>
    <row r="28" ht="15" customHeight="1" s="131">
      <c r="A28" s="164" t="inlineStr">
        <is>
          <t>2026-08</t>
        </is>
      </c>
      <c r="B28" s="218" t="inlineStr">
        <is>
          <t>Engenharia Mecânica</t>
        </is>
      </c>
      <c r="C28" s="164" t="n">
        <v>73</v>
      </c>
      <c r="D28" s="164" t="n">
        <v>42</v>
      </c>
      <c r="E28" s="164" t="n">
        <v>21</v>
      </c>
      <c r="F28" s="164" t="n">
        <v>10</v>
      </c>
      <c r="G28" s="169">
        <f>IFERROR((D28-F28)/C28*100,"")</f>
        <v/>
      </c>
      <c r="H28" s="219" t="inlineStr">
        <is>
          <t>2026-08-10</t>
        </is>
      </c>
      <c r="I28" s="220" t="inlineStr">
        <is>
          <t>mateus.valentim@ivc.br</t>
        </is>
      </c>
      <c r="J28" s="221">
        <f>IF(COUNTA(A28:F28)=0,"",IF(OR(C28&lt;0,D28&lt;0,E28&lt;0,F28&lt;0),"ERRO: valor negativo",IF(C28&lt;&gt;SUM(D28:F28),"ERRO: categorias diferem dos respondentes",IF(COUNTIFS($A$5:$A$1200,A28,$B$5:$B$1200,B28)&gt;1,"ERRO: período e curso duplicados","OK"))))</f>
        <v/>
      </c>
    </row>
    <row r="29" ht="15" customHeight="1" s="131">
      <c r="A29" s="164" t="n"/>
      <c r="B29" s="218" t="n"/>
      <c r="C29" s="164" t="n"/>
      <c r="D29" s="164" t="n"/>
      <c r="E29" s="164" t="n"/>
      <c r="F29" s="164" t="n"/>
      <c r="G29" s="169">
        <f>IFERROR((D29-F29)/C29*100,"")</f>
        <v/>
      </c>
      <c r="H29" s="219" t="n"/>
      <c r="I29" s="220" t="n"/>
      <c r="J29" s="221">
        <f>IF(COUNTA(A29:F29)=0,"",IF(OR(C29&lt;0,D29&lt;0,E29&lt;0,F29&lt;0),"ERRO: valor negativo",IF(C29&lt;&gt;SUM(D29:F29),"ERRO: categorias diferem dos respondentes",IF(COUNTIFS($A$5:$A$1200,A29,$B$5:$B$1200,B29)&gt;1,"ERRO: período e curso duplicados","OK"))))</f>
        <v/>
      </c>
    </row>
    <row r="30" ht="15" customHeight="1" s="131">
      <c r="A30" s="164" t="n"/>
      <c r="B30" s="218" t="n"/>
      <c r="C30" s="164" t="n"/>
      <c r="D30" s="164" t="n"/>
      <c r="E30" s="164" t="n"/>
      <c r="F30" s="164" t="n"/>
      <c r="G30" s="169">
        <f>IFERROR((D30-F30)/C30*100,"")</f>
        <v/>
      </c>
      <c r="H30" s="219" t="n"/>
      <c r="I30" s="220" t="n"/>
      <c r="J30" s="221">
        <f>IF(COUNTA(A30:F30)=0,"",IF(OR(C30&lt;0,D30&lt;0,E30&lt;0,F30&lt;0),"ERRO: valor negativo",IF(C30&lt;&gt;SUM(D30:F30),"ERRO: categorias diferem dos respondentes",IF(COUNTIFS($A$5:$A$1200,A30,$B$5:$B$1200,B30)&gt;1,"ERRO: período e curso duplicados","OK"))))</f>
        <v/>
      </c>
    </row>
    <row r="31" ht="15" customHeight="1" s="131">
      <c r="A31" s="164" t="n"/>
      <c r="B31" s="218" t="n"/>
      <c r="C31" s="164" t="n"/>
      <c r="D31" s="164" t="n"/>
      <c r="E31" s="164" t="n"/>
      <c r="F31" s="164" t="n"/>
      <c r="G31" s="169">
        <f>IFERROR((D31-F31)/C31*100,"")</f>
        <v/>
      </c>
      <c r="H31" s="219" t="n"/>
      <c r="I31" s="220" t="n"/>
      <c r="J31" s="221">
        <f>IF(COUNTA(A31:F31)=0,"",IF(OR(C31&lt;0,D31&lt;0,E31&lt;0,F31&lt;0),"ERRO: valor negativo",IF(C31&lt;&gt;SUM(D31:F31),"ERRO: categorias diferem dos respondentes",IF(COUNTIFS($A$5:$A$1200,A31,$B$5:$B$1200,B31)&gt;1,"ERRO: período e curso duplicados","OK"))))</f>
        <v/>
      </c>
    </row>
    <row r="32" ht="15" customHeight="1" s="131">
      <c r="A32" s="220" t="n"/>
      <c r="B32" s="222" t="n"/>
      <c r="C32" s="220" t="n"/>
      <c r="D32" s="220" t="n"/>
      <c r="E32" s="220" t="n"/>
      <c r="F32" s="220" t="n"/>
      <c r="G32" s="169">
        <f>IFERROR((D32-F32)/C32*100,"")</f>
        <v/>
      </c>
      <c r="H32" s="219" t="n"/>
      <c r="I32" s="220" t="n"/>
      <c r="J32" s="221">
        <f>IF(COUNTA(A32:F32)=0,"",IF(OR(C32&lt;0,D32&lt;0,E32&lt;0,F32&lt;0),"ERRO: valor negativo",IF(C32&lt;&gt;SUM(D32:F32),"ERRO: categorias diferem dos respondentes",IF(COUNTIFS($A$5:$A$1200,A32,$B$5:$B$1200,B32)&gt;1,"ERRO: período e curso duplicados","OK"))))</f>
        <v/>
      </c>
    </row>
    <row r="33" ht="15" customHeight="1" s="131">
      <c r="A33" s="220" t="n"/>
      <c r="B33" s="222" t="n"/>
      <c r="C33" s="220" t="n"/>
      <c r="D33" s="220" t="n"/>
      <c r="E33" s="220" t="n"/>
      <c r="F33" s="220" t="n"/>
      <c r="G33" s="169">
        <f>IFERROR((D33-F33)/C33*100,"")</f>
        <v/>
      </c>
      <c r="H33" s="219" t="n"/>
      <c r="I33" s="220" t="n"/>
      <c r="J33" s="221">
        <f>IF(COUNTA(A33:F33)=0,"",IF(OR(C33&lt;0,D33&lt;0,E33&lt;0,F33&lt;0),"ERRO: valor negativo",IF(C33&lt;&gt;SUM(D33:F33),"ERRO: categorias diferem dos respondentes",IF(COUNTIFS($A$5:$A$1200,A33,$B$5:$B$1200,B33)&gt;1,"ERRO: período e curso duplicados","OK"))))</f>
        <v/>
      </c>
    </row>
    <row r="34" ht="15" customHeight="1" s="131">
      <c r="A34" s="220" t="n"/>
      <c r="B34" s="222" t="n"/>
      <c r="C34" s="220" t="n"/>
      <c r="D34" s="220" t="n"/>
      <c r="E34" s="220" t="n"/>
      <c r="F34" s="220" t="n"/>
      <c r="G34" s="169">
        <f>IFERROR((D34-F34)/C34*100,"")</f>
        <v/>
      </c>
      <c r="H34" s="219" t="n"/>
      <c r="I34" s="220" t="n"/>
      <c r="J34" s="221">
        <f>IF(COUNTA(A34:F34)=0,"",IF(OR(C34&lt;0,D34&lt;0,E34&lt;0,F34&lt;0),"ERRO: valor negativo",IF(C34&lt;&gt;SUM(D34:F34),"ERRO: categorias diferem dos respondentes",IF(COUNTIFS($A$5:$A$1200,A34,$B$5:$B$1200,B34)&gt;1,"ERRO: período e curso duplicados","OK"))))</f>
        <v/>
      </c>
    </row>
    <row r="35" ht="15" customHeight="1" s="131">
      <c r="A35" s="220" t="n"/>
      <c r="B35" s="222" t="n"/>
      <c r="C35" s="220" t="n"/>
      <c r="D35" s="220" t="n"/>
      <c r="E35" s="220" t="n"/>
      <c r="F35" s="220" t="n"/>
      <c r="G35" s="169">
        <f>IFERROR((D35-F35)/C35*100,"")</f>
        <v/>
      </c>
      <c r="H35" s="219" t="n"/>
      <c r="I35" s="220" t="n"/>
      <c r="J35" s="221">
        <f>IF(COUNTA(A35:F35)=0,"",IF(OR(C35&lt;0,D35&lt;0,E35&lt;0,F35&lt;0),"ERRO: valor negativo",IF(C35&lt;&gt;SUM(D35:F35),"ERRO: categorias diferem dos respondentes",IF(COUNTIFS($A$5:$A$1200,A35,$B$5:$B$1200,B35)&gt;1,"ERRO: período e curso duplicados","OK"))))</f>
        <v/>
      </c>
    </row>
    <row r="36" ht="15" customHeight="1" s="131">
      <c r="A36" s="220" t="n"/>
      <c r="B36" s="222" t="n"/>
      <c r="C36" s="220" t="n"/>
      <c r="D36" s="220" t="n"/>
      <c r="E36" s="220" t="n"/>
      <c r="F36" s="220" t="n"/>
      <c r="G36" s="169">
        <f>IFERROR((D36-F36)/C36*100,"")</f>
        <v/>
      </c>
      <c r="H36" s="219" t="n"/>
      <c r="I36" s="220" t="n"/>
      <c r="J36" s="221">
        <f>IF(COUNTA(A36:F36)=0,"",IF(OR(C36&lt;0,D36&lt;0,E36&lt;0,F36&lt;0),"ERRO: valor negativo",IF(C36&lt;&gt;SUM(D36:F36),"ERRO: categorias diferem dos respondentes",IF(COUNTIFS($A$5:$A$1200,A36,$B$5:$B$1200,B36)&gt;1,"ERRO: período e curso duplicados","OK"))))</f>
        <v/>
      </c>
    </row>
    <row r="37" ht="15" customHeight="1" s="131">
      <c r="A37" s="220" t="n"/>
      <c r="B37" s="222" t="n"/>
      <c r="C37" s="220" t="n"/>
      <c r="D37" s="220" t="n"/>
      <c r="E37" s="220" t="n"/>
      <c r="F37" s="220" t="n"/>
      <c r="G37" s="169">
        <f>IFERROR((D37-F37)/C37*100,"")</f>
        <v/>
      </c>
      <c r="H37" s="219" t="n"/>
      <c r="I37" s="220" t="n"/>
      <c r="J37" s="221">
        <f>IF(COUNTA(A37:F37)=0,"",IF(OR(C37&lt;0,D37&lt;0,E37&lt;0,F37&lt;0),"ERRO: valor negativo",IF(C37&lt;&gt;SUM(D37:F37),"ERRO: categorias diferem dos respondentes",IF(COUNTIFS($A$5:$A$1200,A37,$B$5:$B$1200,B37)&gt;1,"ERRO: período e curso duplicados","OK"))))</f>
        <v/>
      </c>
    </row>
    <row r="38" ht="15" customHeight="1" s="131">
      <c r="A38" s="220" t="n"/>
      <c r="B38" s="222" t="n"/>
      <c r="C38" s="220" t="n"/>
      <c r="D38" s="220" t="n"/>
      <c r="E38" s="220" t="n"/>
      <c r="F38" s="220" t="n"/>
      <c r="G38" s="169">
        <f>IFERROR((D38-F38)/C38*100,"")</f>
        <v/>
      </c>
      <c r="H38" s="219" t="n"/>
      <c r="I38" s="220" t="n"/>
      <c r="J38" s="221">
        <f>IF(COUNTA(A38:F38)=0,"",IF(OR(C38&lt;0,D38&lt;0,E38&lt;0,F38&lt;0),"ERRO: valor negativo",IF(C38&lt;&gt;SUM(D38:F38),"ERRO: categorias diferem dos respondentes",IF(COUNTIFS($A$5:$A$1200,A38,$B$5:$B$1200,B38)&gt;1,"ERRO: período e curso duplicados","OK"))))</f>
        <v/>
      </c>
    </row>
    <row r="39" ht="15" customHeight="1" s="131">
      <c r="A39" s="220" t="n"/>
      <c r="B39" s="222" t="n"/>
      <c r="C39" s="220" t="n"/>
      <c r="D39" s="220" t="n"/>
      <c r="E39" s="220" t="n"/>
      <c r="F39" s="220" t="n"/>
      <c r="G39" s="169">
        <f>IFERROR((D39-F39)/C39*100,"")</f>
        <v/>
      </c>
      <c r="H39" s="219" t="n"/>
      <c r="I39" s="220" t="n"/>
      <c r="J39" s="221">
        <f>IF(COUNTA(A39:F39)=0,"",IF(OR(C39&lt;0,D39&lt;0,E39&lt;0,F39&lt;0),"ERRO: valor negativo",IF(C39&lt;&gt;SUM(D39:F39),"ERRO: categorias diferem dos respondentes",IF(COUNTIFS($A$5:$A$1200,A39,$B$5:$B$1200,B39)&gt;1,"ERRO: período e curso duplicados","OK"))))</f>
        <v/>
      </c>
    </row>
    <row r="40" ht="15" customHeight="1" s="131">
      <c r="A40" s="220" t="n"/>
      <c r="B40" s="222" t="n"/>
      <c r="C40" s="220" t="n"/>
      <c r="D40" s="220" t="n"/>
      <c r="E40" s="220" t="n"/>
      <c r="F40" s="220" t="n"/>
      <c r="G40" s="169">
        <f>IFERROR((D40-F40)/C40*100,"")</f>
        <v/>
      </c>
      <c r="H40" s="219" t="n"/>
      <c r="I40" s="220" t="n"/>
      <c r="J40" s="221">
        <f>IF(COUNTA(A40:F40)=0,"",IF(OR(C40&lt;0,D40&lt;0,E40&lt;0,F40&lt;0),"ERRO: valor negativo",IF(C40&lt;&gt;SUM(D40:F40),"ERRO: categorias diferem dos respondentes",IF(COUNTIFS($A$5:$A$1200,A40,$B$5:$B$1200,B40)&gt;1,"ERRO: período e curso duplicados","OK"))))</f>
        <v/>
      </c>
    </row>
    <row r="41" ht="15" customHeight="1" s="131">
      <c r="A41" s="220" t="n"/>
      <c r="B41" s="222" t="n"/>
      <c r="C41" s="220" t="n"/>
      <c r="D41" s="220" t="n"/>
      <c r="E41" s="220" t="n"/>
      <c r="F41" s="220" t="n"/>
      <c r="G41" s="169">
        <f>IFERROR((D41-F41)/C41*100,"")</f>
        <v/>
      </c>
      <c r="H41" s="219" t="n"/>
      <c r="I41" s="220" t="n"/>
      <c r="J41" s="221">
        <f>IF(COUNTA(A41:F41)=0,"",IF(OR(C41&lt;0,D41&lt;0,E41&lt;0,F41&lt;0),"ERRO: valor negativo",IF(C41&lt;&gt;SUM(D41:F41),"ERRO: categorias diferem dos respondentes",IF(COUNTIFS($A$5:$A$1200,A41,$B$5:$B$1200,B41)&gt;1,"ERRO: período e curso duplicados","OK"))))</f>
        <v/>
      </c>
    </row>
    <row r="42" ht="15" customHeight="1" s="131">
      <c r="A42" s="220" t="n"/>
      <c r="B42" s="222" t="n"/>
      <c r="C42" s="220" t="n"/>
      <c r="D42" s="220" t="n"/>
      <c r="E42" s="220" t="n"/>
      <c r="F42" s="220" t="n"/>
      <c r="G42" s="169">
        <f>IFERROR((D42-F42)/C42*100,"")</f>
        <v/>
      </c>
      <c r="H42" s="219" t="n"/>
      <c r="I42" s="220" t="n"/>
      <c r="J42" s="221">
        <f>IF(COUNTA(A42:F42)=0,"",IF(OR(C42&lt;0,D42&lt;0,E42&lt;0,F42&lt;0),"ERRO: valor negativo",IF(C42&lt;&gt;SUM(D42:F42),"ERRO: categorias diferem dos respondentes",IF(COUNTIFS($A$5:$A$1200,A42,$B$5:$B$1200,B42)&gt;1,"ERRO: período e curso duplicados","OK"))))</f>
        <v/>
      </c>
    </row>
    <row r="43" ht="15" customHeight="1" s="131">
      <c r="A43" s="220" t="n"/>
      <c r="B43" s="222" t="n"/>
      <c r="C43" s="220" t="n"/>
      <c r="D43" s="220" t="n"/>
      <c r="E43" s="220" t="n"/>
      <c r="F43" s="220" t="n"/>
      <c r="G43" s="169">
        <f>IFERROR((D43-F43)/C43*100,"")</f>
        <v/>
      </c>
      <c r="H43" s="219" t="n"/>
      <c r="I43" s="220" t="n"/>
      <c r="J43" s="221">
        <f>IF(COUNTA(A43:F43)=0,"",IF(OR(C43&lt;0,D43&lt;0,E43&lt;0,F43&lt;0),"ERRO: valor negativo",IF(C43&lt;&gt;SUM(D43:F43),"ERRO: categorias diferem dos respondentes",IF(COUNTIFS($A$5:$A$1200,A43,$B$5:$B$1200,B43)&gt;1,"ERRO: período e curso duplicados","OK"))))</f>
        <v/>
      </c>
    </row>
    <row r="44" ht="15" customHeight="1" s="131">
      <c r="A44" s="220" t="n"/>
      <c r="B44" s="222" t="n"/>
      <c r="C44" s="220" t="n"/>
      <c r="D44" s="220" t="n"/>
      <c r="E44" s="220" t="n"/>
      <c r="F44" s="220" t="n"/>
      <c r="G44" s="169">
        <f>IFERROR((D44-F44)/C44*100,"")</f>
        <v/>
      </c>
      <c r="H44" s="219" t="n"/>
      <c r="I44" s="220" t="n"/>
      <c r="J44" s="221">
        <f>IF(COUNTA(A44:F44)=0,"",IF(OR(C44&lt;0,D44&lt;0,E44&lt;0,F44&lt;0),"ERRO: valor negativo",IF(C44&lt;&gt;SUM(D44:F44),"ERRO: categorias diferem dos respondentes",IF(COUNTIFS($A$5:$A$1200,A44,$B$5:$B$1200,B44)&gt;1,"ERRO: período e curso duplicados","OK"))))</f>
        <v/>
      </c>
    </row>
    <row r="45" ht="15" customHeight="1" s="131">
      <c r="A45" s="220" t="n"/>
      <c r="B45" s="222" t="n"/>
      <c r="C45" s="220" t="n"/>
      <c r="D45" s="220" t="n"/>
      <c r="E45" s="220" t="n"/>
      <c r="F45" s="220" t="n"/>
      <c r="G45" s="169">
        <f>IFERROR((D45-F45)/C45*100,"")</f>
        <v/>
      </c>
      <c r="H45" s="219" t="n"/>
      <c r="I45" s="220" t="n"/>
      <c r="J45" s="221">
        <f>IF(COUNTA(A45:F45)=0,"",IF(OR(C45&lt;0,D45&lt;0,E45&lt;0,F45&lt;0),"ERRO: valor negativo",IF(C45&lt;&gt;SUM(D45:F45),"ERRO: categorias diferem dos respondentes",IF(COUNTIFS($A$5:$A$1200,A45,$B$5:$B$1200,B45)&gt;1,"ERRO: período e curso duplicados","OK"))))</f>
        <v/>
      </c>
    </row>
    <row r="46" ht="15" customHeight="1" s="131">
      <c r="A46" s="220" t="n"/>
      <c r="B46" s="222" t="n"/>
      <c r="C46" s="220" t="n"/>
      <c r="D46" s="220" t="n"/>
      <c r="E46" s="220" t="n"/>
      <c r="F46" s="220" t="n"/>
      <c r="G46" s="169">
        <f>IFERROR((D46-F46)/C46*100,"")</f>
        <v/>
      </c>
      <c r="H46" s="219" t="n"/>
      <c r="I46" s="220" t="n"/>
      <c r="J46" s="221">
        <f>IF(COUNTA(A46:F46)=0,"",IF(OR(C46&lt;0,D46&lt;0,E46&lt;0,F46&lt;0),"ERRO: valor negativo",IF(C46&lt;&gt;SUM(D46:F46),"ERRO: categorias diferem dos respondentes",IF(COUNTIFS($A$5:$A$1200,A46,$B$5:$B$1200,B46)&gt;1,"ERRO: período e curso duplicados","OK"))))</f>
        <v/>
      </c>
    </row>
    <row r="47" ht="15" customHeight="1" s="131">
      <c r="A47" s="220" t="n"/>
      <c r="B47" s="222" t="n"/>
      <c r="C47" s="220" t="n"/>
      <c r="D47" s="220" t="n"/>
      <c r="E47" s="220" t="n"/>
      <c r="F47" s="220" t="n"/>
      <c r="G47" s="169">
        <f>IFERROR((D47-F47)/C47*100,"")</f>
        <v/>
      </c>
      <c r="H47" s="219" t="n"/>
      <c r="I47" s="220" t="n"/>
      <c r="J47" s="221">
        <f>IF(COUNTA(A47:F47)=0,"",IF(OR(C47&lt;0,D47&lt;0,E47&lt;0,F47&lt;0),"ERRO: valor negativo",IF(C47&lt;&gt;SUM(D47:F47),"ERRO: categorias diferem dos respondentes",IF(COUNTIFS($A$5:$A$1200,A47,$B$5:$B$1200,B47)&gt;1,"ERRO: período e curso duplicados","OK"))))</f>
        <v/>
      </c>
    </row>
    <row r="48" ht="15" customHeight="1" s="131">
      <c r="A48" s="220" t="n"/>
      <c r="B48" s="222" t="n"/>
      <c r="C48" s="220" t="n"/>
      <c r="D48" s="220" t="n"/>
      <c r="E48" s="220" t="n"/>
      <c r="F48" s="220" t="n"/>
      <c r="G48" s="169">
        <f>IFERROR((D48-F48)/C48*100,"")</f>
        <v/>
      </c>
      <c r="H48" s="219" t="n"/>
      <c r="I48" s="220" t="n"/>
      <c r="J48" s="221">
        <f>IF(COUNTA(A48:F48)=0,"",IF(OR(C48&lt;0,D48&lt;0,E48&lt;0,F48&lt;0),"ERRO: valor negativo",IF(C48&lt;&gt;SUM(D48:F48),"ERRO: categorias diferem dos respondentes",IF(COUNTIFS($A$5:$A$1200,A48,$B$5:$B$1200,B48)&gt;1,"ERRO: período e curso duplicados","OK"))))</f>
        <v/>
      </c>
    </row>
    <row r="49" ht="15" customHeight="1" s="131">
      <c r="A49" s="220" t="n"/>
      <c r="B49" s="222" t="n"/>
      <c r="C49" s="220" t="n"/>
      <c r="D49" s="220" t="n"/>
      <c r="E49" s="220" t="n"/>
      <c r="F49" s="220" t="n"/>
      <c r="G49" s="169">
        <f>IFERROR((D49-F49)/C49*100,"")</f>
        <v/>
      </c>
      <c r="H49" s="219" t="n"/>
      <c r="I49" s="220" t="n"/>
      <c r="J49" s="221">
        <f>IF(COUNTA(A49:F49)=0,"",IF(OR(C49&lt;0,D49&lt;0,E49&lt;0,F49&lt;0),"ERRO: valor negativo",IF(C49&lt;&gt;SUM(D49:F49),"ERRO: categorias diferem dos respondentes",IF(COUNTIFS($A$5:$A$1200,A49,$B$5:$B$1200,B49)&gt;1,"ERRO: período e curso duplicados","OK"))))</f>
        <v/>
      </c>
    </row>
    <row r="50" ht="15" customHeight="1" s="131">
      <c r="A50" s="220" t="n"/>
      <c r="B50" s="222" t="n"/>
      <c r="C50" s="220" t="n"/>
      <c r="D50" s="220" t="n"/>
      <c r="E50" s="220" t="n"/>
      <c r="F50" s="220" t="n"/>
      <c r="G50" s="169">
        <f>IFERROR((D50-F50)/C50*100,"")</f>
        <v/>
      </c>
      <c r="H50" s="219" t="n"/>
      <c r="I50" s="220" t="n"/>
      <c r="J50" s="221">
        <f>IF(COUNTA(A50:F50)=0,"",IF(OR(C50&lt;0,D50&lt;0,E50&lt;0,F50&lt;0),"ERRO: valor negativo",IF(C50&lt;&gt;SUM(D50:F50),"ERRO: categorias diferem dos respondentes",IF(COUNTIFS($A$5:$A$1200,A50,$B$5:$B$1200,B50)&gt;1,"ERRO: período e curso duplicados","OK"))))</f>
        <v/>
      </c>
    </row>
    <row r="51" ht="15" customHeight="1" s="131">
      <c r="A51" s="220" t="n"/>
      <c r="B51" s="222" t="n"/>
      <c r="C51" s="220" t="n"/>
      <c r="D51" s="220" t="n"/>
      <c r="E51" s="220" t="n"/>
      <c r="F51" s="220" t="n"/>
      <c r="G51" s="169">
        <f>IFERROR((D51-F51)/C51*100,"")</f>
        <v/>
      </c>
      <c r="H51" s="219" t="n"/>
      <c r="I51" s="220" t="n"/>
      <c r="J51" s="221">
        <f>IF(COUNTA(A51:F51)=0,"",IF(OR(C51&lt;0,D51&lt;0,E51&lt;0,F51&lt;0),"ERRO: valor negativo",IF(C51&lt;&gt;SUM(D51:F51),"ERRO: categorias diferem dos respondentes",IF(COUNTIFS($A$5:$A$1200,A51,$B$5:$B$1200,B51)&gt;1,"ERRO: período e curso duplicados","OK"))))</f>
        <v/>
      </c>
    </row>
    <row r="52" ht="15" customHeight="1" s="131">
      <c r="A52" s="220" t="n"/>
      <c r="B52" s="222" t="n"/>
      <c r="C52" s="220" t="n"/>
      <c r="D52" s="220" t="n"/>
      <c r="E52" s="220" t="n"/>
      <c r="F52" s="220" t="n"/>
      <c r="G52" s="169">
        <f>IFERROR((D52-F52)/C52*100,"")</f>
        <v/>
      </c>
      <c r="H52" s="219" t="n"/>
      <c r="I52" s="220" t="n"/>
      <c r="J52" s="221">
        <f>IF(COUNTA(A52:F52)=0,"",IF(OR(C52&lt;0,D52&lt;0,E52&lt;0,F52&lt;0),"ERRO: valor negativo",IF(C52&lt;&gt;SUM(D52:F52),"ERRO: categorias diferem dos respondentes",IF(COUNTIFS($A$5:$A$1200,A52,$B$5:$B$1200,B52)&gt;1,"ERRO: período e curso duplicados","OK"))))</f>
        <v/>
      </c>
    </row>
    <row r="53" ht="15" customHeight="1" s="131">
      <c r="A53" s="220" t="n"/>
      <c r="B53" s="222" t="n"/>
      <c r="C53" s="220" t="n"/>
      <c r="D53" s="220" t="n"/>
      <c r="E53" s="220" t="n"/>
      <c r="F53" s="220" t="n"/>
      <c r="G53" s="169">
        <f>IFERROR((D53-F53)/C53*100,"")</f>
        <v/>
      </c>
      <c r="H53" s="219" t="n"/>
      <c r="I53" s="220" t="n"/>
      <c r="J53" s="221">
        <f>IF(COUNTA(A53:F53)=0,"",IF(OR(C53&lt;0,D53&lt;0,E53&lt;0,F53&lt;0),"ERRO: valor negativo",IF(C53&lt;&gt;SUM(D53:F53),"ERRO: categorias diferem dos respondentes",IF(COUNTIFS($A$5:$A$1200,A53,$B$5:$B$1200,B53)&gt;1,"ERRO: período e curso duplicados","OK"))))</f>
        <v/>
      </c>
    </row>
    <row r="54" ht="15" customHeight="1" s="131">
      <c r="A54" s="220" t="n"/>
      <c r="B54" s="222" t="n"/>
      <c r="C54" s="220" t="n"/>
      <c r="D54" s="220" t="n"/>
      <c r="E54" s="220" t="n"/>
      <c r="F54" s="220" t="n"/>
      <c r="G54" s="169">
        <f>IFERROR((D54-F54)/C54*100,"")</f>
        <v/>
      </c>
      <c r="H54" s="219" t="n"/>
      <c r="I54" s="220" t="n"/>
      <c r="J54" s="221">
        <f>IF(COUNTA(A54:F54)=0,"",IF(OR(C54&lt;0,D54&lt;0,E54&lt;0,F54&lt;0),"ERRO: valor negativo",IF(C54&lt;&gt;SUM(D54:F54),"ERRO: categorias diferem dos respondentes",IF(COUNTIFS($A$5:$A$1200,A54,$B$5:$B$1200,B54)&gt;1,"ERRO: período e curso duplicados","OK"))))</f>
        <v/>
      </c>
    </row>
    <row r="55" ht="15" customHeight="1" s="131">
      <c r="A55" s="220" t="n"/>
      <c r="B55" s="222" t="n"/>
      <c r="C55" s="220" t="n"/>
      <c r="D55" s="220" t="n"/>
      <c r="E55" s="220" t="n"/>
      <c r="F55" s="220" t="n"/>
      <c r="G55" s="169">
        <f>IFERROR((D55-F55)/C55*100,"")</f>
        <v/>
      </c>
      <c r="H55" s="219" t="n"/>
      <c r="I55" s="220" t="n"/>
      <c r="J55" s="221">
        <f>IF(COUNTA(A55:F55)=0,"",IF(OR(C55&lt;0,D55&lt;0,E55&lt;0,F55&lt;0),"ERRO: valor negativo",IF(C55&lt;&gt;SUM(D55:F55),"ERRO: categorias diferem dos respondentes",IF(COUNTIFS($A$5:$A$1200,A55,$B$5:$B$1200,B55)&gt;1,"ERRO: período e curso duplicados","OK"))))</f>
        <v/>
      </c>
    </row>
    <row r="56" ht="15" customHeight="1" s="131">
      <c r="A56" s="220" t="n"/>
      <c r="B56" s="222" t="n"/>
      <c r="C56" s="220" t="n"/>
      <c r="D56" s="220" t="n"/>
      <c r="E56" s="220" t="n"/>
      <c r="F56" s="220" t="n"/>
      <c r="G56" s="169">
        <f>IFERROR((D56-F56)/C56*100,"")</f>
        <v/>
      </c>
      <c r="H56" s="219" t="n"/>
      <c r="I56" s="220" t="n"/>
      <c r="J56" s="221">
        <f>IF(COUNTA(A56:F56)=0,"",IF(OR(C56&lt;0,D56&lt;0,E56&lt;0,F56&lt;0),"ERRO: valor negativo",IF(C56&lt;&gt;SUM(D56:F56),"ERRO: categorias diferem dos respondentes",IF(COUNTIFS($A$5:$A$1200,A56,$B$5:$B$1200,B56)&gt;1,"ERRO: período e curso duplicados","OK"))))</f>
        <v/>
      </c>
    </row>
    <row r="57" ht="15" customHeight="1" s="131">
      <c r="A57" s="220" t="n"/>
      <c r="B57" s="222" t="n"/>
      <c r="C57" s="220" t="n"/>
      <c r="D57" s="220" t="n"/>
      <c r="E57" s="220" t="n"/>
      <c r="F57" s="220" t="n"/>
      <c r="G57" s="169">
        <f>IFERROR((D57-F57)/C57*100,"")</f>
        <v/>
      </c>
      <c r="H57" s="219" t="n"/>
      <c r="I57" s="220" t="n"/>
      <c r="J57" s="221">
        <f>IF(COUNTA(A57:F57)=0,"",IF(OR(C57&lt;0,D57&lt;0,E57&lt;0,F57&lt;0),"ERRO: valor negativo",IF(C57&lt;&gt;SUM(D57:F57),"ERRO: categorias diferem dos respondentes",IF(COUNTIFS($A$5:$A$1200,A57,$B$5:$B$1200,B57)&gt;1,"ERRO: período e curso duplicados","OK"))))</f>
        <v/>
      </c>
    </row>
    <row r="58" ht="15" customHeight="1" s="131">
      <c r="A58" s="220" t="n"/>
      <c r="B58" s="222" t="n"/>
      <c r="C58" s="220" t="n"/>
      <c r="D58" s="220" t="n"/>
      <c r="E58" s="220" t="n"/>
      <c r="F58" s="220" t="n"/>
      <c r="G58" s="169">
        <f>IFERROR((D58-F58)/C58*100,"")</f>
        <v/>
      </c>
      <c r="H58" s="219" t="n"/>
      <c r="I58" s="220" t="n"/>
      <c r="J58" s="221">
        <f>IF(COUNTA(A58:F58)=0,"",IF(OR(C58&lt;0,D58&lt;0,E58&lt;0,F58&lt;0),"ERRO: valor negativo",IF(C58&lt;&gt;SUM(D58:F58),"ERRO: categorias diferem dos respondentes",IF(COUNTIFS($A$5:$A$1200,A58,$B$5:$B$1200,B58)&gt;1,"ERRO: período e curso duplicados","OK"))))</f>
        <v/>
      </c>
    </row>
    <row r="59" ht="15" customHeight="1" s="131">
      <c r="A59" s="220" t="n"/>
      <c r="B59" s="222" t="n"/>
      <c r="C59" s="220" t="n"/>
      <c r="D59" s="220" t="n"/>
      <c r="E59" s="220" t="n"/>
      <c r="F59" s="220" t="n"/>
      <c r="G59" s="169">
        <f>IFERROR((D59-F59)/C59*100,"")</f>
        <v/>
      </c>
      <c r="H59" s="219" t="n"/>
      <c r="I59" s="220" t="n"/>
      <c r="J59" s="221">
        <f>IF(COUNTA(A59:F59)=0,"",IF(OR(C59&lt;0,D59&lt;0,E59&lt;0,F59&lt;0),"ERRO: valor negativo",IF(C59&lt;&gt;SUM(D59:F59),"ERRO: categorias diferem dos respondentes",IF(COUNTIFS($A$5:$A$1200,A59,$B$5:$B$1200,B59)&gt;1,"ERRO: período e curso duplicados","OK"))))</f>
        <v/>
      </c>
    </row>
    <row r="60" ht="15" customHeight="1" s="131">
      <c r="A60" s="220" t="n"/>
      <c r="B60" s="222" t="n"/>
      <c r="C60" s="220" t="n"/>
      <c r="D60" s="220" t="n"/>
      <c r="E60" s="220" t="n"/>
      <c r="F60" s="220" t="n"/>
      <c r="G60" s="169">
        <f>IFERROR((D60-F60)/C60*100,"")</f>
        <v/>
      </c>
      <c r="H60" s="219" t="n"/>
      <c r="I60" s="220" t="n"/>
      <c r="J60" s="221">
        <f>IF(COUNTA(A60:F60)=0,"",IF(OR(C60&lt;0,D60&lt;0,E60&lt;0,F60&lt;0),"ERRO: valor negativo",IF(C60&lt;&gt;SUM(D60:F60),"ERRO: categorias diferem dos respondentes",IF(COUNTIFS($A$5:$A$1200,A60,$B$5:$B$1200,B60)&gt;1,"ERRO: período e curso duplicados","OK"))))</f>
        <v/>
      </c>
    </row>
    <row r="61" ht="15" customHeight="1" s="131">
      <c r="A61" s="220" t="n"/>
      <c r="B61" s="222" t="n"/>
      <c r="C61" s="220" t="n"/>
      <c r="D61" s="220" t="n"/>
      <c r="E61" s="220" t="n"/>
      <c r="F61" s="220" t="n"/>
      <c r="G61" s="169">
        <f>IFERROR((D61-F61)/C61*100,"")</f>
        <v/>
      </c>
      <c r="H61" s="219" t="n"/>
      <c r="I61" s="220" t="n"/>
      <c r="J61" s="221">
        <f>IF(COUNTA(A61:F61)=0,"",IF(OR(C61&lt;0,D61&lt;0,E61&lt;0,F61&lt;0),"ERRO: valor negativo",IF(C61&lt;&gt;SUM(D61:F61),"ERRO: categorias diferem dos respondentes",IF(COUNTIFS($A$5:$A$1200,A61,$B$5:$B$1200,B61)&gt;1,"ERRO: período e curso duplicados","OK"))))</f>
        <v/>
      </c>
    </row>
    <row r="62" ht="15" customHeight="1" s="131">
      <c r="A62" s="220" t="n"/>
      <c r="B62" s="222" t="n"/>
      <c r="C62" s="220" t="n"/>
      <c r="D62" s="220" t="n"/>
      <c r="E62" s="220" t="n"/>
      <c r="F62" s="220" t="n"/>
      <c r="G62" s="169">
        <f>IFERROR((D62-F62)/C62*100,"")</f>
        <v/>
      </c>
      <c r="H62" s="219" t="n"/>
      <c r="I62" s="220" t="n"/>
      <c r="J62" s="221">
        <f>IF(COUNTA(A62:F62)=0,"",IF(OR(C62&lt;0,D62&lt;0,E62&lt;0,F62&lt;0),"ERRO: valor negativo",IF(C62&lt;&gt;SUM(D62:F62),"ERRO: categorias diferem dos respondentes",IF(COUNTIFS($A$5:$A$1200,A62,$B$5:$B$1200,B62)&gt;1,"ERRO: período e curso duplicados","OK"))))</f>
        <v/>
      </c>
    </row>
    <row r="63" ht="15" customHeight="1" s="131">
      <c r="A63" s="220" t="n"/>
      <c r="B63" s="222" t="n"/>
      <c r="C63" s="220" t="n"/>
      <c r="D63" s="220" t="n"/>
      <c r="E63" s="220" t="n"/>
      <c r="F63" s="220" t="n"/>
      <c r="G63" s="169">
        <f>IFERROR((D63-F63)/C63*100,"")</f>
        <v/>
      </c>
      <c r="H63" s="219" t="n"/>
      <c r="I63" s="220" t="n"/>
      <c r="J63" s="221">
        <f>IF(COUNTA(A63:F63)=0,"",IF(OR(C63&lt;0,D63&lt;0,E63&lt;0,F63&lt;0),"ERRO: valor negativo",IF(C63&lt;&gt;SUM(D63:F63),"ERRO: categorias diferem dos respondentes",IF(COUNTIFS($A$5:$A$1200,A63,$B$5:$B$1200,B63)&gt;1,"ERRO: período e curso duplicados","OK"))))</f>
        <v/>
      </c>
    </row>
    <row r="64" ht="15" customHeight="1" s="131">
      <c r="A64" s="220" t="n"/>
      <c r="B64" s="222" t="n"/>
      <c r="C64" s="220" t="n"/>
      <c r="D64" s="220" t="n"/>
      <c r="E64" s="220" t="n"/>
      <c r="F64" s="220" t="n"/>
      <c r="G64" s="169">
        <f>IFERROR((D64-F64)/C64*100,"")</f>
        <v/>
      </c>
      <c r="H64" s="219" t="n"/>
      <c r="I64" s="220" t="n"/>
      <c r="J64" s="221">
        <f>IF(COUNTA(A64:F64)=0,"",IF(OR(C64&lt;0,D64&lt;0,E64&lt;0,F64&lt;0),"ERRO: valor negativo",IF(C64&lt;&gt;SUM(D64:F64),"ERRO: categorias diferem dos respondentes",IF(COUNTIFS($A$5:$A$1200,A64,$B$5:$B$1200,B64)&gt;1,"ERRO: período e curso duplicados","OK"))))</f>
        <v/>
      </c>
    </row>
    <row r="65" ht="15" customHeight="1" s="131">
      <c r="A65" s="220" t="n"/>
      <c r="B65" s="222" t="n"/>
      <c r="C65" s="220" t="n"/>
      <c r="D65" s="220" t="n"/>
      <c r="E65" s="220" t="n"/>
      <c r="F65" s="220" t="n"/>
      <c r="G65" s="169">
        <f>IFERROR((D65-F65)/C65*100,"")</f>
        <v/>
      </c>
      <c r="H65" s="219" t="n"/>
      <c r="I65" s="220" t="n"/>
      <c r="J65" s="221">
        <f>IF(COUNTA(A65:F65)=0,"",IF(OR(C65&lt;0,D65&lt;0,E65&lt;0,F65&lt;0),"ERRO: valor negativo",IF(C65&lt;&gt;SUM(D65:F65),"ERRO: categorias diferem dos respondentes",IF(COUNTIFS($A$5:$A$1200,A65,$B$5:$B$1200,B65)&gt;1,"ERRO: período e curso duplicados","OK"))))</f>
        <v/>
      </c>
    </row>
    <row r="66" ht="15" customHeight="1" s="131">
      <c r="A66" s="220" t="n"/>
      <c r="B66" s="222" t="n"/>
      <c r="C66" s="220" t="n"/>
      <c r="D66" s="220" t="n"/>
      <c r="E66" s="220" t="n"/>
      <c r="F66" s="220" t="n"/>
      <c r="G66" s="169">
        <f>IFERROR((D66-F66)/C66*100,"")</f>
        <v/>
      </c>
      <c r="H66" s="219" t="n"/>
      <c r="I66" s="220" t="n"/>
      <c r="J66" s="221">
        <f>IF(COUNTA(A66:F66)=0,"",IF(OR(C66&lt;0,D66&lt;0,E66&lt;0,F66&lt;0),"ERRO: valor negativo",IF(C66&lt;&gt;SUM(D66:F66),"ERRO: categorias diferem dos respondentes",IF(COUNTIFS($A$5:$A$1200,A66,$B$5:$B$1200,B66)&gt;1,"ERRO: período e curso duplicados","OK"))))</f>
        <v/>
      </c>
    </row>
    <row r="67" ht="15" customHeight="1" s="131">
      <c r="A67" s="220" t="n"/>
      <c r="B67" s="222" t="n"/>
      <c r="C67" s="220" t="n"/>
      <c r="D67" s="220" t="n"/>
      <c r="E67" s="220" t="n"/>
      <c r="F67" s="220" t="n"/>
      <c r="G67" s="169">
        <f>IFERROR((D67-F67)/C67*100,"")</f>
        <v/>
      </c>
      <c r="H67" s="219" t="n"/>
      <c r="I67" s="220" t="n"/>
      <c r="J67" s="221">
        <f>IF(COUNTA(A67:F67)=0,"",IF(OR(C67&lt;0,D67&lt;0,E67&lt;0,F67&lt;0),"ERRO: valor negativo",IF(C67&lt;&gt;SUM(D67:F67),"ERRO: categorias diferem dos respondentes",IF(COUNTIFS($A$5:$A$1200,A67,$B$5:$B$1200,B67)&gt;1,"ERRO: período e curso duplicados","OK"))))</f>
        <v/>
      </c>
    </row>
    <row r="68" ht="15" customHeight="1" s="131">
      <c r="A68" s="220" t="n"/>
      <c r="B68" s="222" t="n"/>
      <c r="C68" s="220" t="n"/>
      <c r="D68" s="220" t="n"/>
      <c r="E68" s="220" t="n"/>
      <c r="F68" s="220" t="n"/>
      <c r="G68" s="169">
        <f>IFERROR((D68-F68)/C68*100,"")</f>
        <v/>
      </c>
      <c r="H68" s="219" t="n"/>
      <c r="I68" s="220" t="n"/>
      <c r="J68" s="221">
        <f>IF(COUNTA(A68:F68)=0,"",IF(OR(C68&lt;0,D68&lt;0,E68&lt;0,F68&lt;0),"ERRO: valor negativo",IF(C68&lt;&gt;SUM(D68:F68),"ERRO: categorias diferem dos respondentes",IF(COUNTIFS($A$5:$A$1200,A68,$B$5:$B$1200,B68)&gt;1,"ERRO: período e curso duplicados","OK"))))</f>
        <v/>
      </c>
    </row>
    <row r="69" ht="15" customHeight="1" s="131">
      <c r="A69" s="220" t="n"/>
      <c r="B69" s="222" t="n"/>
      <c r="C69" s="220" t="n"/>
      <c r="D69" s="220" t="n"/>
      <c r="E69" s="220" t="n"/>
      <c r="F69" s="220" t="n"/>
      <c r="G69" s="169">
        <f>IFERROR((D69-F69)/C69*100,"")</f>
        <v/>
      </c>
      <c r="H69" s="219" t="n"/>
      <c r="I69" s="220" t="n"/>
      <c r="J69" s="221">
        <f>IF(COUNTA(A69:F69)=0,"",IF(OR(C69&lt;0,D69&lt;0,E69&lt;0,F69&lt;0),"ERRO: valor negativo",IF(C69&lt;&gt;SUM(D69:F69),"ERRO: categorias diferem dos respondentes",IF(COUNTIFS($A$5:$A$1200,A69,$B$5:$B$1200,B69)&gt;1,"ERRO: período e curso duplicados","OK"))))</f>
        <v/>
      </c>
    </row>
    <row r="70" ht="15" customHeight="1" s="131">
      <c r="A70" s="220" t="n"/>
      <c r="B70" s="222" t="n"/>
      <c r="C70" s="220" t="n"/>
      <c r="D70" s="220" t="n"/>
      <c r="E70" s="220" t="n"/>
      <c r="F70" s="220" t="n"/>
      <c r="G70" s="169">
        <f>IFERROR((D70-F70)/C70*100,"")</f>
        <v/>
      </c>
      <c r="H70" s="219" t="n"/>
      <c r="I70" s="220" t="n"/>
      <c r="J70" s="221">
        <f>IF(COUNTA(A70:F70)=0,"",IF(OR(C70&lt;0,D70&lt;0,E70&lt;0,F70&lt;0),"ERRO: valor negativo",IF(C70&lt;&gt;SUM(D70:F70),"ERRO: categorias diferem dos respondentes",IF(COUNTIFS($A$5:$A$1200,A70,$B$5:$B$1200,B70)&gt;1,"ERRO: período e curso duplicados","OK"))))</f>
        <v/>
      </c>
    </row>
    <row r="71" ht="15" customHeight="1" s="131">
      <c r="A71" s="220" t="n"/>
      <c r="B71" s="222" t="n"/>
      <c r="C71" s="220" t="n"/>
      <c r="D71" s="220" t="n"/>
      <c r="E71" s="220" t="n"/>
      <c r="F71" s="220" t="n"/>
      <c r="G71" s="169">
        <f>IFERROR((D71-F71)/C71*100,"")</f>
        <v/>
      </c>
      <c r="H71" s="219" t="n"/>
      <c r="I71" s="220" t="n"/>
      <c r="J71" s="221">
        <f>IF(COUNTA(A71:F71)=0,"",IF(OR(C71&lt;0,D71&lt;0,E71&lt;0,F71&lt;0),"ERRO: valor negativo",IF(C71&lt;&gt;SUM(D71:F71),"ERRO: categorias diferem dos respondentes",IF(COUNTIFS($A$5:$A$1200,A71,$B$5:$B$1200,B71)&gt;1,"ERRO: período e curso duplicados","OK"))))</f>
        <v/>
      </c>
    </row>
    <row r="72" ht="15" customHeight="1" s="131">
      <c r="A72" s="220" t="n"/>
      <c r="B72" s="222" t="n"/>
      <c r="C72" s="220" t="n"/>
      <c r="D72" s="220" t="n"/>
      <c r="E72" s="220" t="n"/>
      <c r="F72" s="220" t="n"/>
      <c r="G72" s="169">
        <f>IFERROR((D72-F72)/C72*100,"")</f>
        <v/>
      </c>
      <c r="H72" s="219" t="n"/>
      <c r="I72" s="220" t="n"/>
      <c r="J72" s="221">
        <f>IF(COUNTA(A72:F72)=0,"",IF(OR(C72&lt;0,D72&lt;0,E72&lt;0,F72&lt;0),"ERRO: valor negativo",IF(C72&lt;&gt;SUM(D72:F72),"ERRO: categorias diferem dos respondentes",IF(COUNTIFS($A$5:$A$1200,A72,$B$5:$B$1200,B72)&gt;1,"ERRO: período e curso duplicados","OK"))))</f>
        <v/>
      </c>
    </row>
    <row r="73" ht="15" customHeight="1" s="131">
      <c r="A73" s="220" t="n"/>
      <c r="B73" s="222" t="n"/>
      <c r="C73" s="220" t="n"/>
      <c r="D73" s="220" t="n"/>
      <c r="E73" s="220" t="n"/>
      <c r="F73" s="220" t="n"/>
      <c r="G73" s="169">
        <f>IFERROR((D73-F73)/C73*100,"")</f>
        <v/>
      </c>
      <c r="H73" s="219" t="n"/>
      <c r="I73" s="220" t="n"/>
      <c r="J73" s="221">
        <f>IF(COUNTA(A73:F73)=0,"",IF(OR(C73&lt;0,D73&lt;0,E73&lt;0,F73&lt;0),"ERRO: valor negativo",IF(C73&lt;&gt;SUM(D73:F73),"ERRO: categorias diferem dos respondentes",IF(COUNTIFS($A$5:$A$1200,A73,$B$5:$B$1200,B73)&gt;1,"ERRO: período e curso duplicados","OK"))))</f>
        <v/>
      </c>
    </row>
    <row r="74" ht="15" customHeight="1" s="131">
      <c r="A74" s="220" t="n"/>
      <c r="B74" s="222" t="n"/>
      <c r="C74" s="220" t="n"/>
      <c r="D74" s="220" t="n"/>
      <c r="E74" s="220" t="n"/>
      <c r="F74" s="220" t="n"/>
      <c r="G74" s="169">
        <f>IFERROR((D74-F74)/C74*100,"")</f>
        <v/>
      </c>
      <c r="H74" s="219" t="n"/>
      <c r="I74" s="220" t="n"/>
      <c r="J74" s="221">
        <f>IF(COUNTA(A74:F74)=0,"",IF(OR(C74&lt;0,D74&lt;0,E74&lt;0,F74&lt;0),"ERRO: valor negativo",IF(C74&lt;&gt;SUM(D74:F74),"ERRO: categorias diferem dos respondentes",IF(COUNTIFS($A$5:$A$1200,A74,$B$5:$B$1200,B74)&gt;1,"ERRO: período e curso duplicados","OK"))))</f>
        <v/>
      </c>
    </row>
    <row r="75" ht="15" customHeight="1" s="131">
      <c r="A75" s="220" t="n"/>
      <c r="B75" s="222" t="n"/>
      <c r="C75" s="220" t="n"/>
      <c r="D75" s="220" t="n"/>
      <c r="E75" s="220" t="n"/>
      <c r="F75" s="220" t="n"/>
      <c r="G75" s="169">
        <f>IFERROR((D75-F75)/C75*100,"")</f>
        <v/>
      </c>
      <c r="H75" s="219" t="n"/>
      <c r="I75" s="220" t="n"/>
      <c r="J75" s="221">
        <f>IF(COUNTA(A75:F75)=0,"",IF(OR(C75&lt;0,D75&lt;0,E75&lt;0,F75&lt;0),"ERRO: valor negativo",IF(C75&lt;&gt;SUM(D75:F75),"ERRO: categorias diferem dos respondentes",IF(COUNTIFS($A$5:$A$1200,A75,$B$5:$B$1200,B75)&gt;1,"ERRO: período e curso duplicados","OK"))))</f>
        <v/>
      </c>
    </row>
    <row r="76" ht="15" customHeight="1" s="131">
      <c r="A76" s="220" t="n"/>
      <c r="B76" s="222" t="n"/>
      <c r="C76" s="220" t="n"/>
      <c r="D76" s="220" t="n"/>
      <c r="E76" s="220" t="n"/>
      <c r="F76" s="220" t="n"/>
      <c r="G76" s="169">
        <f>IFERROR((D76-F76)/C76*100,"")</f>
        <v/>
      </c>
      <c r="H76" s="219" t="n"/>
      <c r="I76" s="220" t="n"/>
      <c r="J76" s="221">
        <f>IF(COUNTA(A76:F76)=0,"",IF(OR(C76&lt;0,D76&lt;0,E76&lt;0,F76&lt;0),"ERRO: valor negativo",IF(C76&lt;&gt;SUM(D76:F76),"ERRO: categorias diferem dos respondentes",IF(COUNTIFS($A$5:$A$1200,A76,$B$5:$B$1200,B76)&gt;1,"ERRO: período e curso duplicados","OK"))))</f>
        <v/>
      </c>
    </row>
    <row r="77" ht="15" customHeight="1" s="131">
      <c r="A77" s="220" t="n"/>
      <c r="B77" s="222" t="n"/>
      <c r="C77" s="220" t="n"/>
      <c r="D77" s="220" t="n"/>
      <c r="E77" s="220" t="n"/>
      <c r="F77" s="220" t="n"/>
      <c r="G77" s="169">
        <f>IFERROR((D77-F77)/C77*100,"")</f>
        <v/>
      </c>
      <c r="H77" s="219" t="n"/>
      <c r="I77" s="220" t="n"/>
      <c r="J77" s="221">
        <f>IF(COUNTA(A77:F77)=0,"",IF(OR(C77&lt;0,D77&lt;0,E77&lt;0,F77&lt;0),"ERRO: valor negativo",IF(C77&lt;&gt;SUM(D77:F77),"ERRO: categorias diferem dos respondentes",IF(COUNTIFS($A$5:$A$1200,A77,$B$5:$B$1200,B77)&gt;1,"ERRO: período e curso duplicados","OK"))))</f>
        <v/>
      </c>
    </row>
    <row r="78" ht="15" customHeight="1" s="131">
      <c r="A78" s="220" t="n"/>
      <c r="B78" s="222" t="n"/>
      <c r="C78" s="220" t="n"/>
      <c r="D78" s="220" t="n"/>
      <c r="E78" s="220" t="n"/>
      <c r="F78" s="220" t="n"/>
      <c r="G78" s="169">
        <f>IFERROR((D78-F78)/C78*100,"")</f>
        <v/>
      </c>
      <c r="H78" s="219" t="n"/>
      <c r="I78" s="220" t="n"/>
      <c r="J78" s="221">
        <f>IF(COUNTA(A78:F78)=0,"",IF(OR(C78&lt;0,D78&lt;0,E78&lt;0,F78&lt;0),"ERRO: valor negativo",IF(C78&lt;&gt;SUM(D78:F78),"ERRO: categorias diferem dos respondentes",IF(COUNTIFS($A$5:$A$1200,A78,$B$5:$B$1200,B78)&gt;1,"ERRO: período e curso duplicados","OK"))))</f>
        <v/>
      </c>
    </row>
    <row r="79" ht="15" customHeight="1" s="131">
      <c r="A79" s="220" t="n"/>
      <c r="B79" s="222" t="n"/>
      <c r="C79" s="220" t="n"/>
      <c r="D79" s="220" t="n"/>
      <c r="E79" s="220" t="n"/>
      <c r="F79" s="220" t="n"/>
      <c r="G79" s="169">
        <f>IFERROR((D79-F79)/C79*100,"")</f>
        <v/>
      </c>
      <c r="H79" s="219" t="n"/>
      <c r="I79" s="220" t="n"/>
      <c r="J79" s="221">
        <f>IF(COUNTA(A79:F79)=0,"",IF(OR(C79&lt;0,D79&lt;0,E79&lt;0,F79&lt;0),"ERRO: valor negativo",IF(C79&lt;&gt;SUM(D79:F79),"ERRO: categorias diferem dos respondentes",IF(COUNTIFS($A$5:$A$1200,A79,$B$5:$B$1200,B79)&gt;1,"ERRO: período e curso duplicados","OK"))))</f>
        <v/>
      </c>
    </row>
    <row r="80" ht="15" customHeight="1" s="131">
      <c r="A80" s="220" t="n"/>
      <c r="B80" s="222" t="n"/>
      <c r="C80" s="220" t="n"/>
      <c r="D80" s="220" t="n"/>
      <c r="E80" s="220" t="n"/>
      <c r="F80" s="220" t="n"/>
      <c r="G80" s="169">
        <f>IFERROR((D80-F80)/C80*100,"")</f>
        <v/>
      </c>
      <c r="H80" s="219" t="n"/>
      <c r="I80" s="220" t="n"/>
      <c r="J80" s="221">
        <f>IF(COUNTA(A80:F80)=0,"",IF(OR(C80&lt;0,D80&lt;0,E80&lt;0,F80&lt;0),"ERRO: valor negativo",IF(C80&lt;&gt;SUM(D80:F80),"ERRO: categorias diferem dos respondentes",IF(COUNTIFS($A$5:$A$1200,A80,$B$5:$B$1200,B80)&gt;1,"ERRO: período e curso duplicados","OK"))))</f>
        <v/>
      </c>
    </row>
    <row r="81" ht="15" customHeight="1" s="131">
      <c r="A81" s="220" t="n"/>
      <c r="B81" s="222" t="n"/>
      <c r="C81" s="220" t="n"/>
      <c r="D81" s="220" t="n"/>
      <c r="E81" s="220" t="n"/>
      <c r="F81" s="220" t="n"/>
      <c r="G81" s="169">
        <f>IFERROR((D81-F81)/C81*100,"")</f>
        <v/>
      </c>
      <c r="H81" s="219" t="n"/>
      <c r="I81" s="220" t="n"/>
      <c r="J81" s="221">
        <f>IF(COUNTA(A81:F81)=0,"",IF(OR(C81&lt;0,D81&lt;0,E81&lt;0,F81&lt;0),"ERRO: valor negativo",IF(C81&lt;&gt;SUM(D81:F81),"ERRO: categorias diferem dos respondentes",IF(COUNTIFS($A$5:$A$1200,A81,$B$5:$B$1200,B81)&gt;1,"ERRO: período e curso duplicados","OK"))))</f>
        <v/>
      </c>
    </row>
    <row r="82" ht="15" customHeight="1" s="131">
      <c r="A82" s="220" t="n"/>
      <c r="B82" s="222" t="n"/>
      <c r="C82" s="220" t="n"/>
      <c r="D82" s="220" t="n"/>
      <c r="E82" s="220" t="n"/>
      <c r="F82" s="220" t="n"/>
      <c r="G82" s="169">
        <f>IFERROR((D82-F82)/C82*100,"")</f>
        <v/>
      </c>
      <c r="H82" s="219" t="n"/>
      <c r="I82" s="220" t="n"/>
      <c r="J82" s="221">
        <f>IF(COUNTA(A82:F82)=0,"",IF(OR(C82&lt;0,D82&lt;0,E82&lt;0,F82&lt;0),"ERRO: valor negativo",IF(C82&lt;&gt;SUM(D82:F82),"ERRO: categorias diferem dos respondentes",IF(COUNTIFS($A$5:$A$1200,A82,$B$5:$B$1200,B82)&gt;1,"ERRO: período e curso duplicados","OK"))))</f>
        <v/>
      </c>
    </row>
    <row r="83" ht="15" customHeight="1" s="131">
      <c r="A83" s="220" t="n"/>
      <c r="B83" s="222" t="n"/>
      <c r="C83" s="220" t="n"/>
      <c r="D83" s="220" t="n"/>
      <c r="E83" s="220" t="n"/>
      <c r="F83" s="220" t="n"/>
      <c r="G83" s="169">
        <f>IFERROR((D83-F83)/C83*100,"")</f>
        <v/>
      </c>
      <c r="H83" s="219" t="n"/>
      <c r="I83" s="220" t="n"/>
      <c r="J83" s="221">
        <f>IF(COUNTA(A83:F83)=0,"",IF(OR(C83&lt;0,D83&lt;0,E83&lt;0,F83&lt;0),"ERRO: valor negativo",IF(C83&lt;&gt;SUM(D83:F83),"ERRO: categorias diferem dos respondentes",IF(COUNTIFS($A$5:$A$1200,A83,$B$5:$B$1200,B83)&gt;1,"ERRO: período e curso duplicados","OK"))))</f>
        <v/>
      </c>
    </row>
    <row r="84" ht="15" customHeight="1" s="131">
      <c r="A84" s="220" t="n"/>
      <c r="B84" s="222" t="n"/>
      <c r="C84" s="220" t="n"/>
      <c r="D84" s="220" t="n"/>
      <c r="E84" s="220" t="n"/>
      <c r="F84" s="220" t="n"/>
      <c r="G84" s="169">
        <f>IFERROR((D84-F84)/C84*100,"")</f>
        <v/>
      </c>
      <c r="H84" s="219" t="n"/>
      <c r="I84" s="220" t="n"/>
      <c r="J84" s="221">
        <f>IF(COUNTA(A84:F84)=0,"",IF(OR(C84&lt;0,D84&lt;0,E84&lt;0,F84&lt;0),"ERRO: valor negativo",IF(C84&lt;&gt;SUM(D84:F84),"ERRO: categorias diferem dos respondentes",IF(COUNTIFS($A$5:$A$1200,A84,$B$5:$B$1200,B84)&gt;1,"ERRO: período e curso duplicados","OK"))))</f>
        <v/>
      </c>
    </row>
    <row r="85" ht="15" customHeight="1" s="131">
      <c r="A85" s="220" t="n"/>
      <c r="B85" s="222" t="n"/>
      <c r="C85" s="220" t="n"/>
      <c r="D85" s="220" t="n"/>
      <c r="E85" s="220" t="n"/>
      <c r="F85" s="220" t="n"/>
      <c r="G85" s="169">
        <f>IFERROR((D85-F85)/C85*100,"")</f>
        <v/>
      </c>
      <c r="H85" s="219" t="n"/>
      <c r="I85" s="220" t="n"/>
      <c r="J85" s="221">
        <f>IF(COUNTA(A85:F85)=0,"",IF(OR(C85&lt;0,D85&lt;0,E85&lt;0,F85&lt;0),"ERRO: valor negativo",IF(C85&lt;&gt;SUM(D85:F85),"ERRO: categorias diferem dos respondentes",IF(COUNTIFS($A$5:$A$1200,A85,$B$5:$B$1200,B85)&gt;1,"ERRO: período e curso duplicados","OK"))))</f>
        <v/>
      </c>
    </row>
    <row r="86" ht="15" customHeight="1" s="131">
      <c r="A86" s="220" t="n"/>
      <c r="B86" s="222" t="n"/>
      <c r="C86" s="220" t="n"/>
      <c r="D86" s="220" t="n"/>
      <c r="E86" s="220" t="n"/>
      <c r="F86" s="220" t="n"/>
      <c r="G86" s="169">
        <f>IFERROR((D86-F86)/C86*100,"")</f>
        <v/>
      </c>
      <c r="H86" s="219" t="n"/>
      <c r="I86" s="220" t="n"/>
      <c r="J86" s="221">
        <f>IF(COUNTA(A86:F86)=0,"",IF(OR(C86&lt;0,D86&lt;0,E86&lt;0,F86&lt;0),"ERRO: valor negativo",IF(C86&lt;&gt;SUM(D86:F86),"ERRO: categorias diferem dos respondentes",IF(COUNTIFS($A$5:$A$1200,A86,$B$5:$B$1200,B86)&gt;1,"ERRO: período e curso duplicados","OK"))))</f>
        <v/>
      </c>
    </row>
    <row r="87" ht="15" customHeight="1" s="131">
      <c r="A87" s="220" t="n"/>
      <c r="B87" s="222" t="n"/>
      <c r="C87" s="220" t="n"/>
      <c r="D87" s="220" t="n"/>
      <c r="E87" s="220" t="n"/>
      <c r="F87" s="220" t="n"/>
      <c r="G87" s="169">
        <f>IFERROR((D87-F87)/C87*100,"")</f>
        <v/>
      </c>
      <c r="H87" s="219" t="n"/>
      <c r="I87" s="220" t="n"/>
      <c r="J87" s="221">
        <f>IF(COUNTA(A87:F87)=0,"",IF(OR(C87&lt;0,D87&lt;0,E87&lt;0,F87&lt;0),"ERRO: valor negativo",IF(C87&lt;&gt;SUM(D87:F87),"ERRO: categorias diferem dos respondentes",IF(COUNTIFS($A$5:$A$1200,A87,$B$5:$B$1200,B87)&gt;1,"ERRO: período e curso duplicados","OK"))))</f>
        <v/>
      </c>
    </row>
    <row r="88" ht="15" customHeight="1" s="131">
      <c r="A88" s="220" t="n"/>
      <c r="B88" s="222" t="n"/>
      <c r="C88" s="220" t="n"/>
      <c r="D88" s="220" t="n"/>
      <c r="E88" s="220" t="n"/>
      <c r="F88" s="220" t="n"/>
      <c r="G88" s="169">
        <f>IFERROR((D88-F88)/C88*100,"")</f>
        <v/>
      </c>
      <c r="H88" s="219" t="n"/>
      <c r="I88" s="220" t="n"/>
      <c r="J88" s="221">
        <f>IF(COUNTA(A88:F88)=0,"",IF(OR(C88&lt;0,D88&lt;0,E88&lt;0,F88&lt;0),"ERRO: valor negativo",IF(C88&lt;&gt;SUM(D88:F88),"ERRO: categorias diferem dos respondentes",IF(COUNTIFS($A$5:$A$1200,A88,$B$5:$B$1200,B88)&gt;1,"ERRO: período e curso duplicados","OK"))))</f>
        <v/>
      </c>
    </row>
    <row r="89" ht="15" customHeight="1" s="131">
      <c r="A89" s="220" t="n"/>
      <c r="B89" s="222" t="n"/>
      <c r="C89" s="220" t="n"/>
      <c r="D89" s="220" t="n"/>
      <c r="E89" s="220" t="n"/>
      <c r="F89" s="220" t="n"/>
      <c r="G89" s="169">
        <f>IFERROR((D89-F89)/C89*100,"")</f>
        <v/>
      </c>
      <c r="H89" s="219" t="n"/>
      <c r="I89" s="220" t="n"/>
      <c r="J89" s="221">
        <f>IF(COUNTA(A89:F89)=0,"",IF(OR(C89&lt;0,D89&lt;0,E89&lt;0,F89&lt;0),"ERRO: valor negativo",IF(C89&lt;&gt;SUM(D89:F89),"ERRO: categorias diferem dos respondentes",IF(COUNTIFS($A$5:$A$1200,A89,$B$5:$B$1200,B89)&gt;1,"ERRO: período e curso duplicados","OK"))))</f>
        <v/>
      </c>
    </row>
    <row r="90" ht="15" customHeight="1" s="131">
      <c r="A90" s="220" t="n"/>
      <c r="B90" s="222" t="n"/>
      <c r="C90" s="220" t="n"/>
      <c r="D90" s="220" t="n"/>
      <c r="E90" s="220" t="n"/>
      <c r="F90" s="220" t="n"/>
      <c r="G90" s="169">
        <f>IFERROR((D90-F90)/C90*100,"")</f>
        <v/>
      </c>
      <c r="H90" s="219" t="n"/>
      <c r="I90" s="220" t="n"/>
      <c r="J90" s="221">
        <f>IF(COUNTA(A90:F90)=0,"",IF(OR(C90&lt;0,D90&lt;0,E90&lt;0,F90&lt;0),"ERRO: valor negativo",IF(C90&lt;&gt;SUM(D90:F90),"ERRO: categorias diferem dos respondentes",IF(COUNTIFS($A$5:$A$1200,A90,$B$5:$B$1200,B90)&gt;1,"ERRO: período e curso duplicados","OK"))))</f>
        <v/>
      </c>
    </row>
    <row r="91" ht="15" customHeight="1" s="131">
      <c r="A91" s="220" t="n"/>
      <c r="B91" s="222" t="n"/>
      <c r="C91" s="220" t="n"/>
      <c r="D91" s="220" t="n"/>
      <c r="E91" s="220" t="n"/>
      <c r="F91" s="220" t="n"/>
      <c r="G91" s="169">
        <f>IFERROR((D91-F91)/C91*100,"")</f>
        <v/>
      </c>
      <c r="H91" s="219" t="n"/>
      <c r="I91" s="220" t="n"/>
      <c r="J91" s="221">
        <f>IF(COUNTA(A91:F91)=0,"",IF(OR(C91&lt;0,D91&lt;0,E91&lt;0,F91&lt;0),"ERRO: valor negativo",IF(C91&lt;&gt;SUM(D91:F91),"ERRO: categorias diferem dos respondentes",IF(COUNTIFS($A$5:$A$1200,A91,$B$5:$B$1200,B91)&gt;1,"ERRO: período e curso duplicados","OK"))))</f>
        <v/>
      </c>
    </row>
    <row r="92" ht="15" customHeight="1" s="131">
      <c r="A92" s="220" t="n"/>
      <c r="B92" s="222" t="n"/>
      <c r="C92" s="220" t="n"/>
      <c r="D92" s="220" t="n"/>
      <c r="E92" s="220" t="n"/>
      <c r="F92" s="220" t="n"/>
      <c r="G92" s="169">
        <f>IFERROR((D92-F92)/C92*100,"")</f>
        <v/>
      </c>
      <c r="H92" s="219" t="n"/>
      <c r="I92" s="220" t="n"/>
      <c r="J92" s="221">
        <f>IF(COUNTA(A92:F92)=0,"",IF(OR(C92&lt;0,D92&lt;0,E92&lt;0,F92&lt;0),"ERRO: valor negativo",IF(C92&lt;&gt;SUM(D92:F92),"ERRO: categorias diferem dos respondentes",IF(COUNTIFS($A$5:$A$1200,A92,$B$5:$B$1200,B92)&gt;1,"ERRO: período e curso duplicados","OK"))))</f>
        <v/>
      </c>
    </row>
    <row r="93" ht="15" customHeight="1" s="131">
      <c r="A93" s="220" t="n"/>
      <c r="B93" s="222" t="n"/>
      <c r="C93" s="220" t="n"/>
      <c r="D93" s="220" t="n"/>
      <c r="E93" s="220" t="n"/>
      <c r="F93" s="220" t="n"/>
      <c r="G93" s="169">
        <f>IFERROR((D93-F93)/C93*100,"")</f>
        <v/>
      </c>
      <c r="H93" s="219" t="n"/>
      <c r="I93" s="220" t="n"/>
      <c r="J93" s="221">
        <f>IF(COUNTA(A93:F93)=0,"",IF(OR(C93&lt;0,D93&lt;0,E93&lt;0,F93&lt;0),"ERRO: valor negativo",IF(C93&lt;&gt;SUM(D93:F93),"ERRO: categorias diferem dos respondentes",IF(COUNTIFS($A$5:$A$1200,A93,$B$5:$B$1200,B93)&gt;1,"ERRO: período e curso duplicados","OK"))))</f>
        <v/>
      </c>
    </row>
    <row r="94" ht="15" customHeight="1" s="131">
      <c r="A94" s="220" t="n"/>
      <c r="B94" s="222" t="n"/>
      <c r="C94" s="220" t="n"/>
      <c r="D94" s="220" t="n"/>
      <c r="E94" s="220" t="n"/>
      <c r="F94" s="220" t="n"/>
      <c r="G94" s="169">
        <f>IFERROR((D94-F94)/C94*100,"")</f>
        <v/>
      </c>
      <c r="H94" s="219" t="n"/>
      <c r="I94" s="220" t="n"/>
      <c r="J94" s="221">
        <f>IF(COUNTA(A94:F94)=0,"",IF(OR(C94&lt;0,D94&lt;0,E94&lt;0,F94&lt;0),"ERRO: valor negativo",IF(C94&lt;&gt;SUM(D94:F94),"ERRO: categorias diferem dos respondentes",IF(COUNTIFS($A$5:$A$1200,A94,$B$5:$B$1200,B94)&gt;1,"ERRO: período e curso duplicados","OK"))))</f>
        <v/>
      </c>
    </row>
    <row r="95" ht="15" customHeight="1" s="131">
      <c r="A95" s="220" t="n"/>
      <c r="B95" s="222" t="n"/>
      <c r="C95" s="220" t="n"/>
      <c r="D95" s="220" t="n"/>
      <c r="E95" s="220" t="n"/>
      <c r="F95" s="220" t="n"/>
      <c r="G95" s="169">
        <f>IFERROR((D95-F95)/C95*100,"")</f>
        <v/>
      </c>
      <c r="H95" s="219" t="n"/>
      <c r="I95" s="220" t="n"/>
      <c r="J95" s="221">
        <f>IF(COUNTA(A95:F95)=0,"",IF(OR(C95&lt;0,D95&lt;0,E95&lt;0,F95&lt;0),"ERRO: valor negativo",IF(C95&lt;&gt;SUM(D95:F95),"ERRO: categorias diferem dos respondentes",IF(COUNTIFS($A$5:$A$1200,A95,$B$5:$B$1200,B95)&gt;1,"ERRO: período e curso duplicados","OK"))))</f>
        <v/>
      </c>
    </row>
    <row r="96" ht="15" customHeight="1" s="131">
      <c r="A96" s="220" t="n"/>
      <c r="B96" s="222" t="n"/>
      <c r="C96" s="220" t="n"/>
      <c r="D96" s="220" t="n"/>
      <c r="E96" s="220" t="n"/>
      <c r="F96" s="220" t="n"/>
      <c r="G96" s="169">
        <f>IFERROR((D96-F96)/C96*100,"")</f>
        <v/>
      </c>
      <c r="H96" s="219" t="n"/>
      <c r="I96" s="220" t="n"/>
      <c r="J96" s="221">
        <f>IF(COUNTA(A96:F96)=0,"",IF(OR(C96&lt;0,D96&lt;0,E96&lt;0,F96&lt;0),"ERRO: valor negativo",IF(C96&lt;&gt;SUM(D96:F96),"ERRO: categorias diferem dos respondentes",IF(COUNTIFS($A$5:$A$1200,A96,$B$5:$B$1200,B96)&gt;1,"ERRO: período e curso duplicados","OK"))))</f>
        <v/>
      </c>
    </row>
    <row r="97" ht="15" customHeight="1" s="131">
      <c r="A97" s="220" t="n"/>
      <c r="B97" s="222" t="n"/>
      <c r="C97" s="220" t="n"/>
      <c r="D97" s="220" t="n"/>
      <c r="E97" s="220" t="n"/>
      <c r="F97" s="220" t="n"/>
      <c r="G97" s="169">
        <f>IFERROR((D97-F97)/C97*100,"")</f>
        <v/>
      </c>
      <c r="H97" s="219" t="n"/>
      <c r="I97" s="220" t="n"/>
      <c r="J97" s="221">
        <f>IF(COUNTA(A97:F97)=0,"",IF(OR(C97&lt;0,D97&lt;0,E97&lt;0,F97&lt;0),"ERRO: valor negativo",IF(C97&lt;&gt;SUM(D97:F97),"ERRO: categorias diferem dos respondentes",IF(COUNTIFS($A$5:$A$1200,A97,$B$5:$B$1200,B97)&gt;1,"ERRO: período e curso duplicados","OK"))))</f>
        <v/>
      </c>
    </row>
    <row r="98" ht="15" customHeight="1" s="131">
      <c r="A98" s="220" t="n"/>
      <c r="B98" s="222" t="n"/>
      <c r="C98" s="220" t="n"/>
      <c r="D98" s="220" t="n"/>
      <c r="E98" s="220" t="n"/>
      <c r="F98" s="220" t="n"/>
      <c r="G98" s="169">
        <f>IFERROR((D98-F98)/C98*100,"")</f>
        <v/>
      </c>
      <c r="H98" s="219" t="n"/>
      <c r="I98" s="220" t="n"/>
      <c r="J98" s="221">
        <f>IF(COUNTA(A98:F98)=0,"",IF(OR(C98&lt;0,D98&lt;0,E98&lt;0,F98&lt;0),"ERRO: valor negativo",IF(C98&lt;&gt;SUM(D98:F98),"ERRO: categorias diferem dos respondentes",IF(COUNTIFS($A$5:$A$1200,A98,$B$5:$B$1200,B98)&gt;1,"ERRO: período e curso duplicados","OK"))))</f>
        <v/>
      </c>
    </row>
    <row r="99" ht="15" customHeight="1" s="131">
      <c r="A99" s="220" t="n"/>
      <c r="B99" s="222" t="n"/>
      <c r="C99" s="220" t="n"/>
      <c r="D99" s="220" t="n"/>
      <c r="E99" s="220" t="n"/>
      <c r="F99" s="220" t="n"/>
      <c r="G99" s="169">
        <f>IFERROR((D99-F99)/C99*100,"")</f>
        <v/>
      </c>
      <c r="H99" s="219" t="n"/>
      <c r="I99" s="220" t="n"/>
      <c r="J99" s="221">
        <f>IF(COUNTA(A99:F99)=0,"",IF(OR(C99&lt;0,D99&lt;0,E99&lt;0,F99&lt;0),"ERRO: valor negativo",IF(C99&lt;&gt;SUM(D99:F99),"ERRO: categorias diferem dos respondentes",IF(COUNTIFS($A$5:$A$1200,A99,$B$5:$B$1200,B99)&gt;1,"ERRO: período e curso duplicados","OK"))))</f>
        <v/>
      </c>
    </row>
    <row r="100" ht="15" customHeight="1" s="131">
      <c r="A100" s="220" t="n"/>
      <c r="B100" s="222" t="n"/>
      <c r="C100" s="220" t="n"/>
      <c r="D100" s="220" t="n"/>
      <c r="E100" s="220" t="n"/>
      <c r="F100" s="220" t="n"/>
      <c r="G100" s="169">
        <f>IFERROR((D100-F100)/C100*100,"")</f>
        <v/>
      </c>
      <c r="H100" s="219" t="n"/>
      <c r="I100" s="220" t="n"/>
      <c r="J100" s="221">
        <f>IF(COUNTA(A100:F100)=0,"",IF(OR(C100&lt;0,D100&lt;0,E100&lt;0,F100&lt;0),"ERRO: valor negativo",IF(C100&lt;&gt;SUM(D100:F100),"ERRO: categorias diferem dos respondentes",IF(COUNTIFS($A$5:$A$1200,A100,$B$5:$B$1200,B100)&gt;1,"ERRO: período e curso duplicados","OK"))))</f>
        <v/>
      </c>
    </row>
    <row r="101" ht="15" customHeight="1" s="131">
      <c r="A101" s="220" t="n"/>
      <c r="B101" s="222" t="n"/>
      <c r="C101" s="220" t="n"/>
      <c r="D101" s="220" t="n"/>
      <c r="E101" s="220" t="n"/>
      <c r="F101" s="220" t="n"/>
      <c r="G101" s="169">
        <f>IFERROR((D101-F101)/C101*100,"")</f>
        <v/>
      </c>
      <c r="H101" s="219" t="n"/>
      <c r="I101" s="220" t="n"/>
      <c r="J101" s="221">
        <f>IF(COUNTA(A101:F101)=0,"",IF(OR(C101&lt;0,D101&lt;0,E101&lt;0,F101&lt;0),"ERRO: valor negativo",IF(C101&lt;&gt;SUM(D101:F101),"ERRO: categorias diferem dos respondentes",IF(COUNTIFS($A$5:$A$1200,A101,$B$5:$B$1200,B101)&gt;1,"ERRO: período e curso duplicados","OK"))))</f>
        <v/>
      </c>
    </row>
    <row r="102" ht="15" customHeight="1" s="131">
      <c r="A102" s="220" t="n"/>
      <c r="B102" s="222" t="n"/>
      <c r="C102" s="220" t="n"/>
      <c r="D102" s="220" t="n"/>
      <c r="E102" s="220" t="n"/>
      <c r="F102" s="220" t="n"/>
      <c r="G102" s="169">
        <f>IFERROR((D102-F102)/C102*100,"")</f>
        <v/>
      </c>
      <c r="H102" s="219" t="n"/>
      <c r="I102" s="220" t="n"/>
      <c r="J102" s="221">
        <f>IF(COUNTA(A102:F102)=0,"",IF(OR(C102&lt;0,D102&lt;0,E102&lt;0,F102&lt;0),"ERRO: valor negativo",IF(C102&lt;&gt;SUM(D102:F102),"ERRO: categorias diferem dos respondentes",IF(COUNTIFS($A$5:$A$1200,A102,$B$5:$B$1200,B102)&gt;1,"ERRO: período e curso duplicados","OK"))))</f>
        <v/>
      </c>
    </row>
    <row r="103" ht="15" customHeight="1" s="131">
      <c r="A103" s="220" t="n"/>
      <c r="B103" s="222" t="n"/>
      <c r="C103" s="220" t="n"/>
      <c r="D103" s="220" t="n"/>
      <c r="E103" s="220" t="n"/>
      <c r="F103" s="220" t="n"/>
      <c r="G103" s="169">
        <f>IFERROR((D103-F103)/C103*100,"")</f>
        <v/>
      </c>
      <c r="H103" s="219" t="n"/>
      <c r="I103" s="220" t="n"/>
      <c r="J103" s="221">
        <f>IF(COUNTA(A103:F103)=0,"",IF(OR(C103&lt;0,D103&lt;0,E103&lt;0,F103&lt;0),"ERRO: valor negativo",IF(C103&lt;&gt;SUM(D103:F103),"ERRO: categorias diferem dos respondentes",IF(COUNTIFS($A$5:$A$1200,A103,$B$5:$B$1200,B103)&gt;1,"ERRO: período e curso duplicados","OK"))))</f>
        <v/>
      </c>
    </row>
    <row r="104" ht="15" customHeight="1" s="131">
      <c r="A104" s="220" t="n"/>
      <c r="B104" s="222" t="n"/>
      <c r="C104" s="220" t="n"/>
      <c r="D104" s="220" t="n"/>
      <c r="E104" s="220" t="n"/>
      <c r="F104" s="220" t="n"/>
      <c r="G104" s="169">
        <f>IFERROR((D104-F104)/C104*100,"")</f>
        <v/>
      </c>
      <c r="H104" s="219" t="n"/>
      <c r="I104" s="220" t="n"/>
      <c r="J104" s="221">
        <f>IF(COUNTA(A104:F104)=0,"",IF(OR(C104&lt;0,D104&lt;0,E104&lt;0,F104&lt;0),"ERRO: valor negativo",IF(C104&lt;&gt;SUM(D104:F104),"ERRO: categorias diferem dos respondentes",IF(COUNTIFS($A$5:$A$1200,A104,$B$5:$B$1200,B104)&gt;1,"ERRO: período e curso duplicados","OK"))))</f>
        <v/>
      </c>
    </row>
    <row r="105" ht="15" customHeight="1" s="131">
      <c r="A105" s="220" t="n"/>
      <c r="B105" s="222" t="n"/>
      <c r="C105" s="220" t="n"/>
      <c r="D105" s="220" t="n"/>
      <c r="E105" s="220" t="n"/>
      <c r="F105" s="220" t="n"/>
      <c r="G105" s="169">
        <f>IFERROR((D105-F105)/C105*100,"")</f>
        <v/>
      </c>
      <c r="H105" s="219" t="n"/>
      <c r="I105" s="220" t="n"/>
      <c r="J105" s="221">
        <f>IF(COUNTA(A105:F105)=0,"",IF(OR(C105&lt;0,D105&lt;0,E105&lt;0,F105&lt;0),"ERRO: valor negativo",IF(C105&lt;&gt;SUM(D105:F105),"ERRO: categorias diferem dos respondentes",IF(COUNTIFS($A$5:$A$1200,A105,$B$5:$B$1200,B105)&gt;1,"ERRO: período e curso duplicados","OK"))))</f>
        <v/>
      </c>
    </row>
    <row r="106" ht="15" customHeight="1" s="131">
      <c r="A106" s="220" t="n"/>
      <c r="B106" s="222" t="n"/>
      <c r="C106" s="220" t="n"/>
      <c r="D106" s="220" t="n"/>
      <c r="E106" s="220" t="n"/>
      <c r="F106" s="220" t="n"/>
      <c r="G106" s="169">
        <f>IFERROR((D106-F106)/C106*100,"")</f>
        <v/>
      </c>
      <c r="H106" s="219" t="n"/>
      <c r="I106" s="220" t="n"/>
      <c r="J106" s="221">
        <f>IF(COUNTA(A106:F106)=0,"",IF(OR(C106&lt;0,D106&lt;0,E106&lt;0,F106&lt;0),"ERRO: valor negativo",IF(C106&lt;&gt;SUM(D106:F106),"ERRO: categorias diferem dos respondentes",IF(COUNTIFS($A$5:$A$1200,A106,$B$5:$B$1200,B106)&gt;1,"ERRO: período e curso duplicados","OK"))))</f>
        <v/>
      </c>
    </row>
    <row r="107" ht="15" customHeight="1" s="131">
      <c r="A107" s="220" t="n"/>
      <c r="B107" s="222" t="n"/>
      <c r="C107" s="220" t="n"/>
      <c r="D107" s="220" t="n"/>
      <c r="E107" s="220" t="n"/>
      <c r="F107" s="220" t="n"/>
      <c r="G107" s="169">
        <f>IFERROR((D107-F107)/C107*100,"")</f>
        <v/>
      </c>
      <c r="H107" s="219" t="n"/>
      <c r="I107" s="220" t="n"/>
      <c r="J107" s="221">
        <f>IF(COUNTA(A107:F107)=0,"",IF(OR(C107&lt;0,D107&lt;0,E107&lt;0,F107&lt;0),"ERRO: valor negativo",IF(C107&lt;&gt;SUM(D107:F107),"ERRO: categorias diferem dos respondentes",IF(COUNTIFS($A$5:$A$1200,A107,$B$5:$B$1200,B107)&gt;1,"ERRO: período e curso duplicados","OK"))))</f>
        <v/>
      </c>
    </row>
    <row r="108" ht="15" customHeight="1" s="131">
      <c r="A108" s="220" t="n"/>
      <c r="B108" s="222" t="n"/>
      <c r="C108" s="220" t="n"/>
      <c r="D108" s="220" t="n"/>
      <c r="E108" s="220" t="n"/>
      <c r="F108" s="220" t="n"/>
      <c r="G108" s="169">
        <f>IFERROR((D108-F108)/C108*100,"")</f>
        <v/>
      </c>
      <c r="H108" s="219" t="n"/>
      <c r="I108" s="220" t="n"/>
      <c r="J108" s="221">
        <f>IF(COUNTA(A108:F108)=0,"",IF(OR(C108&lt;0,D108&lt;0,E108&lt;0,F108&lt;0),"ERRO: valor negativo",IF(C108&lt;&gt;SUM(D108:F108),"ERRO: categorias diferem dos respondentes",IF(COUNTIFS($A$5:$A$1200,A108,$B$5:$B$1200,B108)&gt;1,"ERRO: período e curso duplicados","OK"))))</f>
        <v/>
      </c>
    </row>
    <row r="109" ht="15" customHeight="1" s="131">
      <c r="A109" s="220" t="n"/>
      <c r="B109" s="222" t="n"/>
      <c r="C109" s="220" t="n"/>
      <c r="D109" s="220" t="n"/>
      <c r="E109" s="220" t="n"/>
      <c r="F109" s="220" t="n"/>
      <c r="G109" s="169">
        <f>IFERROR((D109-F109)/C109*100,"")</f>
        <v/>
      </c>
      <c r="H109" s="219" t="n"/>
      <c r="I109" s="220" t="n"/>
      <c r="J109" s="221">
        <f>IF(COUNTA(A109:F109)=0,"",IF(OR(C109&lt;0,D109&lt;0,E109&lt;0,F109&lt;0),"ERRO: valor negativo",IF(C109&lt;&gt;SUM(D109:F109),"ERRO: categorias diferem dos respondentes",IF(COUNTIFS($A$5:$A$1200,A109,$B$5:$B$1200,B109)&gt;1,"ERRO: período e curso duplicados","OK"))))</f>
        <v/>
      </c>
    </row>
    <row r="110" ht="15" customHeight="1" s="131">
      <c r="A110" s="220" t="n"/>
      <c r="B110" s="222" t="n"/>
      <c r="C110" s="220" t="n"/>
      <c r="D110" s="220" t="n"/>
      <c r="E110" s="220" t="n"/>
      <c r="F110" s="220" t="n"/>
      <c r="G110" s="169">
        <f>IFERROR((D110-F110)/C110*100,"")</f>
        <v/>
      </c>
      <c r="H110" s="219" t="n"/>
      <c r="I110" s="220" t="n"/>
      <c r="J110" s="221">
        <f>IF(COUNTA(A110:F110)=0,"",IF(OR(C110&lt;0,D110&lt;0,E110&lt;0,F110&lt;0),"ERRO: valor negativo",IF(C110&lt;&gt;SUM(D110:F110),"ERRO: categorias diferem dos respondentes",IF(COUNTIFS($A$5:$A$1200,A110,$B$5:$B$1200,B110)&gt;1,"ERRO: período e curso duplicados","OK"))))</f>
        <v/>
      </c>
    </row>
    <row r="111" ht="15" customHeight="1" s="131">
      <c r="A111" s="220" t="n"/>
      <c r="B111" s="222" t="n"/>
      <c r="C111" s="220" t="n"/>
      <c r="D111" s="220" t="n"/>
      <c r="E111" s="220" t="n"/>
      <c r="F111" s="220" t="n"/>
      <c r="G111" s="169">
        <f>IFERROR((D111-F111)/C111*100,"")</f>
        <v/>
      </c>
      <c r="H111" s="219" t="n"/>
      <c r="I111" s="220" t="n"/>
      <c r="J111" s="221">
        <f>IF(COUNTA(A111:F111)=0,"",IF(OR(C111&lt;0,D111&lt;0,E111&lt;0,F111&lt;0),"ERRO: valor negativo",IF(C111&lt;&gt;SUM(D111:F111),"ERRO: categorias diferem dos respondentes",IF(COUNTIFS($A$5:$A$1200,A111,$B$5:$B$1200,B111)&gt;1,"ERRO: período e curso duplicados","OK"))))</f>
        <v/>
      </c>
    </row>
    <row r="112" ht="15" customHeight="1" s="131">
      <c r="A112" s="220" t="n"/>
      <c r="B112" s="222" t="n"/>
      <c r="C112" s="220" t="n"/>
      <c r="D112" s="220" t="n"/>
      <c r="E112" s="220" t="n"/>
      <c r="F112" s="220" t="n"/>
      <c r="G112" s="169">
        <f>IFERROR((D112-F112)/C112*100,"")</f>
        <v/>
      </c>
      <c r="H112" s="219" t="n"/>
      <c r="I112" s="220" t="n"/>
      <c r="J112" s="221">
        <f>IF(COUNTA(A112:F112)=0,"",IF(OR(C112&lt;0,D112&lt;0,E112&lt;0,F112&lt;0),"ERRO: valor negativo",IF(C112&lt;&gt;SUM(D112:F112),"ERRO: categorias diferem dos respondentes",IF(COUNTIFS($A$5:$A$1200,A112,$B$5:$B$1200,B112)&gt;1,"ERRO: período e curso duplicados","OK"))))</f>
        <v/>
      </c>
    </row>
    <row r="113" ht="15" customHeight="1" s="131">
      <c r="A113" s="220" t="n"/>
      <c r="B113" s="222" t="n"/>
      <c r="C113" s="220" t="n"/>
      <c r="D113" s="220" t="n"/>
      <c r="E113" s="220" t="n"/>
      <c r="F113" s="220" t="n"/>
      <c r="G113" s="169">
        <f>IFERROR((D113-F113)/C113*100,"")</f>
        <v/>
      </c>
      <c r="H113" s="219" t="n"/>
      <c r="I113" s="220" t="n"/>
      <c r="J113" s="221">
        <f>IF(COUNTA(A113:F113)=0,"",IF(OR(C113&lt;0,D113&lt;0,E113&lt;0,F113&lt;0),"ERRO: valor negativo",IF(C113&lt;&gt;SUM(D113:F113),"ERRO: categorias diferem dos respondentes",IF(COUNTIFS($A$5:$A$1200,A113,$B$5:$B$1200,B113)&gt;1,"ERRO: período e curso duplicados","OK"))))</f>
        <v/>
      </c>
    </row>
    <row r="114" ht="15" customHeight="1" s="131">
      <c r="A114" s="220" t="n"/>
      <c r="B114" s="222" t="n"/>
      <c r="C114" s="220" t="n"/>
      <c r="D114" s="220" t="n"/>
      <c r="E114" s="220" t="n"/>
      <c r="F114" s="220" t="n"/>
      <c r="G114" s="169">
        <f>IFERROR((D114-F114)/C114*100,"")</f>
        <v/>
      </c>
      <c r="H114" s="219" t="n"/>
      <c r="I114" s="220" t="n"/>
      <c r="J114" s="221">
        <f>IF(COUNTA(A114:F114)=0,"",IF(OR(C114&lt;0,D114&lt;0,E114&lt;0,F114&lt;0),"ERRO: valor negativo",IF(C114&lt;&gt;SUM(D114:F114),"ERRO: categorias diferem dos respondentes",IF(COUNTIFS($A$5:$A$1200,A114,$B$5:$B$1200,B114)&gt;1,"ERRO: período e curso duplicados","OK"))))</f>
        <v/>
      </c>
    </row>
    <row r="115" ht="15" customHeight="1" s="131">
      <c r="A115" s="220" t="n"/>
      <c r="B115" s="222" t="n"/>
      <c r="C115" s="220" t="n"/>
      <c r="D115" s="220" t="n"/>
      <c r="E115" s="220" t="n"/>
      <c r="F115" s="220" t="n"/>
      <c r="G115" s="169">
        <f>IFERROR((D115-F115)/C115*100,"")</f>
        <v/>
      </c>
      <c r="H115" s="219" t="n"/>
      <c r="I115" s="220" t="n"/>
      <c r="J115" s="221">
        <f>IF(COUNTA(A115:F115)=0,"",IF(OR(C115&lt;0,D115&lt;0,E115&lt;0,F115&lt;0),"ERRO: valor negativo",IF(C115&lt;&gt;SUM(D115:F115),"ERRO: categorias diferem dos respondentes",IF(COUNTIFS($A$5:$A$1200,A115,$B$5:$B$1200,B115)&gt;1,"ERRO: período e curso duplicados","OK"))))</f>
        <v/>
      </c>
    </row>
    <row r="116" ht="15" customHeight="1" s="131">
      <c r="A116" s="220" t="n"/>
      <c r="B116" s="222" t="n"/>
      <c r="C116" s="220" t="n"/>
      <c r="D116" s="220" t="n"/>
      <c r="E116" s="220" t="n"/>
      <c r="F116" s="220" t="n"/>
      <c r="G116" s="169">
        <f>IFERROR((D116-F116)/C116*100,"")</f>
        <v/>
      </c>
      <c r="H116" s="219" t="n"/>
      <c r="I116" s="220" t="n"/>
      <c r="J116" s="221">
        <f>IF(COUNTA(A116:F116)=0,"",IF(OR(C116&lt;0,D116&lt;0,E116&lt;0,F116&lt;0),"ERRO: valor negativo",IF(C116&lt;&gt;SUM(D116:F116),"ERRO: categorias diferem dos respondentes",IF(COUNTIFS($A$5:$A$1200,A116,$B$5:$B$1200,B116)&gt;1,"ERRO: período e curso duplicados","OK"))))</f>
        <v/>
      </c>
    </row>
    <row r="117" ht="15" customHeight="1" s="131">
      <c r="A117" s="220" t="n"/>
      <c r="B117" s="222" t="n"/>
      <c r="C117" s="220" t="n"/>
      <c r="D117" s="220" t="n"/>
      <c r="E117" s="220" t="n"/>
      <c r="F117" s="220" t="n"/>
      <c r="G117" s="169">
        <f>IFERROR((D117-F117)/C117*100,"")</f>
        <v/>
      </c>
      <c r="H117" s="219" t="n"/>
      <c r="I117" s="220" t="n"/>
      <c r="J117" s="221">
        <f>IF(COUNTA(A117:F117)=0,"",IF(OR(C117&lt;0,D117&lt;0,E117&lt;0,F117&lt;0),"ERRO: valor negativo",IF(C117&lt;&gt;SUM(D117:F117),"ERRO: categorias diferem dos respondentes",IF(COUNTIFS($A$5:$A$1200,A117,$B$5:$B$1200,B117)&gt;1,"ERRO: período e curso duplicados","OK"))))</f>
        <v/>
      </c>
    </row>
    <row r="118" ht="15" customHeight="1" s="131">
      <c r="A118" s="220" t="n"/>
      <c r="B118" s="222" t="n"/>
      <c r="C118" s="220" t="n"/>
      <c r="D118" s="220" t="n"/>
      <c r="E118" s="220" t="n"/>
      <c r="F118" s="220" t="n"/>
      <c r="G118" s="169">
        <f>IFERROR((D118-F118)/C118*100,"")</f>
        <v/>
      </c>
      <c r="H118" s="219" t="n"/>
      <c r="I118" s="220" t="n"/>
      <c r="J118" s="221">
        <f>IF(COUNTA(A118:F118)=0,"",IF(OR(C118&lt;0,D118&lt;0,E118&lt;0,F118&lt;0),"ERRO: valor negativo",IF(C118&lt;&gt;SUM(D118:F118),"ERRO: categorias diferem dos respondentes",IF(COUNTIFS($A$5:$A$1200,A118,$B$5:$B$1200,B118)&gt;1,"ERRO: período e curso duplicados","OK"))))</f>
        <v/>
      </c>
    </row>
    <row r="119" ht="15" customHeight="1" s="131">
      <c r="A119" s="220" t="n"/>
      <c r="B119" s="222" t="n"/>
      <c r="C119" s="220" t="n"/>
      <c r="D119" s="220" t="n"/>
      <c r="E119" s="220" t="n"/>
      <c r="F119" s="220" t="n"/>
      <c r="G119" s="169">
        <f>IFERROR((D119-F119)/C119*100,"")</f>
        <v/>
      </c>
      <c r="H119" s="219" t="n"/>
      <c r="I119" s="220" t="n"/>
      <c r="J119" s="221">
        <f>IF(COUNTA(A119:F119)=0,"",IF(OR(C119&lt;0,D119&lt;0,E119&lt;0,F119&lt;0),"ERRO: valor negativo",IF(C119&lt;&gt;SUM(D119:F119),"ERRO: categorias diferem dos respondentes",IF(COUNTIFS($A$5:$A$1200,A119,$B$5:$B$1200,B119)&gt;1,"ERRO: período e curso duplicados","OK"))))</f>
        <v/>
      </c>
    </row>
    <row r="120" ht="15" customHeight="1" s="131">
      <c r="A120" s="220" t="n"/>
      <c r="B120" s="222" t="n"/>
      <c r="C120" s="220" t="n"/>
      <c r="D120" s="220" t="n"/>
      <c r="E120" s="220" t="n"/>
      <c r="F120" s="220" t="n"/>
      <c r="G120" s="169">
        <f>IFERROR((D120-F120)/C120*100,"")</f>
        <v/>
      </c>
      <c r="H120" s="219" t="n"/>
      <c r="I120" s="220" t="n"/>
      <c r="J120" s="221">
        <f>IF(COUNTA(A120:F120)=0,"",IF(OR(C120&lt;0,D120&lt;0,E120&lt;0,F120&lt;0),"ERRO: valor negativo",IF(C120&lt;&gt;SUM(D120:F120),"ERRO: categorias diferem dos respondentes",IF(COUNTIFS($A$5:$A$1200,A120,$B$5:$B$1200,B120)&gt;1,"ERRO: período e curso duplicados","OK"))))</f>
        <v/>
      </c>
    </row>
    <row r="121" ht="15" customHeight="1" s="131">
      <c r="A121" s="220" t="n"/>
      <c r="B121" s="222" t="n"/>
      <c r="C121" s="220" t="n"/>
      <c r="D121" s="220" t="n"/>
      <c r="E121" s="220" t="n"/>
      <c r="F121" s="220" t="n"/>
      <c r="G121" s="169">
        <f>IFERROR((D121-F121)/C121*100,"")</f>
        <v/>
      </c>
      <c r="H121" s="219" t="n"/>
      <c r="I121" s="220" t="n"/>
      <c r="J121" s="221">
        <f>IF(COUNTA(A121:F121)=0,"",IF(OR(C121&lt;0,D121&lt;0,E121&lt;0,F121&lt;0),"ERRO: valor negativo",IF(C121&lt;&gt;SUM(D121:F121),"ERRO: categorias diferem dos respondentes",IF(COUNTIFS($A$5:$A$1200,A121,$B$5:$B$1200,B121)&gt;1,"ERRO: período e curso duplicados","OK"))))</f>
        <v/>
      </c>
    </row>
    <row r="122" ht="15" customHeight="1" s="131">
      <c r="A122" s="220" t="n"/>
      <c r="B122" s="222" t="n"/>
      <c r="C122" s="220" t="n"/>
      <c r="D122" s="220" t="n"/>
      <c r="E122" s="220" t="n"/>
      <c r="F122" s="220" t="n"/>
      <c r="G122" s="169">
        <f>IFERROR((D122-F122)/C122*100,"")</f>
        <v/>
      </c>
      <c r="H122" s="219" t="n"/>
      <c r="I122" s="220" t="n"/>
      <c r="J122" s="221">
        <f>IF(COUNTA(A122:F122)=0,"",IF(OR(C122&lt;0,D122&lt;0,E122&lt;0,F122&lt;0),"ERRO: valor negativo",IF(C122&lt;&gt;SUM(D122:F122),"ERRO: categorias diferem dos respondentes",IF(COUNTIFS($A$5:$A$1200,A122,$B$5:$B$1200,B122)&gt;1,"ERRO: período e curso duplicados","OK"))))</f>
        <v/>
      </c>
    </row>
    <row r="123" ht="15" customHeight="1" s="131">
      <c r="A123" s="220" t="n"/>
      <c r="B123" s="222" t="n"/>
      <c r="C123" s="220" t="n"/>
      <c r="D123" s="220" t="n"/>
      <c r="E123" s="220" t="n"/>
      <c r="F123" s="220" t="n"/>
      <c r="G123" s="169">
        <f>IFERROR((D123-F123)/C123*100,"")</f>
        <v/>
      </c>
      <c r="H123" s="219" t="n"/>
      <c r="I123" s="220" t="n"/>
      <c r="J123" s="221">
        <f>IF(COUNTA(A123:F123)=0,"",IF(OR(C123&lt;0,D123&lt;0,E123&lt;0,F123&lt;0),"ERRO: valor negativo",IF(C123&lt;&gt;SUM(D123:F123),"ERRO: categorias diferem dos respondentes",IF(COUNTIFS($A$5:$A$1200,A123,$B$5:$B$1200,B123)&gt;1,"ERRO: período e curso duplicados","OK"))))</f>
        <v/>
      </c>
    </row>
    <row r="124" ht="15" customHeight="1" s="131">
      <c r="A124" s="220" t="n"/>
      <c r="B124" s="222" t="n"/>
      <c r="C124" s="220" t="n"/>
      <c r="D124" s="220" t="n"/>
      <c r="E124" s="220" t="n"/>
      <c r="F124" s="220" t="n"/>
      <c r="G124" s="169">
        <f>IFERROR((D124-F124)/C124*100,"")</f>
        <v/>
      </c>
      <c r="H124" s="219" t="n"/>
      <c r="I124" s="220" t="n"/>
      <c r="J124" s="221">
        <f>IF(COUNTA(A124:F124)=0,"",IF(OR(C124&lt;0,D124&lt;0,E124&lt;0,F124&lt;0),"ERRO: valor negativo",IF(C124&lt;&gt;SUM(D124:F124),"ERRO: categorias diferem dos respondentes",IF(COUNTIFS($A$5:$A$1200,A124,$B$5:$B$1200,B124)&gt;1,"ERRO: período e curso duplicados","OK"))))</f>
        <v/>
      </c>
    </row>
    <row r="125" ht="15" customHeight="1" s="131">
      <c r="A125" s="220" t="n"/>
      <c r="B125" s="222" t="n"/>
      <c r="C125" s="220" t="n"/>
      <c r="D125" s="220" t="n"/>
      <c r="E125" s="220" t="n"/>
      <c r="F125" s="220" t="n"/>
      <c r="G125" s="169">
        <f>IFERROR((D125-F125)/C125*100,"")</f>
        <v/>
      </c>
      <c r="H125" s="219" t="n"/>
      <c r="I125" s="220" t="n"/>
      <c r="J125" s="221">
        <f>IF(COUNTA(A125:F125)=0,"",IF(OR(C125&lt;0,D125&lt;0,E125&lt;0,F125&lt;0),"ERRO: valor negativo",IF(C125&lt;&gt;SUM(D125:F125),"ERRO: categorias diferem dos respondentes",IF(COUNTIFS($A$5:$A$1200,A125,$B$5:$B$1200,B125)&gt;1,"ERRO: período e curso duplicados","OK"))))</f>
        <v/>
      </c>
    </row>
    <row r="126" ht="15" customHeight="1" s="131">
      <c r="A126" s="220" t="n"/>
      <c r="B126" s="222" t="n"/>
      <c r="C126" s="220" t="n"/>
      <c r="D126" s="220" t="n"/>
      <c r="E126" s="220" t="n"/>
      <c r="F126" s="220" t="n"/>
      <c r="G126" s="169">
        <f>IFERROR((D126-F126)/C126*100,"")</f>
        <v/>
      </c>
      <c r="H126" s="219" t="n"/>
      <c r="I126" s="220" t="n"/>
      <c r="J126" s="221">
        <f>IF(COUNTA(A126:F126)=0,"",IF(OR(C126&lt;0,D126&lt;0,E126&lt;0,F126&lt;0),"ERRO: valor negativo",IF(C126&lt;&gt;SUM(D126:F126),"ERRO: categorias diferem dos respondentes",IF(COUNTIFS($A$5:$A$1200,A126,$B$5:$B$1200,B126)&gt;1,"ERRO: período e curso duplicados","OK"))))</f>
        <v/>
      </c>
    </row>
    <row r="127" ht="15" customHeight="1" s="131">
      <c r="A127" s="220" t="n"/>
      <c r="B127" s="222" t="n"/>
      <c r="C127" s="220" t="n"/>
      <c r="D127" s="220" t="n"/>
      <c r="E127" s="220" t="n"/>
      <c r="F127" s="220" t="n"/>
      <c r="G127" s="169">
        <f>IFERROR((D127-F127)/C127*100,"")</f>
        <v/>
      </c>
      <c r="H127" s="219" t="n"/>
      <c r="I127" s="220" t="n"/>
      <c r="J127" s="221">
        <f>IF(COUNTA(A127:F127)=0,"",IF(OR(C127&lt;0,D127&lt;0,E127&lt;0,F127&lt;0),"ERRO: valor negativo",IF(C127&lt;&gt;SUM(D127:F127),"ERRO: categorias diferem dos respondentes",IF(COUNTIFS($A$5:$A$1200,A127,$B$5:$B$1200,B127)&gt;1,"ERRO: período e curso duplicados","OK"))))</f>
        <v/>
      </c>
    </row>
    <row r="128" ht="15" customHeight="1" s="131">
      <c r="A128" s="220" t="n"/>
      <c r="B128" s="222" t="n"/>
      <c r="C128" s="220" t="n"/>
      <c r="D128" s="220" t="n"/>
      <c r="E128" s="220" t="n"/>
      <c r="F128" s="220" t="n"/>
      <c r="G128" s="169">
        <f>IFERROR((D128-F128)/C128*100,"")</f>
        <v/>
      </c>
      <c r="H128" s="219" t="n"/>
      <c r="I128" s="220" t="n"/>
      <c r="J128" s="221">
        <f>IF(COUNTA(A128:F128)=0,"",IF(OR(C128&lt;0,D128&lt;0,E128&lt;0,F128&lt;0),"ERRO: valor negativo",IF(C128&lt;&gt;SUM(D128:F128),"ERRO: categorias diferem dos respondentes",IF(COUNTIFS($A$5:$A$1200,A128,$B$5:$B$1200,B128)&gt;1,"ERRO: período e curso duplicados","OK"))))</f>
        <v/>
      </c>
    </row>
    <row r="129" ht="15" customHeight="1" s="131">
      <c r="A129" s="220" t="n"/>
      <c r="B129" s="222" t="n"/>
      <c r="C129" s="220" t="n"/>
      <c r="D129" s="220" t="n"/>
      <c r="E129" s="220" t="n"/>
      <c r="F129" s="220" t="n"/>
      <c r="G129" s="169">
        <f>IFERROR((D129-F129)/C129*100,"")</f>
        <v/>
      </c>
      <c r="H129" s="219" t="n"/>
      <c r="I129" s="220" t="n"/>
      <c r="J129" s="221">
        <f>IF(COUNTA(A129:F129)=0,"",IF(OR(C129&lt;0,D129&lt;0,E129&lt;0,F129&lt;0),"ERRO: valor negativo",IF(C129&lt;&gt;SUM(D129:F129),"ERRO: categorias diferem dos respondentes",IF(COUNTIFS($A$5:$A$1200,A129,$B$5:$B$1200,B129)&gt;1,"ERRO: período e curso duplicados","OK"))))</f>
        <v/>
      </c>
    </row>
    <row r="130" ht="15" customHeight="1" s="131">
      <c r="A130" s="220" t="n"/>
      <c r="B130" s="222" t="n"/>
      <c r="C130" s="220" t="n"/>
      <c r="D130" s="220" t="n"/>
      <c r="E130" s="220" t="n"/>
      <c r="F130" s="220" t="n"/>
      <c r="G130" s="169">
        <f>IFERROR((D130-F130)/C130*100,"")</f>
        <v/>
      </c>
      <c r="H130" s="219" t="n"/>
      <c r="I130" s="220" t="n"/>
      <c r="J130" s="221">
        <f>IF(COUNTA(A130:F130)=0,"",IF(OR(C130&lt;0,D130&lt;0,E130&lt;0,F130&lt;0),"ERRO: valor negativo",IF(C130&lt;&gt;SUM(D130:F130),"ERRO: categorias diferem dos respondentes",IF(COUNTIFS($A$5:$A$1200,A130,$B$5:$B$1200,B130)&gt;1,"ERRO: período e curso duplicados","OK"))))</f>
        <v/>
      </c>
    </row>
    <row r="131" ht="15" customHeight="1" s="131">
      <c r="A131" s="220" t="n"/>
      <c r="B131" s="222" t="n"/>
      <c r="C131" s="220" t="n"/>
      <c r="D131" s="220" t="n"/>
      <c r="E131" s="220" t="n"/>
      <c r="F131" s="220" t="n"/>
      <c r="G131" s="169">
        <f>IFERROR((D131-F131)/C131*100,"")</f>
        <v/>
      </c>
      <c r="H131" s="219" t="n"/>
      <c r="I131" s="220" t="n"/>
      <c r="J131" s="221">
        <f>IF(COUNTA(A131:F131)=0,"",IF(OR(C131&lt;0,D131&lt;0,E131&lt;0,F131&lt;0),"ERRO: valor negativo",IF(C131&lt;&gt;SUM(D131:F131),"ERRO: categorias diferem dos respondentes",IF(COUNTIFS($A$5:$A$1200,A131,$B$5:$B$1200,B131)&gt;1,"ERRO: período e curso duplicados","OK"))))</f>
        <v/>
      </c>
    </row>
    <row r="132" ht="15" customHeight="1" s="131">
      <c r="A132" s="220" t="n"/>
      <c r="B132" s="222" t="n"/>
      <c r="C132" s="220" t="n"/>
      <c r="D132" s="220" t="n"/>
      <c r="E132" s="220" t="n"/>
      <c r="F132" s="220" t="n"/>
      <c r="G132" s="169">
        <f>IFERROR((D132-F132)/C132*100,"")</f>
        <v/>
      </c>
      <c r="H132" s="219" t="n"/>
      <c r="I132" s="220" t="n"/>
      <c r="J132" s="221">
        <f>IF(COUNTA(A132:F132)=0,"",IF(OR(C132&lt;0,D132&lt;0,E132&lt;0,F132&lt;0),"ERRO: valor negativo",IF(C132&lt;&gt;SUM(D132:F132),"ERRO: categorias diferem dos respondentes",IF(COUNTIFS($A$5:$A$1200,A132,$B$5:$B$1200,B132)&gt;1,"ERRO: período e curso duplicados","OK"))))</f>
        <v/>
      </c>
    </row>
    <row r="133" ht="15" customHeight="1" s="131">
      <c r="A133" s="220" t="n"/>
      <c r="B133" s="222" t="n"/>
      <c r="C133" s="220" t="n"/>
      <c r="D133" s="220" t="n"/>
      <c r="E133" s="220" t="n"/>
      <c r="F133" s="220" t="n"/>
      <c r="G133" s="169">
        <f>IFERROR((D133-F133)/C133*100,"")</f>
        <v/>
      </c>
      <c r="H133" s="219" t="n"/>
      <c r="I133" s="220" t="n"/>
      <c r="J133" s="221">
        <f>IF(COUNTA(A133:F133)=0,"",IF(OR(C133&lt;0,D133&lt;0,E133&lt;0,F133&lt;0),"ERRO: valor negativo",IF(C133&lt;&gt;SUM(D133:F133),"ERRO: categorias diferem dos respondentes",IF(COUNTIFS($A$5:$A$1200,A133,$B$5:$B$1200,B133)&gt;1,"ERRO: período e curso duplicados","OK"))))</f>
        <v/>
      </c>
    </row>
    <row r="134" ht="15" customHeight="1" s="131">
      <c r="A134" s="220" t="n"/>
      <c r="B134" s="222" t="n"/>
      <c r="C134" s="220" t="n"/>
      <c r="D134" s="220" t="n"/>
      <c r="E134" s="220" t="n"/>
      <c r="F134" s="220" t="n"/>
      <c r="G134" s="169">
        <f>IFERROR((D134-F134)/C134*100,"")</f>
        <v/>
      </c>
      <c r="H134" s="219" t="n"/>
      <c r="I134" s="220" t="n"/>
      <c r="J134" s="221">
        <f>IF(COUNTA(A134:F134)=0,"",IF(OR(C134&lt;0,D134&lt;0,E134&lt;0,F134&lt;0),"ERRO: valor negativo",IF(C134&lt;&gt;SUM(D134:F134),"ERRO: categorias diferem dos respondentes",IF(COUNTIFS($A$5:$A$1200,A134,$B$5:$B$1200,B134)&gt;1,"ERRO: período e curso duplicados","OK"))))</f>
        <v/>
      </c>
    </row>
    <row r="135" ht="15" customHeight="1" s="131">
      <c r="A135" s="220" t="n"/>
      <c r="B135" s="222" t="n"/>
      <c r="C135" s="220" t="n"/>
      <c r="D135" s="220" t="n"/>
      <c r="E135" s="220" t="n"/>
      <c r="F135" s="220" t="n"/>
      <c r="G135" s="169">
        <f>IFERROR((D135-F135)/C135*100,"")</f>
        <v/>
      </c>
      <c r="H135" s="219" t="n"/>
      <c r="I135" s="220" t="n"/>
      <c r="J135" s="221">
        <f>IF(COUNTA(A135:F135)=0,"",IF(OR(C135&lt;0,D135&lt;0,E135&lt;0,F135&lt;0),"ERRO: valor negativo",IF(C135&lt;&gt;SUM(D135:F135),"ERRO: categorias diferem dos respondentes",IF(COUNTIFS($A$5:$A$1200,A135,$B$5:$B$1200,B135)&gt;1,"ERRO: período e curso duplicados","OK"))))</f>
        <v/>
      </c>
    </row>
    <row r="136" ht="15" customHeight="1" s="131">
      <c r="A136" s="220" t="n"/>
      <c r="B136" s="222" t="n"/>
      <c r="C136" s="220" t="n"/>
      <c r="D136" s="220" t="n"/>
      <c r="E136" s="220" t="n"/>
      <c r="F136" s="220" t="n"/>
      <c r="G136" s="169">
        <f>IFERROR((D136-F136)/C136*100,"")</f>
        <v/>
      </c>
      <c r="H136" s="219" t="n"/>
      <c r="I136" s="220" t="n"/>
      <c r="J136" s="221">
        <f>IF(COUNTA(A136:F136)=0,"",IF(OR(C136&lt;0,D136&lt;0,E136&lt;0,F136&lt;0),"ERRO: valor negativo",IF(C136&lt;&gt;SUM(D136:F136),"ERRO: categorias diferem dos respondentes",IF(COUNTIFS($A$5:$A$1200,A136,$B$5:$B$1200,B136)&gt;1,"ERRO: período e curso duplicados","OK"))))</f>
        <v/>
      </c>
    </row>
    <row r="137" ht="15" customHeight="1" s="131">
      <c r="A137" s="220" t="n"/>
      <c r="B137" s="222" t="n"/>
      <c r="C137" s="220" t="n"/>
      <c r="D137" s="220" t="n"/>
      <c r="E137" s="220" t="n"/>
      <c r="F137" s="220" t="n"/>
      <c r="G137" s="169">
        <f>IFERROR((D137-F137)/C137*100,"")</f>
        <v/>
      </c>
      <c r="H137" s="219" t="n"/>
      <c r="I137" s="220" t="n"/>
      <c r="J137" s="221">
        <f>IF(COUNTA(A137:F137)=0,"",IF(OR(C137&lt;0,D137&lt;0,E137&lt;0,F137&lt;0),"ERRO: valor negativo",IF(C137&lt;&gt;SUM(D137:F137),"ERRO: categorias diferem dos respondentes",IF(COUNTIFS($A$5:$A$1200,A137,$B$5:$B$1200,B137)&gt;1,"ERRO: período e curso duplicados","OK"))))</f>
        <v/>
      </c>
    </row>
    <row r="138" ht="15" customHeight="1" s="131">
      <c r="A138" s="220" t="n"/>
      <c r="B138" s="222" t="n"/>
      <c r="C138" s="220" t="n"/>
      <c r="D138" s="220" t="n"/>
      <c r="E138" s="220" t="n"/>
      <c r="F138" s="220" t="n"/>
      <c r="G138" s="169">
        <f>IFERROR((D138-F138)/C138*100,"")</f>
        <v/>
      </c>
      <c r="H138" s="219" t="n"/>
      <c r="I138" s="220" t="n"/>
      <c r="J138" s="221">
        <f>IF(COUNTA(A138:F138)=0,"",IF(OR(C138&lt;0,D138&lt;0,E138&lt;0,F138&lt;0),"ERRO: valor negativo",IF(C138&lt;&gt;SUM(D138:F138),"ERRO: categorias diferem dos respondentes",IF(COUNTIFS($A$5:$A$1200,A138,$B$5:$B$1200,B138)&gt;1,"ERRO: período e curso duplicados","OK"))))</f>
        <v/>
      </c>
    </row>
    <row r="139" ht="15" customHeight="1" s="131">
      <c r="A139" s="220" t="n"/>
      <c r="B139" s="222" t="n"/>
      <c r="C139" s="220" t="n"/>
      <c r="D139" s="220" t="n"/>
      <c r="E139" s="220" t="n"/>
      <c r="F139" s="220" t="n"/>
      <c r="G139" s="169">
        <f>IFERROR((D139-F139)/C139*100,"")</f>
        <v/>
      </c>
      <c r="H139" s="219" t="n"/>
      <c r="I139" s="220" t="n"/>
      <c r="J139" s="221">
        <f>IF(COUNTA(A139:F139)=0,"",IF(OR(C139&lt;0,D139&lt;0,E139&lt;0,F139&lt;0),"ERRO: valor negativo",IF(C139&lt;&gt;SUM(D139:F139),"ERRO: categorias diferem dos respondentes",IF(COUNTIFS($A$5:$A$1200,A139,$B$5:$B$1200,B139)&gt;1,"ERRO: período e curso duplicados","OK"))))</f>
        <v/>
      </c>
    </row>
    <row r="140" ht="15" customHeight="1" s="131">
      <c r="A140" s="220" t="n"/>
      <c r="B140" s="222" t="n"/>
      <c r="C140" s="220" t="n"/>
      <c r="D140" s="220" t="n"/>
      <c r="E140" s="220" t="n"/>
      <c r="F140" s="220" t="n"/>
      <c r="G140" s="169">
        <f>IFERROR((D140-F140)/C140*100,"")</f>
        <v/>
      </c>
      <c r="H140" s="219" t="n"/>
      <c r="I140" s="220" t="n"/>
      <c r="J140" s="221">
        <f>IF(COUNTA(A140:F140)=0,"",IF(OR(C140&lt;0,D140&lt;0,E140&lt;0,F140&lt;0),"ERRO: valor negativo",IF(C140&lt;&gt;SUM(D140:F140),"ERRO: categorias diferem dos respondentes",IF(COUNTIFS($A$5:$A$1200,A140,$B$5:$B$1200,B140)&gt;1,"ERRO: período e curso duplicados","OK"))))</f>
        <v/>
      </c>
    </row>
    <row r="141" ht="15" customHeight="1" s="131">
      <c r="A141" s="220" t="n"/>
      <c r="B141" s="222" t="n"/>
      <c r="C141" s="220" t="n"/>
      <c r="D141" s="220" t="n"/>
      <c r="E141" s="220" t="n"/>
      <c r="F141" s="220" t="n"/>
      <c r="G141" s="169">
        <f>IFERROR((D141-F141)/C141*100,"")</f>
        <v/>
      </c>
      <c r="H141" s="219" t="n"/>
      <c r="I141" s="220" t="n"/>
      <c r="J141" s="221">
        <f>IF(COUNTA(A141:F141)=0,"",IF(OR(C141&lt;0,D141&lt;0,E141&lt;0,F141&lt;0),"ERRO: valor negativo",IF(C141&lt;&gt;SUM(D141:F141),"ERRO: categorias diferem dos respondentes",IF(COUNTIFS($A$5:$A$1200,A141,$B$5:$B$1200,B141)&gt;1,"ERRO: período e curso duplicados","OK"))))</f>
        <v/>
      </c>
    </row>
    <row r="142" ht="15" customHeight="1" s="131">
      <c r="A142" s="220" t="n"/>
      <c r="B142" s="222" t="n"/>
      <c r="C142" s="220" t="n"/>
      <c r="D142" s="220" t="n"/>
      <c r="E142" s="220" t="n"/>
      <c r="F142" s="220" t="n"/>
      <c r="G142" s="169">
        <f>IFERROR((D142-F142)/C142*100,"")</f>
        <v/>
      </c>
      <c r="H142" s="219" t="n"/>
      <c r="I142" s="220" t="n"/>
      <c r="J142" s="221">
        <f>IF(COUNTA(A142:F142)=0,"",IF(OR(C142&lt;0,D142&lt;0,E142&lt;0,F142&lt;0),"ERRO: valor negativo",IF(C142&lt;&gt;SUM(D142:F142),"ERRO: categorias diferem dos respondentes",IF(COUNTIFS($A$5:$A$1200,A142,$B$5:$B$1200,B142)&gt;1,"ERRO: período e curso duplicados","OK"))))</f>
        <v/>
      </c>
    </row>
    <row r="143" ht="15" customHeight="1" s="131">
      <c r="A143" s="220" t="n"/>
      <c r="B143" s="222" t="n"/>
      <c r="C143" s="220" t="n"/>
      <c r="D143" s="220" t="n"/>
      <c r="E143" s="220" t="n"/>
      <c r="F143" s="220" t="n"/>
      <c r="G143" s="169">
        <f>IFERROR((D143-F143)/C143*100,"")</f>
        <v/>
      </c>
      <c r="H143" s="219" t="n"/>
      <c r="I143" s="220" t="n"/>
      <c r="J143" s="221">
        <f>IF(COUNTA(A143:F143)=0,"",IF(OR(C143&lt;0,D143&lt;0,E143&lt;0,F143&lt;0),"ERRO: valor negativo",IF(C143&lt;&gt;SUM(D143:F143),"ERRO: categorias diferem dos respondentes",IF(COUNTIFS($A$5:$A$1200,A143,$B$5:$B$1200,B143)&gt;1,"ERRO: período e curso duplicados","OK"))))</f>
        <v/>
      </c>
    </row>
    <row r="144" ht="15" customHeight="1" s="131">
      <c r="A144" s="220" t="n"/>
      <c r="B144" s="222" t="n"/>
      <c r="C144" s="220" t="n"/>
      <c r="D144" s="220" t="n"/>
      <c r="E144" s="220" t="n"/>
      <c r="F144" s="220" t="n"/>
      <c r="G144" s="169">
        <f>IFERROR((D144-F144)/C144*100,"")</f>
        <v/>
      </c>
      <c r="H144" s="219" t="n"/>
      <c r="I144" s="220" t="n"/>
      <c r="J144" s="221">
        <f>IF(COUNTA(A144:F144)=0,"",IF(OR(C144&lt;0,D144&lt;0,E144&lt;0,F144&lt;0),"ERRO: valor negativo",IF(C144&lt;&gt;SUM(D144:F144),"ERRO: categorias diferem dos respondentes",IF(COUNTIFS($A$5:$A$1200,A144,$B$5:$B$1200,B144)&gt;1,"ERRO: período e curso duplicados","OK"))))</f>
        <v/>
      </c>
    </row>
    <row r="145" ht="15" customHeight="1" s="131">
      <c r="A145" s="220" t="n"/>
      <c r="B145" s="222" t="n"/>
      <c r="C145" s="220" t="n"/>
      <c r="D145" s="220" t="n"/>
      <c r="E145" s="220" t="n"/>
      <c r="F145" s="220" t="n"/>
      <c r="G145" s="169">
        <f>IFERROR((D145-F145)/C145*100,"")</f>
        <v/>
      </c>
      <c r="H145" s="219" t="n"/>
      <c r="I145" s="220" t="n"/>
      <c r="J145" s="221">
        <f>IF(COUNTA(A145:F145)=0,"",IF(OR(C145&lt;0,D145&lt;0,E145&lt;0,F145&lt;0),"ERRO: valor negativo",IF(C145&lt;&gt;SUM(D145:F145),"ERRO: categorias diferem dos respondentes",IF(COUNTIFS($A$5:$A$1200,A145,$B$5:$B$1200,B145)&gt;1,"ERRO: período e curso duplicados","OK"))))</f>
        <v/>
      </c>
    </row>
    <row r="146" ht="15" customHeight="1" s="131">
      <c r="A146" s="220" t="n"/>
      <c r="B146" s="222" t="n"/>
      <c r="C146" s="220" t="n"/>
      <c r="D146" s="220" t="n"/>
      <c r="E146" s="220" t="n"/>
      <c r="F146" s="220" t="n"/>
      <c r="G146" s="169">
        <f>IFERROR((D146-F146)/C146*100,"")</f>
        <v/>
      </c>
      <c r="H146" s="219" t="n"/>
      <c r="I146" s="220" t="n"/>
      <c r="J146" s="221">
        <f>IF(COUNTA(A146:F146)=0,"",IF(OR(C146&lt;0,D146&lt;0,E146&lt;0,F146&lt;0),"ERRO: valor negativo",IF(C146&lt;&gt;SUM(D146:F146),"ERRO: categorias diferem dos respondentes",IF(COUNTIFS($A$5:$A$1200,A146,$B$5:$B$1200,B146)&gt;1,"ERRO: período e curso duplicados","OK"))))</f>
        <v/>
      </c>
    </row>
    <row r="147" ht="15" customHeight="1" s="131">
      <c r="A147" s="220" t="n"/>
      <c r="B147" s="222" t="n"/>
      <c r="C147" s="220" t="n"/>
      <c r="D147" s="220" t="n"/>
      <c r="E147" s="220" t="n"/>
      <c r="F147" s="220" t="n"/>
      <c r="G147" s="169">
        <f>IFERROR((D147-F147)/C147*100,"")</f>
        <v/>
      </c>
      <c r="H147" s="219" t="n"/>
      <c r="I147" s="220" t="n"/>
      <c r="J147" s="221">
        <f>IF(COUNTA(A147:F147)=0,"",IF(OR(C147&lt;0,D147&lt;0,E147&lt;0,F147&lt;0),"ERRO: valor negativo",IF(C147&lt;&gt;SUM(D147:F147),"ERRO: categorias diferem dos respondentes",IF(COUNTIFS($A$5:$A$1200,A147,$B$5:$B$1200,B147)&gt;1,"ERRO: período e curso duplicados","OK"))))</f>
        <v/>
      </c>
    </row>
    <row r="148" ht="15" customHeight="1" s="131">
      <c r="A148" s="220" t="n"/>
      <c r="B148" s="222" t="n"/>
      <c r="C148" s="220" t="n"/>
      <c r="D148" s="220" t="n"/>
      <c r="E148" s="220" t="n"/>
      <c r="F148" s="220" t="n"/>
      <c r="G148" s="169">
        <f>IFERROR((D148-F148)/C148*100,"")</f>
        <v/>
      </c>
      <c r="H148" s="219" t="n"/>
      <c r="I148" s="220" t="n"/>
      <c r="J148" s="221">
        <f>IF(COUNTA(A148:F148)=0,"",IF(OR(C148&lt;0,D148&lt;0,E148&lt;0,F148&lt;0),"ERRO: valor negativo",IF(C148&lt;&gt;SUM(D148:F148),"ERRO: categorias diferem dos respondentes",IF(COUNTIFS($A$5:$A$1200,A148,$B$5:$B$1200,B148)&gt;1,"ERRO: período e curso duplicados","OK"))))</f>
        <v/>
      </c>
    </row>
    <row r="149" ht="15" customHeight="1" s="131">
      <c r="A149" s="220" t="n"/>
      <c r="B149" s="222" t="n"/>
      <c r="C149" s="220" t="n"/>
      <c r="D149" s="220" t="n"/>
      <c r="E149" s="220" t="n"/>
      <c r="F149" s="220" t="n"/>
      <c r="G149" s="169">
        <f>IFERROR((D149-F149)/C149*100,"")</f>
        <v/>
      </c>
      <c r="H149" s="219" t="n"/>
      <c r="I149" s="220" t="n"/>
      <c r="J149" s="221">
        <f>IF(COUNTA(A149:F149)=0,"",IF(OR(C149&lt;0,D149&lt;0,E149&lt;0,F149&lt;0),"ERRO: valor negativo",IF(C149&lt;&gt;SUM(D149:F149),"ERRO: categorias diferem dos respondentes",IF(COUNTIFS($A$5:$A$1200,A149,$B$5:$B$1200,B149)&gt;1,"ERRO: período e curso duplicados","OK"))))</f>
        <v/>
      </c>
    </row>
    <row r="150" ht="15" customHeight="1" s="131">
      <c r="A150" s="220" t="n"/>
      <c r="B150" s="222" t="n"/>
      <c r="C150" s="220" t="n"/>
      <c r="D150" s="220" t="n"/>
      <c r="E150" s="220" t="n"/>
      <c r="F150" s="220" t="n"/>
      <c r="G150" s="169">
        <f>IFERROR((D150-F150)/C150*100,"")</f>
        <v/>
      </c>
      <c r="H150" s="219" t="n"/>
      <c r="I150" s="220" t="n"/>
      <c r="J150" s="221">
        <f>IF(COUNTA(A150:F150)=0,"",IF(OR(C150&lt;0,D150&lt;0,E150&lt;0,F150&lt;0),"ERRO: valor negativo",IF(C150&lt;&gt;SUM(D150:F150),"ERRO: categorias diferem dos respondentes",IF(COUNTIFS($A$5:$A$1200,A150,$B$5:$B$1200,B150)&gt;1,"ERRO: período e curso duplicados","OK"))))</f>
        <v/>
      </c>
    </row>
    <row r="151" ht="15" customHeight="1" s="131">
      <c r="A151" s="220" t="n"/>
      <c r="B151" s="222" t="n"/>
      <c r="C151" s="220" t="n"/>
      <c r="D151" s="220" t="n"/>
      <c r="E151" s="220" t="n"/>
      <c r="F151" s="220" t="n"/>
      <c r="G151" s="169">
        <f>IFERROR((D151-F151)/C151*100,"")</f>
        <v/>
      </c>
      <c r="H151" s="219" t="n"/>
      <c r="I151" s="220" t="n"/>
      <c r="J151" s="221">
        <f>IF(COUNTA(A151:F151)=0,"",IF(OR(C151&lt;0,D151&lt;0,E151&lt;0,F151&lt;0),"ERRO: valor negativo",IF(C151&lt;&gt;SUM(D151:F151),"ERRO: categorias diferem dos respondentes",IF(COUNTIFS($A$5:$A$1200,A151,$B$5:$B$1200,B151)&gt;1,"ERRO: período e curso duplicados","OK"))))</f>
        <v/>
      </c>
    </row>
    <row r="152" ht="15" customHeight="1" s="131">
      <c r="A152" s="220" t="n"/>
      <c r="B152" s="222" t="n"/>
      <c r="C152" s="220" t="n"/>
      <c r="D152" s="220" t="n"/>
      <c r="E152" s="220" t="n"/>
      <c r="F152" s="220" t="n"/>
      <c r="G152" s="169">
        <f>IFERROR((D152-F152)/C152*100,"")</f>
        <v/>
      </c>
      <c r="H152" s="219" t="n"/>
      <c r="I152" s="220" t="n"/>
      <c r="J152" s="221">
        <f>IF(COUNTA(A152:F152)=0,"",IF(OR(C152&lt;0,D152&lt;0,E152&lt;0,F152&lt;0),"ERRO: valor negativo",IF(C152&lt;&gt;SUM(D152:F152),"ERRO: categorias diferem dos respondentes",IF(COUNTIFS($A$5:$A$1200,A152,$B$5:$B$1200,B152)&gt;1,"ERRO: período e curso duplicados","OK"))))</f>
        <v/>
      </c>
    </row>
    <row r="153" ht="15" customHeight="1" s="131">
      <c r="A153" s="220" t="n"/>
      <c r="B153" s="222" t="n"/>
      <c r="C153" s="220" t="n"/>
      <c r="D153" s="220" t="n"/>
      <c r="E153" s="220" t="n"/>
      <c r="F153" s="220" t="n"/>
      <c r="G153" s="169">
        <f>IFERROR((D153-F153)/C153*100,"")</f>
        <v/>
      </c>
      <c r="H153" s="219" t="n"/>
      <c r="I153" s="220" t="n"/>
      <c r="J153" s="221">
        <f>IF(COUNTA(A153:F153)=0,"",IF(OR(C153&lt;0,D153&lt;0,E153&lt;0,F153&lt;0),"ERRO: valor negativo",IF(C153&lt;&gt;SUM(D153:F153),"ERRO: categorias diferem dos respondentes",IF(COUNTIFS($A$5:$A$1200,A153,$B$5:$B$1200,B153)&gt;1,"ERRO: período e curso duplicados","OK"))))</f>
        <v/>
      </c>
    </row>
    <row r="154" ht="15" customHeight="1" s="131">
      <c r="A154" s="220" t="n"/>
      <c r="B154" s="222" t="n"/>
      <c r="C154" s="220" t="n"/>
      <c r="D154" s="220" t="n"/>
      <c r="E154" s="220" t="n"/>
      <c r="F154" s="220" t="n"/>
      <c r="G154" s="169">
        <f>IFERROR((D154-F154)/C154*100,"")</f>
        <v/>
      </c>
      <c r="H154" s="219" t="n"/>
      <c r="I154" s="220" t="n"/>
      <c r="J154" s="221">
        <f>IF(COUNTA(A154:F154)=0,"",IF(OR(C154&lt;0,D154&lt;0,E154&lt;0,F154&lt;0),"ERRO: valor negativo",IF(C154&lt;&gt;SUM(D154:F154),"ERRO: categorias diferem dos respondentes",IF(COUNTIFS($A$5:$A$1200,A154,$B$5:$B$1200,B154)&gt;1,"ERRO: período e curso duplicados","OK"))))</f>
        <v/>
      </c>
    </row>
    <row r="155" ht="15" customHeight="1" s="131">
      <c r="A155" s="220" t="n"/>
      <c r="B155" s="222" t="n"/>
      <c r="C155" s="220" t="n"/>
      <c r="D155" s="220" t="n"/>
      <c r="E155" s="220" t="n"/>
      <c r="F155" s="220" t="n"/>
      <c r="G155" s="169">
        <f>IFERROR((D155-F155)/C155*100,"")</f>
        <v/>
      </c>
      <c r="H155" s="219" t="n"/>
      <c r="I155" s="220" t="n"/>
      <c r="J155" s="221">
        <f>IF(COUNTA(A155:F155)=0,"",IF(OR(C155&lt;0,D155&lt;0,E155&lt;0,F155&lt;0),"ERRO: valor negativo",IF(C155&lt;&gt;SUM(D155:F155),"ERRO: categorias diferem dos respondentes",IF(COUNTIFS($A$5:$A$1200,A155,$B$5:$B$1200,B155)&gt;1,"ERRO: período e curso duplicados","OK"))))</f>
        <v/>
      </c>
    </row>
    <row r="156" ht="15" customHeight="1" s="131">
      <c r="A156" s="220" t="n"/>
      <c r="B156" s="222" t="n"/>
      <c r="C156" s="220" t="n"/>
      <c r="D156" s="220" t="n"/>
      <c r="E156" s="220" t="n"/>
      <c r="F156" s="220" t="n"/>
      <c r="G156" s="169">
        <f>IFERROR((D156-F156)/C156*100,"")</f>
        <v/>
      </c>
      <c r="H156" s="219" t="n"/>
      <c r="I156" s="220" t="n"/>
      <c r="J156" s="221">
        <f>IF(COUNTA(A156:F156)=0,"",IF(OR(C156&lt;0,D156&lt;0,E156&lt;0,F156&lt;0),"ERRO: valor negativo",IF(C156&lt;&gt;SUM(D156:F156),"ERRO: categorias diferem dos respondentes",IF(COUNTIFS($A$5:$A$1200,A156,$B$5:$B$1200,B156)&gt;1,"ERRO: período e curso duplicados","OK"))))</f>
        <v/>
      </c>
    </row>
    <row r="157" ht="15" customHeight="1" s="131">
      <c r="A157" s="220" t="n"/>
      <c r="B157" s="222" t="n"/>
      <c r="C157" s="220" t="n"/>
      <c r="D157" s="220" t="n"/>
      <c r="E157" s="220" t="n"/>
      <c r="F157" s="220" t="n"/>
      <c r="G157" s="169">
        <f>IFERROR((D157-F157)/C157*100,"")</f>
        <v/>
      </c>
      <c r="H157" s="219" t="n"/>
      <c r="I157" s="220" t="n"/>
      <c r="J157" s="221">
        <f>IF(COUNTA(A157:F157)=0,"",IF(OR(C157&lt;0,D157&lt;0,E157&lt;0,F157&lt;0),"ERRO: valor negativo",IF(C157&lt;&gt;SUM(D157:F157),"ERRO: categorias diferem dos respondentes",IF(COUNTIFS($A$5:$A$1200,A157,$B$5:$B$1200,B157)&gt;1,"ERRO: período e curso duplicados","OK"))))</f>
        <v/>
      </c>
    </row>
    <row r="158" ht="15" customHeight="1" s="131">
      <c r="A158" s="220" t="n"/>
      <c r="B158" s="222" t="n"/>
      <c r="C158" s="220" t="n"/>
      <c r="D158" s="220" t="n"/>
      <c r="E158" s="220" t="n"/>
      <c r="F158" s="220" t="n"/>
      <c r="G158" s="169">
        <f>IFERROR((D158-F158)/C158*100,"")</f>
        <v/>
      </c>
      <c r="H158" s="219" t="n"/>
      <c r="I158" s="220" t="n"/>
      <c r="J158" s="221">
        <f>IF(COUNTA(A158:F158)=0,"",IF(OR(C158&lt;0,D158&lt;0,E158&lt;0,F158&lt;0),"ERRO: valor negativo",IF(C158&lt;&gt;SUM(D158:F158),"ERRO: categorias diferem dos respondentes",IF(COUNTIFS($A$5:$A$1200,A158,$B$5:$B$1200,B158)&gt;1,"ERRO: período e curso duplicados","OK"))))</f>
        <v/>
      </c>
    </row>
    <row r="159" ht="15" customHeight="1" s="131">
      <c r="A159" s="220" t="n"/>
      <c r="B159" s="222" t="n"/>
      <c r="C159" s="220" t="n"/>
      <c r="D159" s="220" t="n"/>
      <c r="E159" s="220" t="n"/>
      <c r="F159" s="220" t="n"/>
      <c r="G159" s="169">
        <f>IFERROR((D159-F159)/C159*100,"")</f>
        <v/>
      </c>
      <c r="H159" s="219" t="n"/>
      <c r="I159" s="220" t="n"/>
      <c r="J159" s="221">
        <f>IF(COUNTA(A159:F159)=0,"",IF(OR(C159&lt;0,D159&lt;0,E159&lt;0,F159&lt;0),"ERRO: valor negativo",IF(C159&lt;&gt;SUM(D159:F159),"ERRO: categorias diferem dos respondentes",IF(COUNTIFS($A$5:$A$1200,A159,$B$5:$B$1200,B159)&gt;1,"ERRO: período e curso duplicados","OK"))))</f>
        <v/>
      </c>
    </row>
    <row r="160" ht="15" customHeight="1" s="131">
      <c r="A160" s="220" t="n"/>
      <c r="B160" s="222" t="n"/>
      <c r="C160" s="220" t="n"/>
      <c r="D160" s="220" t="n"/>
      <c r="E160" s="220" t="n"/>
      <c r="F160" s="220" t="n"/>
      <c r="G160" s="169">
        <f>IFERROR((D160-F160)/C160*100,"")</f>
        <v/>
      </c>
      <c r="H160" s="219" t="n"/>
      <c r="I160" s="220" t="n"/>
      <c r="J160" s="221">
        <f>IF(COUNTA(A160:F160)=0,"",IF(OR(C160&lt;0,D160&lt;0,E160&lt;0,F160&lt;0),"ERRO: valor negativo",IF(C160&lt;&gt;SUM(D160:F160),"ERRO: categorias diferem dos respondentes",IF(COUNTIFS($A$5:$A$1200,A160,$B$5:$B$1200,B160)&gt;1,"ERRO: período e curso duplicados","OK"))))</f>
        <v/>
      </c>
    </row>
    <row r="161" ht="15" customHeight="1" s="131">
      <c r="A161" s="220" t="n"/>
      <c r="B161" s="222" t="n"/>
      <c r="C161" s="220" t="n"/>
      <c r="D161" s="220" t="n"/>
      <c r="E161" s="220" t="n"/>
      <c r="F161" s="220" t="n"/>
      <c r="G161" s="169">
        <f>IFERROR((D161-F161)/C161*100,"")</f>
        <v/>
      </c>
      <c r="H161" s="219" t="n"/>
      <c r="I161" s="220" t="n"/>
      <c r="J161" s="221">
        <f>IF(COUNTA(A161:F161)=0,"",IF(OR(C161&lt;0,D161&lt;0,E161&lt;0,F161&lt;0),"ERRO: valor negativo",IF(C161&lt;&gt;SUM(D161:F161),"ERRO: categorias diferem dos respondentes",IF(COUNTIFS($A$5:$A$1200,A161,$B$5:$B$1200,B161)&gt;1,"ERRO: período e curso duplicados","OK"))))</f>
        <v/>
      </c>
    </row>
    <row r="162" ht="15" customHeight="1" s="131">
      <c r="A162" s="220" t="n"/>
      <c r="B162" s="222" t="n"/>
      <c r="C162" s="220" t="n"/>
      <c r="D162" s="220" t="n"/>
      <c r="E162" s="220" t="n"/>
      <c r="F162" s="220" t="n"/>
      <c r="G162" s="169">
        <f>IFERROR((D162-F162)/C162*100,"")</f>
        <v/>
      </c>
      <c r="H162" s="219" t="n"/>
      <c r="I162" s="220" t="n"/>
      <c r="J162" s="221">
        <f>IF(COUNTA(A162:F162)=0,"",IF(OR(C162&lt;0,D162&lt;0,E162&lt;0,F162&lt;0),"ERRO: valor negativo",IF(C162&lt;&gt;SUM(D162:F162),"ERRO: categorias diferem dos respondentes",IF(COUNTIFS($A$5:$A$1200,A162,$B$5:$B$1200,B162)&gt;1,"ERRO: período e curso duplicados","OK"))))</f>
        <v/>
      </c>
    </row>
    <row r="163" ht="15" customHeight="1" s="131">
      <c r="A163" s="220" t="n"/>
      <c r="B163" s="222" t="n"/>
      <c r="C163" s="220" t="n"/>
      <c r="D163" s="220" t="n"/>
      <c r="E163" s="220" t="n"/>
      <c r="F163" s="220" t="n"/>
      <c r="G163" s="169">
        <f>IFERROR((D163-F163)/C163*100,"")</f>
        <v/>
      </c>
      <c r="H163" s="219" t="n"/>
      <c r="I163" s="220" t="n"/>
      <c r="J163" s="221">
        <f>IF(COUNTA(A163:F163)=0,"",IF(OR(C163&lt;0,D163&lt;0,E163&lt;0,F163&lt;0),"ERRO: valor negativo",IF(C163&lt;&gt;SUM(D163:F163),"ERRO: categorias diferem dos respondentes",IF(COUNTIFS($A$5:$A$1200,A163,$B$5:$B$1200,B163)&gt;1,"ERRO: período e curso duplicados","OK"))))</f>
        <v/>
      </c>
    </row>
    <row r="164" ht="15" customHeight="1" s="131">
      <c r="A164" s="220" t="n"/>
      <c r="B164" s="222" t="n"/>
      <c r="C164" s="220" t="n"/>
      <c r="D164" s="220" t="n"/>
      <c r="E164" s="220" t="n"/>
      <c r="F164" s="220" t="n"/>
      <c r="G164" s="169">
        <f>IFERROR((D164-F164)/C164*100,"")</f>
        <v/>
      </c>
      <c r="H164" s="219" t="n"/>
      <c r="I164" s="220" t="n"/>
      <c r="J164" s="221">
        <f>IF(COUNTA(A164:F164)=0,"",IF(OR(C164&lt;0,D164&lt;0,E164&lt;0,F164&lt;0),"ERRO: valor negativo",IF(C164&lt;&gt;SUM(D164:F164),"ERRO: categorias diferem dos respondentes",IF(COUNTIFS($A$5:$A$1200,A164,$B$5:$B$1200,B164)&gt;1,"ERRO: período e curso duplicados","OK"))))</f>
        <v/>
      </c>
    </row>
    <row r="165" ht="15" customHeight="1" s="131">
      <c r="A165" s="220" t="n"/>
      <c r="B165" s="222" t="n"/>
      <c r="C165" s="220" t="n"/>
      <c r="D165" s="220" t="n"/>
      <c r="E165" s="220" t="n"/>
      <c r="F165" s="220" t="n"/>
      <c r="G165" s="169">
        <f>IFERROR((D165-F165)/C165*100,"")</f>
        <v/>
      </c>
      <c r="H165" s="219" t="n"/>
      <c r="I165" s="220" t="n"/>
      <c r="J165" s="221">
        <f>IF(COUNTA(A165:F165)=0,"",IF(OR(C165&lt;0,D165&lt;0,E165&lt;0,F165&lt;0),"ERRO: valor negativo",IF(C165&lt;&gt;SUM(D165:F165),"ERRO: categorias diferem dos respondentes",IF(COUNTIFS($A$5:$A$1200,A165,$B$5:$B$1200,B165)&gt;1,"ERRO: período e curso duplicados","OK"))))</f>
        <v/>
      </c>
    </row>
    <row r="166" ht="15" customHeight="1" s="131">
      <c r="A166" s="220" t="n"/>
      <c r="B166" s="222" t="n"/>
      <c r="C166" s="220" t="n"/>
      <c r="D166" s="220" t="n"/>
      <c r="E166" s="220" t="n"/>
      <c r="F166" s="220" t="n"/>
      <c r="G166" s="169">
        <f>IFERROR((D166-F166)/C166*100,"")</f>
        <v/>
      </c>
      <c r="H166" s="219" t="n"/>
      <c r="I166" s="220" t="n"/>
      <c r="J166" s="221">
        <f>IF(COUNTA(A166:F166)=0,"",IF(OR(C166&lt;0,D166&lt;0,E166&lt;0,F166&lt;0),"ERRO: valor negativo",IF(C166&lt;&gt;SUM(D166:F166),"ERRO: categorias diferem dos respondentes",IF(COUNTIFS($A$5:$A$1200,A166,$B$5:$B$1200,B166)&gt;1,"ERRO: período e curso duplicados","OK"))))</f>
        <v/>
      </c>
    </row>
    <row r="167" ht="15" customHeight="1" s="131">
      <c r="A167" s="220" t="n"/>
      <c r="B167" s="222" t="n"/>
      <c r="C167" s="220" t="n"/>
      <c r="D167" s="220" t="n"/>
      <c r="E167" s="220" t="n"/>
      <c r="F167" s="220" t="n"/>
      <c r="G167" s="169">
        <f>IFERROR((D167-F167)/C167*100,"")</f>
        <v/>
      </c>
      <c r="H167" s="219" t="n"/>
      <c r="I167" s="220" t="n"/>
      <c r="J167" s="221">
        <f>IF(COUNTA(A167:F167)=0,"",IF(OR(C167&lt;0,D167&lt;0,E167&lt;0,F167&lt;0),"ERRO: valor negativo",IF(C167&lt;&gt;SUM(D167:F167),"ERRO: categorias diferem dos respondentes",IF(COUNTIFS($A$5:$A$1200,A167,$B$5:$B$1200,B167)&gt;1,"ERRO: período e curso duplicados","OK"))))</f>
        <v/>
      </c>
    </row>
    <row r="168" ht="15" customHeight="1" s="131">
      <c r="A168" s="220" t="n"/>
      <c r="B168" s="222" t="n"/>
      <c r="C168" s="220" t="n"/>
      <c r="D168" s="220" t="n"/>
      <c r="E168" s="220" t="n"/>
      <c r="F168" s="220" t="n"/>
      <c r="G168" s="169">
        <f>IFERROR((D168-F168)/C168*100,"")</f>
        <v/>
      </c>
      <c r="H168" s="219" t="n"/>
      <c r="I168" s="220" t="n"/>
      <c r="J168" s="221">
        <f>IF(COUNTA(A168:F168)=0,"",IF(OR(C168&lt;0,D168&lt;0,E168&lt;0,F168&lt;0),"ERRO: valor negativo",IF(C168&lt;&gt;SUM(D168:F168),"ERRO: categorias diferem dos respondentes",IF(COUNTIFS($A$5:$A$1200,A168,$B$5:$B$1200,B168)&gt;1,"ERRO: período e curso duplicados","OK"))))</f>
        <v/>
      </c>
    </row>
    <row r="169" ht="15" customHeight="1" s="131">
      <c r="A169" s="220" t="n"/>
      <c r="B169" s="222" t="n"/>
      <c r="C169" s="220" t="n"/>
      <c r="D169" s="220" t="n"/>
      <c r="E169" s="220" t="n"/>
      <c r="F169" s="220" t="n"/>
      <c r="G169" s="169">
        <f>IFERROR((D169-F169)/C169*100,"")</f>
        <v/>
      </c>
      <c r="H169" s="219" t="n"/>
      <c r="I169" s="220" t="n"/>
      <c r="J169" s="221">
        <f>IF(COUNTA(A169:F169)=0,"",IF(OR(C169&lt;0,D169&lt;0,E169&lt;0,F169&lt;0),"ERRO: valor negativo",IF(C169&lt;&gt;SUM(D169:F169),"ERRO: categorias diferem dos respondentes",IF(COUNTIFS($A$5:$A$1200,A169,$B$5:$B$1200,B169)&gt;1,"ERRO: período e curso duplicados","OK"))))</f>
        <v/>
      </c>
    </row>
    <row r="170" ht="15" customHeight="1" s="131">
      <c r="A170" s="220" t="n"/>
      <c r="B170" s="222" t="n"/>
      <c r="C170" s="220" t="n"/>
      <c r="D170" s="220" t="n"/>
      <c r="E170" s="220" t="n"/>
      <c r="F170" s="220" t="n"/>
      <c r="G170" s="169">
        <f>IFERROR((D170-F170)/C170*100,"")</f>
        <v/>
      </c>
      <c r="H170" s="219" t="n"/>
      <c r="I170" s="220" t="n"/>
      <c r="J170" s="221">
        <f>IF(COUNTA(A170:F170)=0,"",IF(OR(C170&lt;0,D170&lt;0,E170&lt;0,F170&lt;0),"ERRO: valor negativo",IF(C170&lt;&gt;SUM(D170:F170),"ERRO: categorias diferem dos respondentes",IF(COUNTIFS($A$5:$A$1200,A170,$B$5:$B$1200,B170)&gt;1,"ERRO: período e curso duplicados","OK"))))</f>
        <v/>
      </c>
    </row>
    <row r="171" ht="15" customHeight="1" s="131">
      <c r="A171" s="220" t="n"/>
      <c r="B171" s="222" t="n"/>
      <c r="C171" s="220" t="n"/>
      <c r="D171" s="220" t="n"/>
      <c r="E171" s="220" t="n"/>
      <c r="F171" s="220" t="n"/>
      <c r="G171" s="169">
        <f>IFERROR((D171-F171)/C171*100,"")</f>
        <v/>
      </c>
      <c r="H171" s="219" t="n"/>
      <c r="I171" s="220" t="n"/>
      <c r="J171" s="221">
        <f>IF(COUNTA(A171:F171)=0,"",IF(OR(C171&lt;0,D171&lt;0,E171&lt;0,F171&lt;0),"ERRO: valor negativo",IF(C171&lt;&gt;SUM(D171:F171),"ERRO: categorias diferem dos respondentes",IF(COUNTIFS($A$5:$A$1200,A171,$B$5:$B$1200,B171)&gt;1,"ERRO: período e curso duplicados","OK"))))</f>
        <v/>
      </c>
    </row>
    <row r="172" ht="15" customHeight="1" s="131">
      <c r="A172" s="220" t="n"/>
      <c r="B172" s="222" t="n"/>
      <c r="C172" s="220" t="n"/>
      <c r="D172" s="220" t="n"/>
      <c r="E172" s="220" t="n"/>
      <c r="F172" s="220" t="n"/>
      <c r="G172" s="169">
        <f>IFERROR((D172-F172)/C172*100,"")</f>
        <v/>
      </c>
      <c r="H172" s="219" t="n"/>
      <c r="I172" s="220" t="n"/>
      <c r="J172" s="221">
        <f>IF(COUNTA(A172:F172)=0,"",IF(OR(C172&lt;0,D172&lt;0,E172&lt;0,F172&lt;0),"ERRO: valor negativo",IF(C172&lt;&gt;SUM(D172:F172),"ERRO: categorias diferem dos respondentes",IF(COUNTIFS($A$5:$A$1200,A172,$B$5:$B$1200,B172)&gt;1,"ERRO: período e curso duplicados","OK"))))</f>
        <v/>
      </c>
    </row>
    <row r="173" ht="15" customHeight="1" s="131">
      <c r="A173" s="220" t="n"/>
      <c r="B173" s="222" t="n"/>
      <c r="C173" s="220" t="n"/>
      <c r="D173" s="220" t="n"/>
      <c r="E173" s="220" t="n"/>
      <c r="F173" s="220" t="n"/>
      <c r="G173" s="169">
        <f>IFERROR((D173-F173)/C173*100,"")</f>
        <v/>
      </c>
      <c r="H173" s="219" t="n"/>
      <c r="I173" s="220" t="n"/>
      <c r="J173" s="221">
        <f>IF(COUNTA(A173:F173)=0,"",IF(OR(C173&lt;0,D173&lt;0,E173&lt;0,F173&lt;0),"ERRO: valor negativo",IF(C173&lt;&gt;SUM(D173:F173),"ERRO: categorias diferem dos respondentes",IF(COUNTIFS($A$5:$A$1200,A173,$B$5:$B$1200,B173)&gt;1,"ERRO: período e curso duplicados","OK"))))</f>
        <v/>
      </c>
    </row>
    <row r="174" ht="15" customHeight="1" s="131">
      <c r="A174" s="220" t="n"/>
      <c r="B174" s="222" t="n"/>
      <c r="C174" s="220" t="n"/>
      <c r="D174" s="220" t="n"/>
      <c r="E174" s="220" t="n"/>
      <c r="F174" s="220" t="n"/>
      <c r="G174" s="169">
        <f>IFERROR((D174-F174)/C174*100,"")</f>
        <v/>
      </c>
      <c r="H174" s="219" t="n"/>
      <c r="I174" s="220" t="n"/>
      <c r="J174" s="221">
        <f>IF(COUNTA(A174:F174)=0,"",IF(OR(C174&lt;0,D174&lt;0,E174&lt;0,F174&lt;0),"ERRO: valor negativo",IF(C174&lt;&gt;SUM(D174:F174),"ERRO: categorias diferem dos respondentes",IF(COUNTIFS($A$5:$A$1200,A174,$B$5:$B$1200,B174)&gt;1,"ERRO: período e curso duplicados","OK"))))</f>
        <v/>
      </c>
    </row>
    <row r="175" ht="15" customHeight="1" s="131">
      <c r="A175" s="220" t="n"/>
      <c r="B175" s="222" t="n"/>
      <c r="C175" s="220" t="n"/>
      <c r="D175" s="220" t="n"/>
      <c r="E175" s="220" t="n"/>
      <c r="F175" s="220" t="n"/>
      <c r="G175" s="169">
        <f>IFERROR((D175-F175)/C175*100,"")</f>
        <v/>
      </c>
      <c r="H175" s="219" t="n"/>
      <c r="I175" s="220" t="n"/>
      <c r="J175" s="221">
        <f>IF(COUNTA(A175:F175)=0,"",IF(OR(C175&lt;0,D175&lt;0,E175&lt;0,F175&lt;0),"ERRO: valor negativo",IF(C175&lt;&gt;SUM(D175:F175),"ERRO: categorias diferem dos respondentes",IF(COUNTIFS($A$5:$A$1200,A175,$B$5:$B$1200,B175)&gt;1,"ERRO: período e curso duplicados","OK"))))</f>
        <v/>
      </c>
    </row>
    <row r="176" ht="15" customHeight="1" s="131">
      <c r="A176" s="220" t="n"/>
      <c r="B176" s="222" t="n"/>
      <c r="C176" s="220" t="n"/>
      <c r="D176" s="220" t="n"/>
      <c r="E176" s="220" t="n"/>
      <c r="F176" s="220" t="n"/>
      <c r="G176" s="169">
        <f>IFERROR((D176-F176)/C176*100,"")</f>
        <v/>
      </c>
      <c r="H176" s="219" t="n"/>
      <c r="I176" s="220" t="n"/>
      <c r="J176" s="221">
        <f>IF(COUNTA(A176:F176)=0,"",IF(OR(C176&lt;0,D176&lt;0,E176&lt;0,F176&lt;0),"ERRO: valor negativo",IF(C176&lt;&gt;SUM(D176:F176),"ERRO: categorias diferem dos respondentes",IF(COUNTIFS($A$5:$A$1200,A176,$B$5:$B$1200,B176)&gt;1,"ERRO: período e curso duplicados","OK"))))</f>
        <v/>
      </c>
    </row>
    <row r="177" ht="15" customHeight="1" s="131">
      <c r="A177" s="220" t="n"/>
      <c r="B177" s="222" t="n"/>
      <c r="C177" s="220" t="n"/>
      <c r="D177" s="220" t="n"/>
      <c r="E177" s="220" t="n"/>
      <c r="F177" s="220" t="n"/>
      <c r="G177" s="169">
        <f>IFERROR((D177-F177)/C177*100,"")</f>
        <v/>
      </c>
      <c r="H177" s="219" t="n"/>
      <c r="I177" s="220" t="n"/>
      <c r="J177" s="221">
        <f>IF(COUNTA(A177:F177)=0,"",IF(OR(C177&lt;0,D177&lt;0,E177&lt;0,F177&lt;0),"ERRO: valor negativo",IF(C177&lt;&gt;SUM(D177:F177),"ERRO: categorias diferem dos respondentes",IF(COUNTIFS($A$5:$A$1200,A177,$B$5:$B$1200,B177)&gt;1,"ERRO: período e curso duplicados","OK"))))</f>
        <v/>
      </c>
    </row>
    <row r="178" ht="15" customHeight="1" s="131">
      <c r="A178" s="220" t="n"/>
      <c r="B178" s="222" t="n"/>
      <c r="C178" s="220" t="n"/>
      <c r="D178" s="220" t="n"/>
      <c r="E178" s="220" t="n"/>
      <c r="F178" s="220" t="n"/>
      <c r="G178" s="169">
        <f>IFERROR((D178-F178)/C178*100,"")</f>
        <v/>
      </c>
      <c r="H178" s="219" t="n"/>
      <c r="I178" s="220" t="n"/>
      <c r="J178" s="221">
        <f>IF(COUNTA(A178:F178)=0,"",IF(OR(C178&lt;0,D178&lt;0,E178&lt;0,F178&lt;0),"ERRO: valor negativo",IF(C178&lt;&gt;SUM(D178:F178),"ERRO: categorias diferem dos respondentes",IF(COUNTIFS($A$5:$A$1200,A178,$B$5:$B$1200,B178)&gt;1,"ERRO: período e curso duplicados","OK"))))</f>
        <v/>
      </c>
    </row>
    <row r="179" ht="15" customHeight="1" s="131">
      <c r="A179" s="220" t="n"/>
      <c r="B179" s="222" t="n"/>
      <c r="C179" s="220" t="n"/>
      <c r="D179" s="220" t="n"/>
      <c r="E179" s="220" t="n"/>
      <c r="F179" s="220" t="n"/>
      <c r="G179" s="169">
        <f>IFERROR((D179-F179)/C179*100,"")</f>
        <v/>
      </c>
      <c r="H179" s="219" t="n"/>
      <c r="I179" s="220" t="n"/>
      <c r="J179" s="221">
        <f>IF(COUNTA(A179:F179)=0,"",IF(OR(C179&lt;0,D179&lt;0,E179&lt;0,F179&lt;0),"ERRO: valor negativo",IF(C179&lt;&gt;SUM(D179:F179),"ERRO: categorias diferem dos respondentes",IF(COUNTIFS($A$5:$A$1200,A179,$B$5:$B$1200,B179)&gt;1,"ERRO: período e curso duplicados","OK"))))</f>
        <v/>
      </c>
    </row>
    <row r="180" ht="15" customHeight="1" s="131">
      <c r="A180" s="220" t="n"/>
      <c r="B180" s="222" t="n"/>
      <c r="C180" s="220" t="n"/>
      <c r="D180" s="220" t="n"/>
      <c r="E180" s="220" t="n"/>
      <c r="F180" s="220" t="n"/>
      <c r="G180" s="169">
        <f>IFERROR((D180-F180)/C180*100,"")</f>
        <v/>
      </c>
      <c r="H180" s="219" t="n"/>
      <c r="I180" s="220" t="n"/>
      <c r="J180" s="221">
        <f>IF(COUNTA(A180:F180)=0,"",IF(OR(C180&lt;0,D180&lt;0,E180&lt;0,F180&lt;0),"ERRO: valor negativo",IF(C180&lt;&gt;SUM(D180:F180),"ERRO: categorias diferem dos respondentes",IF(COUNTIFS($A$5:$A$1200,A180,$B$5:$B$1200,B180)&gt;1,"ERRO: período e curso duplicados","OK"))))</f>
        <v/>
      </c>
    </row>
    <row r="181" ht="15" customHeight="1" s="131">
      <c r="A181" s="220" t="n"/>
      <c r="B181" s="222" t="n"/>
      <c r="C181" s="220" t="n"/>
      <c r="D181" s="220" t="n"/>
      <c r="E181" s="220" t="n"/>
      <c r="F181" s="220" t="n"/>
      <c r="G181" s="169">
        <f>IFERROR((D181-F181)/C181*100,"")</f>
        <v/>
      </c>
      <c r="H181" s="219" t="n"/>
      <c r="I181" s="220" t="n"/>
      <c r="J181" s="221">
        <f>IF(COUNTA(A181:F181)=0,"",IF(OR(C181&lt;0,D181&lt;0,E181&lt;0,F181&lt;0),"ERRO: valor negativo",IF(C181&lt;&gt;SUM(D181:F181),"ERRO: categorias diferem dos respondentes",IF(COUNTIFS($A$5:$A$1200,A181,$B$5:$B$1200,B181)&gt;1,"ERRO: período e curso duplicados","OK"))))</f>
        <v/>
      </c>
    </row>
    <row r="182" ht="15" customHeight="1" s="131">
      <c r="A182" s="220" t="n"/>
      <c r="B182" s="222" t="n"/>
      <c r="C182" s="220" t="n"/>
      <c r="D182" s="220" t="n"/>
      <c r="E182" s="220" t="n"/>
      <c r="F182" s="220" t="n"/>
      <c r="G182" s="169">
        <f>IFERROR((D182-F182)/C182*100,"")</f>
        <v/>
      </c>
      <c r="H182" s="219" t="n"/>
      <c r="I182" s="220" t="n"/>
      <c r="J182" s="221">
        <f>IF(COUNTA(A182:F182)=0,"",IF(OR(C182&lt;0,D182&lt;0,E182&lt;0,F182&lt;0),"ERRO: valor negativo",IF(C182&lt;&gt;SUM(D182:F182),"ERRO: categorias diferem dos respondentes",IF(COUNTIFS($A$5:$A$1200,A182,$B$5:$B$1200,B182)&gt;1,"ERRO: período e curso duplicados","OK"))))</f>
        <v/>
      </c>
    </row>
    <row r="183" ht="15" customHeight="1" s="131">
      <c r="A183" s="220" t="n"/>
      <c r="B183" s="222" t="n"/>
      <c r="C183" s="220" t="n"/>
      <c r="D183" s="220" t="n"/>
      <c r="E183" s="220" t="n"/>
      <c r="F183" s="220" t="n"/>
      <c r="G183" s="169">
        <f>IFERROR((D183-F183)/C183*100,"")</f>
        <v/>
      </c>
      <c r="H183" s="219" t="n"/>
      <c r="I183" s="220" t="n"/>
      <c r="J183" s="221">
        <f>IF(COUNTA(A183:F183)=0,"",IF(OR(C183&lt;0,D183&lt;0,E183&lt;0,F183&lt;0),"ERRO: valor negativo",IF(C183&lt;&gt;SUM(D183:F183),"ERRO: categorias diferem dos respondentes",IF(COUNTIFS($A$5:$A$1200,A183,$B$5:$B$1200,B183)&gt;1,"ERRO: período e curso duplicados","OK"))))</f>
        <v/>
      </c>
    </row>
    <row r="184" ht="15" customHeight="1" s="131">
      <c r="A184" s="220" t="n"/>
      <c r="B184" s="222" t="n"/>
      <c r="C184" s="220" t="n"/>
      <c r="D184" s="220" t="n"/>
      <c r="E184" s="220" t="n"/>
      <c r="F184" s="220" t="n"/>
      <c r="G184" s="169">
        <f>IFERROR((D184-F184)/C184*100,"")</f>
        <v/>
      </c>
      <c r="H184" s="219" t="n"/>
      <c r="I184" s="220" t="n"/>
      <c r="J184" s="221">
        <f>IF(COUNTA(A184:F184)=0,"",IF(OR(C184&lt;0,D184&lt;0,E184&lt;0,F184&lt;0),"ERRO: valor negativo",IF(C184&lt;&gt;SUM(D184:F184),"ERRO: categorias diferem dos respondentes",IF(COUNTIFS($A$5:$A$1200,A184,$B$5:$B$1200,B184)&gt;1,"ERRO: período e curso duplicados","OK"))))</f>
        <v/>
      </c>
    </row>
    <row r="185" ht="15" customHeight="1" s="131">
      <c r="A185" s="220" t="n"/>
      <c r="B185" s="222" t="n"/>
      <c r="C185" s="220" t="n"/>
      <c r="D185" s="220" t="n"/>
      <c r="E185" s="220" t="n"/>
      <c r="F185" s="220" t="n"/>
      <c r="G185" s="169">
        <f>IFERROR((D185-F185)/C185*100,"")</f>
        <v/>
      </c>
      <c r="H185" s="219" t="n"/>
      <c r="I185" s="220" t="n"/>
      <c r="J185" s="221">
        <f>IF(COUNTA(A185:F185)=0,"",IF(OR(C185&lt;0,D185&lt;0,E185&lt;0,F185&lt;0),"ERRO: valor negativo",IF(C185&lt;&gt;SUM(D185:F185),"ERRO: categorias diferem dos respondentes",IF(COUNTIFS($A$5:$A$1200,A185,$B$5:$B$1200,B185)&gt;1,"ERRO: período e curso duplicados","OK"))))</f>
        <v/>
      </c>
    </row>
    <row r="186" ht="15" customHeight="1" s="131">
      <c r="A186" s="220" t="n"/>
      <c r="B186" s="222" t="n"/>
      <c r="C186" s="220" t="n"/>
      <c r="D186" s="220" t="n"/>
      <c r="E186" s="220" t="n"/>
      <c r="F186" s="220" t="n"/>
      <c r="G186" s="169">
        <f>IFERROR((D186-F186)/C186*100,"")</f>
        <v/>
      </c>
      <c r="H186" s="219" t="n"/>
      <c r="I186" s="220" t="n"/>
      <c r="J186" s="221">
        <f>IF(COUNTA(A186:F186)=0,"",IF(OR(C186&lt;0,D186&lt;0,E186&lt;0,F186&lt;0),"ERRO: valor negativo",IF(C186&lt;&gt;SUM(D186:F186),"ERRO: categorias diferem dos respondentes",IF(COUNTIFS($A$5:$A$1200,A186,$B$5:$B$1200,B186)&gt;1,"ERRO: período e curso duplicados","OK"))))</f>
        <v/>
      </c>
    </row>
    <row r="187" ht="15" customHeight="1" s="131">
      <c r="A187" s="220" t="n"/>
      <c r="B187" s="222" t="n"/>
      <c r="C187" s="220" t="n"/>
      <c r="D187" s="220" t="n"/>
      <c r="E187" s="220" t="n"/>
      <c r="F187" s="220" t="n"/>
      <c r="G187" s="169">
        <f>IFERROR((D187-F187)/C187*100,"")</f>
        <v/>
      </c>
      <c r="H187" s="219" t="n"/>
      <c r="I187" s="220" t="n"/>
      <c r="J187" s="221">
        <f>IF(COUNTA(A187:F187)=0,"",IF(OR(C187&lt;0,D187&lt;0,E187&lt;0,F187&lt;0),"ERRO: valor negativo",IF(C187&lt;&gt;SUM(D187:F187),"ERRO: categorias diferem dos respondentes",IF(COUNTIFS($A$5:$A$1200,A187,$B$5:$B$1200,B187)&gt;1,"ERRO: período e curso duplicados","OK"))))</f>
        <v/>
      </c>
    </row>
    <row r="188" ht="15" customHeight="1" s="131">
      <c r="A188" s="220" t="n"/>
      <c r="B188" s="222" t="n"/>
      <c r="C188" s="220" t="n"/>
      <c r="D188" s="220" t="n"/>
      <c r="E188" s="220" t="n"/>
      <c r="F188" s="220" t="n"/>
      <c r="G188" s="169">
        <f>IFERROR((D188-F188)/C188*100,"")</f>
        <v/>
      </c>
      <c r="H188" s="219" t="n"/>
      <c r="I188" s="220" t="n"/>
      <c r="J188" s="221">
        <f>IF(COUNTA(A188:F188)=0,"",IF(OR(C188&lt;0,D188&lt;0,E188&lt;0,F188&lt;0),"ERRO: valor negativo",IF(C188&lt;&gt;SUM(D188:F188),"ERRO: categorias diferem dos respondentes",IF(COUNTIFS($A$5:$A$1200,A188,$B$5:$B$1200,B188)&gt;1,"ERRO: período e curso duplicados","OK"))))</f>
        <v/>
      </c>
    </row>
    <row r="189" ht="15" customHeight="1" s="131">
      <c r="A189" s="220" t="n"/>
      <c r="B189" s="222" t="n"/>
      <c r="C189" s="220" t="n"/>
      <c r="D189" s="220" t="n"/>
      <c r="E189" s="220" t="n"/>
      <c r="F189" s="220" t="n"/>
      <c r="G189" s="169">
        <f>IFERROR((D189-F189)/C189*100,"")</f>
        <v/>
      </c>
      <c r="H189" s="219" t="n"/>
      <c r="I189" s="220" t="n"/>
      <c r="J189" s="221">
        <f>IF(COUNTA(A189:F189)=0,"",IF(OR(C189&lt;0,D189&lt;0,E189&lt;0,F189&lt;0),"ERRO: valor negativo",IF(C189&lt;&gt;SUM(D189:F189),"ERRO: categorias diferem dos respondentes",IF(COUNTIFS($A$5:$A$1200,A189,$B$5:$B$1200,B189)&gt;1,"ERRO: período e curso duplicados","OK"))))</f>
        <v/>
      </c>
    </row>
    <row r="190" ht="15" customHeight="1" s="131">
      <c r="A190" s="220" t="n"/>
      <c r="B190" s="222" t="n"/>
      <c r="C190" s="220" t="n"/>
      <c r="D190" s="220" t="n"/>
      <c r="E190" s="220" t="n"/>
      <c r="F190" s="220" t="n"/>
      <c r="G190" s="169">
        <f>IFERROR((D190-F190)/C190*100,"")</f>
        <v/>
      </c>
      <c r="H190" s="219" t="n"/>
      <c r="I190" s="220" t="n"/>
      <c r="J190" s="221">
        <f>IF(COUNTA(A190:F190)=0,"",IF(OR(C190&lt;0,D190&lt;0,E190&lt;0,F190&lt;0),"ERRO: valor negativo",IF(C190&lt;&gt;SUM(D190:F190),"ERRO: categorias diferem dos respondentes",IF(COUNTIFS($A$5:$A$1200,A190,$B$5:$B$1200,B190)&gt;1,"ERRO: período e curso duplicados","OK"))))</f>
        <v/>
      </c>
    </row>
    <row r="191" ht="15" customHeight="1" s="131">
      <c r="A191" s="220" t="n"/>
      <c r="B191" s="222" t="n"/>
      <c r="C191" s="220" t="n"/>
      <c r="D191" s="220" t="n"/>
      <c r="E191" s="220" t="n"/>
      <c r="F191" s="220" t="n"/>
      <c r="G191" s="169">
        <f>IFERROR((D191-F191)/C191*100,"")</f>
        <v/>
      </c>
      <c r="H191" s="219" t="n"/>
      <c r="I191" s="220" t="n"/>
      <c r="J191" s="221">
        <f>IF(COUNTA(A191:F191)=0,"",IF(OR(C191&lt;0,D191&lt;0,E191&lt;0,F191&lt;0),"ERRO: valor negativo",IF(C191&lt;&gt;SUM(D191:F191),"ERRO: categorias diferem dos respondentes",IF(COUNTIFS($A$5:$A$1200,A191,$B$5:$B$1200,B191)&gt;1,"ERRO: período e curso duplicados","OK"))))</f>
        <v/>
      </c>
    </row>
    <row r="192" ht="15" customHeight="1" s="131">
      <c r="A192" s="220" t="n"/>
      <c r="B192" s="222" t="n"/>
      <c r="C192" s="220" t="n"/>
      <c r="D192" s="220" t="n"/>
      <c r="E192" s="220" t="n"/>
      <c r="F192" s="220" t="n"/>
      <c r="G192" s="169">
        <f>IFERROR((D192-F192)/C192*100,"")</f>
        <v/>
      </c>
      <c r="H192" s="219" t="n"/>
      <c r="I192" s="220" t="n"/>
      <c r="J192" s="221">
        <f>IF(COUNTA(A192:F192)=0,"",IF(OR(C192&lt;0,D192&lt;0,E192&lt;0,F192&lt;0),"ERRO: valor negativo",IF(C192&lt;&gt;SUM(D192:F192),"ERRO: categorias diferem dos respondentes",IF(COUNTIFS($A$5:$A$1200,A192,$B$5:$B$1200,B192)&gt;1,"ERRO: período e curso duplicados","OK"))))</f>
        <v/>
      </c>
    </row>
    <row r="193" ht="15" customHeight="1" s="131">
      <c r="A193" s="220" t="n"/>
      <c r="B193" s="222" t="n"/>
      <c r="C193" s="220" t="n"/>
      <c r="D193" s="220" t="n"/>
      <c r="E193" s="220" t="n"/>
      <c r="F193" s="220" t="n"/>
      <c r="G193" s="169">
        <f>IFERROR((D193-F193)/C193*100,"")</f>
        <v/>
      </c>
      <c r="H193" s="219" t="n"/>
      <c r="I193" s="220" t="n"/>
      <c r="J193" s="221">
        <f>IF(COUNTA(A193:F193)=0,"",IF(OR(C193&lt;0,D193&lt;0,E193&lt;0,F193&lt;0),"ERRO: valor negativo",IF(C193&lt;&gt;SUM(D193:F193),"ERRO: categorias diferem dos respondentes",IF(COUNTIFS($A$5:$A$1200,A193,$B$5:$B$1200,B193)&gt;1,"ERRO: período e curso duplicados","OK"))))</f>
        <v/>
      </c>
    </row>
    <row r="194" ht="15" customHeight="1" s="131">
      <c r="A194" s="220" t="n"/>
      <c r="B194" s="222" t="n"/>
      <c r="C194" s="220" t="n"/>
      <c r="D194" s="220" t="n"/>
      <c r="E194" s="220" t="n"/>
      <c r="F194" s="220" t="n"/>
      <c r="G194" s="169">
        <f>IFERROR((D194-F194)/C194*100,"")</f>
        <v/>
      </c>
      <c r="H194" s="219" t="n"/>
      <c r="I194" s="220" t="n"/>
      <c r="J194" s="221">
        <f>IF(COUNTA(A194:F194)=0,"",IF(OR(C194&lt;0,D194&lt;0,E194&lt;0,F194&lt;0),"ERRO: valor negativo",IF(C194&lt;&gt;SUM(D194:F194),"ERRO: categorias diferem dos respondentes",IF(COUNTIFS($A$5:$A$1200,A194,$B$5:$B$1200,B194)&gt;1,"ERRO: período e curso duplicados","OK"))))</f>
        <v/>
      </c>
    </row>
    <row r="195" ht="15" customHeight="1" s="131">
      <c r="A195" s="220" t="n"/>
      <c r="B195" s="222" t="n"/>
      <c r="C195" s="220" t="n"/>
      <c r="D195" s="220" t="n"/>
      <c r="E195" s="220" t="n"/>
      <c r="F195" s="220" t="n"/>
      <c r="G195" s="169">
        <f>IFERROR((D195-F195)/C195*100,"")</f>
        <v/>
      </c>
      <c r="H195" s="219" t="n"/>
      <c r="I195" s="220" t="n"/>
      <c r="J195" s="221">
        <f>IF(COUNTA(A195:F195)=0,"",IF(OR(C195&lt;0,D195&lt;0,E195&lt;0,F195&lt;0),"ERRO: valor negativo",IF(C195&lt;&gt;SUM(D195:F195),"ERRO: categorias diferem dos respondentes",IF(COUNTIFS($A$5:$A$1200,A195,$B$5:$B$1200,B195)&gt;1,"ERRO: período e curso duplicados","OK"))))</f>
        <v/>
      </c>
    </row>
    <row r="196" ht="15" customHeight="1" s="131">
      <c r="A196" s="220" t="n"/>
      <c r="B196" s="222" t="n"/>
      <c r="C196" s="220" t="n"/>
      <c r="D196" s="220" t="n"/>
      <c r="E196" s="220" t="n"/>
      <c r="F196" s="220" t="n"/>
      <c r="G196" s="169">
        <f>IFERROR((D196-F196)/C196*100,"")</f>
        <v/>
      </c>
      <c r="H196" s="219" t="n"/>
      <c r="I196" s="220" t="n"/>
      <c r="J196" s="221">
        <f>IF(COUNTA(A196:F196)=0,"",IF(OR(C196&lt;0,D196&lt;0,E196&lt;0,F196&lt;0),"ERRO: valor negativo",IF(C196&lt;&gt;SUM(D196:F196),"ERRO: categorias diferem dos respondentes",IF(COUNTIFS($A$5:$A$1200,A196,$B$5:$B$1200,B196)&gt;1,"ERRO: período e curso duplicados","OK"))))</f>
        <v/>
      </c>
    </row>
    <row r="197" ht="15" customHeight="1" s="131">
      <c r="A197" s="220" t="n"/>
      <c r="B197" s="222" t="n"/>
      <c r="C197" s="220" t="n"/>
      <c r="D197" s="220" t="n"/>
      <c r="E197" s="220" t="n"/>
      <c r="F197" s="220" t="n"/>
      <c r="G197" s="169">
        <f>IFERROR((D197-F197)/C197*100,"")</f>
        <v/>
      </c>
      <c r="H197" s="219" t="n"/>
      <c r="I197" s="220" t="n"/>
      <c r="J197" s="221">
        <f>IF(COUNTA(A197:F197)=0,"",IF(OR(C197&lt;0,D197&lt;0,E197&lt;0,F197&lt;0),"ERRO: valor negativo",IF(C197&lt;&gt;SUM(D197:F197),"ERRO: categorias diferem dos respondentes",IF(COUNTIFS($A$5:$A$1200,A197,$B$5:$B$1200,B197)&gt;1,"ERRO: período e curso duplicados","OK"))))</f>
        <v/>
      </c>
    </row>
    <row r="198" ht="15" customHeight="1" s="131">
      <c r="A198" s="220" t="n"/>
      <c r="B198" s="222" t="n"/>
      <c r="C198" s="220" t="n"/>
      <c r="D198" s="220" t="n"/>
      <c r="E198" s="220" t="n"/>
      <c r="F198" s="220" t="n"/>
      <c r="G198" s="169">
        <f>IFERROR((D198-F198)/C198*100,"")</f>
        <v/>
      </c>
      <c r="H198" s="219" t="n"/>
      <c r="I198" s="220" t="n"/>
      <c r="J198" s="221">
        <f>IF(COUNTA(A198:F198)=0,"",IF(OR(C198&lt;0,D198&lt;0,E198&lt;0,F198&lt;0),"ERRO: valor negativo",IF(C198&lt;&gt;SUM(D198:F198),"ERRO: categorias diferem dos respondentes",IF(COUNTIFS($A$5:$A$1200,A198,$B$5:$B$1200,B198)&gt;1,"ERRO: período e curso duplicados","OK"))))</f>
        <v/>
      </c>
    </row>
    <row r="199" ht="15" customHeight="1" s="131">
      <c r="A199" s="220" t="n"/>
      <c r="B199" s="222" t="n"/>
      <c r="C199" s="220" t="n"/>
      <c r="D199" s="220" t="n"/>
      <c r="E199" s="220" t="n"/>
      <c r="F199" s="220" t="n"/>
      <c r="G199" s="169">
        <f>IFERROR((D199-F199)/C199*100,"")</f>
        <v/>
      </c>
      <c r="H199" s="219" t="n"/>
      <c r="I199" s="220" t="n"/>
      <c r="J199" s="221">
        <f>IF(COUNTA(A199:F199)=0,"",IF(OR(C199&lt;0,D199&lt;0,E199&lt;0,F199&lt;0),"ERRO: valor negativo",IF(C199&lt;&gt;SUM(D199:F199),"ERRO: categorias diferem dos respondentes",IF(COUNTIFS($A$5:$A$1200,A199,$B$5:$B$1200,B199)&gt;1,"ERRO: período e curso duplicados","OK"))))</f>
        <v/>
      </c>
    </row>
    <row r="200" ht="15" customHeight="1" s="131">
      <c r="A200" s="220" t="n"/>
      <c r="B200" s="222" t="n"/>
      <c r="C200" s="220" t="n"/>
      <c r="D200" s="220" t="n"/>
      <c r="E200" s="220" t="n"/>
      <c r="F200" s="220" t="n"/>
      <c r="G200" s="169">
        <f>IFERROR((D200-F200)/C200*100,"")</f>
        <v/>
      </c>
      <c r="H200" s="219" t="n"/>
      <c r="I200" s="220" t="n"/>
      <c r="J200" s="221">
        <f>IF(COUNTA(A200:F200)=0,"",IF(OR(C200&lt;0,D200&lt;0,E200&lt;0,F200&lt;0),"ERRO: valor negativo",IF(C200&lt;&gt;SUM(D200:F200),"ERRO: categorias diferem dos respondentes",IF(COUNTIFS($A$5:$A$1200,A200,$B$5:$B$1200,B200)&gt;1,"ERRO: período e curso duplicados","OK"))))</f>
        <v/>
      </c>
    </row>
    <row r="201" ht="15" customHeight="1" s="131">
      <c r="A201" s="220" t="n"/>
      <c r="B201" s="222" t="n"/>
      <c r="C201" s="220" t="n"/>
      <c r="D201" s="220" t="n"/>
      <c r="E201" s="220" t="n"/>
      <c r="F201" s="220" t="n"/>
      <c r="G201" s="169">
        <f>IFERROR((D201-F201)/C201*100,"")</f>
        <v/>
      </c>
      <c r="H201" s="219" t="n"/>
      <c r="I201" s="220" t="n"/>
      <c r="J201" s="221">
        <f>IF(COUNTA(A201:F201)=0,"",IF(OR(C201&lt;0,D201&lt;0,E201&lt;0,F201&lt;0),"ERRO: valor negativo",IF(C201&lt;&gt;SUM(D201:F201),"ERRO: categorias diferem dos respondentes",IF(COUNTIFS($A$5:$A$1200,A201,$B$5:$B$1200,B201)&gt;1,"ERRO: período e curso duplicados","OK"))))</f>
        <v/>
      </c>
    </row>
    <row r="202" ht="15" customHeight="1" s="131">
      <c r="A202" s="220" t="n"/>
      <c r="B202" s="222" t="n"/>
      <c r="C202" s="220" t="n"/>
      <c r="D202" s="220" t="n"/>
      <c r="E202" s="220" t="n"/>
      <c r="F202" s="220" t="n"/>
      <c r="G202" s="169">
        <f>IFERROR((D202-F202)/C202*100,"")</f>
        <v/>
      </c>
      <c r="H202" s="219" t="n"/>
      <c r="I202" s="220" t="n"/>
      <c r="J202" s="221">
        <f>IF(COUNTA(A202:F202)=0,"",IF(OR(C202&lt;0,D202&lt;0,E202&lt;0,F202&lt;0),"ERRO: valor negativo",IF(C202&lt;&gt;SUM(D202:F202),"ERRO: categorias diferem dos respondentes",IF(COUNTIFS($A$5:$A$1200,A202,$B$5:$B$1200,B202)&gt;1,"ERRO: período e curso duplicados","OK"))))</f>
        <v/>
      </c>
    </row>
    <row r="203" ht="15" customHeight="1" s="131">
      <c r="A203" s="220" t="n"/>
      <c r="B203" s="222" t="n"/>
      <c r="C203" s="220" t="n"/>
      <c r="D203" s="220" t="n"/>
      <c r="E203" s="220" t="n"/>
      <c r="F203" s="220" t="n"/>
      <c r="G203" s="169">
        <f>IFERROR((D203-F203)/C203*100,"")</f>
        <v/>
      </c>
      <c r="H203" s="219" t="n"/>
      <c r="I203" s="220" t="n"/>
      <c r="J203" s="221">
        <f>IF(COUNTA(A203:F203)=0,"",IF(OR(C203&lt;0,D203&lt;0,E203&lt;0,F203&lt;0),"ERRO: valor negativo",IF(C203&lt;&gt;SUM(D203:F203),"ERRO: categorias diferem dos respondentes",IF(COUNTIFS($A$5:$A$1200,A203,$B$5:$B$1200,B203)&gt;1,"ERRO: período e curso duplicados","OK"))))</f>
        <v/>
      </c>
    </row>
    <row r="204" ht="15" customHeight="1" s="131">
      <c r="A204" s="220" t="n"/>
      <c r="B204" s="222" t="n"/>
      <c r="C204" s="220" t="n"/>
      <c r="D204" s="220" t="n"/>
      <c r="E204" s="220" t="n"/>
      <c r="F204" s="220" t="n"/>
      <c r="G204" s="169">
        <f>IFERROR((D204-F204)/C204*100,"")</f>
        <v/>
      </c>
      <c r="H204" s="219" t="n"/>
      <c r="I204" s="220" t="n"/>
      <c r="J204" s="221">
        <f>IF(COUNTA(A204:F204)=0,"",IF(OR(C204&lt;0,D204&lt;0,E204&lt;0,F204&lt;0),"ERRO: valor negativo",IF(C204&lt;&gt;SUM(D204:F204),"ERRO: categorias diferem dos respondentes",IF(COUNTIFS($A$5:$A$1200,A204,$B$5:$B$1200,B204)&gt;1,"ERRO: período e curso duplicados","OK"))))</f>
        <v/>
      </c>
    </row>
    <row r="205" ht="15" customHeight="1" s="131">
      <c r="A205" s="220" t="n"/>
      <c r="B205" s="222" t="n"/>
      <c r="C205" s="220" t="n"/>
      <c r="D205" s="220" t="n"/>
      <c r="E205" s="220" t="n"/>
      <c r="F205" s="220" t="n"/>
      <c r="G205" s="169">
        <f>IFERROR((D205-F205)/C205*100,"")</f>
        <v/>
      </c>
      <c r="H205" s="219" t="n"/>
      <c r="I205" s="220" t="n"/>
      <c r="J205" s="221">
        <f>IF(COUNTA(A205:F205)=0,"",IF(OR(C205&lt;0,D205&lt;0,E205&lt;0,F205&lt;0),"ERRO: valor negativo",IF(C205&lt;&gt;SUM(D205:F205),"ERRO: categorias diferem dos respondentes",IF(COUNTIFS($A$5:$A$1200,A205,$B$5:$B$1200,B205)&gt;1,"ERRO: período e curso duplicados","OK"))))</f>
        <v/>
      </c>
    </row>
    <row r="206" ht="15" customHeight="1" s="131">
      <c r="A206" s="220" t="n"/>
      <c r="B206" s="222" t="n"/>
      <c r="C206" s="220" t="n"/>
      <c r="D206" s="220" t="n"/>
      <c r="E206" s="220" t="n"/>
      <c r="F206" s="220" t="n"/>
      <c r="G206" s="169">
        <f>IFERROR((D206-F206)/C206*100,"")</f>
        <v/>
      </c>
      <c r="H206" s="219" t="n"/>
      <c r="I206" s="220" t="n"/>
      <c r="J206" s="221">
        <f>IF(COUNTA(A206:F206)=0,"",IF(OR(C206&lt;0,D206&lt;0,E206&lt;0,F206&lt;0),"ERRO: valor negativo",IF(C206&lt;&gt;SUM(D206:F206),"ERRO: categorias diferem dos respondentes",IF(COUNTIFS($A$5:$A$1200,A206,$B$5:$B$1200,B206)&gt;1,"ERRO: período e curso duplicados","OK"))))</f>
        <v/>
      </c>
    </row>
    <row r="207" ht="15" customHeight="1" s="131">
      <c r="A207" s="220" t="n"/>
      <c r="B207" s="222" t="n"/>
      <c r="C207" s="220" t="n"/>
      <c r="D207" s="220" t="n"/>
      <c r="E207" s="220" t="n"/>
      <c r="F207" s="220" t="n"/>
      <c r="G207" s="169">
        <f>IFERROR((D207-F207)/C207*100,"")</f>
        <v/>
      </c>
      <c r="H207" s="219" t="n"/>
      <c r="I207" s="220" t="n"/>
      <c r="J207" s="221">
        <f>IF(COUNTA(A207:F207)=0,"",IF(OR(C207&lt;0,D207&lt;0,E207&lt;0,F207&lt;0),"ERRO: valor negativo",IF(C207&lt;&gt;SUM(D207:F207),"ERRO: categorias diferem dos respondentes",IF(COUNTIFS($A$5:$A$1200,A207,$B$5:$B$1200,B207)&gt;1,"ERRO: período e curso duplicados","OK"))))</f>
        <v/>
      </c>
    </row>
    <row r="208" ht="15" customHeight="1" s="131">
      <c r="A208" s="220" t="n"/>
      <c r="B208" s="222" t="n"/>
      <c r="C208" s="220" t="n"/>
      <c r="D208" s="220" t="n"/>
      <c r="E208" s="220" t="n"/>
      <c r="F208" s="220" t="n"/>
      <c r="G208" s="169">
        <f>IFERROR((D208-F208)/C208*100,"")</f>
        <v/>
      </c>
      <c r="H208" s="219" t="n"/>
      <c r="I208" s="220" t="n"/>
      <c r="J208" s="221">
        <f>IF(COUNTA(A208:F208)=0,"",IF(OR(C208&lt;0,D208&lt;0,E208&lt;0,F208&lt;0),"ERRO: valor negativo",IF(C208&lt;&gt;SUM(D208:F208),"ERRO: categorias diferem dos respondentes",IF(COUNTIFS($A$5:$A$1200,A208,$B$5:$B$1200,B208)&gt;1,"ERRO: período e curso duplicados","OK"))))</f>
        <v/>
      </c>
    </row>
    <row r="209" ht="15" customHeight="1" s="131">
      <c r="A209" s="220" t="n"/>
      <c r="B209" s="222" t="n"/>
      <c r="C209" s="220" t="n"/>
      <c r="D209" s="220" t="n"/>
      <c r="E209" s="220" t="n"/>
      <c r="F209" s="220" t="n"/>
      <c r="G209" s="169">
        <f>IFERROR((D209-F209)/C209*100,"")</f>
        <v/>
      </c>
      <c r="H209" s="219" t="n"/>
      <c r="I209" s="220" t="n"/>
      <c r="J209" s="221">
        <f>IF(COUNTA(A209:F209)=0,"",IF(OR(C209&lt;0,D209&lt;0,E209&lt;0,F209&lt;0),"ERRO: valor negativo",IF(C209&lt;&gt;SUM(D209:F209),"ERRO: categorias diferem dos respondentes",IF(COUNTIFS($A$5:$A$1200,A209,$B$5:$B$1200,B209)&gt;1,"ERRO: período e curso duplicados","OK"))))</f>
        <v/>
      </c>
    </row>
    <row r="210" ht="15" customHeight="1" s="131">
      <c r="A210" s="220" t="n"/>
      <c r="B210" s="222" t="n"/>
      <c r="C210" s="220" t="n"/>
      <c r="D210" s="220" t="n"/>
      <c r="E210" s="220" t="n"/>
      <c r="F210" s="220" t="n"/>
      <c r="G210" s="169">
        <f>IFERROR((D210-F210)/C210*100,"")</f>
        <v/>
      </c>
      <c r="H210" s="219" t="n"/>
      <c r="I210" s="220" t="n"/>
      <c r="J210" s="221">
        <f>IF(COUNTA(A210:F210)=0,"",IF(OR(C210&lt;0,D210&lt;0,E210&lt;0,F210&lt;0),"ERRO: valor negativo",IF(C210&lt;&gt;SUM(D210:F210),"ERRO: categorias diferem dos respondentes",IF(COUNTIFS($A$5:$A$1200,A210,$B$5:$B$1200,B210)&gt;1,"ERRO: período e curso duplicados","OK"))))</f>
        <v/>
      </c>
    </row>
    <row r="211" ht="15" customHeight="1" s="131">
      <c r="A211" s="220" t="n"/>
      <c r="B211" s="222" t="n"/>
      <c r="C211" s="220" t="n"/>
      <c r="D211" s="220" t="n"/>
      <c r="E211" s="220" t="n"/>
      <c r="F211" s="220" t="n"/>
      <c r="G211" s="169">
        <f>IFERROR((D211-F211)/C211*100,"")</f>
        <v/>
      </c>
      <c r="H211" s="219" t="n"/>
      <c r="I211" s="220" t="n"/>
      <c r="J211" s="221">
        <f>IF(COUNTA(A211:F211)=0,"",IF(OR(C211&lt;0,D211&lt;0,E211&lt;0,F211&lt;0),"ERRO: valor negativo",IF(C211&lt;&gt;SUM(D211:F211),"ERRO: categorias diferem dos respondentes",IF(COUNTIFS($A$5:$A$1200,A211,$B$5:$B$1200,B211)&gt;1,"ERRO: período e curso duplicados","OK"))))</f>
        <v/>
      </c>
    </row>
    <row r="212" ht="15" customHeight="1" s="131">
      <c r="A212" s="220" t="n"/>
      <c r="B212" s="222" t="n"/>
      <c r="C212" s="220" t="n"/>
      <c r="D212" s="220" t="n"/>
      <c r="E212" s="220" t="n"/>
      <c r="F212" s="220" t="n"/>
      <c r="G212" s="169">
        <f>IFERROR((D212-F212)/C212*100,"")</f>
        <v/>
      </c>
      <c r="H212" s="219" t="n"/>
      <c r="I212" s="220" t="n"/>
      <c r="J212" s="221">
        <f>IF(COUNTA(A212:F212)=0,"",IF(OR(C212&lt;0,D212&lt;0,E212&lt;0,F212&lt;0),"ERRO: valor negativo",IF(C212&lt;&gt;SUM(D212:F212),"ERRO: categorias diferem dos respondentes",IF(COUNTIFS($A$5:$A$1200,A212,$B$5:$B$1200,B212)&gt;1,"ERRO: período e curso duplicados","OK"))))</f>
        <v/>
      </c>
    </row>
    <row r="213" ht="15" customHeight="1" s="131">
      <c r="A213" s="220" t="n"/>
      <c r="B213" s="222" t="n"/>
      <c r="C213" s="220" t="n"/>
      <c r="D213" s="220" t="n"/>
      <c r="E213" s="220" t="n"/>
      <c r="F213" s="220" t="n"/>
      <c r="G213" s="169">
        <f>IFERROR((D213-F213)/C213*100,"")</f>
        <v/>
      </c>
      <c r="H213" s="219" t="n"/>
      <c r="I213" s="220" t="n"/>
      <c r="J213" s="221">
        <f>IF(COUNTA(A213:F213)=0,"",IF(OR(C213&lt;0,D213&lt;0,E213&lt;0,F213&lt;0),"ERRO: valor negativo",IF(C213&lt;&gt;SUM(D213:F213),"ERRO: categorias diferem dos respondentes",IF(COUNTIFS($A$5:$A$1200,A213,$B$5:$B$1200,B213)&gt;1,"ERRO: período e curso duplicados","OK"))))</f>
        <v/>
      </c>
    </row>
    <row r="214" ht="15" customHeight="1" s="131">
      <c r="A214" s="220" t="n"/>
      <c r="B214" s="222" t="n"/>
      <c r="C214" s="220" t="n"/>
      <c r="D214" s="220" t="n"/>
      <c r="E214" s="220" t="n"/>
      <c r="F214" s="220" t="n"/>
      <c r="G214" s="169">
        <f>IFERROR((D214-F214)/C214*100,"")</f>
        <v/>
      </c>
      <c r="H214" s="219" t="n"/>
      <c r="I214" s="220" t="n"/>
      <c r="J214" s="221">
        <f>IF(COUNTA(A214:F214)=0,"",IF(OR(C214&lt;0,D214&lt;0,E214&lt;0,F214&lt;0),"ERRO: valor negativo",IF(C214&lt;&gt;SUM(D214:F214),"ERRO: categorias diferem dos respondentes",IF(COUNTIFS($A$5:$A$1200,A214,$B$5:$B$1200,B214)&gt;1,"ERRO: período e curso duplicados","OK"))))</f>
        <v/>
      </c>
    </row>
    <row r="215" ht="15" customHeight="1" s="131">
      <c r="A215" s="220" t="n"/>
      <c r="B215" s="222" t="n"/>
      <c r="C215" s="220" t="n"/>
      <c r="D215" s="220" t="n"/>
      <c r="E215" s="220" t="n"/>
      <c r="F215" s="220" t="n"/>
      <c r="G215" s="169">
        <f>IFERROR((D215-F215)/C215*100,"")</f>
        <v/>
      </c>
      <c r="H215" s="219" t="n"/>
      <c r="I215" s="220" t="n"/>
      <c r="J215" s="221">
        <f>IF(COUNTA(A215:F215)=0,"",IF(OR(C215&lt;0,D215&lt;0,E215&lt;0,F215&lt;0),"ERRO: valor negativo",IF(C215&lt;&gt;SUM(D215:F215),"ERRO: categorias diferem dos respondentes",IF(COUNTIFS($A$5:$A$1200,A215,$B$5:$B$1200,B215)&gt;1,"ERRO: período e curso duplicados","OK"))))</f>
        <v/>
      </c>
    </row>
    <row r="216" ht="15" customHeight="1" s="131">
      <c r="A216" s="220" t="n"/>
      <c r="B216" s="222" t="n"/>
      <c r="C216" s="220" t="n"/>
      <c r="D216" s="220" t="n"/>
      <c r="E216" s="220" t="n"/>
      <c r="F216" s="220" t="n"/>
      <c r="G216" s="169">
        <f>IFERROR((D216-F216)/C216*100,"")</f>
        <v/>
      </c>
      <c r="H216" s="219" t="n"/>
      <c r="I216" s="220" t="n"/>
      <c r="J216" s="221">
        <f>IF(COUNTA(A216:F216)=0,"",IF(OR(C216&lt;0,D216&lt;0,E216&lt;0,F216&lt;0),"ERRO: valor negativo",IF(C216&lt;&gt;SUM(D216:F216),"ERRO: categorias diferem dos respondentes",IF(COUNTIFS($A$5:$A$1200,A216,$B$5:$B$1200,B216)&gt;1,"ERRO: período e curso duplicados","OK"))))</f>
        <v/>
      </c>
    </row>
    <row r="217" ht="15" customHeight="1" s="131">
      <c r="A217" s="220" t="n"/>
      <c r="B217" s="222" t="n"/>
      <c r="C217" s="220" t="n"/>
      <c r="D217" s="220" t="n"/>
      <c r="E217" s="220" t="n"/>
      <c r="F217" s="220" t="n"/>
      <c r="G217" s="169">
        <f>IFERROR((D217-F217)/C217*100,"")</f>
        <v/>
      </c>
      <c r="H217" s="219" t="n"/>
      <c r="I217" s="220" t="n"/>
      <c r="J217" s="221">
        <f>IF(COUNTA(A217:F217)=0,"",IF(OR(C217&lt;0,D217&lt;0,E217&lt;0,F217&lt;0),"ERRO: valor negativo",IF(C217&lt;&gt;SUM(D217:F217),"ERRO: categorias diferem dos respondentes",IF(COUNTIFS($A$5:$A$1200,A217,$B$5:$B$1200,B217)&gt;1,"ERRO: período e curso duplicados","OK"))))</f>
        <v/>
      </c>
    </row>
    <row r="218" ht="15" customHeight="1" s="131">
      <c r="A218" s="220" t="n"/>
      <c r="B218" s="222" t="n"/>
      <c r="C218" s="220" t="n"/>
      <c r="D218" s="220" t="n"/>
      <c r="E218" s="220" t="n"/>
      <c r="F218" s="220" t="n"/>
      <c r="G218" s="169">
        <f>IFERROR((D218-F218)/C218*100,"")</f>
        <v/>
      </c>
      <c r="H218" s="219" t="n"/>
      <c r="I218" s="220" t="n"/>
      <c r="J218" s="221">
        <f>IF(COUNTA(A218:F218)=0,"",IF(OR(C218&lt;0,D218&lt;0,E218&lt;0,F218&lt;0),"ERRO: valor negativo",IF(C218&lt;&gt;SUM(D218:F218),"ERRO: categorias diferem dos respondentes",IF(COUNTIFS($A$5:$A$1200,A218,$B$5:$B$1200,B218)&gt;1,"ERRO: período e curso duplicados","OK"))))</f>
        <v/>
      </c>
    </row>
    <row r="219" ht="15" customHeight="1" s="131">
      <c r="A219" s="220" t="n"/>
      <c r="B219" s="222" t="n"/>
      <c r="C219" s="220" t="n"/>
      <c r="D219" s="220" t="n"/>
      <c r="E219" s="220" t="n"/>
      <c r="F219" s="220" t="n"/>
      <c r="G219" s="169">
        <f>IFERROR((D219-F219)/C219*100,"")</f>
        <v/>
      </c>
      <c r="H219" s="219" t="n"/>
      <c r="I219" s="220" t="n"/>
      <c r="J219" s="221">
        <f>IF(COUNTA(A219:F219)=0,"",IF(OR(C219&lt;0,D219&lt;0,E219&lt;0,F219&lt;0),"ERRO: valor negativo",IF(C219&lt;&gt;SUM(D219:F219),"ERRO: categorias diferem dos respondentes",IF(COUNTIFS($A$5:$A$1200,A219,$B$5:$B$1200,B219)&gt;1,"ERRO: período e curso duplicados","OK"))))</f>
        <v/>
      </c>
    </row>
    <row r="220" ht="15" customHeight="1" s="131">
      <c r="A220" s="220" t="n"/>
      <c r="B220" s="222" t="n"/>
      <c r="C220" s="220" t="n"/>
      <c r="D220" s="220" t="n"/>
      <c r="E220" s="220" t="n"/>
      <c r="F220" s="220" t="n"/>
      <c r="G220" s="169">
        <f>IFERROR((D220-F220)/C220*100,"")</f>
        <v/>
      </c>
      <c r="H220" s="219" t="n"/>
      <c r="I220" s="220" t="n"/>
      <c r="J220" s="221">
        <f>IF(COUNTA(A220:F220)=0,"",IF(OR(C220&lt;0,D220&lt;0,E220&lt;0,F220&lt;0),"ERRO: valor negativo",IF(C220&lt;&gt;SUM(D220:F220),"ERRO: categorias diferem dos respondentes",IF(COUNTIFS($A$5:$A$1200,A220,$B$5:$B$1200,B220)&gt;1,"ERRO: período e curso duplicados","OK"))))</f>
        <v/>
      </c>
    </row>
    <row r="221" ht="15" customHeight="1" s="131">
      <c r="A221" s="220" t="n"/>
      <c r="B221" s="222" t="n"/>
      <c r="C221" s="220" t="n"/>
      <c r="D221" s="220" t="n"/>
      <c r="E221" s="220" t="n"/>
      <c r="F221" s="220" t="n"/>
      <c r="G221" s="169">
        <f>IFERROR((D221-F221)/C221*100,"")</f>
        <v/>
      </c>
      <c r="H221" s="219" t="n"/>
      <c r="I221" s="220" t="n"/>
      <c r="J221" s="221">
        <f>IF(COUNTA(A221:F221)=0,"",IF(OR(C221&lt;0,D221&lt;0,E221&lt;0,F221&lt;0),"ERRO: valor negativo",IF(C221&lt;&gt;SUM(D221:F221),"ERRO: categorias diferem dos respondentes",IF(COUNTIFS($A$5:$A$1200,A221,$B$5:$B$1200,B221)&gt;1,"ERRO: período e curso duplicados","OK"))))</f>
        <v/>
      </c>
    </row>
    <row r="222" ht="15" customHeight="1" s="131">
      <c r="A222" s="220" t="n"/>
      <c r="B222" s="222" t="n"/>
      <c r="C222" s="220" t="n"/>
      <c r="D222" s="220" t="n"/>
      <c r="E222" s="220" t="n"/>
      <c r="F222" s="220" t="n"/>
      <c r="G222" s="169">
        <f>IFERROR((D222-F222)/C222*100,"")</f>
        <v/>
      </c>
      <c r="H222" s="219" t="n"/>
      <c r="I222" s="220" t="n"/>
      <c r="J222" s="221">
        <f>IF(COUNTA(A222:F222)=0,"",IF(OR(C222&lt;0,D222&lt;0,E222&lt;0,F222&lt;0),"ERRO: valor negativo",IF(C222&lt;&gt;SUM(D222:F222),"ERRO: categorias diferem dos respondentes",IF(COUNTIFS($A$5:$A$1200,A222,$B$5:$B$1200,B222)&gt;1,"ERRO: período e curso duplicados","OK"))))</f>
        <v/>
      </c>
    </row>
    <row r="223" ht="15" customHeight="1" s="131">
      <c r="A223" s="220" t="n"/>
      <c r="B223" s="222" t="n"/>
      <c r="C223" s="220" t="n"/>
      <c r="D223" s="220" t="n"/>
      <c r="E223" s="220" t="n"/>
      <c r="F223" s="220" t="n"/>
      <c r="G223" s="169">
        <f>IFERROR((D223-F223)/C223*100,"")</f>
        <v/>
      </c>
      <c r="H223" s="219" t="n"/>
      <c r="I223" s="220" t="n"/>
      <c r="J223" s="221">
        <f>IF(COUNTA(A223:F223)=0,"",IF(OR(C223&lt;0,D223&lt;0,E223&lt;0,F223&lt;0),"ERRO: valor negativo",IF(C223&lt;&gt;SUM(D223:F223),"ERRO: categorias diferem dos respondentes",IF(COUNTIFS($A$5:$A$1200,A223,$B$5:$B$1200,B223)&gt;1,"ERRO: período e curso duplicados","OK"))))</f>
        <v/>
      </c>
    </row>
    <row r="224" ht="15" customHeight="1" s="131">
      <c r="A224" s="220" t="n"/>
      <c r="B224" s="222" t="n"/>
      <c r="C224" s="220" t="n"/>
      <c r="D224" s="220" t="n"/>
      <c r="E224" s="220" t="n"/>
      <c r="F224" s="220" t="n"/>
      <c r="G224" s="169">
        <f>IFERROR((D224-F224)/C224*100,"")</f>
        <v/>
      </c>
      <c r="H224" s="219" t="n"/>
      <c r="I224" s="220" t="n"/>
      <c r="J224" s="221">
        <f>IF(COUNTA(A224:F224)=0,"",IF(OR(C224&lt;0,D224&lt;0,E224&lt;0,F224&lt;0),"ERRO: valor negativo",IF(C224&lt;&gt;SUM(D224:F224),"ERRO: categorias diferem dos respondentes",IF(COUNTIFS($A$5:$A$1200,A224,$B$5:$B$1200,B224)&gt;1,"ERRO: período e curso duplicados","OK"))))</f>
        <v/>
      </c>
    </row>
    <row r="225" ht="15" customHeight="1" s="131">
      <c r="A225" s="220" t="n"/>
      <c r="B225" s="222" t="n"/>
      <c r="C225" s="220" t="n"/>
      <c r="D225" s="220" t="n"/>
      <c r="E225" s="220" t="n"/>
      <c r="F225" s="220" t="n"/>
      <c r="G225" s="169">
        <f>IFERROR((D225-F225)/C225*100,"")</f>
        <v/>
      </c>
      <c r="H225" s="219" t="n"/>
      <c r="I225" s="220" t="n"/>
      <c r="J225" s="221">
        <f>IF(COUNTA(A225:F225)=0,"",IF(OR(C225&lt;0,D225&lt;0,E225&lt;0,F225&lt;0),"ERRO: valor negativo",IF(C225&lt;&gt;SUM(D225:F225),"ERRO: categorias diferem dos respondentes",IF(COUNTIFS($A$5:$A$1200,A225,$B$5:$B$1200,B225)&gt;1,"ERRO: período e curso duplicados","OK"))))</f>
        <v/>
      </c>
    </row>
    <row r="226" ht="15" customHeight="1" s="131">
      <c r="A226" s="220" t="n"/>
      <c r="B226" s="222" t="n"/>
      <c r="C226" s="220" t="n"/>
      <c r="D226" s="220" t="n"/>
      <c r="E226" s="220" t="n"/>
      <c r="F226" s="220" t="n"/>
      <c r="G226" s="169">
        <f>IFERROR((D226-F226)/C226*100,"")</f>
        <v/>
      </c>
      <c r="H226" s="219" t="n"/>
      <c r="I226" s="220" t="n"/>
      <c r="J226" s="221">
        <f>IF(COUNTA(A226:F226)=0,"",IF(OR(C226&lt;0,D226&lt;0,E226&lt;0,F226&lt;0),"ERRO: valor negativo",IF(C226&lt;&gt;SUM(D226:F226),"ERRO: categorias diferem dos respondentes",IF(COUNTIFS($A$5:$A$1200,A226,$B$5:$B$1200,B226)&gt;1,"ERRO: período e curso duplicados","OK"))))</f>
        <v/>
      </c>
    </row>
    <row r="227" ht="15" customHeight="1" s="131">
      <c r="A227" s="220" t="n"/>
      <c r="B227" s="222" t="n"/>
      <c r="C227" s="220" t="n"/>
      <c r="D227" s="220" t="n"/>
      <c r="E227" s="220" t="n"/>
      <c r="F227" s="220" t="n"/>
      <c r="G227" s="169">
        <f>IFERROR((D227-F227)/C227*100,"")</f>
        <v/>
      </c>
      <c r="H227" s="219" t="n"/>
      <c r="I227" s="220" t="n"/>
      <c r="J227" s="221">
        <f>IF(COUNTA(A227:F227)=0,"",IF(OR(C227&lt;0,D227&lt;0,E227&lt;0,F227&lt;0),"ERRO: valor negativo",IF(C227&lt;&gt;SUM(D227:F227),"ERRO: categorias diferem dos respondentes",IF(COUNTIFS($A$5:$A$1200,A227,$B$5:$B$1200,B227)&gt;1,"ERRO: período e curso duplicados","OK"))))</f>
        <v/>
      </c>
    </row>
    <row r="228" ht="15" customHeight="1" s="131">
      <c r="A228" s="220" t="n"/>
      <c r="B228" s="222" t="n"/>
      <c r="C228" s="220" t="n"/>
      <c r="D228" s="220" t="n"/>
      <c r="E228" s="220" t="n"/>
      <c r="F228" s="220" t="n"/>
      <c r="G228" s="169">
        <f>IFERROR((D228-F228)/C228*100,"")</f>
        <v/>
      </c>
      <c r="H228" s="219" t="n"/>
      <c r="I228" s="220" t="n"/>
      <c r="J228" s="221">
        <f>IF(COUNTA(A228:F228)=0,"",IF(OR(C228&lt;0,D228&lt;0,E228&lt;0,F228&lt;0),"ERRO: valor negativo",IF(C228&lt;&gt;SUM(D228:F228),"ERRO: categorias diferem dos respondentes",IF(COUNTIFS($A$5:$A$1200,A228,$B$5:$B$1200,B228)&gt;1,"ERRO: período e curso duplicados","OK"))))</f>
        <v/>
      </c>
    </row>
    <row r="229" ht="15" customHeight="1" s="131">
      <c r="A229" s="220" t="n"/>
      <c r="B229" s="222" t="n"/>
      <c r="C229" s="220" t="n"/>
      <c r="D229" s="220" t="n"/>
      <c r="E229" s="220" t="n"/>
      <c r="F229" s="220" t="n"/>
      <c r="G229" s="169">
        <f>IFERROR((D229-F229)/C229*100,"")</f>
        <v/>
      </c>
      <c r="H229" s="219" t="n"/>
      <c r="I229" s="220" t="n"/>
      <c r="J229" s="221">
        <f>IF(COUNTA(A229:F229)=0,"",IF(OR(C229&lt;0,D229&lt;0,E229&lt;0,F229&lt;0),"ERRO: valor negativo",IF(C229&lt;&gt;SUM(D229:F229),"ERRO: categorias diferem dos respondentes",IF(COUNTIFS($A$5:$A$1200,A229,$B$5:$B$1200,B229)&gt;1,"ERRO: período e curso duplicados","OK"))))</f>
        <v/>
      </c>
    </row>
    <row r="230" ht="15" customHeight="1" s="131">
      <c r="A230" s="220" t="n"/>
      <c r="B230" s="222" t="n"/>
      <c r="C230" s="220" t="n"/>
      <c r="D230" s="220" t="n"/>
      <c r="E230" s="220" t="n"/>
      <c r="F230" s="220" t="n"/>
      <c r="G230" s="169">
        <f>IFERROR((D230-F230)/C230*100,"")</f>
        <v/>
      </c>
      <c r="H230" s="219" t="n"/>
      <c r="I230" s="220" t="n"/>
      <c r="J230" s="221">
        <f>IF(COUNTA(A230:F230)=0,"",IF(OR(C230&lt;0,D230&lt;0,E230&lt;0,F230&lt;0),"ERRO: valor negativo",IF(C230&lt;&gt;SUM(D230:F230),"ERRO: categorias diferem dos respondentes",IF(COUNTIFS($A$5:$A$1200,A230,$B$5:$B$1200,B230)&gt;1,"ERRO: período e curso duplicados","OK"))))</f>
        <v/>
      </c>
    </row>
    <row r="231" ht="15" customHeight="1" s="131">
      <c r="A231" s="220" t="n"/>
      <c r="B231" s="222" t="n"/>
      <c r="C231" s="220" t="n"/>
      <c r="D231" s="220" t="n"/>
      <c r="E231" s="220" t="n"/>
      <c r="F231" s="220" t="n"/>
      <c r="G231" s="169">
        <f>IFERROR((D231-F231)/C231*100,"")</f>
        <v/>
      </c>
      <c r="H231" s="219" t="n"/>
      <c r="I231" s="220" t="n"/>
      <c r="J231" s="221">
        <f>IF(COUNTA(A231:F231)=0,"",IF(OR(C231&lt;0,D231&lt;0,E231&lt;0,F231&lt;0),"ERRO: valor negativo",IF(C231&lt;&gt;SUM(D231:F231),"ERRO: categorias diferem dos respondentes",IF(COUNTIFS($A$5:$A$1200,A231,$B$5:$B$1200,B231)&gt;1,"ERRO: período e curso duplicados","OK"))))</f>
        <v/>
      </c>
    </row>
    <row r="232" ht="15" customHeight="1" s="131">
      <c r="A232" s="220" t="n"/>
      <c r="B232" s="222" t="n"/>
      <c r="C232" s="220" t="n"/>
      <c r="D232" s="220" t="n"/>
      <c r="E232" s="220" t="n"/>
      <c r="F232" s="220" t="n"/>
      <c r="G232" s="169">
        <f>IFERROR((D232-F232)/C232*100,"")</f>
        <v/>
      </c>
      <c r="H232" s="219" t="n"/>
      <c r="I232" s="220" t="n"/>
      <c r="J232" s="221">
        <f>IF(COUNTA(A232:F232)=0,"",IF(OR(C232&lt;0,D232&lt;0,E232&lt;0,F232&lt;0),"ERRO: valor negativo",IF(C232&lt;&gt;SUM(D232:F232),"ERRO: categorias diferem dos respondentes",IF(COUNTIFS($A$5:$A$1200,A232,$B$5:$B$1200,B232)&gt;1,"ERRO: período e curso duplicados","OK"))))</f>
        <v/>
      </c>
    </row>
    <row r="233" ht="15" customHeight="1" s="131">
      <c r="A233" s="220" t="n"/>
      <c r="B233" s="222" t="n"/>
      <c r="C233" s="220" t="n"/>
      <c r="D233" s="220" t="n"/>
      <c r="E233" s="220" t="n"/>
      <c r="F233" s="220" t="n"/>
      <c r="G233" s="169">
        <f>IFERROR((D233-F233)/C233*100,"")</f>
        <v/>
      </c>
      <c r="H233" s="219" t="n"/>
      <c r="I233" s="220" t="n"/>
      <c r="J233" s="221">
        <f>IF(COUNTA(A233:F233)=0,"",IF(OR(C233&lt;0,D233&lt;0,E233&lt;0,F233&lt;0),"ERRO: valor negativo",IF(C233&lt;&gt;SUM(D233:F233),"ERRO: categorias diferem dos respondentes",IF(COUNTIFS($A$5:$A$1200,A233,$B$5:$B$1200,B233)&gt;1,"ERRO: período e curso duplicados","OK"))))</f>
        <v/>
      </c>
    </row>
    <row r="234" ht="15" customHeight="1" s="131">
      <c r="A234" s="220" t="n"/>
      <c r="B234" s="222" t="n"/>
      <c r="C234" s="220" t="n"/>
      <c r="D234" s="220" t="n"/>
      <c r="E234" s="220" t="n"/>
      <c r="F234" s="220" t="n"/>
      <c r="G234" s="169">
        <f>IFERROR((D234-F234)/C234*100,"")</f>
        <v/>
      </c>
      <c r="H234" s="219" t="n"/>
      <c r="I234" s="220" t="n"/>
      <c r="J234" s="221">
        <f>IF(COUNTA(A234:F234)=0,"",IF(OR(C234&lt;0,D234&lt;0,E234&lt;0,F234&lt;0),"ERRO: valor negativo",IF(C234&lt;&gt;SUM(D234:F234),"ERRO: categorias diferem dos respondentes",IF(COUNTIFS($A$5:$A$1200,A234,$B$5:$B$1200,B234)&gt;1,"ERRO: período e curso duplicados","OK"))))</f>
        <v/>
      </c>
    </row>
    <row r="235" ht="15" customHeight="1" s="131">
      <c r="A235" s="220" t="n"/>
      <c r="B235" s="222" t="n"/>
      <c r="C235" s="220" t="n"/>
      <c r="D235" s="220" t="n"/>
      <c r="E235" s="220" t="n"/>
      <c r="F235" s="220" t="n"/>
      <c r="G235" s="169">
        <f>IFERROR((D235-F235)/C235*100,"")</f>
        <v/>
      </c>
      <c r="H235" s="219" t="n"/>
      <c r="I235" s="220" t="n"/>
      <c r="J235" s="221">
        <f>IF(COUNTA(A235:F235)=0,"",IF(OR(C235&lt;0,D235&lt;0,E235&lt;0,F235&lt;0),"ERRO: valor negativo",IF(C235&lt;&gt;SUM(D235:F235),"ERRO: categorias diferem dos respondentes",IF(COUNTIFS($A$5:$A$1200,A235,$B$5:$B$1200,B235)&gt;1,"ERRO: período e curso duplicados","OK"))))</f>
        <v/>
      </c>
    </row>
    <row r="236" ht="15" customHeight="1" s="131">
      <c r="A236" s="220" t="n"/>
      <c r="B236" s="222" t="n"/>
      <c r="C236" s="220" t="n"/>
      <c r="D236" s="220" t="n"/>
      <c r="E236" s="220" t="n"/>
      <c r="F236" s="220" t="n"/>
      <c r="G236" s="169">
        <f>IFERROR((D236-F236)/C236*100,"")</f>
        <v/>
      </c>
      <c r="H236" s="219" t="n"/>
      <c r="I236" s="220" t="n"/>
      <c r="J236" s="221">
        <f>IF(COUNTA(A236:F236)=0,"",IF(OR(C236&lt;0,D236&lt;0,E236&lt;0,F236&lt;0),"ERRO: valor negativo",IF(C236&lt;&gt;SUM(D236:F236),"ERRO: categorias diferem dos respondentes",IF(COUNTIFS($A$5:$A$1200,A236,$B$5:$B$1200,B236)&gt;1,"ERRO: período e curso duplicados","OK"))))</f>
        <v/>
      </c>
    </row>
    <row r="237" ht="15" customHeight="1" s="131">
      <c r="A237" s="220" t="n"/>
      <c r="B237" s="222" t="n"/>
      <c r="C237" s="220" t="n"/>
      <c r="D237" s="220" t="n"/>
      <c r="E237" s="220" t="n"/>
      <c r="F237" s="220" t="n"/>
      <c r="G237" s="169">
        <f>IFERROR((D237-F237)/C237*100,"")</f>
        <v/>
      </c>
      <c r="H237" s="219" t="n"/>
      <c r="I237" s="220" t="n"/>
      <c r="J237" s="221">
        <f>IF(COUNTA(A237:F237)=0,"",IF(OR(C237&lt;0,D237&lt;0,E237&lt;0,F237&lt;0),"ERRO: valor negativo",IF(C237&lt;&gt;SUM(D237:F237),"ERRO: categorias diferem dos respondentes",IF(COUNTIFS($A$5:$A$1200,A237,$B$5:$B$1200,B237)&gt;1,"ERRO: período e curso duplicados","OK"))))</f>
        <v/>
      </c>
    </row>
    <row r="238" ht="15" customHeight="1" s="131">
      <c r="A238" s="220" t="n"/>
      <c r="B238" s="222" t="n"/>
      <c r="C238" s="220" t="n"/>
      <c r="D238" s="220" t="n"/>
      <c r="E238" s="220" t="n"/>
      <c r="F238" s="220" t="n"/>
      <c r="G238" s="169">
        <f>IFERROR((D238-F238)/C238*100,"")</f>
        <v/>
      </c>
      <c r="H238" s="219" t="n"/>
      <c r="I238" s="220" t="n"/>
      <c r="J238" s="221">
        <f>IF(COUNTA(A238:F238)=0,"",IF(OR(C238&lt;0,D238&lt;0,E238&lt;0,F238&lt;0),"ERRO: valor negativo",IF(C238&lt;&gt;SUM(D238:F238),"ERRO: categorias diferem dos respondentes",IF(COUNTIFS($A$5:$A$1200,A238,$B$5:$B$1200,B238)&gt;1,"ERRO: período e curso duplicados","OK"))))</f>
        <v/>
      </c>
    </row>
    <row r="239" ht="15" customHeight="1" s="131">
      <c r="A239" s="220" t="n"/>
      <c r="B239" s="222" t="n"/>
      <c r="C239" s="220" t="n"/>
      <c r="D239" s="220" t="n"/>
      <c r="E239" s="220" t="n"/>
      <c r="F239" s="220" t="n"/>
      <c r="G239" s="169">
        <f>IFERROR((D239-F239)/C239*100,"")</f>
        <v/>
      </c>
      <c r="H239" s="219" t="n"/>
      <c r="I239" s="220" t="n"/>
      <c r="J239" s="221">
        <f>IF(COUNTA(A239:F239)=0,"",IF(OR(C239&lt;0,D239&lt;0,E239&lt;0,F239&lt;0),"ERRO: valor negativo",IF(C239&lt;&gt;SUM(D239:F239),"ERRO: categorias diferem dos respondentes",IF(COUNTIFS($A$5:$A$1200,A239,$B$5:$B$1200,B239)&gt;1,"ERRO: período e curso duplicados","OK"))))</f>
        <v/>
      </c>
    </row>
    <row r="240" ht="15" customHeight="1" s="131">
      <c r="A240" s="220" t="n"/>
      <c r="B240" s="222" t="n"/>
      <c r="C240" s="220" t="n"/>
      <c r="D240" s="220" t="n"/>
      <c r="E240" s="220" t="n"/>
      <c r="F240" s="220" t="n"/>
      <c r="G240" s="169">
        <f>IFERROR((D240-F240)/C240*100,"")</f>
        <v/>
      </c>
      <c r="H240" s="219" t="n"/>
      <c r="I240" s="220" t="n"/>
      <c r="J240" s="221">
        <f>IF(COUNTA(A240:F240)=0,"",IF(OR(C240&lt;0,D240&lt;0,E240&lt;0,F240&lt;0),"ERRO: valor negativo",IF(C240&lt;&gt;SUM(D240:F240),"ERRO: categorias diferem dos respondentes",IF(COUNTIFS($A$5:$A$1200,A240,$B$5:$B$1200,B240)&gt;1,"ERRO: período e curso duplicados","OK"))))</f>
        <v/>
      </c>
    </row>
    <row r="241" ht="15" customHeight="1" s="131">
      <c r="A241" s="220" t="n"/>
      <c r="B241" s="222" t="n"/>
      <c r="C241" s="220" t="n"/>
      <c r="D241" s="220" t="n"/>
      <c r="E241" s="220" t="n"/>
      <c r="F241" s="220" t="n"/>
      <c r="G241" s="169">
        <f>IFERROR((D241-F241)/C241*100,"")</f>
        <v/>
      </c>
      <c r="H241" s="219" t="n"/>
      <c r="I241" s="220" t="n"/>
      <c r="J241" s="221">
        <f>IF(COUNTA(A241:F241)=0,"",IF(OR(C241&lt;0,D241&lt;0,E241&lt;0,F241&lt;0),"ERRO: valor negativo",IF(C241&lt;&gt;SUM(D241:F241),"ERRO: categorias diferem dos respondentes",IF(COUNTIFS($A$5:$A$1200,A241,$B$5:$B$1200,B241)&gt;1,"ERRO: período e curso duplicados","OK"))))</f>
        <v/>
      </c>
    </row>
    <row r="242" ht="15" customHeight="1" s="131">
      <c r="A242" s="220" t="n"/>
      <c r="B242" s="222" t="n"/>
      <c r="C242" s="220" t="n"/>
      <c r="D242" s="220" t="n"/>
      <c r="E242" s="220" t="n"/>
      <c r="F242" s="220" t="n"/>
      <c r="G242" s="169">
        <f>IFERROR((D242-F242)/C242*100,"")</f>
        <v/>
      </c>
      <c r="H242" s="219" t="n"/>
      <c r="I242" s="220" t="n"/>
      <c r="J242" s="221">
        <f>IF(COUNTA(A242:F242)=0,"",IF(OR(C242&lt;0,D242&lt;0,E242&lt;0,F242&lt;0),"ERRO: valor negativo",IF(C242&lt;&gt;SUM(D242:F242),"ERRO: categorias diferem dos respondentes",IF(COUNTIFS($A$5:$A$1200,A242,$B$5:$B$1200,B242)&gt;1,"ERRO: período e curso duplicados","OK"))))</f>
        <v/>
      </c>
    </row>
    <row r="243" ht="15" customHeight="1" s="131">
      <c r="A243" s="220" t="n"/>
      <c r="B243" s="222" t="n"/>
      <c r="C243" s="220" t="n"/>
      <c r="D243" s="220" t="n"/>
      <c r="E243" s="220" t="n"/>
      <c r="F243" s="220" t="n"/>
      <c r="G243" s="169">
        <f>IFERROR((D243-F243)/C243*100,"")</f>
        <v/>
      </c>
      <c r="H243" s="219" t="n"/>
      <c r="I243" s="220" t="n"/>
      <c r="J243" s="221">
        <f>IF(COUNTA(A243:F243)=0,"",IF(OR(C243&lt;0,D243&lt;0,E243&lt;0,F243&lt;0),"ERRO: valor negativo",IF(C243&lt;&gt;SUM(D243:F243),"ERRO: categorias diferem dos respondentes",IF(COUNTIFS($A$5:$A$1200,A243,$B$5:$B$1200,B243)&gt;1,"ERRO: período e curso duplicados","OK"))))</f>
        <v/>
      </c>
    </row>
    <row r="244" ht="15" customHeight="1" s="131">
      <c r="A244" s="220" t="n"/>
      <c r="B244" s="222" t="n"/>
      <c r="C244" s="220" t="n"/>
      <c r="D244" s="220" t="n"/>
      <c r="E244" s="220" t="n"/>
      <c r="F244" s="220" t="n"/>
      <c r="G244" s="169">
        <f>IFERROR((D244-F244)/C244*100,"")</f>
        <v/>
      </c>
      <c r="H244" s="219" t="n"/>
      <c r="I244" s="220" t="n"/>
      <c r="J244" s="221">
        <f>IF(COUNTA(A244:F244)=0,"",IF(OR(C244&lt;0,D244&lt;0,E244&lt;0,F244&lt;0),"ERRO: valor negativo",IF(C244&lt;&gt;SUM(D244:F244),"ERRO: categorias diferem dos respondentes",IF(COUNTIFS($A$5:$A$1200,A244,$B$5:$B$1200,B244)&gt;1,"ERRO: período e curso duplicados","OK"))))</f>
        <v/>
      </c>
    </row>
    <row r="245" ht="15" customHeight="1" s="131">
      <c r="A245" s="220" t="n"/>
      <c r="B245" s="222" t="n"/>
      <c r="C245" s="220" t="n"/>
      <c r="D245" s="220" t="n"/>
      <c r="E245" s="220" t="n"/>
      <c r="F245" s="220" t="n"/>
      <c r="G245" s="169">
        <f>IFERROR((D245-F245)/C245*100,"")</f>
        <v/>
      </c>
      <c r="H245" s="219" t="n"/>
      <c r="I245" s="220" t="n"/>
      <c r="J245" s="221">
        <f>IF(COUNTA(A245:F245)=0,"",IF(OR(C245&lt;0,D245&lt;0,E245&lt;0,F245&lt;0),"ERRO: valor negativo",IF(C245&lt;&gt;SUM(D245:F245),"ERRO: categorias diferem dos respondentes",IF(COUNTIFS($A$5:$A$1200,A245,$B$5:$B$1200,B245)&gt;1,"ERRO: período e curso duplicados","OK"))))</f>
        <v/>
      </c>
    </row>
    <row r="246" ht="15" customHeight="1" s="131">
      <c r="A246" s="220" t="n"/>
      <c r="B246" s="222" t="n"/>
      <c r="C246" s="220" t="n"/>
      <c r="D246" s="220" t="n"/>
      <c r="E246" s="220" t="n"/>
      <c r="F246" s="220" t="n"/>
      <c r="G246" s="169">
        <f>IFERROR((D246-F246)/C246*100,"")</f>
        <v/>
      </c>
      <c r="H246" s="219" t="n"/>
      <c r="I246" s="220" t="n"/>
      <c r="J246" s="221">
        <f>IF(COUNTA(A246:F246)=0,"",IF(OR(C246&lt;0,D246&lt;0,E246&lt;0,F246&lt;0),"ERRO: valor negativo",IF(C246&lt;&gt;SUM(D246:F246),"ERRO: categorias diferem dos respondentes",IF(COUNTIFS($A$5:$A$1200,A246,$B$5:$B$1200,B246)&gt;1,"ERRO: período e curso duplicados","OK"))))</f>
        <v/>
      </c>
    </row>
    <row r="247" ht="15" customHeight="1" s="131">
      <c r="A247" s="220" t="n"/>
      <c r="B247" s="222" t="n"/>
      <c r="C247" s="220" t="n"/>
      <c r="D247" s="220" t="n"/>
      <c r="E247" s="220" t="n"/>
      <c r="F247" s="220" t="n"/>
      <c r="G247" s="169">
        <f>IFERROR((D247-F247)/C247*100,"")</f>
        <v/>
      </c>
      <c r="H247" s="219" t="n"/>
      <c r="I247" s="220" t="n"/>
      <c r="J247" s="221">
        <f>IF(COUNTA(A247:F247)=0,"",IF(OR(C247&lt;0,D247&lt;0,E247&lt;0,F247&lt;0),"ERRO: valor negativo",IF(C247&lt;&gt;SUM(D247:F247),"ERRO: categorias diferem dos respondentes",IF(COUNTIFS($A$5:$A$1200,A247,$B$5:$B$1200,B247)&gt;1,"ERRO: período e curso duplicados","OK"))))</f>
        <v/>
      </c>
    </row>
    <row r="248" ht="15" customHeight="1" s="131">
      <c r="A248" s="220" t="n"/>
      <c r="B248" s="222" t="n"/>
      <c r="C248" s="220" t="n"/>
      <c r="D248" s="220" t="n"/>
      <c r="E248" s="220" t="n"/>
      <c r="F248" s="220" t="n"/>
      <c r="G248" s="169">
        <f>IFERROR((D248-F248)/C248*100,"")</f>
        <v/>
      </c>
      <c r="H248" s="219" t="n"/>
      <c r="I248" s="220" t="n"/>
      <c r="J248" s="221">
        <f>IF(COUNTA(A248:F248)=0,"",IF(OR(C248&lt;0,D248&lt;0,E248&lt;0,F248&lt;0),"ERRO: valor negativo",IF(C248&lt;&gt;SUM(D248:F248),"ERRO: categorias diferem dos respondentes",IF(COUNTIFS($A$5:$A$1200,A248,$B$5:$B$1200,B248)&gt;1,"ERRO: período e curso duplicados","OK"))))</f>
        <v/>
      </c>
    </row>
    <row r="249" ht="15" customHeight="1" s="131">
      <c r="A249" s="220" t="n"/>
      <c r="B249" s="222" t="n"/>
      <c r="C249" s="220" t="n"/>
      <c r="D249" s="220" t="n"/>
      <c r="E249" s="220" t="n"/>
      <c r="F249" s="220" t="n"/>
      <c r="G249" s="169">
        <f>IFERROR((D249-F249)/C249*100,"")</f>
        <v/>
      </c>
      <c r="H249" s="219" t="n"/>
      <c r="I249" s="220" t="n"/>
      <c r="J249" s="221">
        <f>IF(COUNTA(A249:F249)=0,"",IF(OR(C249&lt;0,D249&lt;0,E249&lt;0,F249&lt;0),"ERRO: valor negativo",IF(C249&lt;&gt;SUM(D249:F249),"ERRO: categorias diferem dos respondentes",IF(COUNTIFS($A$5:$A$1200,A249,$B$5:$B$1200,B249)&gt;1,"ERRO: período e curso duplicados","OK"))))</f>
        <v/>
      </c>
    </row>
    <row r="250" ht="15" customHeight="1" s="131">
      <c r="A250" s="220" t="n"/>
      <c r="B250" s="222" t="n"/>
      <c r="C250" s="220" t="n"/>
      <c r="D250" s="220" t="n"/>
      <c r="E250" s="220" t="n"/>
      <c r="F250" s="220" t="n"/>
      <c r="G250" s="169">
        <f>IFERROR((D250-F250)/C250*100,"")</f>
        <v/>
      </c>
      <c r="H250" s="219" t="n"/>
      <c r="I250" s="220" t="n"/>
      <c r="J250" s="221">
        <f>IF(COUNTA(A250:F250)=0,"",IF(OR(C250&lt;0,D250&lt;0,E250&lt;0,F250&lt;0),"ERRO: valor negativo",IF(C250&lt;&gt;SUM(D250:F250),"ERRO: categorias diferem dos respondentes",IF(COUNTIFS($A$5:$A$1200,A250,$B$5:$B$1200,B250)&gt;1,"ERRO: período e curso duplicados","OK"))))</f>
        <v/>
      </c>
    </row>
    <row r="251" ht="15" customHeight="1" s="131">
      <c r="A251" s="220" t="n"/>
      <c r="B251" s="222" t="n"/>
      <c r="C251" s="220" t="n"/>
      <c r="D251" s="220" t="n"/>
      <c r="E251" s="220" t="n"/>
      <c r="F251" s="220" t="n"/>
      <c r="G251" s="169">
        <f>IFERROR((D251-F251)/C251*100,"")</f>
        <v/>
      </c>
      <c r="H251" s="219" t="n"/>
      <c r="I251" s="220" t="n"/>
      <c r="J251" s="221">
        <f>IF(COUNTA(A251:F251)=0,"",IF(OR(C251&lt;0,D251&lt;0,E251&lt;0,F251&lt;0),"ERRO: valor negativo",IF(C251&lt;&gt;SUM(D251:F251),"ERRO: categorias diferem dos respondentes",IF(COUNTIFS($A$5:$A$1200,A251,$B$5:$B$1200,B251)&gt;1,"ERRO: período e curso duplicados","OK"))))</f>
        <v/>
      </c>
    </row>
    <row r="252" ht="15" customHeight="1" s="131">
      <c r="A252" s="220" t="n"/>
      <c r="B252" s="222" t="n"/>
      <c r="C252" s="220" t="n"/>
      <c r="D252" s="220" t="n"/>
      <c r="E252" s="220" t="n"/>
      <c r="F252" s="220" t="n"/>
      <c r="G252" s="169">
        <f>IFERROR((D252-F252)/C252*100,"")</f>
        <v/>
      </c>
      <c r="H252" s="219" t="n"/>
      <c r="I252" s="220" t="n"/>
      <c r="J252" s="221">
        <f>IF(COUNTA(A252:F252)=0,"",IF(OR(C252&lt;0,D252&lt;0,E252&lt;0,F252&lt;0),"ERRO: valor negativo",IF(C252&lt;&gt;SUM(D252:F252),"ERRO: categorias diferem dos respondentes",IF(COUNTIFS($A$5:$A$1200,A252,$B$5:$B$1200,B252)&gt;1,"ERRO: período e curso duplicados","OK"))))</f>
        <v/>
      </c>
    </row>
    <row r="253" ht="15" customHeight="1" s="131">
      <c r="A253" s="220" t="n"/>
      <c r="B253" s="222" t="n"/>
      <c r="C253" s="220" t="n"/>
      <c r="D253" s="220" t="n"/>
      <c r="E253" s="220" t="n"/>
      <c r="F253" s="220" t="n"/>
      <c r="G253" s="169">
        <f>IFERROR((D253-F253)/C253*100,"")</f>
        <v/>
      </c>
      <c r="H253" s="219" t="n"/>
      <c r="I253" s="220" t="n"/>
      <c r="J253" s="221">
        <f>IF(COUNTA(A253:F253)=0,"",IF(OR(C253&lt;0,D253&lt;0,E253&lt;0,F253&lt;0),"ERRO: valor negativo",IF(C253&lt;&gt;SUM(D253:F253),"ERRO: categorias diferem dos respondentes",IF(COUNTIFS($A$5:$A$1200,A253,$B$5:$B$1200,B253)&gt;1,"ERRO: período e curso duplicados","OK"))))</f>
        <v/>
      </c>
    </row>
    <row r="254" ht="15" customHeight="1" s="131">
      <c r="A254" s="220" t="n"/>
      <c r="B254" s="222" t="n"/>
      <c r="C254" s="220" t="n"/>
      <c r="D254" s="220" t="n"/>
      <c r="E254" s="220" t="n"/>
      <c r="F254" s="220" t="n"/>
      <c r="G254" s="169">
        <f>IFERROR((D254-F254)/C254*100,"")</f>
        <v/>
      </c>
      <c r="H254" s="219" t="n"/>
      <c r="I254" s="220" t="n"/>
      <c r="J254" s="221">
        <f>IF(COUNTA(A254:F254)=0,"",IF(OR(C254&lt;0,D254&lt;0,E254&lt;0,F254&lt;0),"ERRO: valor negativo",IF(C254&lt;&gt;SUM(D254:F254),"ERRO: categorias diferem dos respondentes",IF(COUNTIFS($A$5:$A$1200,A254,$B$5:$B$1200,B254)&gt;1,"ERRO: período e curso duplicados","OK"))))</f>
        <v/>
      </c>
    </row>
    <row r="255" ht="15" customHeight="1" s="131">
      <c r="A255" s="220" t="n"/>
      <c r="B255" s="222" t="n"/>
      <c r="C255" s="220" t="n"/>
      <c r="D255" s="220" t="n"/>
      <c r="E255" s="220" t="n"/>
      <c r="F255" s="220" t="n"/>
      <c r="G255" s="169">
        <f>IFERROR((D255-F255)/C255*100,"")</f>
        <v/>
      </c>
      <c r="H255" s="219" t="n"/>
      <c r="I255" s="220" t="n"/>
      <c r="J255" s="221">
        <f>IF(COUNTA(A255:F255)=0,"",IF(OR(C255&lt;0,D255&lt;0,E255&lt;0,F255&lt;0),"ERRO: valor negativo",IF(C255&lt;&gt;SUM(D255:F255),"ERRO: categorias diferem dos respondentes",IF(COUNTIFS($A$5:$A$1200,A255,$B$5:$B$1200,B255)&gt;1,"ERRO: período e curso duplicados","OK"))))</f>
        <v/>
      </c>
    </row>
    <row r="256" ht="15" customHeight="1" s="131">
      <c r="A256" s="220" t="n"/>
      <c r="B256" s="222" t="n"/>
      <c r="C256" s="220" t="n"/>
      <c r="D256" s="220" t="n"/>
      <c r="E256" s="220" t="n"/>
      <c r="F256" s="220" t="n"/>
      <c r="G256" s="169">
        <f>IFERROR((D256-F256)/C256*100,"")</f>
        <v/>
      </c>
      <c r="H256" s="219" t="n"/>
      <c r="I256" s="220" t="n"/>
      <c r="J256" s="221">
        <f>IF(COUNTA(A256:F256)=0,"",IF(OR(C256&lt;0,D256&lt;0,E256&lt;0,F256&lt;0),"ERRO: valor negativo",IF(C256&lt;&gt;SUM(D256:F256),"ERRO: categorias diferem dos respondentes",IF(COUNTIFS($A$5:$A$1200,A256,$B$5:$B$1200,B256)&gt;1,"ERRO: período e curso duplicados","OK"))))</f>
        <v/>
      </c>
    </row>
    <row r="257" ht="15" customHeight="1" s="131">
      <c r="A257" s="220" t="n"/>
      <c r="B257" s="222" t="n"/>
      <c r="C257" s="220" t="n"/>
      <c r="D257" s="220" t="n"/>
      <c r="E257" s="220" t="n"/>
      <c r="F257" s="220" t="n"/>
      <c r="G257" s="169">
        <f>IFERROR((D257-F257)/C257*100,"")</f>
        <v/>
      </c>
      <c r="H257" s="219" t="n"/>
      <c r="I257" s="220" t="n"/>
      <c r="J257" s="221">
        <f>IF(COUNTA(A257:F257)=0,"",IF(OR(C257&lt;0,D257&lt;0,E257&lt;0,F257&lt;0),"ERRO: valor negativo",IF(C257&lt;&gt;SUM(D257:F257),"ERRO: categorias diferem dos respondentes",IF(COUNTIFS($A$5:$A$1200,A257,$B$5:$B$1200,B257)&gt;1,"ERRO: período e curso duplicados","OK"))))</f>
        <v/>
      </c>
    </row>
    <row r="258" ht="15" customHeight="1" s="131">
      <c r="A258" s="220" t="n"/>
      <c r="B258" s="222" t="n"/>
      <c r="C258" s="220" t="n"/>
      <c r="D258" s="220" t="n"/>
      <c r="E258" s="220" t="n"/>
      <c r="F258" s="220" t="n"/>
      <c r="G258" s="169">
        <f>IFERROR((D258-F258)/C258*100,"")</f>
        <v/>
      </c>
      <c r="H258" s="219" t="n"/>
      <c r="I258" s="220" t="n"/>
      <c r="J258" s="221">
        <f>IF(COUNTA(A258:F258)=0,"",IF(OR(C258&lt;0,D258&lt;0,E258&lt;0,F258&lt;0),"ERRO: valor negativo",IF(C258&lt;&gt;SUM(D258:F258),"ERRO: categorias diferem dos respondentes",IF(COUNTIFS($A$5:$A$1200,A258,$B$5:$B$1200,B258)&gt;1,"ERRO: período e curso duplicados","OK"))))</f>
        <v/>
      </c>
    </row>
    <row r="259" ht="15" customHeight="1" s="131">
      <c r="A259" s="220" t="n"/>
      <c r="B259" s="222" t="n"/>
      <c r="C259" s="220" t="n"/>
      <c r="D259" s="220" t="n"/>
      <c r="E259" s="220" t="n"/>
      <c r="F259" s="220" t="n"/>
      <c r="G259" s="169">
        <f>IFERROR((D259-F259)/C259*100,"")</f>
        <v/>
      </c>
      <c r="H259" s="219" t="n"/>
      <c r="I259" s="220" t="n"/>
      <c r="J259" s="221">
        <f>IF(COUNTA(A259:F259)=0,"",IF(OR(C259&lt;0,D259&lt;0,E259&lt;0,F259&lt;0),"ERRO: valor negativo",IF(C259&lt;&gt;SUM(D259:F259),"ERRO: categorias diferem dos respondentes",IF(COUNTIFS($A$5:$A$1200,A259,$B$5:$B$1200,B259)&gt;1,"ERRO: período e curso duplicados","OK"))))</f>
        <v/>
      </c>
    </row>
    <row r="260" ht="15" customHeight="1" s="131">
      <c r="A260" s="220" t="n"/>
      <c r="B260" s="222" t="n"/>
      <c r="C260" s="220" t="n"/>
      <c r="D260" s="220" t="n"/>
      <c r="E260" s="220" t="n"/>
      <c r="F260" s="220" t="n"/>
      <c r="G260" s="169">
        <f>IFERROR((D260-F260)/C260*100,"")</f>
        <v/>
      </c>
      <c r="H260" s="219" t="n"/>
      <c r="I260" s="220" t="n"/>
      <c r="J260" s="221">
        <f>IF(COUNTA(A260:F260)=0,"",IF(OR(C260&lt;0,D260&lt;0,E260&lt;0,F260&lt;0),"ERRO: valor negativo",IF(C260&lt;&gt;SUM(D260:F260),"ERRO: categorias diferem dos respondentes",IF(COUNTIFS($A$5:$A$1200,A260,$B$5:$B$1200,B260)&gt;1,"ERRO: período e curso duplicados","OK"))))</f>
        <v/>
      </c>
    </row>
    <row r="261" ht="15" customHeight="1" s="131">
      <c r="A261" s="220" t="n"/>
      <c r="B261" s="222" t="n"/>
      <c r="C261" s="220" t="n"/>
      <c r="D261" s="220" t="n"/>
      <c r="E261" s="220" t="n"/>
      <c r="F261" s="220" t="n"/>
      <c r="G261" s="169">
        <f>IFERROR((D261-F261)/C261*100,"")</f>
        <v/>
      </c>
      <c r="H261" s="219" t="n"/>
      <c r="I261" s="220" t="n"/>
      <c r="J261" s="221">
        <f>IF(COUNTA(A261:F261)=0,"",IF(OR(C261&lt;0,D261&lt;0,E261&lt;0,F261&lt;0),"ERRO: valor negativo",IF(C261&lt;&gt;SUM(D261:F261),"ERRO: categorias diferem dos respondentes",IF(COUNTIFS($A$5:$A$1200,A261,$B$5:$B$1200,B261)&gt;1,"ERRO: período e curso duplicados","OK"))))</f>
        <v/>
      </c>
    </row>
    <row r="262" ht="15" customHeight="1" s="131">
      <c r="A262" s="220" t="n"/>
      <c r="B262" s="222" t="n"/>
      <c r="C262" s="220" t="n"/>
      <c r="D262" s="220" t="n"/>
      <c r="E262" s="220" t="n"/>
      <c r="F262" s="220" t="n"/>
      <c r="G262" s="169">
        <f>IFERROR((D262-F262)/C262*100,"")</f>
        <v/>
      </c>
      <c r="H262" s="219" t="n"/>
      <c r="I262" s="220" t="n"/>
      <c r="J262" s="221">
        <f>IF(COUNTA(A262:F262)=0,"",IF(OR(C262&lt;0,D262&lt;0,E262&lt;0,F262&lt;0),"ERRO: valor negativo",IF(C262&lt;&gt;SUM(D262:F262),"ERRO: categorias diferem dos respondentes",IF(COUNTIFS($A$5:$A$1200,A262,$B$5:$B$1200,B262)&gt;1,"ERRO: período e curso duplicados","OK"))))</f>
        <v/>
      </c>
    </row>
    <row r="263" ht="15" customHeight="1" s="131">
      <c r="A263" s="220" t="n"/>
      <c r="B263" s="222" t="n"/>
      <c r="C263" s="220" t="n"/>
      <c r="D263" s="220" t="n"/>
      <c r="E263" s="220" t="n"/>
      <c r="F263" s="220" t="n"/>
      <c r="G263" s="169">
        <f>IFERROR((D263-F263)/C263*100,"")</f>
        <v/>
      </c>
      <c r="H263" s="219" t="n"/>
      <c r="I263" s="220" t="n"/>
      <c r="J263" s="221">
        <f>IF(COUNTA(A263:F263)=0,"",IF(OR(C263&lt;0,D263&lt;0,E263&lt;0,F263&lt;0),"ERRO: valor negativo",IF(C263&lt;&gt;SUM(D263:F263),"ERRO: categorias diferem dos respondentes",IF(COUNTIFS($A$5:$A$1200,A263,$B$5:$B$1200,B263)&gt;1,"ERRO: período e curso duplicados","OK"))))</f>
        <v/>
      </c>
    </row>
    <row r="264" ht="15" customHeight="1" s="131">
      <c r="A264" s="220" t="n"/>
      <c r="B264" s="222" t="n"/>
      <c r="C264" s="220" t="n"/>
      <c r="D264" s="220" t="n"/>
      <c r="E264" s="220" t="n"/>
      <c r="F264" s="220" t="n"/>
      <c r="G264" s="169">
        <f>IFERROR((D264-F264)/C264*100,"")</f>
        <v/>
      </c>
      <c r="H264" s="219" t="n"/>
      <c r="I264" s="220" t="n"/>
      <c r="J264" s="221">
        <f>IF(COUNTA(A264:F264)=0,"",IF(OR(C264&lt;0,D264&lt;0,E264&lt;0,F264&lt;0),"ERRO: valor negativo",IF(C264&lt;&gt;SUM(D264:F264),"ERRO: categorias diferem dos respondentes",IF(COUNTIFS($A$5:$A$1200,A264,$B$5:$B$1200,B264)&gt;1,"ERRO: período e curso duplicados","OK"))))</f>
        <v/>
      </c>
    </row>
    <row r="265" ht="15" customHeight="1" s="131">
      <c r="A265" s="220" t="n"/>
      <c r="B265" s="222" t="n"/>
      <c r="C265" s="220" t="n"/>
      <c r="D265" s="220" t="n"/>
      <c r="E265" s="220" t="n"/>
      <c r="F265" s="220" t="n"/>
      <c r="G265" s="169">
        <f>IFERROR((D265-F265)/C265*100,"")</f>
        <v/>
      </c>
      <c r="H265" s="219" t="n"/>
      <c r="I265" s="220" t="n"/>
      <c r="J265" s="221">
        <f>IF(COUNTA(A265:F265)=0,"",IF(OR(C265&lt;0,D265&lt;0,E265&lt;0,F265&lt;0),"ERRO: valor negativo",IF(C265&lt;&gt;SUM(D265:F265),"ERRO: categorias diferem dos respondentes",IF(COUNTIFS($A$5:$A$1200,A265,$B$5:$B$1200,B265)&gt;1,"ERRO: período e curso duplicados","OK"))))</f>
        <v/>
      </c>
    </row>
    <row r="266" ht="15" customHeight="1" s="131">
      <c r="A266" s="220" t="n"/>
      <c r="B266" s="222" t="n"/>
      <c r="C266" s="220" t="n"/>
      <c r="D266" s="220" t="n"/>
      <c r="E266" s="220" t="n"/>
      <c r="F266" s="220" t="n"/>
      <c r="G266" s="169">
        <f>IFERROR((D266-F266)/C266*100,"")</f>
        <v/>
      </c>
      <c r="H266" s="219" t="n"/>
      <c r="I266" s="220" t="n"/>
      <c r="J266" s="221">
        <f>IF(COUNTA(A266:F266)=0,"",IF(OR(C266&lt;0,D266&lt;0,E266&lt;0,F266&lt;0),"ERRO: valor negativo",IF(C266&lt;&gt;SUM(D266:F266),"ERRO: categorias diferem dos respondentes",IF(COUNTIFS($A$5:$A$1200,A266,$B$5:$B$1200,B266)&gt;1,"ERRO: período e curso duplicados","OK"))))</f>
        <v/>
      </c>
    </row>
    <row r="267" ht="15" customHeight="1" s="131">
      <c r="A267" s="220" t="n"/>
      <c r="B267" s="222" t="n"/>
      <c r="C267" s="220" t="n"/>
      <c r="D267" s="220" t="n"/>
      <c r="E267" s="220" t="n"/>
      <c r="F267" s="220" t="n"/>
      <c r="G267" s="169">
        <f>IFERROR((D267-F267)/C267*100,"")</f>
        <v/>
      </c>
      <c r="H267" s="219" t="n"/>
      <c r="I267" s="220" t="n"/>
      <c r="J267" s="221">
        <f>IF(COUNTA(A267:F267)=0,"",IF(OR(C267&lt;0,D267&lt;0,E267&lt;0,F267&lt;0),"ERRO: valor negativo",IF(C267&lt;&gt;SUM(D267:F267),"ERRO: categorias diferem dos respondentes",IF(COUNTIFS($A$5:$A$1200,A267,$B$5:$B$1200,B267)&gt;1,"ERRO: período e curso duplicados","OK"))))</f>
        <v/>
      </c>
    </row>
    <row r="268" ht="15" customHeight="1" s="131">
      <c r="A268" s="220" t="n"/>
      <c r="B268" s="222" t="n"/>
      <c r="C268" s="220" t="n"/>
      <c r="D268" s="220" t="n"/>
      <c r="E268" s="220" t="n"/>
      <c r="F268" s="220" t="n"/>
      <c r="G268" s="169">
        <f>IFERROR((D268-F268)/C268*100,"")</f>
        <v/>
      </c>
      <c r="H268" s="219" t="n"/>
      <c r="I268" s="220" t="n"/>
      <c r="J268" s="221">
        <f>IF(COUNTA(A268:F268)=0,"",IF(OR(C268&lt;0,D268&lt;0,E268&lt;0,F268&lt;0),"ERRO: valor negativo",IF(C268&lt;&gt;SUM(D268:F268),"ERRO: categorias diferem dos respondentes",IF(COUNTIFS($A$5:$A$1200,A268,$B$5:$B$1200,B268)&gt;1,"ERRO: período e curso duplicados","OK"))))</f>
        <v/>
      </c>
    </row>
    <row r="269" ht="15" customHeight="1" s="131">
      <c r="A269" s="220" t="n"/>
      <c r="B269" s="222" t="n"/>
      <c r="C269" s="220" t="n"/>
      <c r="D269" s="220" t="n"/>
      <c r="E269" s="220" t="n"/>
      <c r="F269" s="220" t="n"/>
      <c r="G269" s="169">
        <f>IFERROR((D269-F269)/C269*100,"")</f>
        <v/>
      </c>
      <c r="H269" s="219" t="n"/>
      <c r="I269" s="220" t="n"/>
      <c r="J269" s="221">
        <f>IF(COUNTA(A269:F269)=0,"",IF(OR(C269&lt;0,D269&lt;0,E269&lt;0,F269&lt;0),"ERRO: valor negativo",IF(C269&lt;&gt;SUM(D269:F269),"ERRO: categorias diferem dos respondentes",IF(COUNTIFS($A$5:$A$1200,A269,$B$5:$B$1200,B269)&gt;1,"ERRO: período e curso duplicados","OK"))))</f>
        <v/>
      </c>
    </row>
    <row r="270" ht="15" customHeight="1" s="131">
      <c r="A270" s="220" t="n"/>
      <c r="B270" s="222" t="n"/>
      <c r="C270" s="220" t="n"/>
      <c r="D270" s="220" t="n"/>
      <c r="E270" s="220" t="n"/>
      <c r="F270" s="220" t="n"/>
      <c r="G270" s="169">
        <f>IFERROR((D270-F270)/C270*100,"")</f>
        <v/>
      </c>
      <c r="H270" s="219" t="n"/>
      <c r="I270" s="220" t="n"/>
      <c r="J270" s="221">
        <f>IF(COUNTA(A270:F270)=0,"",IF(OR(C270&lt;0,D270&lt;0,E270&lt;0,F270&lt;0),"ERRO: valor negativo",IF(C270&lt;&gt;SUM(D270:F270),"ERRO: categorias diferem dos respondentes",IF(COUNTIFS($A$5:$A$1200,A270,$B$5:$B$1200,B270)&gt;1,"ERRO: período e curso duplicados","OK"))))</f>
        <v/>
      </c>
    </row>
    <row r="271" ht="15" customHeight="1" s="131">
      <c r="A271" s="220" t="n"/>
      <c r="B271" s="222" t="n"/>
      <c r="C271" s="220" t="n"/>
      <c r="D271" s="220" t="n"/>
      <c r="E271" s="220" t="n"/>
      <c r="F271" s="220" t="n"/>
      <c r="G271" s="169">
        <f>IFERROR((D271-F271)/C271*100,"")</f>
        <v/>
      </c>
      <c r="H271" s="219" t="n"/>
      <c r="I271" s="220" t="n"/>
      <c r="J271" s="221">
        <f>IF(COUNTA(A271:F271)=0,"",IF(OR(C271&lt;0,D271&lt;0,E271&lt;0,F271&lt;0),"ERRO: valor negativo",IF(C271&lt;&gt;SUM(D271:F271),"ERRO: categorias diferem dos respondentes",IF(COUNTIFS($A$5:$A$1200,A271,$B$5:$B$1200,B271)&gt;1,"ERRO: período e curso duplicados","OK"))))</f>
        <v/>
      </c>
    </row>
    <row r="272" ht="15" customHeight="1" s="131">
      <c r="A272" s="220" t="n"/>
      <c r="B272" s="222" t="n"/>
      <c r="C272" s="220" t="n"/>
      <c r="D272" s="220" t="n"/>
      <c r="E272" s="220" t="n"/>
      <c r="F272" s="220" t="n"/>
      <c r="G272" s="169">
        <f>IFERROR((D272-F272)/C272*100,"")</f>
        <v/>
      </c>
      <c r="H272" s="219" t="n"/>
      <c r="I272" s="220" t="n"/>
      <c r="J272" s="221">
        <f>IF(COUNTA(A272:F272)=0,"",IF(OR(C272&lt;0,D272&lt;0,E272&lt;0,F272&lt;0),"ERRO: valor negativo",IF(C272&lt;&gt;SUM(D272:F272),"ERRO: categorias diferem dos respondentes",IF(COUNTIFS($A$5:$A$1200,A272,$B$5:$B$1200,B272)&gt;1,"ERRO: período e curso duplicados","OK"))))</f>
        <v/>
      </c>
    </row>
    <row r="273" ht="15" customHeight="1" s="131">
      <c r="A273" s="220" t="n"/>
      <c r="B273" s="222" t="n"/>
      <c r="C273" s="220" t="n"/>
      <c r="D273" s="220" t="n"/>
      <c r="E273" s="220" t="n"/>
      <c r="F273" s="220" t="n"/>
      <c r="G273" s="169">
        <f>IFERROR((D273-F273)/C273*100,"")</f>
        <v/>
      </c>
      <c r="H273" s="219" t="n"/>
      <c r="I273" s="220" t="n"/>
      <c r="J273" s="221">
        <f>IF(COUNTA(A273:F273)=0,"",IF(OR(C273&lt;0,D273&lt;0,E273&lt;0,F273&lt;0),"ERRO: valor negativo",IF(C273&lt;&gt;SUM(D273:F273),"ERRO: categorias diferem dos respondentes",IF(COUNTIFS($A$5:$A$1200,A273,$B$5:$B$1200,B273)&gt;1,"ERRO: período e curso duplicados","OK"))))</f>
        <v/>
      </c>
    </row>
    <row r="274" ht="15" customHeight="1" s="131">
      <c r="A274" s="220" t="n"/>
      <c r="B274" s="222" t="n"/>
      <c r="C274" s="220" t="n"/>
      <c r="D274" s="220" t="n"/>
      <c r="E274" s="220" t="n"/>
      <c r="F274" s="220" t="n"/>
      <c r="G274" s="169">
        <f>IFERROR((D274-F274)/C274*100,"")</f>
        <v/>
      </c>
      <c r="H274" s="219" t="n"/>
      <c r="I274" s="220" t="n"/>
      <c r="J274" s="221">
        <f>IF(COUNTA(A274:F274)=0,"",IF(OR(C274&lt;0,D274&lt;0,E274&lt;0,F274&lt;0),"ERRO: valor negativo",IF(C274&lt;&gt;SUM(D274:F274),"ERRO: categorias diferem dos respondentes",IF(COUNTIFS($A$5:$A$1200,A274,$B$5:$B$1200,B274)&gt;1,"ERRO: período e curso duplicados","OK"))))</f>
        <v/>
      </c>
    </row>
    <row r="275" ht="15" customHeight="1" s="131">
      <c r="A275" s="220" t="n"/>
      <c r="B275" s="222" t="n"/>
      <c r="C275" s="220" t="n"/>
      <c r="D275" s="220" t="n"/>
      <c r="E275" s="220" t="n"/>
      <c r="F275" s="220" t="n"/>
      <c r="G275" s="169">
        <f>IFERROR((D275-F275)/C275*100,"")</f>
        <v/>
      </c>
      <c r="H275" s="219" t="n"/>
      <c r="I275" s="220" t="n"/>
      <c r="J275" s="221">
        <f>IF(COUNTA(A275:F275)=0,"",IF(OR(C275&lt;0,D275&lt;0,E275&lt;0,F275&lt;0),"ERRO: valor negativo",IF(C275&lt;&gt;SUM(D275:F275),"ERRO: categorias diferem dos respondentes",IF(COUNTIFS($A$5:$A$1200,A275,$B$5:$B$1200,B275)&gt;1,"ERRO: período e curso duplicados","OK"))))</f>
        <v/>
      </c>
    </row>
    <row r="276" ht="15" customHeight="1" s="131">
      <c r="A276" s="220" t="n"/>
      <c r="B276" s="222" t="n"/>
      <c r="C276" s="220" t="n"/>
      <c r="D276" s="220" t="n"/>
      <c r="E276" s="220" t="n"/>
      <c r="F276" s="220" t="n"/>
      <c r="G276" s="169">
        <f>IFERROR((D276-F276)/C276*100,"")</f>
        <v/>
      </c>
      <c r="H276" s="219" t="n"/>
      <c r="I276" s="220" t="n"/>
      <c r="J276" s="221">
        <f>IF(COUNTA(A276:F276)=0,"",IF(OR(C276&lt;0,D276&lt;0,E276&lt;0,F276&lt;0),"ERRO: valor negativo",IF(C276&lt;&gt;SUM(D276:F276),"ERRO: categorias diferem dos respondentes",IF(COUNTIFS($A$5:$A$1200,A276,$B$5:$B$1200,B276)&gt;1,"ERRO: período e curso duplicados","OK"))))</f>
        <v/>
      </c>
    </row>
    <row r="277" ht="15" customHeight="1" s="131">
      <c r="A277" s="220" t="n"/>
      <c r="B277" s="222" t="n"/>
      <c r="C277" s="220" t="n"/>
      <c r="D277" s="220" t="n"/>
      <c r="E277" s="220" t="n"/>
      <c r="F277" s="220" t="n"/>
      <c r="G277" s="169">
        <f>IFERROR((D277-F277)/C277*100,"")</f>
        <v/>
      </c>
      <c r="H277" s="219" t="n"/>
      <c r="I277" s="220" t="n"/>
      <c r="J277" s="221">
        <f>IF(COUNTA(A277:F277)=0,"",IF(OR(C277&lt;0,D277&lt;0,E277&lt;0,F277&lt;0),"ERRO: valor negativo",IF(C277&lt;&gt;SUM(D277:F277),"ERRO: categorias diferem dos respondentes",IF(COUNTIFS($A$5:$A$1200,A277,$B$5:$B$1200,B277)&gt;1,"ERRO: período e curso duplicados","OK"))))</f>
        <v/>
      </c>
    </row>
    <row r="278" ht="15" customHeight="1" s="131">
      <c r="A278" s="220" t="n"/>
      <c r="B278" s="222" t="n"/>
      <c r="C278" s="220" t="n"/>
      <c r="D278" s="220" t="n"/>
      <c r="E278" s="220" t="n"/>
      <c r="F278" s="220" t="n"/>
      <c r="G278" s="169">
        <f>IFERROR((D278-F278)/C278*100,"")</f>
        <v/>
      </c>
      <c r="H278" s="219" t="n"/>
      <c r="I278" s="220" t="n"/>
      <c r="J278" s="221">
        <f>IF(COUNTA(A278:F278)=0,"",IF(OR(C278&lt;0,D278&lt;0,E278&lt;0,F278&lt;0),"ERRO: valor negativo",IF(C278&lt;&gt;SUM(D278:F278),"ERRO: categorias diferem dos respondentes",IF(COUNTIFS($A$5:$A$1200,A278,$B$5:$B$1200,B278)&gt;1,"ERRO: período e curso duplicados","OK"))))</f>
        <v/>
      </c>
    </row>
    <row r="279" ht="15" customHeight="1" s="131">
      <c r="A279" s="220" t="n"/>
      <c r="B279" s="222" t="n"/>
      <c r="C279" s="220" t="n"/>
      <c r="D279" s="220" t="n"/>
      <c r="E279" s="220" t="n"/>
      <c r="F279" s="220" t="n"/>
      <c r="G279" s="169">
        <f>IFERROR((D279-F279)/C279*100,"")</f>
        <v/>
      </c>
      <c r="H279" s="219" t="n"/>
      <c r="I279" s="220" t="n"/>
      <c r="J279" s="221">
        <f>IF(COUNTA(A279:F279)=0,"",IF(OR(C279&lt;0,D279&lt;0,E279&lt;0,F279&lt;0),"ERRO: valor negativo",IF(C279&lt;&gt;SUM(D279:F279),"ERRO: categorias diferem dos respondentes",IF(COUNTIFS($A$5:$A$1200,A279,$B$5:$B$1200,B279)&gt;1,"ERRO: período e curso duplicados","OK"))))</f>
        <v/>
      </c>
    </row>
    <row r="280" ht="15" customHeight="1" s="131">
      <c r="A280" s="220" t="n"/>
      <c r="B280" s="222" t="n"/>
      <c r="C280" s="220" t="n"/>
      <c r="D280" s="220" t="n"/>
      <c r="E280" s="220" t="n"/>
      <c r="F280" s="220" t="n"/>
      <c r="G280" s="169">
        <f>IFERROR((D280-F280)/C280*100,"")</f>
        <v/>
      </c>
      <c r="H280" s="219" t="n"/>
      <c r="I280" s="220" t="n"/>
      <c r="J280" s="221">
        <f>IF(COUNTA(A280:F280)=0,"",IF(OR(C280&lt;0,D280&lt;0,E280&lt;0,F280&lt;0),"ERRO: valor negativo",IF(C280&lt;&gt;SUM(D280:F280),"ERRO: categorias diferem dos respondentes",IF(COUNTIFS($A$5:$A$1200,A280,$B$5:$B$1200,B280)&gt;1,"ERRO: período e curso duplicados","OK"))))</f>
        <v/>
      </c>
    </row>
    <row r="281" ht="15" customHeight="1" s="131">
      <c r="A281" s="220" t="n"/>
      <c r="B281" s="222" t="n"/>
      <c r="C281" s="220" t="n"/>
      <c r="D281" s="220" t="n"/>
      <c r="E281" s="220" t="n"/>
      <c r="F281" s="220" t="n"/>
      <c r="G281" s="169">
        <f>IFERROR((D281-F281)/C281*100,"")</f>
        <v/>
      </c>
      <c r="H281" s="219" t="n"/>
      <c r="I281" s="220" t="n"/>
      <c r="J281" s="221">
        <f>IF(COUNTA(A281:F281)=0,"",IF(OR(C281&lt;0,D281&lt;0,E281&lt;0,F281&lt;0),"ERRO: valor negativo",IF(C281&lt;&gt;SUM(D281:F281),"ERRO: categorias diferem dos respondentes",IF(COUNTIFS($A$5:$A$1200,A281,$B$5:$B$1200,B281)&gt;1,"ERRO: período e curso duplicados","OK"))))</f>
        <v/>
      </c>
    </row>
    <row r="282" ht="15" customHeight="1" s="131">
      <c r="A282" s="220" t="n"/>
      <c r="B282" s="222" t="n"/>
      <c r="C282" s="220" t="n"/>
      <c r="D282" s="220" t="n"/>
      <c r="E282" s="220" t="n"/>
      <c r="F282" s="220" t="n"/>
      <c r="G282" s="169">
        <f>IFERROR((D282-F282)/C282*100,"")</f>
        <v/>
      </c>
      <c r="H282" s="219" t="n"/>
      <c r="I282" s="220" t="n"/>
      <c r="J282" s="221">
        <f>IF(COUNTA(A282:F282)=0,"",IF(OR(C282&lt;0,D282&lt;0,E282&lt;0,F282&lt;0),"ERRO: valor negativo",IF(C282&lt;&gt;SUM(D282:F282),"ERRO: categorias diferem dos respondentes",IF(COUNTIFS($A$5:$A$1200,A282,$B$5:$B$1200,B282)&gt;1,"ERRO: período e curso duplicados","OK"))))</f>
        <v/>
      </c>
    </row>
    <row r="283" ht="15" customHeight="1" s="131">
      <c r="A283" s="220" t="n"/>
      <c r="B283" s="222" t="n"/>
      <c r="C283" s="220" t="n"/>
      <c r="D283" s="220" t="n"/>
      <c r="E283" s="220" t="n"/>
      <c r="F283" s="220" t="n"/>
      <c r="G283" s="169">
        <f>IFERROR((D283-F283)/C283*100,"")</f>
        <v/>
      </c>
      <c r="H283" s="219" t="n"/>
      <c r="I283" s="220" t="n"/>
      <c r="J283" s="221">
        <f>IF(COUNTA(A283:F283)=0,"",IF(OR(C283&lt;0,D283&lt;0,E283&lt;0,F283&lt;0),"ERRO: valor negativo",IF(C283&lt;&gt;SUM(D283:F283),"ERRO: categorias diferem dos respondentes",IF(COUNTIFS($A$5:$A$1200,A283,$B$5:$B$1200,B283)&gt;1,"ERRO: período e curso duplicados","OK"))))</f>
        <v/>
      </c>
    </row>
    <row r="284" ht="15" customHeight="1" s="131">
      <c r="A284" s="220" t="n"/>
      <c r="B284" s="222" t="n"/>
      <c r="C284" s="220" t="n"/>
      <c r="D284" s="220" t="n"/>
      <c r="E284" s="220" t="n"/>
      <c r="F284" s="220" t="n"/>
      <c r="G284" s="169">
        <f>IFERROR((D284-F284)/C284*100,"")</f>
        <v/>
      </c>
      <c r="H284" s="219" t="n"/>
      <c r="I284" s="220" t="n"/>
      <c r="J284" s="221">
        <f>IF(COUNTA(A284:F284)=0,"",IF(OR(C284&lt;0,D284&lt;0,E284&lt;0,F284&lt;0),"ERRO: valor negativo",IF(C284&lt;&gt;SUM(D284:F284),"ERRO: categorias diferem dos respondentes",IF(COUNTIFS($A$5:$A$1200,A284,$B$5:$B$1200,B284)&gt;1,"ERRO: período e curso duplicados","OK"))))</f>
        <v/>
      </c>
    </row>
    <row r="285" ht="15" customHeight="1" s="131">
      <c r="A285" s="220" t="n"/>
      <c r="B285" s="222" t="n"/>
      <c r="C285" s="220" t="n"/>
      <c r="D285" s="220" t="n"/>
      <c r="E285" s="220" t="n"/>
      <c r="F285" s="220" t="n"/>
      <c r="G285" s="169">
        <f>IFERROR((D285-F285)/C285*100,"")</f>
        <v/>
      </c>
      <c r="H285" s="219" t="n"/>
      <c r="I285" s="220" t="n"/>
      <c r="J285" s="221">
        <f>IF(COUNTA(A285:F285)=0,"",IF(OR(C285&lt;0,D285&lt;0,E285&lt;0,F285&lt;0),"ERRO: valor negativo",IF(C285&lt;&gt;SUM(D285:F285),"ERRO: categorias diferem dos respondentes",IF(COUNTIFS($A$5:$A$1200,A285,$B$5:$B$1200,B285)&gt;1,"ERRO: período e curso duplicados","OK"))))</f>
        <v/>
      </c>
    </row>
    <row r="286" ht="15" customHeight="1" s="131">
      <c r="A286" s="220" t="n"/>
      <c r="B286" s="222" t="n"/>
      <c r="C286" s="220" t="n"/>
      <c r="D286" s="220" t="n"/>
      <c r="E286" s="220" t="n"/>
      <c r="F286" s="220" t="n"/>
      <c r="G286" s="169">
        <f>IFERROR((D286-F286)/C286*100,"")</f>
        <v/>
      </c>
      <c r="H286" s="219" t="n"/>
      <c r="I286" s="220" t="n"/>
      <c r="J286" s="221">
        <f>IF(COUNTA(A286:F286)=0,"",IF(OR(C286&lt;0,D286&lt;0,E286&lt;0,F286&lt;0),"ERRO: valor negativo",IF(C286&lt;&gt;SUM(D286:F286),"ERRO: categorias diferem dos respondentes",IF(COUNTIFS($A$5:$A$1200,A286,$B$5:$B$1200,B286)&gt;1,"ERRO: período e curso duplicados","OK"))))</f>
        <v/>
      </c>
    </row>
    <row r="287" ht="15" customHeight="1" s="131">
      <c r="A287" s="220" t="n"/>
      <c r="B287" s="222" t="n"/>
      <c r="C287" s="220" t="n"/>
      <c r="D287" s="220" t="n"/>
      <c r="E287" s="220" t="n"/>
      <c r="F287" s="220" t="n"/>
      <c r="G287" s="169">
        <f>IFERROR((D287-F287)/C287*100,"")</f>
        <v/>
      </c>
      <c r="H287" s="219" t="n"/>
      <c r="I287" s="220" t="n"/>
      <c r="J287" s="221">
        <f>IF(COUNTA(A287:F287)=0,"",IF(OR(C287&lt;0,D287&lt;0,E287&lt;0,F287&lt;0),"ERRO: valor negativo",IF(C287&lt;&gt;SUM(D287:F287),"ERRO: categorias diferem dos respondentes",IF(COUNTIFS($A$5:$A$1200,A287,$B$5:$B$1200,B287)&gt;1,"ERRO: período e curso duplicados","OK"))))</f>
        <v/>
      </c>
    </row>
    <row r="288" ht="15" customHeight="1" s="131">
      <c r="A288" s="220" t="n"/>
      <c r="B288" s="222" t="n"/>
      <c r="C288" s="220" t="n"/>
      <c r="D288" s="220" t="n"/>
      <c r="E288" s="220" t="n"/>
      <c r="F288" s="220" t="n"/>
      <c r="G288" s="169">
        <f>IFERROR((D288-F288)/C288*100,"")</f>
        <v/>
      </c>
      <c r="H288" s="219" t="n"/>
      <c r="I288" s="220" t="n"/>
      <c r="J288" s="221">
        <f>IF(COUNTA(A288:F288)=0,"",IF(OR(C288&lt;0,D288&lt;0,E288&lt;0,F288&lt;0),"ERRO: valor negativo",IF(C288&lt;&gt;SUM(D288:F288),"ERRO: categorias diferem dos respondentes",IF(COUNTIFS($A$5:$A$1200,A288,$B$5:$B$1200,B288)&gt;1,"ERRO: período e curso duplicados","OK"))))</f>
        <v/>
      </c>
    </row>
    <row r="289" ht="15" customHeight="1" s="131">
      <c r="A289" s="220" t="n"/>
      <c r="B289" s="222" t="n"/>
      <c r="C289" s="220" t="n"/>
      <c r="D289" s="220" t="n"/>
      <c r="E289" s="220" t="n"/>
      <c r="F289" s="220" t="n"/>
      <c r="G289" s="169">
        <f>IFERROR((D289-F289)/C289*100,"")</f>
        <v/>
      </c>
      <c r="H289" s="219" t="n"/>
      <c r="I289" s="220" t="n"/>
      <c r="J289" s="221">
        <f>IF(COUNTA(A289:F289)=0,"",IF(OR(C289&lt;0,D289&lt;0,E289&lt;0,F289&lt;0),"ERRO: valor negativo",IF(C289&lt;&gt;SUM(D289:F289),"ERRO: categorias diferem dos respondentes",IF(COUNTIFS($A$5:$A$1200,A289,$B$5:$B$1200,B289)&gt;1,"ERRO: período e curso duplicados","OK"))))</f>
        <v/>
      </c>
    </row>
    <row r="290" ht="15" customHeight="1" s="131">
      <c r="A290" s="220" t="n"/>
      <c r="B290" s="222" t="n"/>
      <c r="C290" s="220" t="n"/>
      <c r="D290" s="220" t="n"/>
      <c r="E290" s="220" t="n"/>
      <c r="F290" s="220" t="n"/>
      <c r="G290" s="169">
        <f>IFERROR((D290-F290)/C290*100,"")</f>
        <v/>
      </c>
      <c r="H290" s="219" t="n"/>
      <c r="I290" s="220" t="n"/>
      <c r="J290" s="221">
        <f>IF(COUNTA(A290:F290)=0,"",IF(OR(C290&lt;0,D290&lt;0,E290&lt;0,F290&lt;0),"ERRO: valor negativo",IF(C290&lt;&gt;SUM(D290:F290),"ERRO: categorias diferem dos respondentes",IF(COUNTIFS($A$5:$A$1200,A290,$B$5:$B$1200,B290)&gt;1,"ERRO: período e curso duplicados","OK"))))</f>
        <v/>
      </c>
    </row>
    <row r="291" ht="15" customHeight="1" s="131">
      <c r="A291" s="220" t="n"/>
      <c r="B291" s="222" t="n"/>
      <c r="C291" s="220" t="n"/>
      <c r="D291" s="220" t="n"/>
      <c r="E291" s="220" t="n"/>
      <c r="F291" s="220" t="n"/>
      <c r="G291" s="169">
        <f>IFERROR((D291-F291)/C291*100,"")</f>
        <v/>
      </c>
      <c r="H291" s="219" t="n"/>
      <c r="I291" s="220" t="n"/>
      <c r="J291" s="221">
        <f>IF(COUNTA(A291:F291)=0,"",IF(OR(C291&lt;0,D291&lt;0,E291&lt;0,F291&lt;0),"ERRO: valor negativo",IF(C291&lt;&gt;SUM(D291:F291),"ERRO: categorias diferem dos respondentes",IF(COUNTIFS($A$5:$A$1200,A291,$B$5:$B$1200,B291)&gt;1,"ERRO: período e curso duplicados","OK"))))</f>
        <v/>
      </c>
    </row>
    <row r="292" ht="15" customHeight="1" s="131">
      <c r="A292" s="220" t="n"/>
      <c r="B292" s="222" t="n"/>
      <c r="C292" s="220" t="n"/>
      <c r="D292" s="220" t="n"/>
      <c r="E292" s="220" t="n"/>
      <c r="F292" s="220" t="n"/>
      <c r="G292" s="169">
        <f>IFERROR((D292-F292)/C292*100,"")</f>
        <v/>
      </c>
      <c r="H292" s="219" t="n"/>
      <c r="I292" s="220" t="n"/>
      <c r="J292" s="221">
        <f>IF(COUNTA(A292:F292)=0,"",IF(OR(C292&lt;0,D292&lt;0,E292&lt;0,F292&lt;0),"ERRO: valor negativo",IF(C292&lt;&gt;SUM(D292:F292),"ERRO: categorias diferem dos respondentes",IF(COUNTIFS($A$5:$A$1200,A292,$B$5:$B$1200,B292)&gt;1,"ERRO: período e curso duplicados","OK"))))</f>
        <v/>
      </c>
    </row>
    <row r="293" ht="15" customHeight="1" s="131">
      <c r="A293" s="220" t="n"/>
      <c r="B293" s="222" t="n"/>
      <c r="C293" s="220" t="n"/>
      <c r="D293" s="220" t="n"/>
      <c r="E293" s="220" t="n"/>
      <c r="F293" s="220" t="n"/>
      <c r="G293" s="169">
        <f>IFERROR((D293-F293)/C293*100,"")</f>
        <v/>
      </c>
      <c r="H293" s="219" t="n"/>
      <c r="I293" s="220" t="n"/>
      <c r="J293" s="221">
        <f>IF(COUNTA(A293:F293)=0,"",IF(OR(C293&lt;0,D293&lt;0,E293&lt;0,F293&lt;0),"ERRO: valor negativo",IF(C293&lt;&gt;SUM(D293:F293),"ERRO: categorias diferem dos respondentes",IF(COUNTIFS($A$5:$A$1200,A293,$B$5:$B$1200,B293)&gt;1,"ERRO: período e curso duplicados","OK"))))</f>
        <v/>
      </c>
    </row>
    <row r="294" ht="15" customHeight="1" s="131">
      <c r="A294" s="220" t="n"/>
      <c r="B294" s="222" t="n"/>
      <c r="C294" s="220" t="n"/>
      <c r="D294" s="220" t="n"/>
      <c r="E294" s="220" t="n"/>
      <c r="F294" s="220" t="n"/>
      <c r="G294" s="169">
        <f>IFERROR((D294-F294)/C294*100,"")</f>
        <v/>
      </c>
      <c r="H294" s="219" t="n"/>
      <c r="I294" s="220" t="n"/>
      <c r="J294" s="221">
        <f>IF(COUNTA(A294:F294)=0,"",IF(OR(C294&lt;0,D294&lt;0,E294&lt;0,F294&lt;0),"ERRO: valor negativo",IF(C294&lt;&gt;SUM(D294:F294),"ERRO: categorias diferem dos respondentes",IF(COUNTIFS($A$5:$A$1200,A294,$B$5:$B$1200,B294)&gt;1,"ERRO: período e curso duplicados","OK"))))</f>
        <v/>
      </c>
    </row>
    <row r="295" ht="15" customHeight="1" s="131">
      <c r="A295" s="220" t="n"/>
      <c r="B295" s="222" t="n"/>
      <c r="C295" s="220" t="n"/>
      <c r="D295" s="220" t="n"/>
      <c r="E295" s="220" t="n"/>
      <c r="F295" s="220" t="n"/>
      <c r="G295" s="169">
        <f>IFERROR((D295-F295)/C295*100,"")</f>
        <v/>
      </c>
      <c r="H295" s="219" t="n"/>
      <c r="I295" s="220" t="n"/>
      <c r="J295" s="221">
        <f>IF(COUNTA(A295:F295)=0,"",IF(OR(C295&lt;0,D295&lt;0,E295&lt;0,F295&lt;0),"ERRO: valor negativo",IF(C295&lt;&gt;SUM(D295:F295),"ERRO: categorias diferem dos respondentes",IF(COUNTIFS($A$5:$A$1200,A295,$B$5:$B$1200,B295)&gt;1,"ERRO: período e curso duplicados","OK"))))</f>
        <v/>
      </c>
    </row>
    <row r="296" ht="15" customHeight="1" s="131">
      <c r="A296" s="220" t="n"/>
      <c r="B296" s="222" t="n"/>
      <c r="C296" s="220" t="n"/>
      <c r="D296" s="220" t="n"/>
      <c r="E296" s="220" t="n"/>
      <c r="F296" s="220" t="n"/>
      <c r="G296" s="169">
        <f>IFERROR((D296-F296)/C296*100,"")</f>
        <v/>
      </c>
      <c r="H296" s="219" t="n"/>
      <c r="I296" s="220" t="n"/>
      <c r="J296" s="221">
        <f>IF(COUNTA(A296:F296)=0,"",IF(OR(C296&lt;0,D296&lt;0,E296&lt;0,F296&lt;0),"ERRO: valor negativo",IF(C296&lt;&gt;SUM(D296:F296),"ERRO: categorias diferem dos respondentes",IF(COUNTIFS($A$5:$A$1200,A296,$B$5:$B$1200,B296)&gt;1,"ERRO: período e curso duplicados","OK"))))</f>
        <v/>
      </c>
    </row>
    <row r="297" ht="15" customHeight="1" s="131">
      <c r="A297" s="220" t="n"/>
      <c r="B297" s="222" t="n"/>
      <c r="C297" s="220" t="n"/>
      <c r="D297" s="220" t="n"/>
      <c r="E297" s="220" t="n"/>
      <c r="F297" s="220" t="n"/>
      <c r="G297" s="169">
        <f>IFERROR((D297-F297)/C297*100,"")</f>
        <v/>
      </c>
      <c r="H297" s="219" t="n"/>
      <c r="I297" s="220" t="n"/>
      <c r="J297" s="221">
        <f>IF(COUNTA(A297:F297)=0,"",IF(OR(C297&lt;0,D297&lt;0,E297&lt;0,F297&lt;0),"ERRO: valor negativo",IF(C297&lt;&gt;SUM(D297:F297),"ERRO: categorias diferem dos respondentes",IF(COUNTIFS($A$5:$A$1200,A297,$B$5:$B$1200,B297)&gt;1,"ERRO: período e curso duplicados","OK"))))</f>
        <v/>
      </c>
    </row>
    <row r="298" ht="15" customHeight="1" s="131">
      <c r="A298" s="220" t="n"/>
      <c r="B298" s="222" t="n"/>
      <c r="C298" s="220" t="n"/>
      <c r="D298" s="220" t="n"/>
      <c r="E298" s="220" t="n"/>
      <c r="F298" s="220" t="n"/>
      <c r="G298" s="169">
        <f>IFERROR((D298-F298)/C298*100,"")</f>
        <v/>
      </c>
      <c r="H298" s="219" t="n"/>
      <c r="I298" s="220" t="n"/>
      <c r="J298" s="221">
        <f>IF(COUNTA(A298:F298)=0,"",IF(OR(C298&lt;0,D298&lt;0,E298&lt;0,F298&lt;0),"ERRO: valor negativo",IF(C298&lt;&gt;SUM(D298:F298),"ERRO: categorias diferem dos respondentes",IF(COUNTIFS($A$5:$A$1200,A298,$B$5:$B$1200,B298)&gt;1,"ERRO: período e curso duplicados","OK"))))</f>
        <v/>
      </c>
    </row>
    <row r="299" ht="15" customHeight="1" s="131">
      <c r="A299" s="220" t="n"/>
      <c r="B299" s="222" t="n"/>
      <c r="C299" s="220" t="n"/>
      <c r="D299" s="220" t="n"/>
      <c r="E299" s="220" t="n"/>
      <c r="F299" s="220" t="n"/>
      <c r="G299" s="169">
        <f>IFERROR((D299-F299)/C299*100,"")</f>
        <v/>
      </c>
      <c r="H299" s="219" t="n"/>
      <c r="I299" s="220" t="n"/>
      <c r="J299" s="221">
        <f>IF(COUNTA(A299:F299)=0,"",IF(OR(C299&lt;0,D299&lt;0,E299&lt;0,F299&lt;0),"ERRO: valor negativo",IF(C299&lt;&gt;SUM(D299:F299),"ERRO: categorias diferem dos respondentes",IF(COUNTIFS($A$5:$A$1200,A299,$B$5:$B$1200,B299)&gt;1,"ERRO: período e curso duplicados","OK"))))</f>
        <v/>
      </c>
    </row>
    <row r="300" ht="15" customHeight="1" s="131">
      <c r="A300" s="220" t="n"/>
      <c r="B300" s="222" t="n"/>
      <c r="C300" s="220" t="n"/>
      <c r="D300" s="220" t="n"/>
      <c r="E300" s="220" t="n"/>
      <c r="F300" s="220" t="n"/>
      <c r="G300" s="169">
        <f>IFERROR((D300-F300)/C300*100,"")</f>
        <v/>
      </c>
      <c r="H300" s="219" t="n"/>
      <c r="I300" s="220" t="n"/>
      <c r="J300" s="221">
        <f>IF(COUNTA(A300:F300)=0,"",IF(OR(C300&lt;0,D300&lt;0,E300&lt;0,F300&lt;0),"ERRO: valor negativo",IF(C300&lt;&gt;SUM(D300:F300),"ERRO: categorias diferem dos respondentes",IF(COUNTIFS($A$5:$A$1200,A300,$B$5:$B$1200,B300)&gt;1,"ERRO: período e curso duplicados","OK"))))</f>
        <v/>
      </c>
    </row>
    <row r="301" ht="15" customHeight="1" s="131">
      <c r="A301" s="220" t="n"/>
      <c r="B301" s="222" t="n"/>
      <c r="C301" s="220" t="n"/>
      <c r="D301" s="220" t="n"/>
      <c r="E301" s="220" t="n"/>
      <c r="F301" s="220" t="n"/>
      <c r="G301" s="169">
        <f>IFERROR((D301-F301)/C301*100,"")</f>
        <v/>
      </c>
      <c r="H301" s="219" t="n"/>
      <c r="I301" s="220" t="n"/>
      <c r="J301" s="221">
        <f>IF(COUNTA(A301:F301)=0,"",IF(OR(C301&lt;0,D301&lt;0,E301&lt;0,F301&lt;0),"ERRO: valor negativo",IF(C301&lt;&gt;SUM(D301:F301),"ERRO: categorias diferem dos respondentes",IF(COUNTIFS($A$5:$A$1200,A301,$B$5:$B$1200,B301)&gt;1,"ERRO: período e curso duplicados","OK"))))</f>
        <v/>
      </c>
    </row>
    <row r="302" ht="15" customHeight="1" s="131">
      <c r="A302" s="220" t="n"/>
      <c r="B302" s="222" t="n"/>
      <c r="C302" s="220" t="n"/>
      <c r="D302" s="220" t="n"/>
      <c r="E302" s="220" t="n"/>
      <c r="F302" s="220" t="n"/>
      <c r="G302" s="169">
        <f>IFERROR((D302-F302)/C302*100,"")</f>
        <v/>
      </c>
      <c r="H302" s="219" t="n"/>
      <c r="I302" s="220" t="n"/>
      <c r="J302" s="221">
        <f>IF(COUNTA(A302:F302)=0,"",IF(OR(C302&lt;0,D302&lt;0,E302&lt;0,F302&lt;0),"ERRO: valor negativo",IF(C302&lt;&gt;SUM(D302:F302),"ERRO: categorias diferem dos respondentes",IF(COUNTIFS($A$5:$A$1200,A302,$B$5:$B$1200,B302)&gt;1,"ERRO: período e curso duplicados","OK"))))</f>
        <v/>
      </c>
    </row>
    <row r="303" ht="15" customHeight="1" s="131">
      <c r="A303" s="220" t="n"/>
      <c r="B303" s="222" t="n"/>
      <c r="C303" s="220" t="n"/>
      <c r="D303" s="220" t="n"/>
      <c r="E303" s="220" t="n"/>
      <c r="F303" s="220" t="n"/>
      <c r="G303" s="169">
        <f>IFERROR((D303-F303)/C303*100,"")</f>
        <v/>
      </c>
      <c r="H303" s="219" t="n"/>
      <c r="I303" s="220" t="n"/>
      <c r="J303" s="221">
        <f>IF(COUNTA(A303:F303)=0,"",IF(OR(C303&lt;0,D303&lt;0,E303&lt;0,F303&lt;0),"ERRO: valor negativo",IF(C303&lt;&gt;SUM(D303:F303),"ERRO: categorias diferem dos respondentes",IF(COUNTIFS($A$5:$A$1200,A303,$B$5:$B$1200,B303)&gt;1,"ERRO: período e curso duplicados","OK"))))</f>
        <v/>
      </c>
    </row>
    <row r="304" ht="15" customHeight="1" s="131">
      <c r="A304" s="220" t="n"/>
      <c r="B304" s="222" t="n"/>
      <c r="C304" s="220" t="n"/>
      <c r="D304" s="220" t="n"/>
      <c r="E304" s="220" t="n"/>
      <c r="F304" s="220" t="n"/>
      <c r="G304" s="169">
        <f>IFERROR((D304-F304)/C304*100,"")</f>
        <v/>
      </c>
      <c r="H304" s="219" t="n"/>
      <c r="I304" s="220" t="n"/>
      <c r="J304" s="221">
        <f>IF(COUNTA(A304:F304)=0,"",IF(OR(C304&lt;0,D304&lt;0,E304&lt;0,F304&lt;0),"ERRO: valor negativo",IF(C304&lt;&gt;SUM(D304:F304),"ERRO: categorias diferem dos respondentes",IF(COUNTIFS($A$5:$A$1200,A304,$B$5:$B$1200,B304)&gt;1,"ERRO: período e curso duplicados","OK"))))</f>
        <v/>
      </c>
    </row>
    <row r="305" ht="15" customHeight="1" s="131">
      <c r="A305" s="220" t="n"/>
      <c r="B305" s="222" t="n"/>
      <c r="C305" s="220" t="n"/>
      <c r="D305" s="220" t="n"/>
      <c r="E305" s="220" t="n"/>
      <c r="F305" s="220" t="n"/>
      <c r="G305" s="169">
        <f>IFERROR((D305-F305)/C305*100,"")</f>
        <v/>
      </c>
      <c r="H305" s="219" t="n"/>
      <c r="I305" s="220" t="n"/>
      <c r="J305" s="221">
        <f>IF(COUNTA(A305:F305)=0,"",IF(OR(C305&lt;0,D305&lt;0,E305&lt;0,F305&lt;0),"ERRO: valor negativo",IF(C305&lt;&gt;SUM(D305:F305),"ERRO: categorias diferem dos respondentes",IF(COUNTIFS($A$5:$A$1200,A305,$B$5:$B$1200,B305)&gt;1,"ERRO: período e curso duplicados","OK"))))</f>
        <v/>
      </c>
    </row>
    <row r="306" ht="15" customHeight="1" s="131">
      <c r="A306" s="220" t="n"/>
      <c r="B306" s="222" t="n"/>
      <c r="C306" s="220" t="n"/>
      <c r="D306" s="220" t="n"/>
      <c r="E306" s="220" t="n"/>
      <c r="F306" s="220" t="n"/>
      <c r="G306" s="169">
        <f>IFERROR((D306-F306)/C306*100,"")</f>
        <v/>
      </c>
      <c r="H306" s="219" t="n"/>
      <c r="I306" s="220" t="n"/>
      <c r="J306" s="221">
        <f>IF(COUNTA(A306:F306)=0,"",IF(OR(C306&lt;0,D306&lt;0,E306&lt;0,F306&lt;0),"ERRO: valor negativo",IF(C306&lt;&gt;SUM(D306:F306),"ERRO: categorias diferem dos respondentes",IF(COUNTIFS($A$5:$A$1200,A306,$B$5:$B$1200,B306)&gt;1,"ERRO: período e curso duplicados","OK"))))</f>
        <v/>
      </c>
    </row>
    <row r="307" ht="15" customHeight="1" s="131">
      <c r="A307" s="220" t="n"/>
      <c r="B307" s="222" t="n"/>
      <c r="C307" s="220" t="n"/>
      <c r="D307" s="220" t="n"/>
      <c r="E307" s="220" t="n"/>
      <c r="F307" s="220" t="n"/>
      <c r="G307" s="169">
        <f>IFERROR((D307-F307)/C307*100,"")</f>
        <v/>
      </c>
      <c r="H307" s="219" t="n"/>
      <c r="I307" s="220" t="n"/>
      <c r="J307" s="221">
        <f>IF(COUNTA(A307:F307)=0,"",IF(OR(C307&lt;0,D307&lt;0,E307&lt;0,F307&lt;0),"ERRO: valor negativo",IF(C307&lt;&gt;SUM(D307:F307),"ERRO: categorias diferem dos respondentes",IF(COUNTIFS($A$5:$A$1200,A307,$B$5:$B$1200,B307)&gt;1,"ERRO: período e curso duplicados","OK"))))</f>
        <v/>
      </c>
    </row>
    <row r="308" ht="15" customHeight="1" s="131">
      <c r="A308" s="220" t="n"/>
      <c r="B308" s="222" t="n"/>
      <c r="C308" s="220" t="n"/>
      <c r="D308" s="220" t="n"/>
      <c r="E308" s="220" t="n"/>
      <c r="F308" s="220" t="n"/>
      <c r="G308" s="169">
        <f>IFERROR((D308-F308)/C308*100,"")</f>
        <v/>
      </c>
      <c r="H308" s="219" t="n"/>
      <c r="I308" s="220" t="n"/>
      <c r="J308" s="221">
        <f>IF(COUNTA(A308:F308)=0,"",IF(OR(C308&lt;0,D308&lt;0,E308&lt;0,F308&lt;0),"ERRO: valor negativo",IF(C308&lt;&gt;SUM(D308:F308),"ERRO: categorias diferem dos respondentes",IF(COUNTIFS($A$5:$A$1200,A308,$B$5:$B$1200,B308)&gt;1,"ERRO: período e curso duplicados","OK"))))</f>
        <v/>
      </c>
    </row>
    <row r="309" ht="15" customHeight="1" s="131">
      <c r="A309" s="220" t="n"/>
      <c r="B309" s="222" t="n"/>
      <c r="C309" s="220" t="n"/>
      <c r="D309" s="220" t="n"/>
      <c r="E309" s="220" t="n"/>
      <c r="F309" s="220" t="n"/>
      <c r="G309" s="169">
        <f>IFERROR((D309-F309)/C309*100,"")</f>
        <v/>
      </c>
      <c r="H309" s="219" t="n"/>
      <c r="I309" s="220" t="n"/>
      <c r="J309" s="221">
        <f>IF(COUNTA(A309:F309)=0,"",IF(OR(C309&lt;0,D309&lt;0,E309&lt;0,F309&lt;0),"ERRO: valor negativo",IF(C309&lt;&gt;SUM(D309:F309),"ERRO: categorias diferem dos respondentes",IF(COUNTIFS($A$5:$A$1200,A309,$B$5:$B$1200,B309)&gt;1,"ERRO: período e curso duplicados","OK"))))</f>
        <v/>
      </c>
    </row>
    <row r="310" ht="15" customHeight="1" s="131">
      <c r="A310" s="220" t="n"/>
      <c r="B310" s="222" t="n"/>
      <c r="C310" s="220" t="n"/>
      <c r="D310" s="220" t="n"/>
      <c r="E310" s="220" t="n"/>
      <c r="F310" s="220" t="n"/>
      <c r="G310" s="169">
        <f>IFERROR((D310-F310)/C310*100,"")</f>
        <v/>
      </c>
      <c r="H310" s="219" t="n"/>
      <c r="I310" s="220" t="n"/>
      <c r="J310" s="221">
        <f>IF(COUNTA(A310:F310)=0,"",IF(OR(C310&lt;0,D310&lt;0,E310&lt;0,F310&lt;0),"ERRO: valor negativo",IF(C310&lt;&gt;SUM(D310:F310),"ERRO: categorias diferem dos respondentes",IF(COUNTIFS($A$5:$A$1200,A310,$B$5:$B$1200,B310)&gt;1,"ERRO: período e curso duplicados","OK"))))</f>
        <v/>
      </c>
    </row>
    <row r="311" ht="15" customHeight="1" s="131">
      <c r="A311" s="220" t="n"/>
      <c r="B311" s="222" t="n"/>
      <c r="C311" s="220" t="n"/>
      <c r="D311" s="220" t="n"/>
      <c r="E311" s="220" t="n"/>
      <c r="F311" s="220" t="n"/>
      <c r="G311" s="169">
        <f>IFERROR((D311-F311)/C311*100,"")</f>
        <v/>
      </c>
      <c r="H311" s="219" t="n"/>
      <c r="I311" s="220" t="n"/>
      <c r="J311" s="221">
        <f>IF(COUNTA(A311:F311)=0,"",IF(OR(C311&lt;0,D311&lt;0,E311&lt;0,F311&lt;0),"ERRO: valor negativo",IF(C311&lt;&gt;SUM(D311:F311),"ERRO: categorias diferem dos respondentes",IF(COUNTIFS($A$5:$A$1200,A311,$B$5:$B$1200,B311)&gt;1,"ERRO: período e curso duplicados","OK"))))</f>
        <v/>
      </c>
    </row>
    <row r="312" ht="15" customHeight="1" s="131">
      <c r="A312" s="220" t="n"/>
      <c r="B312" s="222" t="n"/>
      <c r="C312" s="220" t="n"/>
      <c r="D312" s="220" t="n"/>
      <c r="E312" s="220" t="n"/>
      <c r="F312" s="220" t="n"/>
      <c r="G312" s="169">
        <f>IFERROR((D312-F312)/C312*100,"")</f>
        <v/>
      </c>
      <c r="H312" s="219" t="n"/>
      <c r="I312" s="220" t="n"/>
      <c r="J312" s="221">
        <f>IF(COUNTA(A312:F312)=0,"",IF(OR(C312&lt;0,D312&lt;0,E312&lt;0,F312&lt;0),"ERRO: valor negativo",IF(C312&lt;&gt;SUM(D312:F312),"ERRO: categorias diferem dos respondentes",IF(COUNTIFS($A$5:$A$1200,A312,$B$5:$B$1200,B312)&gt;1,"ERRO: período e curso duplicados","OK"))))</f>
        <v/>
      </c>
    </row>
    <row r="313" ht="15" customHeight="1" s="131">
      <c r="A313" s="220" t="n"/>
      <c r="B313" s="222" t="n"/>
      <c r="C313" s="220" t="n"/>
      <c r="D313" s="220" t="n"/>
      <c r="E313" s="220" t="n"/>
      <c r="F313" s="220" t="n"/>
      <c r="G313" s="169">
        <f>IFERROR((D313-F313)/C313*100,"")</f>
        <v/>
      </c>
      <c r="H313" s="219" t="n"/>
      <c r="I313" s="220" t="n"/>
      <c r="J313" s="221">
        <f>IF(COUNTA(A313:F313)=0,"",IF(OR(C313&lt;0,D313&lt;0,E313&lt;0,F313&lt;0),"ERRO: valor negativo",IF(C313&lt;&gt;SUM(D313:F313),"ERRO: categorias diferem dos respondentes",IF(COUNTIFS($A$5:$A$1200,A313,$B$5:$B$1200,B313)&gt;1,"ERRO: período e curso duplicados","OK"))))</f>
        <v/>
      </c>
    </row>
    <row r="314" ht="15" customHeight="1" s="131">
      <c r="A314" s="220" t="n"/>
      <c r="B314" s="222" t="n"/>
      <c r="C314" s="220" t="n"/>
      <c r="D314" s="220" t="n"/>
      <c r="E314" s="220" t="n"/>
      <c r="F314" s="220" t="n"/>
      <c r="G314" s="169">
        <f>IFERROR((D314-F314)/C314*100,"")</f>
        <v/>
      </c>
      <c r="H314" s="219" t="n"/>
      <c r="I314" s="220" t="n"/>
      <c r="J314" s="221">
        <f>IF(COUNTA(A314:F314)=0,"",IF(OR(C314&lt;0,D314&lt;0,E314&lt;0,F314&lt;0),"ERRO: valor negativo",IF(C314&lt;&gt;SUM(D314:F314),"ERRO: categorias diferem dos respondentes",IF(COUNTIFS($A$5:$A$1200,A314,$B$5:$B$1200,B314)&gt;1,"ERRO: período e curso duplicados","OK"))))</f>
        <v/>
      </c>
    </row>
    <row r="315" ht="15" customHeight="1" s="131">
      <c r="A315" s="220" t="n"/>
      <c r="B315" s="222" t="n"/>
      <c r="C315" s="220" t="n"/>
      <c r="D315" s="220" t="n"/>
      <c r="E315" s="220" t="n"/>
      <c r="F315" s="220" t="n"/>
      <c r="G315" s="169">
        <f>IFERROR((D315-F315)/C315*100,"")</f>
        <v/>
      </c>
      <c r="H315" s="219" t="n"/>
      <c r="I315" s="220" t="n"/>
      <c r="J315" s="221">
        <f>IF(COUNTA(A315:F315)=0,"",IF(OR(C315&lt;0,D315&lt;0,E315&lt;0,F315&lt;0),"ERRO: valor negativo",IF(C315&lt;&gt;SUM(D315:F315),"ERRO: categorias diferem dos respondentes",IF(COUNTIFS($A$5:$A$1200,A315,$B$5:$B$1200,B315)&gt;1,"ERRO: período e curso duplicados","OK"))))</f>
        <v/>
      </c>
    </row>
    <row r="316" ht="15" customHeight="1" s="131">
      <c r="A316" s="220" t="n"/>
      <c r="B316" s="222" t="n"/>
      <c r="C316" s="220" t="n"/>
      <c r="D316" s="220" t="n"/>
      <c r="E316" s="220" t="n"/>
      <c r="F316" s="220" t="n"/>
      <c r="G316" s="169">
        <f>IFERROR((D316-F316)/C316*100,"")</f>
        <v/>
      </c>
      <c r="H316" s="219" t="n"/>
      <c r="I316" s="220" t="n"/>
      <c r="J316" s="221">
        <f>IF(COUNTA(A316:F316)=0,"",IF(OR(C316&lt;0,D316&lt;0,E316&lt;0,F316&lt;0),"ERRO: valor negativo",IF(C316&lt;&gt;SUM(D316:F316),"ERRO: categorias diferem dos respondentes",IF(COUNTIFS($A$5:$A$1200,A316,$B$5:$B$1200,B316)&gt;1,"ERRO: período e curso duplicados","OK"))))</f>
        <v/>
      </c>
    </row>
    <row r="317" ht="15" customHeight="1" s="131">
      <c r="A317" s="220" t="n"/>
      <c r="B317" s="222" t="n"/>
      <c r="C317" s="220" t="n"/>
      <c r="D317" s="220" t="n"/>
      <c r="E317" s="220" t="n"/>
      <c r="F317" s="220" t="n"/>
      <c r="G317" s="169">
        <f>IFERROR((D317-F317)/C317*100,"")</f>
        <v/>
      </c>
      <c r="H317" s="219" t="n"/>
      <c r="I317" s="220" t="n"/>
      <c r="J317" s="221">
        <f>IF(COUNTA(A317:F317)=0,"",IF(OR(C317&lt;0,D317&lt;0,E317&lt;0,F317&lt;0),"ERRO: valor negativo",IF(C317&lt;&gt;SUM(D317:F317),"ERRO: categorias diferem dos respondentes",IF(COUNTIFS($A$5:$A$1200,A317,$B$5:$B$1200,B317)&gt;1,"ERRO: período e curso duplicados","OK"))))</f>
        <v/>
      </c>
    </row>
    <row r="318" ht="15" customHeight="1" s="131">
      <c r="A318" s="220" t="n"/>
      <c r="B318" s="222" t="n"/>
      <c r="C318" s="220" t="n"/>
      <c r="D318" s="220" t="n"/>
      <c r="E318" s="220" t="n"/>
      <c r="F318" s="220" t="n"/>
      <c r="G318" s="169">
        <f>IFERROR((D318-F318)/C318*100,"")</f>
        <v/>
      </c>
      <c r="H318" s="219" t="n"/>
      <c r="I318" s="220" t="n"/>
      <c r="J318" s="221">
        <f>IF(COUNTA(A318:F318)=0,"",IF(OR(C318&lt;0,D318&lt;0,E318&lt;0,F318&lt;0),"ERRO: valor negativo",IF(C318&lt;&gt;SUM(D318:F318),"ERRO: categorias diferem dos respondentes",IF(COUNTIFS($A$5:$A$1200,A318,$B$5:$B$1200,B318)&gt;1,"ERRO: período e curso duplicados","OK"))))</f>
        <v/>
      </c>
    </row>
    <row r="319" ht="15" customHeight="1" s="131">
      <c r="A319" s="220" t="n"/>
      <c r="B319" s="222" t="n"/>
      <c r="C319" s="220" t="n"/>
      <c r="D319" s="220" t="n"/>
      <c r="E319" s="220" t="n"/>
      <c r="F319" s="220" t="n"/>
      <c r="G319" s="169">
        <f>IFERROR((D319-F319)/C319*100,"")</f>
        <v/>
      </c>
      <c r="H319" s="219" t="n"/>
      <c r="I319" s="220" t="n"/>
      <c r="J319" s="221">
        <f>IF(COUNTA(A319:F319)=0,"",IF(OR(C319&lt;0,D319&lt;0,E319&lt;0,F319&lt;0),"ERRO: valor negativo",IF(C319&lt;&gt;SUM(D319:F319),"ERRO: categorias diferem dos respondentes",IF(COUNTIFS($A$5:$A$1200,A319,$B$5:$B$1200,B319)&gt;1,"ERRO: período e curso duplicados","OK"))))</f>
        <v/>
      </c>
    </row>
    <row r="320" ht="15" customHeight="1" s="131">
      <c r="A320" s="220" t="n"/>
      <c r="B320" s="222" t="n"/>
      <c r="C320" s="220" t="n"/>
      <c r="D320" s="220" t="n"/>
      <c r="E320" s="220" t="n"/>
      <c r="F320" s="220" t="n"/>
      <c r="G320" s="169">
        <f>IFERROR((D320-F320)/C320*100,"")</f>
        <v/>
      </c>
      <c r="H320" s="219" t="n"/>
      <c r="I320" s="220" t="n"/>
      <c r="J320" s="221">
        <f>IF(COUNTA(A320:F320)=0,"",IF(OR(C320&lt;0,D320&lt;0,E320&lt;0,F320&lt;0),"ERRO: valor negativo",IF(C320&lt;&gt;SUM(D320:F320),"ERRO: categorias diferem dos respondentes",IF(COUNTIFS($A$5:$A$1200,A320,$B$5:$B$1200,B320)&gt;1,"ERRO: período e curso duplicados","OK"))))</f>
        <v/>
      </c>
    </row>
    <row r="321" ht="15" customHeight="1" s="131">
      <c r="A321" s="220" t="n"/>
      <c r="B321" s="222" t="n"/>
      <c r="C321" s="220" t="n"/>
      <c r="D321" s="220" t="n"/>
      <c r="E321" s="220" t="n"/>
      <c r="F321" s="220" t="n"/>
      <c r="G321" s="169">
        <f>IFERROR((D321-F321)/C321*100,"")</f>
        <v/>
      </c>
      <c r="H321" s="219" t="n"/>
      <c r="I321" s="220" t="n"/>
      <c r="J321" s="221">
        <f>IF(COUNTA(A321:F321)=0,"",IF(OR(C321&lt;0,D321&lt;0,E321&lt;0,F321&lt;0),"ERRO: valor negativo",IF(C321&lt;&gt;SUM(D321:F321),"ERRO: categorias diferem dos respondentes",IF(COUNTIFS($A$5:$A$1200,A321,$B$5:$B$1200,B321)&gt;1,"ERRO: período e curso duplicados","OK"))))</f>
        <v/>
      </c>
    </row>
    <row r="322" ht="15" customHeight="1" s="131">
      <c r="A322" s="220" t="n"/>
      <c r="B322" s="222" t="n"/>
      <c r="C322" s="220" t="n"/>
      <c r="D322" s="220" t="n"/>
      <c r="E322" s="220" t="n"/>
      <c r="F322" s="220" t="n"/>
      <c r="G322" s="169">
        <f>IFERROR((D322-F322)/C322*100,"")</f>
        <v/>
      </c>
      <c r="H322" s="219" t="n"/>
      <c r="I322" s="220" t="n"/>
      <c r="J322" s="221">
        <f>IF(COUNTA(A322:F322)=0,"",IF(OR(C322&lt;0,D322&lt;0,E322&lt;0,F322&lt;0),"ERRO: valor negativo",IF(C322&lt;&gt;SUM(D322:F322),"ERRO: categorias diferem dos respondentes",IF(COUNTIFS($A$5:$A$1200,A322,$B$5:$B$1200,B322)&gt;1,"ERRO: período e curso duplicados","OK"))))</f>
        <v/>
      </c>
    </row>
    <row r="323" ht="15" customHeight="1" s="131">
      <c r="A323" s="220" t="n"/>
      <c r="B323" s="222" t="n"/>
      <c r="C323" s="220" t="n"/>
      <c r="D323" s="220" t="n"/>
      <c r="E323" s="220" t="n"/>
      <c r="F323" s="220" t="n"/>
      <c r="G323" s="169">
        <f>IFERROR((D323-F323)/C323*100,"")</f>
        <v/>
      </c>
      <c r="H323" s="219" t="n"/>
      <c r="I323" s="220" t="n"/>
      <c r="J323" s="221">
        <f>IF(COUNTA(A323:F323)=0,"",IF(OR(C323&lt;0,D323&lt;0,E323&lt;0,F323&lt;0),"ERRO: valor negativo",IF(C323&lt;&gt;SUM(D323:F323),"ERRO: categorias diferem dos respondentes",IF(COUNTIFS($A$5:$A$1200,A323,$B$5:$B$1200,B323)&gt;1,"ERRO: período e curso duplicados","OK"))))</f>
        <v/>
      </c>
    </row>
    <row r="324" ht="15" customHeight="1" s="131">
      <c r="A324" s="220" t="n"/>
      <c r="B324" s="222" t="n"/>
      <c r="C324" s="220" t="n"/>
      <c r="D324" s="220" t="n"/>
      <c r="E324" s="220" t="n"/>
      <c r="F324" s="220" t="n"/>
      <c r="G324" s="169">
        <f>IFERROR((D324-F324)/C324*100,"")</f>
        <v/>
      </c>
      <c r="H324" s="219" t="n"/>
      <c r="I324" s="220" t="n"/>
      <c r="J324" s="221">
        <f>IF(COUNTA(A324:F324)=0,"",IF(OR(C324&lt;0,D324&lt;0,E324&lt;0,F324&lt;0),"ERRO: valor negativo",IF(C324&lt;&gt;SUM(D324:F324),"ERRO: categorias diferem dos respondentes",IF(COUNTIFS($A$5:$A$1200,A324,$B$5:$B$1200,B324)&gt;1,"ERRO: período e curso duplicados","OK"))))</f>
        <v/>
      </c>
    </row>
    <row r="325" ht="15" customHeight="1" s="131">
      <c r="A325" s="220" t="n"/>
      <c r="B325" s="222" t="n"/>
      <c r="C325" s="220" t="n"/>
      <c r="D325" s="220" t="n"/>
      <c r="E325" s="220" t="n"/>
      <c r="F325" s="220" t="n"/>
      <c r="G325" s="169">
        <f>IFERROR((D325-F325)/C325*100,"")</f>
        <v/>
      </c>
      <c r="H325" s="219" t="n"/>
      <c r="I325" s="220" t="n"/>
      <c r="J325" s="221">
        <f>IF(COUNTA(A325:F325)=0,"",IF(OR(C325&lt;0,D325&lt;0,E325&lt;0,F325&lt;0),"ERRO: valor negativo",IF(C325&lt;&gt;SUM(D325:F325),"ERRO: categorias diferem dos respondentes",IF(COUNTIFS($A$5:$A$1200,A325,$B$5:$B$1200,B325)&gt;1,"ERRO: período e curso duplicados","OK"))))</f>
        <v/>
      </c>
    </row>
    <row r="326" ht="15" customHeight="1" s="131">
      <c r="A326" s="220" t="n"/>
      <c r="B326" s="222" t="n"/>
      <c r="C326" s="220" t="n"/>
      <c r="D326" s="220" t="n"/>
      <c r="E326" s="220" t="n"/>
      <c r="F326" s="220" t="n"/>
      <c r="G326" s="169">
        <f>IFERROR((D326-F326)/C326*100,"")</f>
        <v/>
      </c>
      <c r="H326" s="219" t="n"/>
      <c r="I326" s="220" t="n"/>
      <c r="J326" s="221">
        <f>IF(COUNTA(A326:F326)=0,"",IF(OR(C326&lt;0,D326&lt;0,E326&lt;0,F326&lt;0),"ERRO: valor negativo",IF(C326&lt;&gt;SUM(D326:F326),"ERRO: categorias diferem dos respondentes",IF(COUNTIFS($A$5:$A$1200,A326,$B$5:$B$1200,B326)&gt;1,"ERRO: período e curso duplicados","OK"))))</f>
        <v/>
      </c>
    </row>
    <row r="327" ht="15" customHeight="1" s="131">
      <c r="A327" s="220" t="n"/>
      <c r="B327" s="222" t="n"/>
      <c r="C327" s="220" t="n"/>
      <c r="D327" s="220" t="n"/>
      <c r="E327" s="220" t="n"/>
      <c r="F327" s="220" t="n"/>
      <c r="G327" s="169">
        <f>IFERROR((D327-F327)/C327*100,"")</f>
        <v/>
      </c>
      <c r="H327" s="219" t="n"/>
      <c r="I327" s="220" t="n"/>
      <c r="J327" s="221">
        <f>IF(COUNTA(A327:F327)=0,"",IF(OR(C327&lt;0,D327&lt;0,E327&lt;0,F327&lt;0),"ERRO: valor negativo",IF(C327&lt;&gt;SUM(D327:F327),"ERRO: categorias diferem dos respondentes",IF(COUNTIFS($A$5:$A$1200,A327,$B$5:$B$1200,B327)&gt;1,"ERRO: período e curso duplicados","OK"))))</f>
        <v/>
      </c>
    </row>
    <row r="328" ht="15" customHeight="1" s="131">
      <c r="A328" s="220" t="n"/>
      <c r="B328" s="222" t="n"/>
      <c r="C328" s="220" t="n"/>
      <c r="D328" s="220" t="n"/>
      <c r="E328" s="220" t="n"/>
      <c r="F328" s="220" t="n"/>
      <c r="G328" s="169">
        <f>IFERROR((D328-F328)/C328*100,"")</f>
        <v/>
      </c>
      <c r="H328" s="219" t="n"/>
      <c r="I328" s="220" t="n"/>
      <c r="J328" s="221">
        <f>IF(COUNTA(A328:F328)=0,"",IF(OR(C328&lt;0,D328&lt;0,E328&lt;0,F328&lt;0),"ERRO: valor negativo",IF(C328&lt;&gt;SUM(D328:F328),"ERRO: categorias diferem dos respondentes",IF(COUNTIFS($A$5:$A$1200,A328,$B$5:$B$1200,B328)&gt;1,"ERRO: período e curso duplicados","OK"))))</f>
        <v/>
      </c>
    </row>
    <row r="329" ht="15" customHeight="1" s="131">
      <c r="A329" s="220" t="n"/>
      <c r="B329" s="222" t="n"/>
      <c r="C329" s="220" t="n"/>
      <c r="D329" s="220" t="n"/>
      <c r="E329" s="220" t="n"/>
      <c r="F329" s="220" t="n"/>
      <c r="G329" s="169">
        <f>IFERROR((D329-F329)/C329*100,"")</f>
        <v/>
      </c>
      <c r="H329" s="219" t="n"/>
      <c r="I329" s="220" t="n"/>
      <c r="J329" s="221">
        <f>IF(COUNTA(A329:F329)=0,"",IF(OR(C329&lt;0,D329&lt;0,E329&lt;0,F329&lt;0),"ERRO: valor negativo",IF(C329&lt;&gt;SUM(D329:F329),"ERRO: categorias diferem dos respondentes",IF(COUNTIFS($A$5:$A$1200,A329,$B$5:$B$1200,B329)&gt;1,"ERRO: período e curso duplicados","OK"))))</f>
        <v/>
      </c>
    </row>
    <row r="330" ht="15" customHeight="1" s="131">
      <c r="A330" s="220" t="n"/>
      <c r="B330" s="222" t="n"/>
      <c r="C330" s="220" t="n"/>
      <c r="D330" s="220" t="n"/>
      <c r="E330" s="220" t="n"/>
      <c r="F330" s="220" t="n"/>
      <c r="G330" s="169">
        <f>IFERROR((D330-F330)/C330*100,"")</f>
        <v/>
      </c>
      <c r="H330" s="219" t="n"/>
      <c r="I330" s="220" t="n"/>
      <c r="J330" s="221">
        <f>IF(COUNTA(A330:F330)=0,"",IF(OR(C330&lt;0,D330&lt;0,E330&lt;0,F330&lt;0),"ERRO: valor negativo",IF(C330&lt;&gt;SUM(D330:F330),"ERRO: categorias diferem dos respondentes",IF(COUNTIFS($A$5:$A$1200,A330,$B$5:$B$1200,B330)&gt;1,"ERRO: período e curso duplicados","OK"))))</f>
        <v/>
      </c>
    </row>
    <row r="331" ht="15" customHeight="1" s="131">
      <c r="A331" s="220" t="n"/>
      <c r="B331" s="222" t="n"/>
      <c r="C331" s="220" t="n"/>
      <c r="D331" s="220" t="n"/>
      <c r="E331" s="220" t="n"/>
      <c r="F331" s="220" t="n"/>
      <c r="G331" s="169">
        <f>IFERROR((D331-F331)/C331*100,"")</f>
        <v/>
      </c>
      <c r="H331" s="219" t="n"/>
      <c r="I331" s="220" t="n"/>
      <c r="J331" s="221">
        <f>IF(COUNTA(A331:F331)=0,"",IF(OR(C331&lt;0,D331&lt;0,E331&lt;0,F331&lt;0),"ERRO: valor negativo",IF(C331&lt;&gt;SUM(D331:F331),"ERRO: categorias diferem dos respondentes",IF(COUNTIFS($A$5:$A$1200,A331,$B$5:$B$1200,B331)&gt;1,"ERRO: período e curso duplicados","OK"))))</f>
        <v/>
      </c>
    </row>
    <row r="332" ht="15" customHeight="1" s="131">
      <c r="A332" s="220" t="n"/>
      <c r="B332" s="222" t="n"/>
      <c r="C332" s="220" t="n"/>
      <c r="D332" s="220" t="n"/>
      <c r="E332" s="220" t="n"/>
      <c r="F332" s="220" t="n"/>
      <c r="G332" s="169">
        <f>IFERROR((D332-F332)/C332*100,"")</f>
        <v/>
      </c>
      <c r="H332" s="219" t="n"/>
      <c r="I332" s="220" t="n"/>
      <c r="J332" s="221">
        <f>IF(COUNTA(A332:F332)=0,"",IF(OR(C332&lt;0,D332&lt;0,E332&lt;0,F332&lt;0),"ERRO: valor negativo",IF(C332&lt;&gt;SUM(D332:F332),"ERRO: categorias diferem dos respondentes",IF(COUNTIFS($A$5:$A$1200,A332,$B$5:$B$1200,B332)&gt;1,"ERRO: período e curso duplicados","OK"))))</f>
        <v/>
      </c>
    </row>
    <row r="333" ht="15" customHeight="1" s="131">
      <c r="A333" s="220" t="n"/>
      <c r="B333" s="222" t="n"/>
      <c r="C333" s="220" t="n"/>
      <c r="D333" s="220" t="n"/>
      <c r="E333" s="220" t="n"/>
      <c r="F333" s="220" t="n"/>
      <c r="G333" s="169">
        <f>IFERROR((D333-F333)/C333*100,"")</f>
        <v/>
      </c>
      <c r="H333" s="219" t="n"/>
      <c r="I333" s="220" t="n"/>
      <c r="J333" s="221">
        <f>IF(COUNTA(A333:F333)=0,"",IF(OR(C333&lt;0,D333&lt;0,E333&lt;0,F333&lt;0),"ERRO: valor negativo",IF(C333&lt;&gt;SUM(D333:F333),"ERRO: categorias diferem dos respondentes",IF(COUNTIFS($A$5:$A$1200,A333,$B$5:$B$1200,B333)&gt;1,"ERRO: período e curso duplicados","OK"))))</f>
        <v/>
      </c>
    </row>
    <row r="334" ht="15" customHeight="1" s="131">
      <c r="A334" s="220" t="n"/>
      <c r="B334" s="222" t="n"/>
      <c r="C334" s="220" t="n"/>
      <c r="D334" s="220" t="n"/>
      <c r="E334" s="220" t="n"/>
      <c r="F334" s="220" t="n"/>
      <c r="G334" s="169">
        <f>IFERROR((D334-F334)/C334*100,"")</f>
        <v/>
      </c>
      <c r="H334" s="219" t="n"/>
      <c r="I334" s="220" t="n"/>
      <c r="J334" s="221">
        <f>IF(COUNTA(A334:F334)=0,"",IF(OR(C334&lt;0,D334&lt;0,E334&lt;0,F334&lt;0),"ERRO: valor negativo",IF(C334&lt;&gt;SUM(D334:F334),"ERRO: categorias diferem dos respondentes",IF(COUNTIFS($A$5:$A$1200,A334,$B$5:$B$1200,B334)&gt;1,"ERRO: período e curso duplicados","OK"))))</f>
        <v/>
      </c>
    </row>
    <row r="335" ht="15" customHeight="1" s="131">
      <c r="A335" s="220" t="n"/>
      <c r="B335" s="222" t="n"/>
      <c r="C335" s="220" t="n"/>
      <c r="D335" s="220" t="n"/>
      <c r="E335" s="220" t="n"/>
      <c r="F335" s="220" t="n"/>
      <c r="G335" s="169">
        <f>IFERROR((D335-F335)/C335*100,"")</f>
        <v/>
      </c>
      <c r="H335" s="219" t="n"/>
      <c r="I335" s="220" t="n"/>
      <c r="J335" s="221">
        <f>IF(COUNTA(A335:F335)=0,"",IF(OR(C335&lt;0,D335&lt;0,E335&lt;0,F335&lt;0),"ERRO: valor negativo",IF(C335&lt;&gt;SUM(D335:F335),"ERRO: categorias diferem dos respondentes",IF(COUNTIFS($A$5:$A$1200,A335,$B$5:$B$1200,B335)&gt;1,"ERRO: período e curso duplicados","OK"))))</f>
        <v/>
      </c>
    </row>
    <row r="336" ht="15" customHeight="1" s="131">
      <c r="A336" s="220" t="n"/>
      <c r="B336" s="222" t="n"/>
      <c r="C336" s="220" t="n"/>
      <c r="D336" s="220" t="n"/>
      <c r="E336" s="220" t="n"/>
      <c r="F336" s="220" t="n"/>
      <c r="G336" s="169">
        <f>IFERROR((D336-F336)/C336*100,"")</f>
        <v/>
      </c>
      <c r="H336" s="219" t="n"/>
      <c r="I336" s="220" t="n"/>
      <c r="J336" s="221">
        <f>IF(COUNTA(A336:F336)=0,"",IF(OR(C336&lt;0,D336&lt;0,E336&lt;0,F336&lt;0),"ERRO: valor negativo",IF(C336&lt;&gt;SUM(D336:F336),"ERRO: categorias diferem dos respondentes",IF(COUNTIFS($A$5:$A$1200,A336,$B$5:$B$1200,B336)&gt;1,"ERRO: período e curso duplicados","OK"))))</f>
        <v/>
      </c>
    </row>
    <row r="337" ht="15" customHeight="1" s="131">
      <c r="A337" s="220" t="n"/>
      <c r="B337" s="222" t="n"/>
      <c r="C337" s="220" t="n"/>
      <c r="D337" s="220" t="n"/>
      <c r="E337" s="220" t="n"/>
      <c r="F337" s="220" t="n"/>
      <c r="G337" s="169">
        <f>IFERROR((D337-F337)/C337*100,"")</f>
        <v/>
      </c>
      <c r="H337" s="219" t="n"/>
      <c r="I337" s="220" t="n"/>
      <c r="J337" s="221">
        <f>IF(COUNTA(A337:F337)=0,"",IF(OR(C337&lt;0,D337&lt;0,E337&lt;0,F337&lt;0),"ERRO: valor negativo",IF(C337&lt;&gt;SUM(D337:F337),"ERRO: categorias diferem dos respondentes",IF(COUNTIFS($A$5:$A$1200,A337,$B$5:$B$1200,B337)&gt;1,"ERRO: período e curso duplicados","OK"))))</f>
        <v/>
      </c>
    </row>
    <row r="338" ht="15" customHeight="1" s="131">
      <c r="A338" s="220" t="n"/>
      <c r="B338" s="222" t="n"/>
      <c r="C338" s="220" t="n"/>
      <c r="D338" s="220" t="n"/>
      <c r="E338" s="220" t="n"/>
      <c r="F338" s="220" t="n"/>
      <c r="G338" s="169">
        <f>IFERROR((D338-F338)/C338*100,"")</f>
        <v/>
      </c>
      <c r="H338" s="219" t="n"/>
      <c r="I338" s="220" t="n"/>
      <c r="J338" s="221">
        <f>IF(COUNTA(A338:F338)=0,"",IF(OR(C338&lt;0,D338&lt;0,E338&lt;0,F338&lt;0),"ERRO: valor negativo",IF(C338&lt;&gt;SUM(D338:F338),"ERRO: categorias diferem dos respondentes",IF(COUNTIFS($A$5:$A$1200,A338,$B$5:$B$1200,B338)&gt;1,"ERRO: período e curso duplicados","OK"))))</f>
        <v/>
      </c>
    </row>
    <row r="339" ht="15" customHeight="1" s="131">
      <c r="A339" s="220" t="n"/>
      <c r="B339" s="222" t="n"/>
      <c r="C339" s="220" t="n"/>
      <c r="D339" s="220" t="n"/>
      <c r="E339" s="220" t="n"/>
      <c r="F339" s="220" t="n"/>
      <c r="G339" s="169">
        <f>IFERROR((D339-F339)/C339*100,"")</f>
        <v/>
      </c>
      <c r="H339" s="219" t="n"/>
      <c r="I339" s="220" t="n"/>
      <c r="J339" s="221">
        <f>IF(COUNTA(A339:F339)=0,"",IF(OR(C339&lt;0,D339&lt;0,E339&lt;0,F339&lt;0),"ERRO: valor negativo",IF(C339&lt;&gt;SUM(D339:F339),"ERRO: categorias diferem dos respondentes",IF(COUNTIFS($A$5:$A$1200,A339,$B$5:$B$1200,B339)&gt;1,"ERRO: período e curso duplicados","OK"))))</f>
        <v/>
      </c>
    </row>
    <row r="340" ht="15" customHeight="1" s="131">
      <c r="A340" s="220" t="n"/>
      <c r="B340" s="222" t="n"/>
      <c r="C340" s="220" t="n"/>
      <c r="D340" s="220" t="n"/>
      <c r="E340" s="220" t="n"/>
      <c r="F340" s="220" t="n"/>
      <c r="G340" s="169">
        <f>IFERROR((D340-F340)/C340*100,"")</f>
        <v/>
      </c>
      <c r="H340" s="219" t="n"/>
      <c r="I340" s="220" t="n"/>
      <c r="J340" s="221">
        <f>IF(COUNTA(A340:F340)=0,"",IF(OR(C340&lt;0,D340&lt;0,E340&lt;0,F340&lt;0),"ERRO: valor negativo",IF(C340&lt;&gt;SUM(D340:F340),"ERRO: categorias diferem dos respondentes",IF(COUNTIFS($A$5:$A$1200,A340,$B$5:$B$1200,B340)&gt;1,"ERRO: período e curso duplicados","OK"))))</f>
        <v/>
      </c>
    </row>
    <row r="341" ht="15" customHeight="1" s="131">
      <c r="A341" s="220" t="n"/>
      <c r="B341" s="222" t="n"/>
      <c r="C341" s="220" t="n"/>
      <c r="D341" s="220" t="n"/>
      <c r="E341" s="220" t="n"/>
      <c r="F341" s="220" t="n"/>
      <c r="G341" s="169">
        <f>IFERROR((D341-F341)/C341*100,"")</f>
        <v/>
      </c>
      <c r="H341" s="219" t="n"/>
      <c r="I341" s="220" t="n"/>
      <c r="J341" s="221">
        <f>IF(COUNTA(A341:F341)=0,"",IF(OR(C341&lt;0,D341&lt;0,E341&lt;0,F341&lt;0),"ERRO: valor negativo",IF(C341&lt;&gt;SUM(D341:F341),"ERRO: categorias diferem dos respondentes",IF(COUNTIFS($A$5:$A$1200,A341,$B$5:$B$1200,B341)&gt;1,"ERRO: período e curso duplicados","OK"))))</f>
        <v/>
      </c>
    </row>
    <row r="342" ht="15" customHeight="1" s="131">
      <c r="A342" s="220" t="n"/>
      <c r="B342" s="222" t="n"/>
      <c r="C342" s="220" t="n"/>
      <c r="D342" s="220" t="n"/>
      <c r="E342" s="220" t="n"/>
      <c r="F342" s="220" t="n"/>
      <c r="G342" s="169">
        <f>IFERROR((D342-F342)/C342*100,"")</f>
        <v/>
      </c>
      <c r="H342" s="219" t="n"/>
      <c r="I342" s="220" t="n"/>
      <c r="J342" s="221">
        <f>IF(COUNTA(A342:F342)=0,"",IF(OR(C342&lt;0,D342&lt;0,E342&lt;0,F342&lt;0),"ERRO: valor negativo",IF(C342&lt;&gt;SUM(D342:F342),"ERRO: categorias diferem dos respondentes",IF(COUNTIFS($A$5:$A$1200,A342,$B$5:$B$1200,B342)&gt;1,"ERRO: período e curso duplicados","OK"))))</f>
        <v/>
      </c>
    </row>
    <row r="343" ht="15" customHeight="1" s="131">
      <c r="A343" s="220" t="n"/>
      <c r="B343" s="222" t="n"/>
      <c r="C343" s="220" t="n"/>
      <c r="D343" s="220" t="n"/>
      <c r="E343" s="220" t="n"/>
      <c r="F343" s="220" t="n"/>
      <c r="G343" s="169">
        <f>IFERROR((D343-F343)/C343*100,"")</f>
        <v/>
      </c>
      <c r="H343" s="219" t="n"/>
      <c r="I343" s="220" t="n"/>
      <c r="J343" s="221">
        <f>IF(COUNTA(A343:F343)=0,"",IF(OR(C343&lt;0,D343&lt;0,E343&lt;0,F343&lt;0),"ERRO: valor negativo",IF(C343&lt;&gt;SUM(D343:F343),"ERRO: categorias diferem dos respondentes",IF(COUNTIFS($A$5:$A$1200,A343,$B$5:$B$1200,B343)&gt;1,"ERRO: período e curso duplicados","OK"))))</f>
        <v/>
      </c>
    </row>
    <row r="344" ht="15" customHeight="1" s="131">
      <c r="A344" s="220" t="n"/>
      <c r="B344" s="222" t="n"/>
      <c r="C344" s="220" t="n"/>
      <c r="D344" s="220" t="n"/>
      <c r="E344" s="220" t="n"/>
      <c r="F344" s="220" t="n"/>
      <c r="G344" s="169">
        <f>IFERROR((D344-F344)/C344*100,"")</f>
        <v/>
      </c>
      <c r="H344" s="219" t="n"/>
      <c r="I344" s="220" t="n"/>
      <c r="J344" s="221">
        <f>IF(COUNTA(A344:F344)=0,"",IF(OR(C344&lt;0,D344&lt;0,E344&lt;0,F344&lt;0),"ERRO: valor negativo",IF(C344&lt;&gt;SUM(D344:F344),"ERRO: categorias diferem dos respondentes",IF(COUNTIFS($A$5:$A$1200,A344,$B$5:$B$1200,B344)&gt;1,"ERRO: período e curso duplicados","OK"))))</f>
        <v/>
      </c>
    </row>
    <row r="345" ht="15" customHeight="1" s="131">
      <c r="A345" s="220" t="n"/>
      <c r="B345" s="222" t="n"/>
      <c r="C345" s="220" t="n"/>
      <c r="D345" s="220" t="n"/>
      <c r="E345" s="220" t="n"/>
      <c r="F345" s="220" t="n"/>
      <c r="G345" s="169">
        <f>IFERROR((D345-F345)/C345*100,"")</f>
        <v/>
      </c>
      <c r="H345" s="219" t="n"/>
      <c r="I345" s="220" t="n"/>
      <c r="J345" s="221">
        <f>IF(COUNTA(A345:F345)=0,"",IF(OR(C345&lt;0,D345&lt;0,E345&lt;0,F345&lt;0),"ERRO: valor negativo",IF(C345&lt;&gt;SUM(D345:F345),"ERRO: categorias diferem dos respondentes",IF(COUNTIFS($A$5:$A$1200,A345,$B$5:$B$1200,B345)&gt;1,"ERRO: período e curso duplicados","OK"))))</f>
        <v/>
      </c>
    </row>
    <row r="346" ht="15" customHeight="1" s="131">
      <c r="A346" s="220" t="n"/>
      <c r="B346" s="222" t="n"/>
      <c r="C346" s="220" t="n"/>
      <c r="D346" s="220" t="n"/>
      <c r="E346" s="220" t="n"/>
      <c r="F346" s="220" t="n"/>
      <c r="G346" s="169">
        <f>IFERROR((D346-F346)/C346*100,"")</f>
        <v/>
      </c>
      <c r="H346" s="219" t="n"/>
      <c r="I346" s="220" t="n"/>
      <c r="J346" s="221">
        <f>IF(COUNTA(A346:F346)=0,"",IF(OR(C346&lt;0,D346&lt;0,E346&lt;0,F346&lt;0),"ERRO: valor negativo",IF(C346&lt;&gt;SUM(D346:F346),"ERRO: categorias diferem dos respondentes",IF(COUNTIFS($A$5:$A$1200,A346,$B$5:$B$1200,B346)&gt;1,"ERRO: período e curso duplicados","OK"))))</f>
        <v/>
      </c>
    </row>
    <row r="347" ht="15" customHeight="1" s="131">
      <c r="A347" s="220" t="n"/>
      <c r="B347" s="222" t="n"/>
      <c r="C347" s="220" t="n"/>
      <c r="D347" s="220" t="n"/>
      <c r="E347" s="220" t="n"/>
      <c r="F347" s="220" t="n"/>
      <c r="G347" s="169">
        <f>IFERROR((D347-F347)/C347*100,"")</f>
        <v/>
      </c>
      <c r="H347" s="219" t="n"/>
      <c r="I347" s="220" t="n"/>
      <c r="J347" s="221">
        <f>IF(COUNTA(A347:F347)=0,"",IF(OR(C347&lt;0,D347&lt;0,E347&lt;0,F347&lt;0),"ERRO: valor negativo",IF(C347&lt;&gt;SUM(D347:F347),"ERRO: categorias diferem dos respondentes",IF(COUNTIFS($A$5:$A$1200,A347,$B$5:$B$1200,B347)&gt;1,"ERRO: período e curso duplicados","OK"))))</f>
        <v/>
      </c>
    </row>
    <row r="348" ht="15" customHeight="1" s="131">
      <c r="A348" s="220" t="n"/>
      <c r="B348" s="222" t="n"/>
      <c r="C348" s="220" t="n"/>
      <c r="D348" s="220" t="n"/>
      <c r="E348" s="220" t="n"/>
      <c r="F348" s="220" t="n"/>
      <c r="G348" s="169">
        <f>IFERROR((D348-F348)/C348*100,"")</f>
        <v/>
      </c>
      <c r="H348" s="219" t="n"/>
      <c r="I348" s="220" t="n"/>
      <c r="J348" s="221">
        <f>IF(COUNTA(A348:F348)=0,"",IF(OR(C348&lt;0,D348&lt;0,E348&lt;0,F348&lt;0),"ERRO: valor negativo",IF(C348&lt;&gt;SUM(D348:F348),"ERRO: categorias diferem dos respondentes",IF(COUNTIFS($A$5:$A$1200,A348,$B$5:$B$1200,B348)&gt;1,"ERRO: período e curso duplicados","OK"))))</f>
        <v/>
      </c>
    </row>
    <row r="349" ht="15" customHeight="1" s="131">
      <c r="A349" s="220" t="n"/>
      <c r="B349" s="222" t="n"/>
      <c r="C349" s="220" t="n"/>
      <c r="D349" s="220" t="n"/>
      <c r="E349" s="220" t="n"/>
      <c r="F349" s="220" t="n"/>
      <c r="G349" s="169">
        <f>IFERROR((D349-F349)/C349*100,"")</f>
        <v/>
      </c>
      <c r="H349" s="219" t="n"/>
      <c r="I349" s="220" t="n"/>
      <c r="J349" s="221">
        <f>IF(COUNTA(A349:F349)=0,"",IF(OR(C349&lt;0,D349&lt;0,E349&lt;0,F349&lt;0),"ERRO: valor negativo",IF(C349&lt;&gt;SUM(D349:F349),"ERRO: categorias diferem dos respondentes",IF(COUNTIFS($A$5:$A$1200,A349,$B$5:$B$1200,B349)&gt;1,"ERRO: período e curso duplicados","OK"))))</f>
        <v/>
      </c>
    </row>
    <row r="350" ht="15" customHeight="1" s="131">
      <c r="A350" s="220" t="n"/>
      <c r="B350" s="222" t="n"/>
      <c r="C350" s="220" t="n"/>
      <c r="D350" s="220" t="n"/>
      <c r="E350" s="220" t="n"/>
      <c r="F350" s="220" t="n"/>
      <c r="G350" s="169">
        <f>IFERROR((D350-F350)/C350*100,"")</f>
        <v/>
      </c>
      <c r="H350" s="219" t="n"/>
      <c r="I350" s="220" t="n"/>
      <c r="J350" s="221">
        <f>IF(COUNTA(A350:F350)=0,"",IF(OR(C350&lt;0,D350&lt;0,E350&lt;0,F350&lt;0),"ERRO: valor negativo",IF(C350&lt;&gt;SUM(D350:F350),"ERRO: categorias diferem dos respondentes",IF(COUNTIFS($A$5:$A$1200,A350,$B$5:$B$1200,B350)&gt;1,"ERRO: período e curso duplicados","OK"))))</f>
        <v/>
      </c>
    </row>
    <row r="351" ht="15" customHeight="1" s="131">
      <c r="A351" s="220" t="n"/>
      <c r="B351" s="222" t="n"/>
      <c r="C351" s="220" t="n"/>
      <c r="D351" s="220" t="n"/>
      <c r="E351" s="220" t="n"/>
      <c r="F351" s="220" t="n"/>
      <c r="G351" s="169">
        <f>IFERROR((D351-F351)/C351*100,"")</f>
        <v/>
      </c>
      <c r="H351" s="219" t="n"/>
      <c r="I351" s="220" t="n"/>
      <c r="J351" s="221">
        <f>IF(COUNTA(A351:F351)=0,"",IF(OR(C351&lt;0,D351&lt;0,E351&lt;0,F351&lt;0),"ERRO: valor negativo",IF(C351&lt;&gt;SUM(D351:F351),"ERRO: categorias diferem dos respondentes",IF(COUNTIFS($A$5:$A$1200,A351,$B$5:$B$1200,B351)&gt;1,"ERRO: período e curso duplicados","OK"))))</f>
        <v/>
      </c>
    </row>
    <row r="352" ht="15" customHeight="1" s="131">
      <c r="A352" s="220" t="n"/>
      <c r="B352" s="222" t="n"/>
      <c r="C352" s="220" t="n"/>
      <c r="D352" s="220" t="n"/>
      <c r="E352" s="220" t="n"/>
      <c r="F352" s="220" t="n"/>
      <c r="G352" s="169">
        <f>IFERROR((D352-F352)/C352*100,"")</f>
        <v/>
      </c>
      <c r="H352" s="219" t="n"/>
      <c r="I352" s="220" t="n"/>
      <c r="J352" s="221">
        <f>IF(COUNTA(A352:F352)=0,"",IF(OR(C352&lt;0,D352&lt;0,E352&lt;0,F352&lt;0),"ERRO: valor negativo",IF(C352&lt;&gt;SUM(D352:F352),"ERRO: categorias diferem dos respondentes",IF(COUNTIFS($A$5:$A$1200,A352,$B$5:$B$1200,B352)&gt;1,"ERRO: período e curso duplicados","OK"))))</f>
        <v/>
      </c>
    </row>
    <row r="353" ht="15" customHeight="1" s="131">
      <c r="A353" s="220" t="n"/>
      <c r="B353" s="222" t="n"/>
      <c r="C353" s="220" t="n"/>
      <c r="D353" s="220" t="n"/>
      <c r="E353" s="220" t="n"/>
      <c r="F353" s="220" t="n"/>
      <c r="G353" s="169">
        <f>IFERROR((D353-F353)/C353*100,"")</f>
        <v/>
      </c>
      <c r="H353" s="219" t="n"/>
      <c r="I353" s="220" t="n"/>
      <c r="J353" s="221">
        <f>IF(COUNTA(A353:F353)=0,"",IF(OR(C353&lt;0,D353&lt;0,E353&lt;0,F353&lt;0),"ERRO: valor negativo",IF(C353&lt;&gt;SUM(D353:F353),"ERRO: categorias diferem dos respondentes",IF(COUNTIFS($A$5:$A$1200,A353,$B$5:$B$1200,B353)&gt;1,"ERRO: período e curso duplicados","OK"))))</f>
        <v/>
      </c>
    </row>
    <row r="354" ht="15" customHeight="1" s="131">
      <c r="A354" s="220" t="n"/>
      <c r="B354" s="222" t="n"/>
      <c r="C354" s="220" t="n"/>
      <c r="D354" s="220" t="n"/>
      <c r="E354" s="220" t="n"/>
      <c r="F354" s="220" t="n"/>
      <c r="G354" s="169">
        <f>IFERROR((D354-F354)/C354*100,"")</f>
        <v/>
      </c>
      <c r="H354" s="219" t="n"/>
      <c r="I354" s="220" t="n"/>
      <c r="J354" s="221">
        <f>IF(COUNTA(A354:F354)=0,"",IF(OR(C354&lt;0,D354&lt;0,E354&lt;0,F354&lt;0),"ERRO: valor negativo",IF(C354&lt;&gt;SUM(D354:F354),"ERRO: categorias diferem dos respondentes",IF(COUNTIFS($A$5:$A$1200,A354,$B$5:$B$1200,B354)&gt;1,"ERRO: período e curso duplicados","OK"))))</f>
        <v/>
      </c>
    </row>
    <row r="355" ht="15" customHeight="1" s="131">
      <c r="A355" s="220" t="n"/>
      <c r="B355" s="222" t="n"/>
      <c r="C355" s="220" t="n"/>
      <c r="D355" s="220" t="n"/>
      <c r="E355" s="220" t="n"/>
      <c r="F355" s="220" t="n"/>
      <c r="G355" s="169">
        <f>IFERROR((D355-F355)/C355*100,"")</f>
        <v/>
      </c>
      <c r="H355" s="219" t="n"/>
      <c r="I355" s="220" t="n"/>
      <c r="J355" s="221">
        <f>IF(COUNTA(A355:F355)=0,"",IF(OR(C355&lt;0,D355&lt;0,E355&lt;0,F355&lt;0),"ERRO: valor negativo",IF(C355&lt;&gt;SUM(D355:F355),"ERRO: categorias diferem dos respondentes",IF(COUNTIFS($A$5:$A$1200,A355,$B$5:$B$1200,B355)&gt;1,"ERRO: período e curso duplicados","OK"))))</f>
        <v/>
      </c>
    </row>
    <row r="356" ht="15" customHeight="1" s="131">
      <c r="A356" s="220" t="n"/>
      <c r="B356" s="222" t="n"/>
      <c r="C356" s="220" t="n"/>
      <c r="D356" s="220" t="n"/>
      <c r="E356" s="220" t="n"/>
      <c r="F356" s="220" t="n"/>
      <c r="G356" s="169">
        <f>IFERROR((D356-F356)/C356*100,"")</f>
        <v/>
      </c>
      <c r="H356" s="219" t="n"/>
      <c r="I356" s="220" t="n"/>
      <c r="J356" s="221">
        <f>IF(COUNTA(A356:F356)=0,"",IF(OR(C356&lt;0,D356&lt;0,E356&lt;0,F356&lt;0),"ERRO: valor negativo",IF(C356&lt;&gt;SUM(D356:F356),"ERRO: categorias diferem dos respondentes",IF(COUNTIFS($A$5:$A$1200,A356,$B$5:$B$1200,B356)&gt;1,"ERRO: período e curso duplicados","OK"))))</f>
        <v/>
      </c>
    </row>
    <row r="357" ht="15" customHeight="1" s="131">
      <c r="A357" s="220" t="n"/>
      <c r="B357" s="222" t="n"/>
      <c r="C357" s="220" t="n"/>
      <c r="D357" s="220" t="n"/>
      <c r="E357" s="220" t="n"/>
      <c r="F357" s="220" t="n"/>
      <c r="G357" s="169">
        <f>IFERROR((D357-F357)/C357*100,"")</f>
        <v/>
      </c>
      <c r="H357" s="219" t="n"/>
      <c r="I357" s="220" t="n"/>
      <c r="J357" s="221">
        <f>IF(COUNTA(A357:F357)=0,"",IF(OR(C357&lt;0,D357&lt;0,E357&lt;0,F357&lt;0),"ERRO: valor negativo",IF(C357&lt;&gt;SUM(D357:F357),"ERRO: categorias diferem dos respondentes",IF(COUNTIFS($A$5:$A$1200,A357,$B$5:$B$1200,B357)&gt;1,"ERRO: período e curso duplicados","OK"))))</f>
        <v/>
      </c>
    </row>
    <row r="358" ht="15" customHeight="1" s="131">
      <c r="A358" s="220" t="n"/>
      <c r="B358" s="222" t="n"/>
      <c r="C358" s="220" t="n"/>
      <c r="D358" s="220" t="n"/>
      <c r="E358" s="220" t="n"/>
      <c r="F358" s="220" t="n"/>
      <c r="G358" s="169">
        <f>IFERROR((D358-F358)/C358*100,"")</f>
        <v/>
      </c>
      <c r="H358" s="219" t="n"/>
      <c r="I358" s="220" t="n"/>
      <c r="J358" s="221">
        <f>IF(COUNTA(A358:F358)=0,"",IF(OR(C358&lt;0,D358&lt;0,E358&lt;0,F358&lt;0),"ERRO: valor negativo",IF(C358&lt;&gt;SUM(D358:F358),"ERRO: categorias diferem dos respondentes",IF(COUNTIFS($A$5:$A$1200,A358,$B$5:$B$1200,B358)&gt;1,"ERRO: período e curso duplicados","OK"))))</f>
        <v/>
      </c>
    </row>
    <row r="359" ht="15" customHeight="1" s="131">
      <c r="A359" s="220" t="n"/>
      <c r="B359" s="222" t="n"/>
      <c r="C359" s="220" t="n"/>
      <c r="D359" s="220" t="n"/>
      <c r="E359" s="220" t="n"/>
      <c r="F359" s="220" t="n"/>
      <c r="G359" s="169">
        <f>IFERROR((D359-F359)/C359*100,"")</f>
        <v/>
      </c>
      <c r="H359" s="219" t="n"/>
      <c r="I359" s="220" t="n"/>
      <c r="J359" s="221">
        <f>IF(COUNTA(A359:F359)=0,"",IF(OR(C359&lt;0,D359&lt;0,E359&lt;0,F359&lt;0),"ERRO: valor negativo",IF(C359&lt;&gt;SUM(D359:F359),"ERRO: categorias diferem dos respondentes",IF(COUNTIFS($A$5:$A$1200,A359,$B$5:$B$1200,B359)&gt;1,"ERRO: período e curso duplicados","OK"))))</f>
        <v/>
      </c>
    </row>
    <row r="360" ht="15" customHeight="1" s="131">
      <c r="A360" s="220" t="n"/>
      <c r="B360" s="222" t="n"/>
      <c r="C360" s="220" t="n"/>
      <c r="D360" s="220" t="n"/>
      <c r="E360" s="220" t="n"/>
      <c r="F360" s="220" t="n"/>
      <c r="G360" s="169">
        <f>IFERROR((D360-F360)/C360*100,"")</f>
        <v/>
      </c>
      <c r="H360" s="219" t="n"/>
      <c r="I360" s="220" t="n"/>
      <c r="J360" s="221">
        <f>IF(COUNTA(A360:F360)=0,"",IF(OR(C360&lt;0,D360&lt;0,E360&lt;0,F360&lt;0),"ERRO: valor negativo",IF(C360&lt;&gt;SUM(D360:F360),"ERRO: categorias diferem dos respondentes",IF(COUNTIFS($A$5:$A$1200,A360,$B$5:$B$1200,B360)&gt;1,"ERRO: período e curso duplicados","OK"))))</f>
        <v/>
      </c>
    </row>
    <row r="361" ht="15" customHeight="1" s="131">
      <c r="A361" s="220" t="n"/>
      <c r="B361" s="222" t="n"/>
      <c r="C361" s="220" t="n"/>
      <c r="D361" s="220" t="n"/>
      <c r="E361" s="220" t="n"/>
      <c r="F361" s="220" t="n"/>
      <c r="G361" s="169">
        <f>IFERROR((D361-F361)/C361*100,"")</f>
        <v/>
      </c>
      <c r="H361" s="219" t="n"/>
      <c r="I361" s="220" t="n"/>
      <c r="J361" s="221">
        <f>IF(COUNTA(A361:F361)=0,"",IF(OR(C361&lt;0,D361&lt;0,E361&lt;0,F361&lt;0),"ERRO: valor negativo",IF(C361&lt;&gt;SUM(D361:F361),"ERRO: categorias diferem dos respondentes",IF(COUNTIFS($A$5:$A$1200,A361,$B$5:$B$1200,B361)&gt;1,"ERRO: período e curso duplicados","OK"))))</f>
        <v/>
      </c>
    </row>
    <row r="362" ht="15" customHeight="1" s="131">
      <c r="A362" s="220" t="n"/>
      <c r="B362" s="222" t="n"/>
      <c r="C362" s="220" t="n"/>
      <c r="D362" s="220" t="n"/>
      <c r="E362" s="220" t="n"/>
      <c r="F362" s="220" t="n"/>
      <c r="G362" s="169">
        <f>IFERROR((D362-F362)/C362*100,"")</f>
        <v/>
      </c>
      <c r="H362" s="219" t="n"/>
      <c r="I362" s="220" t="n"/>
      <c r="J362" s="221">
        <f>IF(COUNTA(A362:F362)=0,"",IF(OR(C362&lt;0,D362&lt;0,E362&lt;0,F362&lt;0),"ERRO: valor negativo",IF(C362&lt;&gt;SUM(D362:F362),"ERRO: categorias diferem dos respondentes",IF(COUNTIFS($A$5:$A$1200,A362,$B$5:$B$1200,B362)&gt;1,"ERRO: período e curso duplicados","OK"))))</f>
        <v/>
      </c>
    </row>
    <row r="363" ht="15" customHeight="1" s="131">
      <c r="A363" s="220" t="n"/>
      <c r="B363" s="222" t="n"/>
      <c r="C363" s="220" t="n"/>
      <c r="D363" s="220" t="n"/>
      <c r="E363" s="220" t="n"/>
      <c r="F363" s="220" t="n"/>
      <c r="G363" s="169">
        <f>IFERROR((D363-F363)/C363*100,"")</f>
        <v/>
      </c>
      <c r="H363" s="219" t="n"/>
      <c r="I363" s="220" t="n"/>
      <c r="J363" s="221">
        <f>IF(COUNTA(A363:F363)=0,"",IF(OR(C363&lt;0,D363&lt;0,E363&lt;0,F363&lt;0),"ERRO: valor negativo",IF(C363&lt;&gt;SUM(D363:F363),"ERRO: categorias diferem dos respondentes",IF(COUNTIFS($A$5:$A$1200,A363,$B$5:$B$1200,B363)&gt;1,"ERRO: período e curso duplicados","OK"))))</f>
        <v/>
      </c>
    </row>
    <row r="364" ht="15" customHeight="1" s="131">
      <c r="A364" s="220" t="n"/>
      <c r="B364" s="222" t="n"/>
      <c r="C364" s="220" t="n"/>
      <c r="D364" s="220" t="n"/>
      <c r="E364" s="220" t="n"/>
      <c r="F364" s="220" t="n"/>
      <c r="G364" s="169">
        <f>IFERROR((D364-F364)/C364*100,"")</f>
        <v/>
      </c>
      <c r="H364" s="219" t="n"/>
      <c r="I364" s="220" t="n"/>
      <c r="J364" s="221">
        <f>IF(COUNTA(A364:F364)=0,"",IF(OR(C364&lt;0,D364&lt;0,E364&lt;0,F364&lt;0),"ERRO: valor negativo",IF(C364&lt;&gt;SUM(D364:F364),"ERRO: categorias diferem dos respondentes",IF(COUNTIFS($A$5:$A$1200,A364,$B$5:$B$1200,B364)&gt;1,"ERRO: período e curso duplicados","OK"))))</f>
        <v/>
      </c>
    </row>
    <row r="365" ht="15" customHeight="1" s="131">
      <c r="A365" s="220" t="n"/>
      <c r="B365" s="222" t="n"/>
      <c r="C365" s="220" t="n"/>
      <c r="D365" s="220" t="n"/>
      <c r="E365" s="220" t="n"/>
      <c r="F365" s="220" t="n"/>
      <c r="G365" s="169">
        <f>IFERROR((D365-F365)/C365*100,"")</f>
        <v/>
      </c>
      <c r="H365" s="219" t="n"/>
      <c r="I365" s="220" t="n"/>
      <c r="J365" s="221">
        <f>IF(COUNTA(A365:F365)=0,"",IF(OR(C365&lt;0,D365&lt;0,E365&lt;0,F365&lt;0),"ERRO: valor negativo",IF(C365&lt;&gt;SUM(D365:F365),"ERRO: categorias diferem dos respondentes",IF(COUNTIFS($A$5:$A$1200,A365,$B$5:$B$1200,B365)&gt;1,"ERRO: período e curso duplicados","OK"))))</f>
        <v/>
      </c>
    </row>
    <row r="366" ht="15" customHeight="1" s="131">
      <c r="A366" s="220" t="n"/>
      <c r="B366" s="222" t="n"/>
      <c r="C366" s="220" t="n"/>
      <c r="D366" s="220" t="n"/>
      <c r="E366" s="220" t="n"/>
      <c r="F366" s="220" t="n"/>
      <c r="G366" s="169">
        <f>IFERROR((D366-F366)/C366*100,"")</f>
        <v/>
      </c>
      <c r="H366" s="219" t="n"/>
      <c r="I366" s="220" t="n"/>
      <c r="J366" s="221">
        <f>IF(COUNTA(A366:F366)=0,"",IF(OR(C366&lt;0,D366&lt;0,E366&lt;0,F366&lt;0),"ERRO: valor negativo",IF(C366&lt;&gt;SUM(D366:F366),"ERRO: categorias diferem dos respondentes",IF(COUNTIFS($A$5:$A$1200,A366,$B$5:$B$1200,B366)&gt;1,"ERRO: período e curso duplicados","OK"))))</f>
        <v/>
      </c>
    </row>
    <row r="367" ht="15" customHeight="1" s="131">
      <c r="A367" s="220" t="n"/>
      <c r="B367" s="222" t="n"/>
      <c r="C367" s="220" t="n"/>
      <c r="D367" s="220" t="n"/>
      <c r="E367" s="220" t="n"/>
      <c r="F367" s="220" t="n"/>
      <c r="G367" s="169">
        <f>IFERROR((D367-F367)/C367*100,"")</f>
        <v/>
      </c>
      <c r="H367" s="219" t="n"/>
      <c r="I367" s="220" t="n"/>
      <c r="J367" s="221">
        <f>IF(COUNTA(A367:F367)=0,"",IF(OR(C367&lt;0,D367&lt;0,E367&lt;0,F367&lt;0),"ERRO: valor negativo",IF(C367&lt;&gt;SUM(D367:F367),"ERRO: categorias diferem dos respondentes",IF(COUNTIFS($A$5:$A$1200,A367,$B$5:$B$1200,B367)&gt;1,"ERRO: período e curso duplicados","OK"))))</f>
        <v/>
      </c>
    </row>
    <row r="368" ht="15" customHeight="1" s="131">
      <c r="A368" s="220" t="n"/>
      <c r="B368" s="222" t="n"/>
      <c r="C368" s="220" t="n"/>
      <c r="D368" s="220" t="n"/>
      <c r="E368" s="220" t="n"/>
      <c r="F368" s="220" t="n"/>
      <c r="G368" s="169">
        <f>IFERROR((D368-F368)/C368*100,"")</f>
        <v/>
      </c>
      <c r="H368" s="219" t="n"/>
      <c r="I368" s="220" t="n"/>
      <c r="J368" s="221">
        <f>IF(COUNTA(A368:F368)=0,"",IF(OR(C368&lt;0,D368&lt;0,E368&lt;0,F368&lt;0),"ERRO: valor negativo",IF(C368&lt;&gt;SUM(D368:F368),"ERRO: categorias diferem dos respondentes",IF(COUNTIFS($A$5:$A$1200,A368,$B$5:$B$1200,B368)&gt;1,"ERRO: período e curso duplicados","OK"))))</f>
        <v/>
      </c>
    </row>
    <row r="369" ht="15" customHeight="1" s="131">
      <c r="A369" s="220" t="n"/>
      <c r="B369" s="222" t="n"/>
      <c r="C369" s="220" t="n"/>
      <c r="D369" s="220" t="n"/>
      <c r="E369" s="220" t="n"/>
      <c r="F369" s="220" t="n"/>
      <c r="G369" s="169">
        <f>IFERROR((D369-F369)/C369*100,"")</f>
        <v/>
      </c>
      <c r="H369" s="219" t="n"/>
      <c r="I369" s="220" t="n"/>
      <c r="J369" s="221">
        <f>IF(COUNTA(A369:F369)=0,"",IF(OR(C369&lt;0,D369&lt;0,E369&lt;0,F369&lt;0),"ERRO: valor negativo",IF(C369&lt;&gt;SUM(D369:F369),"ERRO: categorias diferem dos respondentes",IF(COUNTIFS($A$5:$A$1200,A369,$B$5:$B$1200,B369)&gt;1,"ERRO: período e curso duplicados","OK"))))</f>
        <v/>
      </c>
    </row>
    <row r="370" ht="15" customHeight="1" s="131">
      <c r="A370" s="220" t="n"/>
      <c r="B370" s="222" t="n"/>
      <c r="C370" s="220" t="n"/>
      <c r="D370" s="220" t="n"/>
      <c r="E370" s="220" t="n"/>
      <c r="F370" s="220" t="n"/>
      <c r="G370" s="169">
        <f>IFERROR((D370-F370)/C370*100,"")</f>
        <v/>
      </c>
      <c r="H370" s="219" t="n"/>
      <c r="I370" s="220" t="n"/>
      <c r="J370" s="221">
        <f>IF(COUNTA(A370:F370)=0,"",IF(OR(C370&lt;0,D370&lt;0,E370&lt;0,F370&lt;0),"ERRO: valor negativo",IF(C370&lt;&gt;SUM(D370:F370),"ERRO: categorias diferem dos respondentes",IF(COUNTIFS($A$5:$A$1200,A370,$B$5:$B$1200,B370)&gt;1,"ERRO: período e curso duplicados","OK"))))</f>
        <v/>
      </c>
    </row>
    <row r="371" ht="15" customHeight="1" s="131">
      <c r="A371" s="220" t="n"/>
      <c r="B371" s="222" t="n"/>
      <c r="C371" s="220" t="n"/>
      <c r="D371" s="220" t="n"/>
      <c r="E371" s="220" t="n"/>
      <c r="F371" s="220" t="n"/>
      <c r="G371" s="169">
        <f>IFERROR((D371-F371)/C371*100,"")</f>
        <v/>
      </c>
      <c r="H371" s="219" t="n"/>
      <c r="I371" s="220" t="n"/>
      <c r="J371" s="221">
        <f>IF(COUNTA(A371:F371)=0,"",IF(OR(C371&lt;0,D371&lt;0,E371&lt;0,F371&lt;0),"ERRO: valor negativo",IF(C371&lt;&gt;SUM(D371:F371),"ERRO: categorias diferem dos respondentes",IF(COUNTIFS($A$5:$A$1200,A371,$B$5:$B$1200,B371)&gt;1,"ERRO: período e curso duplicados","OK"))))</f>
        <v/>
      </c>
    </row>
    <row r="372" ht="15" customHeight="1" s="131">
      <c r="A372" s="220" t="n"/>
      <c r="B372" s="222" t="n"/>
      <c r="C372" s="220" t="n"/>
      <c r="D372" s="220" t="n"/>
      <c r="E372" s="220" t="n"/>
      <c r="F372" s="220" t="n"/>
      <c r="G372" s="169">
        <f>IFERROR((D372-F372)/C372*100,"")</f>
        <v/>
      </c>
      <c r="H372" s="219" t="n"/>
      <c r="I372" s="220" t="n"/>
      <c r="J372" s="221">
        <f>IF(COUNTA(A372:F372)=0,"",IF(OR(C372&lt;0,D372&lt;0,E372&lt;0,F372&lt;0),"ERRO: valor negativo",IF(C372&lt;&gt;SUM(D372:F372),"ERRO: categorias diferem dos respondentes",IF(COUNTIFS($A$5:$A$1200,A372,$B$5:$B$1200,B372)&gt;1,"ERRO: período e curso duplicados","OK"))))</f>
        <v/>
      </c>
    </row>
    <row r="373" ht="15" customHeight="1" s="131">
      <c r="A373" s="220" t="n"/>
      <c r="B373" s="222" t="n"/>
      <c r="C373" s="220" t="n"/>
      <c r="D373" s="220" t="n"/>
      <c r="E373" s="220" t="n"/>
      <c r="F373" s="220" t="n"/>
      <c r="G373" s="169">
        <f>IFERROR((D373-F373)/C373*100,"")</f>
        <v/>
      </c>
      <c r="H373" s="219" t="n"/>
      <c r="I373" s="220" t="n"/>
      <c r="J373" s="221">
        <f>IF(COUNTA(A373:F373)=0,"",IF(OR(C373&lt;0,D373&lt;0,E373&lt;0,F373&lt;0),"ERRO: valor negativo",IF(C373&lt;&gt;SUM(D373:F373),"ERRO: categorias diferem dos respondentes",IF(COUNTIFS($A$5:$A$1200,A373,$B$5:$B$1200,B373)&gt;1,"ERRO: período e curso duplicados","OK"))))</f>
        <v/>
      </c>
    </row>
    <row r="374" ht="15" customHeight="1" s="131">
      <c r="A374" s="220" t="n"/>
      <c r="B374" s="222" t="n"/>
      <c r="C374" s="220" t="n"/>
      <c r="D374" s="220" t="n"/>
      <c r="E374" s="220" t="n"/>
      <c r="F374" s="220" t="n"/>
      <c r="G374" s="169">
        <f>IFERROR((D374-F374)/C374*100,"")</f>
        <v/>
      </c>
      <c r="H374" s="219" t="n"/>
      <c r="I374" s="220" t="n"/>
      <c r="J374" s="221">
        <f>IF(COUNTA(A374:F374)=0,"",IF(OR(C374&lt;0,D374&lt;0,E374&lt;0,F374&lt;0),"ERRO: valor negativo",IF(C374&lt;&gt;SUM(D374:F374),"ERRO: categorias diferem dos respondentes",IF(COUNTIFS($A$5:$A$1200,A374,$B$5:$B$1200,B374)&gt;1,"ERRO: período e curso duplicados","OK"))))</f>
        <v/>
      </c>
    </row>
    <row r="375" ht="15" customHeight="1" s="131">
      <c r="A375" s="220" t="n"/>
      <c r="B375" s="222" t="n"/>
      <c r="C375" s="220" t="n"/>
      <c r="D375" s="220" t="n"/>
      <c r="E375" s="220" t="n"/>
      <c r="F375" s="220" t="n"/>
      <c r="G375" s="169">
        <f>IFERROR((D375-F375)/C375*100,"")</f>
        <v/>
      </c>
      <c r="H375" s="219" t="n"/>
      <c r="I375" s="220" t="n"/>
      <c r="J375" s="221">
        <f>IF(COUNTA(A375:F375)=0,"",IF(OR(C375&lt;0,D375&lt;0,E375&lt;0,F375&lt;0),"ERRO: valor negativo",IF(C375&lt;&gt;SUM(D375:F375),"ERRO: categorias diferem dos respondentes",IF(COUNTIFS($A$5:$A$1200,A375,$B$5:$B$1200,B375)&gt;1,"ERRO: período e curso duplicados","OK"))))</f>
        <v/>
      </c>
    </row>
    <row r="376" ht="15" customHeight="1" s="131">
      <c r="A376" s="220" t="n"/>
      <c r="B376" s="222" t="n"/>
      <c r="C376" s="220" t="n"/>
      <c r="D376" s="220" t="n"/>
      <c r="E376" s="220" t="n"/>
      <c r="F376" s="220" t="n"/>
      <c r="G376" s="169">
        <f>IFERROR((D376-F376)/C376*100,"")</f>
        <v/>
      </c>
      <c r="H376" s="219" t="n"/>
      <c r="I376" s="220" t="n"/>
      <c r="J376" s="221">
        <f>IF(COUNTA(A376:F376)=0,"",IF(OR(C376&lt;0,D376&lt;0,E376&lt;0,F376&lt;0),"ERRO: valor negativo",IF(C376&lt;&gt;SUM(D376:F376),"ERRO: categorias diferem dos respondentes",IF(COUNTIFS($A$5:$A$1200,A376,$B$5:$B$1200,B376)&gt;1,"ERRO: período e curso duplicados","OK"))))</f>
        <v/>
      </c>
    </row>
    <row r="377" ht="15" customHeight="1" s="131">
      <c r="A377" s="220" t="n"/>
      <c r="B377" s="222" t="n"/>
      <c r="C377" s="220" t="n"/>
      <c r="D377" s="220" t="n"/>
      <c r="E377" s="220" t="n"/>
      <c r="F377" s="220" t="n"/>
      <c r="G377" s="169">
        <f>IFERROR((D377-F377)/C377*100,"")</f>
        <v/>
      </c>
      <c r="H377" s="219" t="n"/>
      <c r="I377" s="220" t="n"/>
      <c r="J377" s="221">
        <f>IF(COUNTA(A377:F377)=0,"",IF(OR(C377&lt;0,D377&lt;0,E377&lt;0,F377&lt;0),"ERRO: valor negativo",IF(C377&lt;&gt;SUM(D377:F377),"ERRO: categorias diferem dos respondentes",IF(COUNTIFS($A$5:$A$1200,A377,$B$5:$B$1200,B377)&gt;1,"ERRO: período e curso duplicados","OK"))))</f>
        <v/>
      </c>
    </row>
    <row r="378" ht="15" customHeight="1" s="131">
      <c r="A378" s="220" t="n"/>
      <c r="B378" s="222" t="n"/>
      <c r="C378" s="220" t="n"/>
      <c r="D378" s="220" t="n"/>
      <c r="E378" s="220" t="n"/>
      <c r="F378" s="220" t="n"/>
      <c r="G378" s="169">
        <f>IFERROR((D378-F378)/C378*100,"")</f>
        <v/>
      </c>
      <c r="H378" s="219" t="n"/>
      <c r="I378" s="220" t="n"/>
      <c r="J378" s="221">
        <f>IF(COUNTA(A378:F378)=0,"",IF(OR(C378&lt;0,D378&lt;0,E378&lt;0,F378&lt;0),"ERRO: valor negativo",IF(C378&lt;&gt;SUM(D378:F378),"ERRO: categorias diferem dos respondentes",IF(COUNTIFS($A$5:$A$1200,A378,$B$5:$B$1200,B378)&gt;1,"ERRO: período e curso duplicados","OK"))))</f>
        <v/>
      </c>
    </row>
    <row r="379" ht="15" customHeight="1" s="131">
      <c r="A379" s="220" t="n"/>
      <c r="B379" s="222" t="n"/>
      <c r="C379" s="220" t="n"/>
      <c r="D379" s="220" t="n"/>
      <c r="E379" s="220" t="n"/>
      <c r="F379" s="220" t="n"/>
      <c r="G379" s="169">
        <f>IFERROR((D379-F379)/C379*100,"")</f>
        <v/>
      </c>
      <c r="H379" s="219" t="n"/>
      <c r="I379" s="220" t="n"/>
      <c r="J379" s="221">
        <f>IF(COUNTA(A379:F379)=0,"",IF(OR(C379&lt;0,D379&lt;0,E379&lt;0,F379&lt;0),"ERRO: valor negativo",IF(C379&lt;&gt;SUM(D379:F379),"ERRO: categorias diferem dos respondentes",IF(COUNTIFS($A$5:$A$1200,A379,$B$5:$B$1200,B379)&gt;1,"ERRO: período e curso duplicados","OK"))))</f>
        <v/>
      </c>
    </row>
    <row r="380" ht="15" customHeight="1" s="131">
      <c r="A380" s="220" t="n"/>
      <c r="B380" s="222" t="n"/>
      <c r="C380" s="220" t="n"/>
      <c r="D380" s="220" t="n"/>
      <c r="E380" s="220" t="n"/>
      <c r="F380" s="220" t="n"/>
      <c r="G380" s="169">
        <f>IFERROR((D380-F380)/C380*100,"")</f>
        <v/>
      </c>
      <c r="H380" s="219" t="n"/>
      <c r="I380" s="220" t="n"/>
      <c r="J380" s="221">
        <f>IF(COUNTA(A380:F380)=0,"",IF(OR(C380&lt;0,D380&lt;0,E380&lt;0,F380&lt;0),"ERRO: valor negativo",IF(C380&lt;&gt;SUM(D380:F380),"ERRO: categorias diferem dos respondentes",IF(COUNTIFS($A$5:$A$1200,A380,$B$5:$B$1200,B380)&gt;1,"ERRO: período e curso duplicados","OK"))))</f>
        <v/>
      </c>
    </row>
    <row r="381" ht="15" customHeight="1" s="131">
      <c r="A381" s="220" t="n"/>
      <c r="B381" s="222" t="n"/>
      <c r="C381" s="220" t="n"/>
      <c r="D381" s="220" t="n"/>
      <c r="E381" s="220" t="n"/>
      <c r="F381" s="220" t="n"/>
      <c r="G381" s="169">
        <f>IFERROR((D381-F381)/C381*100,"")</f>
        <v/>
      </c>
      <c r="H381" s="219" t="n"/>
      <c r="I381" s="220" t="n"/>
      <c r="J381" s="221">
        <f>IF(COUNTA(A381:F381)=0,"",IF(OR(C381&lt;0,D381&lt;0,E381&lt;0,F381&lt;0),"ERRO: valor negativo",IF(C381&lt;&gt;SUM(D381:F381),"ERRO: categorias diferem dos respondentes",IF(COUNTIFS($A$5:$A$1200,A381,$B$5:$B$1200,B381)&gt;1,"ERRO: período e curso duplicados","OK"))))</f>
        <v/>
      </c>
    </row>
    <row r="382" ht="15" customHeight="1" s="131">
      <c r="A382" s="220" t="n"/>
      <c r="B382" s="222" t="n"/>
      <c r="C382" s="220" t="n"/>
      <c r="D382" s="220" t="n"/>
      <c r="E382" s="220" t="n"/>
      <c r="F382" s="220" t="n"/>
      <c r="G382" s="169">
        <f>IFERROR((D382-F382)/C382*100,"")</f>
        <v/>
      </c>
      <c r="H382" s="219" t="n"/>
      <c r="I382" s="220" t="n"/>
      <c r="J382" s="221">
        <f>IF(COUNTA(A382:F382)=0,"",IF(OR(C382&lt;0,D382&lt;0,E382&lt;0,F382&lt;0),"ERRO: valor negativo",IF(C382&lt;&gt;SUM(D382:F382),"ERRO: categorias diferem dos respondentes",IF(COUNTIFS($A$5:$A$1200,A382,$B$5:$B$1200,B382)&gt;1,"ERRO: período e curso duplicados","OK"))))</f>
        <v/>
      </c>
    </row>
    <row r="383" ht="15" customHeight="1" s="131">
      <c r="A383" s="220" t="n"/>
      <c r="B383" s="222" t="n"/>
      <c r="C383" s="220" t="n"/>
      <c r="D383" s="220" t="n"/>
      <c r="E383" s="220" t="n"/>
      <c r="F383" s="220" t="n"/>
      <c r="G383" s="169">
        <f>IFERROR((D383-F383)/C383*100,"")</f>
        <v/>
      </c>
      <c r="H383" s="219" t="n"/>
      <c r="I383" s="220" t="n"/>
      <c r="J383" s="221">
        <f>IF(COUNTA(A383:F383)=0,"",IF(OR(C383&lt;0,D383&lt;0,E383&lt;0,F383&lt;0),"ERRO: valor negativo",IF(C383&lt;&gt;SUM(D383:F383),"ERRO: categorias diferem dos respondentes",IF(COUNTIFS($A$5:$A$1200,A383,$B$5:$B$1200,B383)&gt;1,"ERRO: período e curso duplicados","OK"))))</f>
        <v/>
      </c>
    </row>
    <row r="384" ht="15" customHeight="1" s="131">
      <c r="A384" s="220" t="n"/>
      <c r="B384" s="222" t="n"/>
      <c r="C384" s="220" t="n"/>
      <c r="D384" s="220" t="n"/>
      <c r="E384" s="220" t="n"/>
      <c r="F384" s="220" t="n"/>
      <c r="G384" s="169">
        <f>IFERROR((D384-F384)/C384*100,"")</f>
        <v/>
      </c>
      <c r="H384" s="219" t="n"/>
      <c r="I384" s="220" t="n"/>
      <c r="J384" s="221">
        <f>IF(COUNTA(A384:F384)=0,"",IF(OR(C384&lt;0,D384&lt;0,E384&lt;0,F384&lt;0),"ERRO: valor negativo",IF(C384&lt;&gt;SUM(D384:F384),"ERRO: categorias diferem dos respondentes",IF(COUNTIFS($A$5:$A$1200,A384,$B$5:$B$1200,B384)&gt;1,"ERRO: período e curso duplicados","OK"))))</f>
        <v/>
      </c>
    </row>
    <row r="385" ht="15" customHeight="1" s="131">
      <c r="A385" s="220" t="n"/>
      <c r="B385" s="222" t="n"/>
      <c r="C385" s="220" t="n"/>
      <c r="D385" s="220" t="n"/>
      <c r="E385" s="220" t="n"/>
      <c r="F385" s="220" t="n"/>
      <c r="G385" s="169">
        <f>IFERROR((D385-F385)/C385*100,"")</f>
        <v/>
      </c>
      <c r="H385" s="219" t="n"/>
      <c r="I385" s="220" t="n"/>
      <c r="J385" s="221">
        <f>IF(COUNTA(A385:F385)=0,"",IF(OR(C385&lt;0,D385&lt;0,E385&lt;0,F385&lt;0),"ERRO: valor negativo",IF(C385&lt;&gt;SUM(D385:F385),"ERRO: categorias diferem dos respondentes",IF(COUNTIFS($A$5:$A$1200,A385,$B$5:$B$1200,B385)&gt;1,"ERRO: período e curso duplicados","OK"))))</f>
        <v/>
      </c>
    </row>
    <row r="386" ht="15" customHeight="1" s="131">
      <c r="A386" s="220" t="n"/>
      <c r="B386" s="222" t="n"/>
      <c r="C386" s="220" t="n"/>
      <c r="D386" s="220" t="n"/>
      <c r="E386" s="220" t="n"/>
      <c r="F386" s="220" t="n"/>
      <c r="G386" s="169">
        <f>IFERROR((D386-F386)/C386*100,"")</f>
        <v/>
      </c>
      <c r="H386" s="219" t="n"/>
      <c r="I386" s="220" t="n"/>
      <c r="J386" s="221">
        <f>IF(COUNTA(A386:F386)=0,"",IF(OR(C386&lt;0,D386&lt;0,E386&lt;0,F386&lt;0),"ERRO: valor negativo",IF(C386&lt;&gt;SUM(D386:F386),"ERRO: categorias diferem dos respondentes",IF(COUNTIFS($A$5:$A$1200,A386,$B$5:$B$1200,B386)&gt;1,"ERRO: período e curso duplicados","OK"))))</f>
        <v/>
      </c>
    </row>
    <row r="387" ht="15" customHeight="1" s="131">
      <c r="A387" s="220" t="n"/>
      <c r="B387" s="222" t="n"/>
      <c r="C387" s="220" t="n"/>
      <c r="D387" s="220" t="n"/>
      <c r="E387" s="220" t="n"/>
      <c r="F387" s="220" t="n"/>
      <c r="G387" s="169">
        <f>IFERROR((D387-F387)/C387*100,"")</f>
        <v/>
      </c>
      <c r="H387" s="219" t="n"/>
      <c r="I387" s="220" t="n"/>
      <c r="J387" s="221">
        <f>IF(COUNTA(A387:F387)=0,"",IF(OR(C387&lt;0,D387&lt;0,E387&lt;0,F387&lt;0),"ERRO: valor negativo",IF(C387&lt;&gt;SUM(D387:F387),"ERRO: categorias diferem dos respondentes",IF(COUNTIFS($A$5:$A$1200,A387,$B$5:$B$1200,B387)&gt;1,"ERRO: período e curso duplicados","OK"))))</f>
        <v/>
      </c>
    </row>
    <row r="388" ht="15" customHeight="1" s="131">
      <c r="A388" s="220" t="n"/>
      <c r="B388" s="222" t="n"/>
      <c r="C388" s="220" t="n"/>
      <c r="D388" s="220" t="n"/>
      <c r="E388" s="220" t="n"/>
      <c r="F388" s="220" t="n"/>
      <c r="G388" s="169">
        <f>IFERROR((D388-F388)/C388*100,"")</f>
        <v/>
      </c>
      <c r="H388" s="219" t="n"/>
      <c r="I388" s="220" t="n"/>
      <c r="J388" s="221">
        <f>IF(COUNTA(A388:F388)=0,"",IF(OR(C388&lt;0,D388&lt;0,E388&lt;0,F388&lt;0),"ERRO: valor negativo",IF(C388&lt;&gt;SUM(D388:F388),"ERRO: categorias diferem dos respondentes",IF(COUNTIFS($A$5:$A$1200,A388,$B$5:$B$1200,B388)&gt;1,"ERRO: período e curso duplicados","OK"))))</f>
        <v/>
      </c>
    </row>
    <row r="389" ht="15" customHeight="1" s="131">
      <c r="A389" s="220" t="n"/>
      <c r="B389" s="222" t="n"/>
      <c r="C389" s="220" t="n"/>
      <c r="D389" s="220" t="n"/>
      <c r="E389" s="220" t="n"/>
      <c r="F389" s="220" t="n"/>
      <c r="G389" s="169">
        <f>IFERROR((D389-F389)/C389*100,"")</f>
        <v/>
      </c>
      <c r="H389" s="219" t="n"/>
      <c r="I389" s="220" t="n"/>
      <c r="J389" s="221">
        <f>IF(COUNTA(A389:F389)=0,"",IF(OR(C389&lt;0,D389&lt;0,E389&lt;0,F389&lt;0),"ERRO: valor negativo",IF(C389&lt;&gt;SUM(D389:F389),"ERRO: categorias diferem dos respondentes",IF(COUNTIFS($A$5:$A$1200,A389,$B$5:$B$1200,B389)&gt;1,"ERRO: período e curso duplicados","OK"))))</f>
        <v/>
      </c>
    </row>
    <row r="390" ht="15" customHeight="1" s="131">
      <c r="A390" s="220" t="n"/>
      <c r="B390" s="222" t="n"/>
      <c r="C390" s="220" t="n"/>
      <c r="D390" s="220" t="n"/>
      <c r="E390" s="220" t="n"/>
      <c r="F390" s="220" t="n"/>
      <c r="G390" s="169">
        <f>IFERROR((D390-F390)/C390*100,"")</f>
        <v/>
      </c>
      <c r="H390" s="219" t="n"/>
      <c r="I390" s="220" t="n"/>
      <c r="J390" s="221">
        <f>IF(COUNTA(A390:F390)=0,"",IF(OR(C390&lt;0,D390&lt;0,E390&lt;0,F390&lt;0),"ERRO: valor negativo",IF(C390&lt;&gt;SUM(D390:F390),"ERRO: categorias diferem dos respondentes",IF(COUNTIFS($A$5:$A$1200,A390,$B$5:$B$1200,B390)&gt;1,"ERRO: período e curso duplicados","OK"))))</f>
        <v/>
      </c>
    </row>
    <row r="391" ht="15" customHeight="1" s="131">
      <c r="A391" s="220" t="n"/>
      <c r="B391" s="222" t="n"/>
      <c r="C391" s="220" t="n"/>
      <c r="D391" s="220" t="n"/>
      <c r="E391" s="220" t="n"/>
      <c r="F391" s="220" t="n"/>
      <c r="G391" s="169">
        <f>IFERROR((D391-F391)/C391*100,"")</f>
        <v/>
      </c>
      <c r="H391" s="219" t="n"/>
      <c r="I391" s="220" t="n"/>
      <c r="J391" s="221">
        <f>IF(COUNTA(A391:F391)=0,"",IF(OR(C391&lt;0,D391&lt;0,E391&lt;0,F391&lt;0),"ERRO: valor negativo",IF(C391&lt;&gt;SUM(D391:F391),"ERRO: categorias diferem dos respondentes",IF(COUNTIFS($A$5:$A$1200,A391,$B$5:$B$1200,B391)&gt;1,"ERRO: período e curso duplicados","OK"))))</f>
        <v/>
      </c>
    </row>
    <row r="392" ht="15" customHeight="1" s="131">
      <c r="A392" s="220" t="n"/>
      <c r="B392" s="222" t="n"/>
      <c r="C392" s="220" t="n"/>
      <c r="D392" s="220" t="n"/>
      <c r="E392" s="220" t="n"/>
      <c r="F392" s="220" t="n"/>
      <c r="G392" s="169">
        <f>IFERROR((D392-F392)/C392*100,"")</f>
        <v/>
      </c>
      <c r="H392" s="219" t="n"/>
      <c r="I392" s="220" t="n"/>
      <c r="J392" s="221">
        <f>IF(COUNTA(A392:F392)=0,"",IF(OR(C392&lt;0,D392&lt;0,E392&lt;0,F392&lt;0),"ERRO: valor negativo",IF(C392&lt;&gt;SUM(D392:F392),"ERRO: categorias diferem dos respondentes",IF(COUNTIFS($A$5:$A$1200,A392,$B$5:$B$1200,B392)&gt;1,"ERRO: período e curso duplicados","OK"))))</f>
        <v/>
      </c>
    </row>
    <row r="393" ht="15" customHeight="1" s="131">
      <c r="A393" s="220" t="n"/>
      <c r="B393" s="222" t="n"/>
      <c r="C393" s="220" t="n"/>
      <c r="D393" s="220" t="n"/>
      <c r="E393" s="220" t="n"/>
      <c r="F393" s="220" t="n"/>
      <c r="G393" s="169">
        <f>IFERROR((D393-F393)/C393*100,"")</f>
        <v/>
      </c>
      <c r="H393" s="219" t="n"/>
      <c r="I393" s="220" t="n"/>
      <c r="J393" s="221">
        <f>IF(COUNTA(A393:F393)=0,"",IF(OR(C393&lt;0,D393&lt;0,E393&lt;0,F393&lt;0),"ERRO: valor negativo",IF(C393&lt;&gt;SUM(D393:F393),"ERRO: categorias diferem dos respondentes",IF(COUNTIFS($A$5:$A$1200,A393,$B$5:$B$1200,B393)&gt;1,"ERRO: período e curso duplicados","OK"))))</f>
        <v/>
      </c>
    </row>
    <row r="394" ht="15" customHeight="1" s="131">
      <c r="A394" s="220" t="n"/>
      <c r="B394" s="222" t="n"/>
      <c r="C394" s="220" t="n"/>
      <c r="D394" s="220" t="n"/>
      <c r="E394" s="220" t="n"/>
      <c r="F394" s="220" t="n"/>
      <c r="G394" s="169">
        <f>IFERROR((D394-F394)/C394*100,"")</f>
        <v/>
      </c>
      <c r="H394" s="219" t="n"/>
      <c r="I394" s="220" t="n"/>
      <c r="J394" s="221">
        <f>IF(COUNTA(A394:F394)=0,"",IF(OR(C394&lt;0,D394&lt;0,E394&lt;0,F394&lt;0),"ERRO: valor negativo",IF(C394&lt;&gt;SUM(D394:F394),"ERRO: categorias diferem dos respondentes",IF(COUNTIFS($A$5:$A$1200,A394,$B$5:$B$1200,B394)&gt;1,"ERRO: período e curso duplicados","OK"))))</f>
        <v/>
      </c>
    </row>
    <row r="395" ht="15" customHeight="1" s="131">
      <c r="A395" s="220" t="n"/>
      <c r="B395" s="222" t="n"/>
      <c r="C395" s="220" t="n"/>
      <c r="D395" s="220" t="n"/>
      <c r="E395" s="220" t="n"/>
      <c r="F395" s="220" t="n"/>
      <c r="G395" s="169">
        <f>IFERROR((D395-F395)/C395*100,"")</f>
        <v/>
      </c>
      <c r="H395" s="219" t="n"/>
      <c r="I395" s="220" t="n"/>
      <c r="J395" s="221">
        <f>IF(COUNTA(A395:F395)=0,"",IF(OR(C395&lt;0,D395&lt;0,E395&lt;0,F395&lt;0),"ERRO: valor negativo",IF(C395&lt;&gt;SUM(D395:F395),"ERRO: categorias diferem dos respondentes",IF(COUNTIFS($A$5:$A$1200,A395,$B$5:$B$1200,B395)&gt;1,"ERRO: período e curso duplicados","OK"))))</f>
        <v/>
      </c>
    </row>
    <row r="396" ht="15" customHeight="1" s="131">
      <c r="A396" s="220" t="n"/>
      <c r="B396" s="222" t="n"/>
      <c r="C396" s="220" t="n"/>
      <c r="D396" s="220" t="n"/>
      <c r="E396" s="220" t="n"/>
      <c r="F396" s="220" t="n"/>
      <c r="G396" s="169">
        <f>IFERROR((D396-F396)/C396*100,"")</f>
        <v/>
      </c>
      <c r="H396" s="219" t="n"/>
      <c r="I396" s="220" t="n"/>
      <c r="J396" s="221">
        <f>IF(COUNTA(A396:F396)=0,"",IF(OR(C396&lt;0,D396&lt;0,E396&lt;0,F396&lt;0),"ERRO: valor negativo",IF(C396&lt;&gt;SUM(D396:F396),"ERRO: categorias diferem dos respondentes",IF(COUNTIFS($A$5:$A$1200,A396,$B$5:$B$1200,B396)&gt;1,"ERRO: período e curso duplicados","OK"))))</f>
        <v/>
      </c>
    </row>
    <row r="397" ht="15" customHeight="1" s="131">
      <c r="A397" s="220" t="n"/>
      <c r="B397" s="222" t="n"/>
      <c r="C397" s="220" t="n"/>
      <c r="D397" s="220" t="n"/>
      <c r="E397" s="220" t="n"/>
      <c r="F397" s="220" t="n"/>
      <c r="G397" s="169">
        <f>IFERROR((D397-F397)/C397*100,"")</f>
        <v/>
      </c>
      <c r="H397" s="219" t="n"/>
      <c r="I397" s="220" t="n"/>
      <c r="J397" s="221">
        <f>IF(COUNTA(A397:F397)=0,"",IF(OR(C397&lt;0,D397&lt;0,E397&lt;0,F397&lt;0),"ERRO: valor negativo",IF(C397&lt;&gt;SUM(D397:F397),"ERRO: categorias diferem dos respondentes",IF(COUNTIFS($A$5:$A$1200,A397,$B$5:$B$1200,B397)&gt;1,"ERRO: período e curso duplicados","OK"))))</f>
        <v/>
      </c>
    </row>
    <row r="398" ht="15" customHeight="1" s="131">
      <c r="A398" s="220" t="n"/>
      <c r="B398" s="222" t="n"/>
      <c r="C398" s="220" t="n"/>
      <c r="D398" s="220" t="n"/>
      <c r="E398" s="220" t="n"/>
      <c r="F398" s="220" t="n"/>
      <c r="G398" s="169">
        <f>IFERROR((D398-F398)/C398*100,"")</f>
        <v/>
      </c>
      <c r="H398" s="219" t="n"/>
      <c r="I398" s="220" t="n"/>
      <c r="J398" s="221">
        <f>IF(COUNTA(A398:F398)=0,"",IF(OR(C398&lt;0,D398&lt;0,E398&lt;0,F398&lt;0),"ERRO: valor negativo",IF(C398&lt;&gt;SUM(D398:F398),"ERRO: categorias diferem dos respondentes",IF(COUNTIFS($A$5:$A$1200,A398,$B$5:$B$1200,B398)&gt;1,"ERRO: período e curso duplicados","OK"))))</f>
        <v/>
      </c>
    </row>
    <row r="399" ht="15" customHeight="1" s="131">
      <c r="A399" s="220" t="n"/>
      <c r="B399" s="222" t="n"/>
      <c r="C399" s="220" t="n"/>
      <c r="D399" s="220" t="n"/>
      <c r="E399" s="220" t="n"/>
      <c r="F399" s="220" t="n"/>
      <c r="G399" s="169">
        <f>IFERROR((D399-F399)/C399*100,"")</f>
        <v/>
      </c>
      <c r="H399" s="219" t="n"/>
      <c r="I399" s="220" t="n"/>
      <c r="J399" s="221">
        <f>IF(COUNTA(A399:F399)=0,"",IF(OR(C399&lt;0,D399&lt;0,E399&lt;0,F399&lt;0),"ERRO: valor negativo",IF(C399&lt;&gt;SUM(D399:F399),"ERRO: categorias diferem dos respondentes",IF(COUNTIFS($A$5:$A$1200,A399,$B$5:$B$1200,B399)&gt;1,"ERRO: período e curso duplicados","OK"))))</f>
        <v/>
      </c>
    </row>
    <row r="400" ht="15" customHeight="1" s="131">
      <c r="A400" s="220" t="n"/>
      <c r="B400" s="222" t="n"/>
      <c r="C400" s="220" t="n"/>
      <c r="D400" s="220" t="n"/>
      <c r="E400" s="220" t="n"/>
      <c r="F400" s="220" t="n"/>
      <c r="G400" s="169">
        <f>IFERROR((D400-F400)/C400*100,"")</f>
        <v/>
      </c>
      <c r="H400" s="219" t="n"/>
      <c r="I400" s="220" t="n"/>
      <c r="J400" s="221">
        <f>IF(COUNTA(A400:F400)=0,"",IF(OR(C400&lt;0,D400&lt;0,E400&lt;0,F400&lt;0),"ERRO: valor negativo",IF(C400&lt;&gt;SUM(D400:F400),"ERRO: categorias diferem dos respondentes",IF(COUNTIFS($A$5:$A$1200,A400,$B$5:$B$1200,B400)&gt;1,"ERRO: período e curso duplicados","OK"))))</f>
        <v/>
      </c>
    </row>
    <row r="401" ht="15" customHeight="1" s="131">
      <c r="A401" s="220" t="n"/>
      <c r="B401" s="222" t="n"/>
      <c r="C401" s="220" t="n"/>
      <c r="D401" s="220" t="n"/>
      <c r="E401" s="220" t="n"/>
      <c r="F401" s="220" t="n"/>
      <c r="G401" s="169">
        <f>IFERROR((D401-F401)/C401*100,"")</f>
        <v/>
      </c>
      <c r="H401" s="219" t="n"/>
      <c r="I401" s="220" t="n"/>
      <c r="J401" s="221">
        <f>IF(COUNTA(A401:F401)=0,"",IF(OR(C401&lt;0,D401&lt;0,E401&lt;0,F401&lt;0),"ERRO: valor negativo",IF(C401&lt;&gt;SUM(D401:F401),"ERRO: categorias diferem dos respondentes",IF(COUNTIFS($A$5:$A$1200,A401,$B$5:$B$1200,B401)&gt;1,"ERRO: período e curso duplicados","OK"))))</f>
        <v/>
      </c>
    </row>
    <row r="402" ht="15" customHeight="1" s="131">
      <c r="A402" s="220" t="n"/>
      <c r="B402" s="222" t="n"/>
      <c r="C402" s="220" t="n"/>
      <c r="D402" s="220" t="n"/>
      <c r="E402" s="220" t="n"/>
      <c r="F402" s="220" t="n"/>
      <c r="G402" s="169">
        <f>IFERROR((D402-F402)/C402*100,"")</f>
        <v/>
      </c>
      <c r="H402" s="219" t="n"/>
      <c r="I402" s="220" t="n"/>
      <c r="J402" s="221">
        <f>IF(COUNTA(A402:F402)=0,"",IF(OR(C402&lt;0,D402&lt;0,E402&lt;0,F402&lt;0),"ERRO: valor negativo",IF(C402&lt;&gt;SUM(D402:F402),"ERRO: categorias diferem dos respondentes",IF(COUNTIFS($A$5:$A$1200,A402,$B$5:$B$1200,B402)&gt;1,"ERRO: período e curso duplicados","OK"))))</f>
        <v/>
      </c>
    </row>
    <row r="403" ht="15" customHeight="1" s="131">
      <c r="A403" s="220" t="n"/>
      <c r="B403" s="222" t="n"/>
      <c r="C403" s="220" t="n"/>
      <c r="D403" s="220" t="n"/>
      <c r="E403" s="220" t="n"/>
      <c r="F403" s="220" t="n"/>
      <c r="G403" s="169">
        <f>IFERROR((D403-F403)/C403*100,"")</f>
        <v/>
      </c>
      <c r="H403" s="219" t="n"/>
      <c r="I403" s="220" t="n"/>
      <c r="J403" s="221">
        <f>IF(COUNTA(A403:F403)=0,"",IF(OR(C403&lt;0,D403&lt;0,E403&lt;0,F403&lt;0),"ERRO: valor negativo",IF(C403&lt;&gt;SUM(D403:F403),"ERRO: categorias diferem dos respondentes",IF(COUNTIFS($A$5:$A$1200,A403,$B$5:$B$1200,B403)&gt;1,"ERRO: período e curso duplicados","OK"))))</f>
        <v/>
      </c>
    </row>
    <row r="404" ht="15" customHeight="1" s="131">
      <c r="A404" s="220" t="n"/>
      <c r="B404" s="222" t="n"/>
      <c r="C404" s="220" t="n"/>
      <c r="D404" s="220" t="n"/>
      <c r="E404" s="220" t="n"/>
      <c r="F404" s="220" t="n"/>
      <c r="G404" s="169">
        <f>IFERROR((D404-F404)/C404*100,"")</f>
        <v/>
      </c>
      <c r="H404" s="219" t="n"/>
      <c r="I404" s="220" t="n"/>
      <c r="J404" s="221">
        <f>IF(COUNTA(A404:F404)=0,"",IF(OR(C404&lt;0,D404&lt;0,E404&lt;0,F404&lt;0),"ERRO: valor negativo",IF(C404&lt;&gt;SUM(D404:F404),"ERRO: categorias diferem dos respondentes",IF(COUNTIFS($A$5:$A$1200,A404,$B$5:$B$1200,B404)&gt;1,"ERRO: período e curso duplicados","OK"))))</f>
        <v/>
      </c>
    </row>
    <row r="405" ht="15" customHeight="1" s="131">
      <c r="A405" s="220" t="n"/>
      <c r="B405" s="222" t="n"/>
      <c r="C405" s="220" t="n"/>
      <c r="D405" s="220" t="n"/>
      <c r="E405" s="220" t="n"/>
      <c r="F405" s="220" t="n"/>
      <c r="G405" s="169">
        <f>IFERROR((D405-F405)/C405*100,"")</f>
        <v/>
      </c>
      <c r="H405" s="219" t="n"/>
      <c r="I405" s="220" t="n"/>
      <c r="J405" s="221">
        <f>IF(COUNTA(A405:F405)=0,"",IF(OR(C405&lt;0,D405&lt;0,E405&lt;0,F405&lt;0),"ERRO: valor negativo",IF(C405&lt;&gt;SUM(D405:F405),"ERRO: categorias diferem dos respondentes",IF(COUNTIFS($A$5:$A$1200,A405,$B$5:$B$1200,B405)&gt;1,"ERRO: período e curso duplicados","OK"))))</f>
        <v/>
      </c>
    </row>
    <row r="406" ht="15" customHeight="1" s="131">
      <c r="A406" s="220" t="n"/>
      <c r="B406" s="222" t="n"/>
      <c r="C406" s="220" t="n"/>
      <c r="D406" s="220" t="n"/>
      <c r="E406" s="220" t="n"/>
      <c r="F406" s="220" t="n"/>
      <c r="G406" s="169">
        <f>IFERROR((D406-F406)/C406*100,"")</f>
        <v/>
      </c>
      <c r="H406" s="219" t="n"/>
      <c r="I406" s="220" t="n"/>
      <c r="J406" s="221">
        <f>IF(COUNTA(A406:F406)=0,"",IF(OR(C406&lt;0,D406&lt;0,E406&lt;0,F406&lt;0),"ERRO: valor negativo",IF(C406&lt;&gt;SUM(D406:F406),"ERRO: categorias diferem dos respondentes",IF(COUNTIFS($A$5:$A$1200,A406,$B$5:$B$1200,B406)&gt;1,"ERRO: período e curso duplicados","OK"))))</f>
        <v/>
      </c>
    </row>
    <row r="407" ht="15" customHeight="1" s="131">
      <c r="A407" s="220" t="n"/>
      <c r="B407" s="222" t="n"/>
      <c r="C407" s="220" t="n"/>
      <c r="D407" s="220" t="n"/>
      <c r="E407" s="220" t="n"/>
      <c r="F407" s="220" t="n"/>
      <c r="G407" s="169">
        <f>IFERROR((D407-F407)/C407*100,"")</f>
        <v/>
      </c>
      <c r="H407" s="219" t="n"/>
      <c r="I407" s="220" t="n"/>
      <c r="J407" s="221">
        <f>IF(COUNTA(A407:F407)=0,"",IF(OR(C407&lt;0,D407&lt;0,E407&lt;0,F407&lt;0),"ERRO: valor negativo",IF(C407&lt;&gt;SUM(D407:F407),"ERRO: categorias diferem dos respondentes",IF(COUNTIFS($A$5:$A$1200,A407,$B$5:$B$1200,B407)&gt;1,"ERRO: período e curso duplicados","OK"))))</f>
        <v/>
      </c>
    </row>
    <row r="408" ht="15" customHeight="1" s="131">
      <c r="A408" s="220" t="n"/>
      <c r="B408" s="222" t="n"/>
      <c r="C408" s="220" t="n"/>
      <c r="D408" s="220" t="n"/>
      <c r="E408" s="220" t="n"/>
      <c r="F408" s="220" t="n"/>
      <c r="G408" s="169">
        <f>IFERROR((D408-F408)/C408*100,"")</f>
        <v/>
      </c>
      <c r="H408" s="219" t="n"/>
      <c r="I408" s="220" t="n"/>
      <c r="J408" s="221">
        <f>IF(COUNTA(A408:F408)=0,"",IF(OR(C408&lt;0,D408&lt;0,E408&lt;0,F408&lt;0),"ERRO: valor negativo",IF(C408&lt;&gt;SUM(D408:F408),"ERRO: categorias diferem dos respondentes",IF(COUNTIFS($A$5:$A$1200,A408,$B$5:$B$1200,B408)&gt;1,"ERRO: período e curso duplicados","OK"))))</f>
        <v/>
      </c>
    </row>
    <row r="409" ht="15" customHeight="1" s="131">
      <c r="A409" s="220" t="n"/>
      <c r="B409" s="222" t="n"/>
      <c r="C409" s="220" t="n"/>
      <c r="D409" s="220" t="n"/>
      <c r="E409" s="220" t="n"/>
      <c r="F409" s="220" t="n"/>
      <c r="G409" s="169">
        <f>IFERROR((D409-F409)/C409*100,"")</f>
        <v/>
      </c>
      <c r="H409" s="219" t="n"/>
      <c r="I409" s="220" t="n"/>
      <c r="J409" s="221">
        <f>IF(COUNTA(A409:F409)=0,"",IF(OR(C409&lt;0,D409&lt;0,E409&lt;0,F409&lt;0),"ERRO: valor negativo",IF(C409&lt;&gt;SUM(D409:F409),"ERRO: categorias diferem dos respondentes",IF(COUNTIFS($A$5:$A$1200,A409,$B$5:$B$1200,B409)&gt;1,"ERRO: período e curso duplicados","OK"))))</f>
        <v/>
      </c>
    </row>
    <row r="410" ht="15" customHeight="1" s="131">
      <c r="A410" s="220" t="n"/>
      <c r="B410" s="222" t="n"/>
      <c r="C410" s="220" t="n"/>
      <c r="D410" s="220" t="n"/>
      <c r="E410" s="220" t="n"/>
      <c r="F410" s="220" t="n"/>
      <c r="G410" s="169">
        <f>IFERROR((D410-F410)/C410*100,"")</f>
        <v/>
      </c>
      <c r="H410" s="219" t="n"/>
      <c r="I410" s="220" t="n"/>
      <c r="J410" s="221">
        <f>IF(COUNTA(A410:F410)=0,"",IF(OR(C410&lt;0,D410&lt;0,E410&lt;0,F410&lt;0),"ERRO: valor negativo",IF(C410&lt;&gt;SUM(D410:F410),"ERRO: categorias diferem dos respondentes",IF(COUNTIFS($A$5:$A$1200,A410,$B$5:$B$1200,B410)&gt;1,"ERRO: período e curso duplicados","OK"))))</f>
        <v/>
      </c>
    </row>
    <row r="411" ht="15" customHeight="1" s="131">
      <c r="A411" s="220" t="n"/>
      <c r="B411" s="222" t="n"/>
      <c r="C411" s="220" t="n"/>
      <c r="D411" s="220" t="n"/>
      <c r="E411" s="220" t="n"/>
      <c r="F411" s="220" t="n"/>
      <c r="G411" s="169">
        <f>IFERROR((D411-F411)/C411*100,"")</f>
        <v/>
      </c>
      <c r="H411" s="219" t="n"/>
      <c r="I411" s="220" t="n"/>
      <c r="J411" s="221">
        <f>IF(COUNTA(A411:F411)=0,"",IF(OR(C411&lt;0,D411&lt;0,E411&lt;0,F411&lt;0),"ERRO: valor negativo",IF(C411&lt;&gt;SUM(D411:F411),"ERRO: categorias diferem dos respondentes",IF(COUNTIFS($A$5:$A$1200,A411,$B$5:$B$1200,B411)&gt;1,"ERRO: período e curso duplicados","OK"))))</f>
        <v/>
      </c>
    </row>
    <row r="412" ht="15" customHeight="1" s="131">
      <c r="A412" s="220" t="n"/>
      <c r="B412" s="222" t="n"/>
      <c r="C412" s="220" t="n"/>
      <c r="D412" s="220" t="n"/>
      <c r="E412" s="220" t="n"/>
      <c r="F412" s="220" t="n"/>
      <c r="G412" s="169">
        <f>IFERROR((D412-F412)/C412*100,"")</f>
        <v/>
      </c>
      <c r="H412" s="219" t="n"/>
      <c r="I412" s="220" t="n"/>
      <c r="J412" s="221">
        <f>IF(COUNTA(A412:F412)=0,"",IF(OR(C412&lt;0,D412&lt;0,E412&lt;0,F412&lt;0),"ERRO: valor negativo",IF(C412&lt;&gt;SUM(D412:F412),"ERRO: categorias diferem dos respondentes",IF(COUNTIFS($A$5:$A$1200,A412,$B$5:$B$1200,B412)&gt;1,"ERRO: período e curso duplicados","OK"))))</f>
        <v/>
      </c>
    </row>
    <row r="413" ht="15" customHeight="1" s="131">
      <c r="A413" s="220" t="n"/>
      <c r="B413" s="222" t="n"/>
      <c r="C413" s="220" t="n"/>
      <c r="D413" s="220" t="n"/>
      <c r="E413" s="220" t="n"/>
      <c r="F413" s="220" t="n"/>
      <c r="G413" s="169">
        <f>IFERROR((D413-F413)/C413*100,"")</f>
        <v/>
      </c>
      <c r="H413" s="219" t="n"/>
      <c r="I413" s="220" t="n"/>
      <c r="J413" s="221">
        <f>IF(COUNTA(A413:F413)=0,"",IF(OR(C413&lt;0,D413&lt;0,E413&lt;0,F413&lt;0),"ERRO: valor negativo",IF(C413&lt;&gt;SUM(D413:F413),"ERRO: categorias diferem dos respondentes",IF(COUNTIFS($A$5:$A$1200,A413,$B$5:$B$1200,B413)&gt;1,"ERRO: período e curso duplicados","OK"))))</f>
        <v/>
      </c>
    </row>
    <row r="414" ht="15" customHeight="1" s="131">
      <c r="A414" s="220" t="n"/>
      <c r="B414" s="222" t="n"/>
      <c r="C414" s="220" t="n"/>
      <c r="D414" s="220" t="n"/>
      <c r="E414" s="220" t="n"/>
      <c r="F414" s="220" t="n"/>
      <c r="G414" s="169">
        <f>IFERROR((D414-F414)/C414*100,"")</f>
        <v/>
      </c>
      <c r="H414" s="219" t="n"/>
      <c r="I414" s="220" t="n"/>
      <c r="J414" s="221">
        <f>IF(COUNTA(A414:F414)=0,"",IF(OR(C414&lt;0,D414&lt;0,E414&lt;0,F414&lt;0),"ERRO: valor negativo",IF(C414&lt;&gt;SUM(D414:F414),"ERRO: categorias diferem dos respondentes",IF(COUNTIFS($A$5:$A$1200,A414,$B$5:$B$1200,B414)&gt;1,"ERRO: período e curso duplicados","OK"))))</f>
        <v/>
      </c>
    </row>
    <row r="415" ht="15" customHeight="1" s="131">
      <c r="A415" s="220" t="n"/>
      <c r="B415" s="222" t="n"/>
      <c r="C415" s="220" t="n"/>
      <c r="D415" s="220" t="n"/>
      <c r="E415" s="220" t="n"/>
      <c r="F415" s="220" t="n"/>
      <c r="G415" s="169">
        <f>IFERROR((D415-F415)/C415*100,"")</f>
        <v/>
      </c>
      <c r="H415" s="219" t="n"/>
      <c r="I415" s="220" t="n"/>
      <c r="J415" s="221">
        <f>IF(COUNTA(A415:F415)=0,"",IF(OR(C415&lt;0,D415&lt;0,E415&lt;0,F415&lt;0),"ERRO: valor negativo",IF(C415&lt;&gt;SUM(D415:F415),"ERRO: categorias diferem dos respondentes",IF(COUNTIFS($A$5:$A$1200,A415,$B$5:$B$1200,B415)&gt;1,"ERRO: período e curso duplicados","OK"))))</f>
        <v/>
      </c>
    </row>
    <row r="416" ht="15" customHeight="1" s="131">
      <c r="A416" s="220" t="n"/>
      <c r="B416" s="222" t="n"/>
      <c r="C416" s="220" t="n"/>
      <c r="D416" s="220" t="n"/>
      <c r="E416" s="220" t="n"/>
      <c r="F416" s="220" t="n"/>
      <c r="G416" s="169">
        <f>IFERROR((D416-F416)/C416*100,"")</f>
        <v/>
      </c>
      <c r="H416" s="219" t="n"/>
      <c r="I416" s="220" t="n"/>
      <c r="J416" s="221">
        <f>IF(COUNTA(A416:F416)=0,"",IF(OR(C416&lt;0,D416&lt;0,E416&lt;0,F416&lt;0),"ERRO: valor negativo",IF(C416&lt;&gt;SUM(D416:F416),"ERRO: categorias diferem dos respondentes",IF(COUNTIFS($A$5:$A$1200,A416,$B$5:$B$1200,B416)&gt;1,"ERRO: período e curso duplicados","OK"))))</f>
        <v/>
      </c>
    </row>
    <row r="417" ht="15" customHeight="1" s="131">
      <c r="A417" s="220" t="n"/>
      <c r="B417" s="222" t="n"/>
      <c r="C417" s="220" t="n"/>
      <c r="D417" s="220" t="n"/>
      <c r="E417" s="220" t="n"/>
      <c r="F417" s="220" t="n"/>
      <c r="G417" s="169">
        <f>IFERROR((D417-F417)/C417*100,"")</f>
        <v/>
      </c>
      <c r="H417" s="219" t="n"/>
      <c r="I417" s="220" t="n"/>
      <c r="J417" s="221">
        <f>IF(COUNTA(A417:F417)=0,"",IF(OR(C417&lt;0,D417&lt;0,E417&lt;0,F417&lt;0),"ERRO: valor negativo",IF(C417&lt;&gt;SUM(D417:F417),"ERRO: categorias diferem dos respondentes",IF(COUNTIFS($A$5:$A$1200,A417,$B$5:$B$1200,B417)&gt;1,"ERRO: período e curso duplicados","OK"))))</f>
        <v/>
      </c>
    </row>
    <row r="418" ht="15" customHeight="1" s="131">
      <c r="A418" s="220" t="n"/>
      <c r="B418" s="222" t="n"/>
      <c r="C418" s="220" t="n"/>
      <c r="D418" s="220" t="n"/>
      <c r="E418" s="220" t="n"/>
      <c r="F418" s="220" t="n"/>
      <c r="G418" s="169">
        <f>IFERROR((D418-F418)/C418*100,"")</f>
        <v/>
      </c>
      <c r="H418" s="219" t="n"/>
      <c r="I418" s="220" t="n"/>
      <c r="J418" s="221">
        <f>IF(COUNTA(A418:F418)=0,"",IF(OR(C418&lt;0,D418&lt;0,E418&lt;0,F418&lt;0),"ERRO: valor negativo",IF(C418&lt;&gt;SUM(D418:F418),"ERRO: categorias diferem dos respondentes",IF(COUNTIFS($A$5:$A$1200,A418,$B$5:$B$1200,B418)&gt;1,"ERRO: período e curso duplicados","OK"))))</f>
        <v/>
      </c>
    </row>
    <row r="419" ht="15" customHeight="1" s="131">
      <c r="A419" s="220" t="n"/>
      <c r="B419" s="222" t="n"/>
      <c r="C419" s="220" t="n"/>
      <c r="D419" s="220" t="n"/>
      <c r="E419" s="220" t="n"/>
      <c r="F419" s="220" t="n"/>
      <c r="G419" s="169">
        <f>IFERROR((D419-F419)/C419*100,"")</f>
        <v/>
      </c>
      <c r="H419" s="219" t="n"/>
      <c r="I419" s="220" t="n"/>
      <c r="J419" s="221">
        <f>IF(COUNTA(A419:F419)=0,"",IF(OR(C419&lt;0,D419&lt;0,E419&lt;0,F419&lt;0),"ERRO: valor negativo",IF(C419&lt;&gt;SUM(D419:F419),"ERRO: categorias diferem dos respondentes",IF(COUNTIFS($A$5:$A$1200,A419,$B$5:$B$1200,B419)&gt;1,"ERRO: período e curso duplicados","OK"))))</f>
        <v/>
      </c>
    </row>
    <row r="420" ht="15" customHeight="1" s="131">
      <c r="A420" s="220" t="n"/>
      <c r="B420" s="222" t="n"/>
      <c r="C420" s="220" t="n"/>
      <c r="D420" s="220" t="n"/>
      <c r="E420" s="220" t="n"/>
      <c r="F420" s="220" t="n"/>
      <c r="G420" s="169">
        <f>IFERROR((D420-F420)/C420*100,"")</f>
        <v/>
      </c>
      <c r="H420" s="219" t="n"/>
      <c r="I420" s="220" t="n"/>
      <c r="J420" s="221">
        <f>IF(COUNTA(A420:F420)=0,"",IF(OR(C420&lt;0,D420&lt;0,E420&lt;0,F420&lt;0),"ERRO: valor negativo",IF(C420&lt;&gt;SUM(D420:F420),"ERRO: categorias diferem dos respondentes",IF(COUNTIFS($A$5:$A$1200,A420,$B$5:$B$1200,B420)&gt;1,"ERRO: período e curso duplicados","OK"))))</f>
        <v/>
      </c>
    </row>
    <row r="421" ht="15" customHeight="1" s="131">
      <c r="A421" s="220" t="n"/>
      <c r="B421" s="222" t="n"/>
      <c r="C421" s="220" t="n"/>
      <c r="D421" s="220" t="n"/>
      <c r="E421" s="220" t="n"/>
      <c r="F421" s="220" t="n"/>
      <c r="G421" s="169">
        <f>IFERROR((D421-F421)/C421*100,"")</f>
        <v/>
      </c>
      <c r="H421" s="219" t="n"/>
      <c r="I421" s="220" t="n"/>
      <c r="J421" s="221">
        <f>IF(COUNTA(A421:F421)=0,"",IF(OR(C421&lt;0,D421&lt;0,E421&lt;0,F421&lt;0),"ERRO: valor negativo",IF(C421&lt;&gt;SUM(D421:F421),"ERRO: categorias diferem dos respondentes",IF(COUNTIFS($A$5:$A$1200,A421,$B$5:$B$1200,B421)&gt;1,"ERRO: período e curso duplicados","OK"))))</f>
        <v/>
      </c>
    </row>
    <row r="422" ht="15" customHeight="1" s="131">
      <c r="A422" s="220" t="n"/>
      <c r="B422" s="222" t="n"/>
      <c r="C422" s="220" t="n"/>
      <c r="D422" s="220" t="n"/>
      <c r="E422" s="220" t="n"/>
      <c r="F422" s="220" t="n"/>
      <c r="G422" s="169">
        <f>IFERROR((D422-F422)/C422*100,"")</f>
        <v/>
      </c>
      <c r="H422" s="219" t="n"/>
      <c r="I422" s="220" t="n"/>
      <c r="J422" s="221">
        <f>IF(COUNTA(A422:F422)=0,"",IF(OR(C422&lt;0,D422&lt;0,E422&lt;0,F422&lt;0),"ERRO: valor negativo",IF(C422&lt;&gt;SUM(D422:F422),"ERRO: categorias diferem dos respondentes",IF(COUNTIFS($A$5:$A$1200,A422,$B$5:$B$1200,B422)&gt;1,"ERRO: período e curso duplicados","OK"))))</f>
        <v/>
      </c>
    </row>
    <row r="423" ht="15" customHeight="1" s="131">
      <c r="A423" s="220" t="n"/>
      <c r="B423" s="222" t="n"/>
      <c r="C423" s="220" t="n"/>
      <c r="D423" s="220" t="n"/>
      <c r="E423" s="220" t="n"/>
      <c r="F423" s="220" t="n"/>
      <c r="G423" s="169">
        <f>IFERROR((D423-F423)/C423*100,"")</f>
        <v/>
      </c>
      <c r="H423" s="219" t="n"/>
      <c r="I423" s="220" t="n"/>
      <c r="J423" s="221">
        <f>IF(COUNTA(A423:F423)=0,"",IF(OR(C423&lt;0,D423&lt;0,E423&lt;0,F423&lt;0),"ERRO: valor negativo",IF(C423&lt;&gt;SUM(D423:F423),"ERRO: categorias diferem dos respondentes",IF(COUNTIFS($A$5:$A$1200,A423,$B$5:$B$1200,B423)&gt;1,"ERRO: período e curso duplicados","OK"))))</f>
        <v/>
      </c>
    </row>
    <row r="424" ht="15" customHeight="1" s="131">
      <c r="A424" s="220" t="n"/>
      <c r="B424" s="222" t="n"/>
      <c r="C424" s="220" t="n"/>
      <c r="D424" s="220" t="n"/>
      <c r="E424" s="220" t="n"/>
      <c r="F424" s="220" t="n"/>
      <c r="G424" s="169">
        <f>IFERROR((D424-F424)/C424*100,"")</f>
        <v/>
      </c>
      <c r="H424" s="219" t="n"/>
      <c r="I424" s="220" t="n"/>
      <c r="J424" s="221">
        <f>IF(COUNTA(A424:F424)=0,"",IF(OR(C424&lt;0,D424&lt;0,E424&lt;0,F424&lt;0),"ERRO: valor negativo",IF(C424&lt;&gt;SUM(D424:F424),"ERRO: categorias diferem dos respondentes",IF(COUNTIFS($A$5:$A$1200,A424,$B$5:$B$1200,B424)&gt;1,"ERRO: período e curso duplicados","OK"))))</f>
        <v/>
      </c>
    </row>
    <row r="425" ht="15" customHeight="1" s="131">
      <c r="A425" s="220" t="n"/>
      <c r="B425" s="222" t="n"/>
      <c r="C425" s="220" t="n"/>
      <c r="D425" s="220" t="n"/>
      <c r="E425" s="220" t="n"/>
      <c r="F425" s="220" t="n"/>
      <c r="G425" s="169">
        <f>IFERROR((D425-F425)/C425*100,"")</f>
        <v/>
      </c>
      <c r="H425" s="219" t="n"/>
      <c r="I425" s="220" t="n"/>
      <c r="J425" s="221">
        <f>IF(COUNTA(A425:F425)=0,"",IF(OR(C425&lt;0,D425&lt;0,E425&lt;0,F425&lt;0),"ERRO: valor negativo",IF(C425&lt;&gt;SUM(D425:F425),"ERRO: categorias diferem dos respondentes",IF(COUNTIFS($A$5:$A$1200,A425,$B$5:$B$1200,B425)&gt;1,"ERRO: período e curso duplicados","OK"))))</f>
        <v/>
      </c>
    </row>
    <row r="426" ht="15" customHeight="1" s="131">
      <c r="A426" s="220" t="n"/>
      <c r="B426" s="222" t="n"/>
      <c r="C426" s="220" t="n"/>
      <c r="D426" s="220" t="n"/>
      <c r="E426" s="220" t="n"/>
      <c r="F426" s="220" t="n"/>
      <c r="G426" s="169">
        <f>IFERROR((D426-F426)/C426*100,"")</f>
        <v/>
      </c>
      <c r="H426" s="219" t="n"/>
      <c r="I426" s="220" t="n"/>
      <c r="J426" s="221">
        <f>IF(COUNTA(A426:F426)=0,"",IF(OR(C426&lt;0,D426&lt;0,E426&lt;0,F426&lt;0),"ERRO: valor negativo",IF(C426&lt;&gt;SUM(D426:F426),"ERRO: categorias diferem dos respondentes",IF(COUNTIFS($A$5:$A$1200,A426,$B$5:$B$1200,B426)&gt;1,"ERRO: período e curso duplicados","OK"))))</f>
        <v/>
      </c>
    </row>
    <row r="427" ht="15" customHeight="1" s="131">
      <c r="A427" s="220" t="n"/>
      <c r="B427" s="222" t="n"/>
      <c r="C427" s="220" t="n"/>
      <c r="D427" s="220" t="n"/>
      <c r="E427" s="220" t="n"/>
      <c r="F427" s="220" t="n"/>
      <c r="G427" s="169">
        <f>IFERROR((D427-F427)/C427*100,"")</f>
        <v/>
      </c>
      <c r="H427" s="219" t="n"/>
      <c r="I427" s="220" t="n"/>
      <c r="J427" s="221">
        <f>IF(COUNTA(A427:F427)=0,"",IF(OR(C427&lt;0,D427&lt;0,E427&lt;0,F427&lt;0),"ERRO: valor negativo",IF(C427&lt;&gt;SUM(D427:F427),"ERRO: categorias diferem dos respondentes",IF(COUNTIFS($A$5:$A$1200,A427,$B$5:$B$1200,B427)&gt;1,"ERRO: período e curso duplicados","OK"))))</f>
        <v/>
      </c>
    </row>
    <row r="428" ht="15" customHeight="1" s="131">
      <c r="A428" s="220" t="n"/>
      <c r="B428" s="222" t="n"/>
      <c r="C428" s="220" t="n"/>
      <c r="D428" s="220" t="n"/>
      <c r="E428" s="220" t="n"/>
      <c r="F428" s="220" t="n"/>
      <c r="G428" s="169">
        <f>IFERROR((D428-F428)/C428*100,"")</f>
        <v/>
      </c>
      <c r="H428" s="219" t="n"/>
      <c r="I428" s="220" t="n"/>
      <c r="J428" s="221">
        <f>IF(COUNTA(A428:F428)=0,"",IF(OR(C428&lt;0,D428&lt;0,E428&lt;0,F428&lt;0),"ERRO: valor negativo",IF(C428&lt;&gt;SUM(D428:F428),"ERRO: categorias diferem dos respondentes",IF(COUNTIFS($A$5:$A$1200,A428,$B$5:$B$1200,B428)&gt;1,"ERRO: período e curso duplicados","OK"))))</f>
        <v/>
      </c>
    </row>
    <row r="429" ht="15" customHeight="1" s="131">
      <c r="A429" s="220" t="n"/>
      <c r="B429" s="222" t="n"/>
      <c r="C429" s="220" t="n"/>
      <c r="D429" s="220" t="n"/>
      <c r="E429" s="220" t="n"/>
      <c r="F429" s="220" t="n"/>
      <c r="G429" s="169">
        <f>IFERROR((D429-F429)/C429*100,"")</f>
        <v/>
      </c>
      <c r="H429" s="219" t="n"/>
      <c r="I429" s="220" t="n"/>
      <c r="J429" s="221">
        <f>IF(COUNTA(A429:F429)=0,"",IF(OR(C429&lt;0,D429&lt;0,E429&lt;0,F429&lt;0),"ERRO: valor negativo",IF(C429&lt;&gt;SUM(D429:F429),"ERRO: categorias diferem dos respondentes",IF(COUNTIFS($A$5:$A$1200,A429,$B$5:$B$1200,B429)&gt;1,"ERRO: período e curso duplicados","OK"))))</f>
        <v/>
      </c>
    </row>
    <row r="430" ht="15" customHeight="1" s="131">
      <c r="A430" s="220" t="n"/>
      <c r="B430" s="222" t="n"/>
      <c r="C430" s="220" t="n"/>
      <c r="D430" s="220" t="n"/>
      <c r="E430" s="220" t="n"/>
      <c r="F430" s="220" t="n"/>
      <c r="G430" s="169">
        <f>IFERROR((D430-F430)/C430*100,"")</f>
        <v/>
      </c>
      <c r="H430" s="219" t="n"/>
      <c r="I430" s="220" t="n"/>
      <c r="J430" s="221">
        <f>IF(COUNTA(A430:F430)=0,"",IF(OR(C430&lt;0,D430&lt;0,E430&lt;0,F430&lt;0),"ERRO: valor negativo",IF(C430&lt;&gt;SUM(D430:F430),"ERRO: categorias diferem dos respondentes",IF(COUNTIFS($A$5:$A$1200,A430,$B$5:$B$1200,B430)&gt;1,"ERRO: período e curso duplicados","OK"))))</f>
        <v/>
      </c>
    </row>
    <row r="431" ht="15" customHeight="1" s="131">
      <c r="A431" s="220" t="n"/>
      <c r="B431" s="222" t="n"/>
      <c r="C431" s="220" t="n"/>
      <c r="D431" s="220" t="n"/>
      <c r="E431" s="220" t="n"/>
      <c r="F431" s="220" t="n"/>
      <c r="G431" s="169">
        <f>IFERROR((D431-F431)/C431*100,"")</f>
        <v/>
      </c>
      <c r="H431" s="219" t="n"/>
      <c r="I431" s="220" t="n"/>
      <c r="J431" s="221">
        <f>IF(COUNTA(A431:F431)=0,"",IF(OR(C431&lt;0,D431&lt;0,E431&lt;0,F431&lt;0),"ERRO: valor negativo",IF(C431&lt;&gt;SUM(D431:F431),"ERRO: categorias diferem dos respondentes",IF(COUNTIFS($A$5:$A$1200,A431,$B$5:$B$1200,B431)&gt;1,"ERRO: período e curso duplicados","OK"))))</f>
        <v/>
      </c>
    </row>
    <row r="432" ht="15" customHeight="1" s="131">
      <c r="A432" s="220" t="n"/>
      <c r="B432" s="222" t="n"/>
      <c r="C432" s="220" t="n"/>
      <c r="D432" s="220" t="n"/>
      <c r="E432" s="220" t="n"/>
      <c r="F432" s="220" t="n"/>
      <c r="G432" s="169">
        <f>IFERROR((D432-F432)/C432*100,"")</f>
        <v/>
      </c>
      <c r="H432" s="219" t="n"/>
      <c r="I432" s="220" t="n"/>
      <c r="J432" s="221">
        <f>IF(COUNTA(A432:F432)=0,"",IF(OR(C432&lt;0,D432&lt;0,E432&lt;0,F432&lt;0),"ERRO: valor negativo",IF(C432&lt;&gt;SUM(D432:F432),"ERRO: categorias diferem dos respondentes",IF(COUNTIFS($A$5:$A$1200,A432,$B$5:$B$1200,B432)&gt;1,"ERRO: período e curso duplicados","OK"))))</f>
        <v/>
      </c>
    </row>
    <row r="433" ht="15" customHeight="1" s="131">
      <c r="A433" s="220" t="n"/>
      <c r="B433" s="222" t="n"/>
      <c r="C433" s="220" t="n"/>
      <c r="D433" s="220" t="n"/>
      <c r="E433" s="220" t="n"/>
      <c r="F433" s="220" t="n"/>
      <c r="G433" s="169">
        <f>IFERROR((D433-F433)/C433*100,"")</f>
        <v/>
      </c>
      <c r="H433" s="219" t="n"/>
      <c r="I433" s="220" t="n"/>
      <c r="J433" s="221">
        <f>IF(COUNTA(A433:F433)=0,"",IF(OR(C433&lt;0,D433&lt;0,E433&lt;0,F433&lt;0),"ERRO: valor negativo",IF(C433&lt;&gt;SUM(D433:F433),"ERRO: categorias diferem dos respondentes",IF(COUNTIFS($A$5:$A$1200,A433,$B$5:$B$1200,B433)&gt;1,"ERRO: período e curso duplicados","OK"))))</f>
        <v/>
      </c>
    </row>
    <row r="434" ht="15" customHeight="1" s="131">
      <c r="A434" s="220" t="n"/>
      <c r="B434" s="222" t="n"/>
      <c r="C434" s="220" t="n"/>
      <c r="D434" s="220" t="n"/>
      <c r="E434" s="220" t="n"/>
      <c r="F434" s="220" t="n"/>
      <c r="G434" s="169">
        <f>IFERROR((D434-F434)/C434*100,"")</f>
        <v/>
      </c>
      <c r="H434" s="219" t="n"/>
      <c r="I434" s="220" t="n"/>
      <c r="J434" s="221">
        <f>IF(COUNTA(A434:F434)=0,"",IF(OR(C434&lt;0,D434&lt;0,E434&lt;0,F434&lt;0),"ERRO: valor negativo",IF(C434&lt;&gt;SUM(D434:F434),"ERRO: categorias diferem dos respondentes",IF(COUNTIFS($A$5:$A$1200,A434,$B$5:$B$1200,B434)&gt;1,"ERRO: período e curso duplicados","OK"))))</f>
        <v/>
      </c>
    </row>
    <row r="435" ht="15" customHeight="1" s="131">
      <c r="A435" s="220" t="n"/>
      <c r="B435" s="222" t="n"/>
      <c r="C435" s="220" t="n"/>
      <c r="D435" s="220" t="n"/>
      <c r="E435" s="220" t="n"/>
      <c r="F435" s="220" t="n"/>
      <c r="G435" s="169">
        <f>IFERROR((D435-F435)/C435*100,"")</f>
        <v/>
      </c>
      <c r="H435" s="219" t="n"/>
      <c r="I435" s="220" t="n"/>
      <c r="J435" s="221">
        <f>IF(COUNTA(A435:F435)=0,"",IF(OR(C435&lt;0,D435&lt;0,E435&lt;0,F435&lt;0),"ERRO: valor negativo",IF(C435&lt;&gt;SUM(D435:F435),"ERRO: categorias diferem dos respondentes",IF(COUNTIFS($A$5:$A$1200,A435,$B$5:$B$1200,B435)&gt;1,"ERRO: período e curso duplicados","OK"))))</f>
        <v/>
      </c>
    </row>
    <row r="436" ht="15" customHeight="1" s="131">
      <c r="A436" s="220" t="n"/>
      <c r="B436" s="222" t="n"/>
      <c r="C436" s="220" t="n"/>
      <c r="D436" s="220" t="n"/>
      <c r="E436" s="220" t="n"/>
      <c r="F436" s="220" t="n"/>
      <c r="G436" s="169">
        <f>IFERROR((D436-F436)/C436*100,"")</f>
        <v/>
      </c>
      <c r="H436" s="219" t="n"/>
      <c r="I436" s="220" t="n"/>
      <c r="J436" s="221">
        <f>IF(COUNTA(A436:F436)=0,"",IF(OR(C436&lt;0,D436&lt;0,E436&lt;0,F436&lt;0),"ERRO: valor negativo",IF(C436&lt;&gt;SUM(D436:F436),"ERRO: categorias diferem dos respondentes",IF(COUNTIFS($A$5:$A$1200,A436,$B$5:$B$1200,B436)&gt;1,"ERRO: período e curso duplicados","OK"))))</f>
        <v/>
      </c>
    </row>
    <row r="437" ht="15" customHeight="1" s="131">
      <c r="A437" s="220" t="n"/>
      <c r="B437" s="222" t="n"/>
      <c r="C437" s="220" t="n"/>
      <c r="D437" s="220" t="n"/>
      <c r="E437" s="220" t="n"/>
      <c r="F437" s="220" t="n"/>
      <c r="G437" s="169">
        <f>IFERROR((D437-F437)/C437*100,"")</f>
        <v/>
      </c>
      <c r="H437" s="219" t="n"/>
      <c r="I437" s="220" t="n"/>
      <c r="J437" s="221">
        <f>IF(COUNTA(A437:F437)=0,"",IF(OR(C437&lt;0,D437&lt;0,E437&lt;0,F437&lt;0),"ERRO: valor negativo",IF(C437&lt;&gt;SUM(D437:F437),"ERRO: categorias diferem dos respondentes",IF(COUNTIFS($A$5:$A$1200,A437,$B$5:$B$1200,B437)&gt;1,"ERRO: período e curso duplicados","OK"))))</f>
        <v/>
      </c>
    </row>
    <row r="438" ht="15" customHeight="1" s="131">
      <c r="A438" s="220" t="n"/>
      <c r="B438" s="222" t="n"/>
      <c r="C438" s="220" t="n"/>
      <c r="D438" s="220" t="n"/>
      <c r="E438" s="220" t="n"/>
      <c r="F438" s="220" t="n"/>
      <c r="G438" s="169">
        <f>IFERROR((D438-F438)/C438*100,"")</f>
        <v/>
      </c>
      <c r="H438" s="219" t="n"/>
      <c r="I438" s="220" t="n"/>
      <c r="J438" s="221">
        <f>IF(COUNTA(A438:F438)=0,"",IF(OR(C438&lt;0,D438&lt;0,E438&lt;0,F438&lt;0),"ERRO: valor negativo",IF(C438&lt;&gt;SUM(D438:F438),"ERRO: categorias diferem dos respondentes",IF(COUNTIFS($A$5:$A$1200,A438,$B$5:$B$1200,B438)&gt;1,"ERRO: período e curso duplicados","OK"))))</f>
        <v/>
      </c>
    </row>
    <row r="439" ht="15" customHeight="1" s="131">
      <c r="A439" s="220" t="n"/>
      <c r="B439" s="222" t="n"/>
      <c r="C439" s="220" t="n"/>
      <c r="D439" s="220" t="n"/>
      <c r="E439" s="220" t="n"/>
      <c r="F439" s="220" t="n"/>
      <c r="G439" s="169">
        <f>IFERROR((D439-F439)/C439*100,"")</f>
        <v/>
      </c>
      <c r="H439" s="219" t="n"/>
      <c r="I439" s="220" t="n"/>
      <c r="J439" s="221">
        <f>IF(COUNTA(A439:F439)=0,"",IF(OR(C439&lt;0,D439&lt;0,E439&lt;0,F439&lt;0),"ERRO: valor negativo",IF(C439&lt;&gt;SUM(D439:F439),"ERRO: categorias diferem dos respondentes",IF(COUNTIFS($A$5:$A$1200,A439,$B$5:$B$1200,B439)&gt;1,"ERRO: período e curso duplicados","OK"))))</f>
        <v/>
      </c>
    </row>
    <row r="440" ht="15" customHeight="1" s="131">
      <c r="A440" s="220" t="n"/>
      <c r="B440" s="222" t="n"/>
      <c r="C440" s="220" t="n"/>
      <c r="D440" s="220" t="n"/>
      <c r="E440" s="220" t="n"/>
      <c r="F440" s="220" t="n"/>
      <c r="G440" s="169">
        <f>IFERROR((D440-F440)/C440*100,"")</f>
        <v/>
      </c>
      <c r="H440" s="219" t="n"/>
      <c r="I440" s="220" t="n"/>
      <c r="J440" s="221">
        <f>IF(COUNTA(A440:F440)=0,"",IF(OR(C440&lt;0,D440&lt;0,E440&lt;0,F440&lt;0),"ERRO: valor negativo",IF(C440&lt;&gt;SUM(D440:F440),"ERRO: categorias diferem dos respondentes",IF(COUNTIFS($A$5:$A$1200,A440,$B$5:$B$1200,B440)&gt;1,"ERRO: período e curso duplicados","OK"))))</f>
        <v/>
      </c>
    </row>
    <row r="441" ht="15" customHeight="1" s="131">
      <c r="A441" s="220" t="n"/>
      <c r="B441" s="222" t="n"/>
      <c r="C441" s="220" t="n"/>
      <c r="D441" s="220" t="n"/>
      <c r="E441" s="220" t="n"/>
      <c r="F441" s="220" t="n"/>
      <c r="G441" s="169">
        <f>IFERROR((D441-F441)/C441*100,"")</f>
        <v/>
      </c>
      <c r="H441" s="219" t="n"/>
      <c r="I441" s="220" t="n"/>
      <c r="J441" s="221">
        <f>IF(COUNTA(A441:F441)=0,"",IF(OR(C441&lt;0,D441&lt;0,E441&lt;0,F441&lt;0),"ERRO: valor negativo",IF(C441&lt;&gt;SUM(D441:F441),"ERRO: categorias diferem dos respondentes",IF(COUNTIFS($A$5:$A$1200,A441,$B$5:$B$1200,B441)&gt;1,"ERRO: período e curso duplicados","OK"))))</f>
        <v/>
      </c>
    </row>
    <row r="442" ht="15" customHeight="1" s="131">
      <c r="A442" s="220" t="n"/>
      <c r="B442" s="222" t="n"/>
      <c r="C442" s="220" t="n"/>
      <c r="D442" s="220" t="n"/>
      <c r="E442" s="220" t="n"/>
      <c r="F442" s="220" t="n"/>
      <c r="G442" s="169">
        <f>IFERROR((D442-F442)/C442*100,"")</f>
        <v/>
      </c>
      <c r="H442" s="219" t="n"/>
      <c r="I442" s="220" t="n"/>
      <c r="J442" s="221">
        <f>IF(COUNTA(A442:F442)=0,"",IF(OR(C442&lt;0,D442&lt;0,E442&lt;0,F442&lt;0),"ERRO: valor negativo",IF(C442&lt;&gt;SUM(D442:F442),"ERRO: categorias diferem dos respondentes",IF(COUNTIFS($A$5:$A$1200,A442,$B$5:$B$1200,B442)&gt;1,"ERRO: período e curso duplicados","OK"))))</f>
        <v/>
      </c>
    </row>
    <row r="443" ht="15" customHeight="1" s="131">
      <c r="A443" s="220" t="n"/>
      <c r="B443" s="222" t="n"/>
      <c r="C443" s="220" t="n"/>
      <c r="D443" s="220" t="n"/>
      <c r="E443" s="220" t="n"/>
      <c r="F443" s="220" t="n"/>
      <c r="G443" s="169">
        <f>IFERROR((D443-F443)/C443*100,"")</f>
        <v/>
      </c>
      <c r="H443" s="219" t="n"/>
      <c r="I443" s="220" t="n"/>
      <c r="J443" s="221">
        <f>IF(COUNTA(A443:F443)=0,"",IF(OR(C443&lt;0,D443&lt;0,E443&lt;0,F443&lt;0),"ERRO: valor negativo",IF(C443&lt;&gt;SUM(D443:F443),"ERRO: categorias diferem dos respondentes",IF(COUNTIFS($A$5:$A$1200,A443,$B$5:$B$1200,B443)&gt;1,"ERRO: período e curso duplicados","OK"))))</f>
        <v/>
      </c>
    </row>
    <row r="444" ht="15" customHeight="1" s="131">
      <c r="A444" s="220" t="n"/>
      <c r="B444" s="222" t="n"/>
      <c r="C444" s="220" t="n"/>
      <c r="D444" s="220" t="n"/>
      <c r="E444" s="220" t="n"/>
      <c r="F444" s="220" t="n"/>
      <c r="G444" s="169">
        <f>IFERROR((D444-F444)/C444*100,"")</f>
        <v/>
      </c>
      <c r="H444" s="219" t="n"/>
      <c r="I444" s="220" t="n"/>
      <c r="J444" s="221">
        <f>IF(COUNTA(A444:F444)=0,"",IF(OR(C444&lt;0,D444&lt;0,E444&lt;0,F444&lt;0),"ERRO: valor negativo",IF(C444&lt;&gt;SUM(D444:F444),"ERRO: categorias diferem dos respondentes",IF(COUNTIFS($A$5:$A$1200,A444,$B$5:$B$1200,B444)&gt;1,"ERRO: período e curso duplicados","OK"))))</f>
        <v/>
      </c>
    </row>
    <row r="445" ht="15" customHeight="1" s="131">
      <c r="A445" s="220" t="n"/>
      <c r="B445" s="222" t="n"/>
      <c r="C445" s="220" t="n"/>
      <c r="D445" s="220" t="n"/>
      <c r="E445" s="220" t="n"/>
      <c r="F445" s="220" t="n"/>
      <c r="G445" s="169">
        <f>IFERROR((D445-F445)/C445*100,"")</f>
        <v/>
      </c>
      <c r="H445" s="219" t="n"/>
      <c r="I445" s="220" t="n"/>
      <c r="J445" s="221">
        <f>IF(COUNTA(A445:F445)=0,"",IF(OR(C445&lt;0,D445&lt;0,E445&lt;0,F445&lt;0),"ERRO: valor negativo",IF(C445&lt;&gt;SUM(D445:F445),"ERRO: categorias diferem dos respondentes",IF(COUNTIFS($A$5:$A$1200,A445,$B$5:$B$1200,B445)&gt;1,"ERRO: período e curso duplicados","OK"))))</f>
        <v/>
      </c>
    </row>
    <row r="446" ht="15" customHeight="1" s="131">
      <c r="A446" s="220" t="n"/>
      <c r="B446" s="222" t="n"/>
      <c r="C446" s="220" t="n"/>
      <c r="D446" s="220" t="n"/>
      <c r="E446" s="220" t="n"/>
      <c r="F446" s="220" t="n"/>
      <c r="G446" s="169">
        <f>IFERROR((D446-F446)/C446*100,"")</f>
        <v/>
      </c>
      <c r="H446" s="219" t="n"/>
      <c r="I446" s="220" t="n"/>
      <c r="J446" s="221">
        <f>IF(COUNTA(A446:F446)=0,"",IF(OR(C446&lt;0,D446&lt;0,E446&lt;0,F446&lt;0),"ERRO: valor negativo",IF(C446&lt;&gt;SUM(D446:F446),"ERRO: categorias diferem dos respondentes",IF(COUNTIFS($A$5:$A$1200,A446,$B$5:$B$1200,B446)&gt;1,"ERRO: período e curso duplicados","OK"))))</f>
        <v/>
      </c>
    </row>
    <row r="447" ht="15" customHeight="1" s="131">
      <c r="A447" s="220" t="n"/>
      <c r="B447" s="222" t="n"/>
      <c r="C447" s="220" t="n"/>
      <c r="D447" s="220" t="n"/>
      <c r="E447" s="220" t="n"/>
      <c r="F447" s="220" t="n"/>
      <c r="G447" s="169">
        <f>IFERROR((D447-F447)/C447*100,"")</f>
        <v/>
      </c>
      <c r="H447" s="219" t="n"/>
      <c r="I447" s="220" t="n"/>
      <c r="J447" s="221">
        <f>IF(COUNTA(A447:F447)=0,"",IF(OR(C447&lt;0,D447&lt;0,E447&lt;0,F447&lt;0),"ERRO: valor negativo",IF(C447&lt;&gt;SUM(D447:F447),"ERRO: categorias diferem dos respondentes",IF(COUNTIFS($A$5:$A$1200,A447,$B$5:$B$1200,B447)&gt;1,"ERRO: período e curso duplicados","OK"))))</f>
        <v/>
      </c>
    </row>
    <row r="448" ht="15" customHeight="1" s="131">
      <c r="A448" s="220" t="n"/>
      <c r="B448" s="222" t="n"/>
      <c r="C448" s="220" t="n"/>
      <c r="D448" s="220" t="n"/>
      <c r="E448" s="220" t="n"/>
      <c r="F448" s="220" t="n"/>
      <c r="G448" s="169">
        <f>IFERROR((D448-F448)/C448*100,"")</f>
        <v/>
      </c>
      <c r="H448" s="219" t="n"/>
      <c r="I448" s="220" t="n"/>
      <c r="J448" s="221">
        <f>IF(COUNTA(A448:F448)=0,"",IF(OR(C448&lt;0,D448&lt;0,E448&lt;0,F448&lt;0),"ERRO: valor negativo",IF(C448&lt;&gt;SUM(D448:F448),"ERRO: categorias diferem dos respondentes",IF(COUNTIFS($A$5:$A$1200,A448,$B$5:$B$1200,B448)&gt;1,"ERRO: período e curso duplicados","OK"))))</f>
        <v/>
      </c>
    </row>
    <row r="449" ht="15" customHeight="1" s="131">
      <c r="A449" s="220" t="n"/>
      <c r="B449" s="222" t="n"/>
      <c r="C449" s="220" t="n"/>
      <c r="D449" s="220" t="n"/>
      <c r="E449" s="220" t="n"/>
      <c r="F449" s="220" t="n"/>
      <c r="G449" s="169">
        <f>IFERROR((D449-F449)/C449*100,"")</f>
        <v/>
      </c>
      <c r="H449" s="219" t="n"/>
      <c r="I449" s="220" t="n"/>
      <c r="J449" s="221">
        <f>IF(COUNTA(A449:F449)=0,"",IF(OR(C449&lt;0,D449&lt;0,E449&lt;0,F449&lt;0),"ERRO: valor negativo",IF(C449&lt;&gt;SUM(D449:F449),"ERRO: categorias diferem dos respondentes",IF(COUNTIFS($A$5:$A$1200,A449,$B$5:$B$1200,B449)&gt;1,"ERRO: período e curso duplicados","OK"))))</f>
        <v/>
      </c>
    </row>
    <row r="450" ht="15" customHeight="1" s="131">
      <c r="A450" s="220" t="n"/>
      <c r="B450" s="222" t="n"/>
      <c r="C450" s="220" t="n"/>
      <c r="D450" s="220" t="n"/>
      <c r="E450" s="220" t="n"/>
      <c r="F450" s="220" t="n"/>
      <c r="G450" s="169">
        <f>IFERROR((D450-F450)/C450*100,"")</f>
        <v/>
      </c>
      <c r="H450" s="219" t="n"/>
      <c r="I450" s="220" t="n"/>
      <c r="J450" s="221">
        <f>IF(COUNTA(A450:F450)=0,"",IF(OR(C450&lt;0,D450&lt;0,E450&lt;0,F450&lt;0),"ERRO: valor negativo",IF(C450&lt;&gt;SUM(D450:F450),"ERRO: categorias diferem dos respondentes",IF(COUNTIFS($A$5:$A$1200,A450,$B$5:$B$1200,B450)&gt;1,"ERRO: período e curso duplicados","OK"))))</f>
        <v/>
      </c>
    </row>
    <row r="451" ht="15" customHeight="1" s="131">
      <c r="A451" s="220" t="n"/>
      <c r="B451" s="222" t="n"/>
      <c r="C451" s="220" t="n"/>
      <c r="D451" s="220" t="n"/>
      <c r="E451" s="220" t="n"/>
      <c r="F451" s="220" t="n"/>
      <c r="G451" s="169">
        <f>IFERROR((D451-F451)/C451*100,"")</f>
        <v/>
      </c>
      <c r="H451" s="219" t="n"/>
      <c r="I451" s="220" t="n"/>
      <c r="J451" s="221">
        <f>IF(COUNTA(A451:F451)=0,"",IF(OR(C451&lt;0,D451&lt;0,E451&lt;0,F451&lt;0),"ERRO: valor negativo",IF(C451&lt;&gt;SUM(D451:F451),"ERRO: categorias diferem dos respondentes",IF(COUNTIFS($A$5:$A$1200,A451,$B$5:$B$1200,B451)&gt;1,"ERRO: período e curso duplicados","OK"))))</f>
        <v/>
      </c>
    </row>
    <row r="452" ht="15" customHeight="1" s="131">
      <c r="A452" s="220" t="n"/>
      <c r="B452" s="222" t="n"/>
      <c r="C452" s="220" t="n"/>
      <c r="D452" s="220" t="n"/>
      <c r="E452" s="220" t="n"/>
      <c r="F452" s="220" t="n"/>
      <c r="G452" s="169">
        <f>IFERROR((D452-F452)/C452*100,"")</f>
        <v/>
      </c>
      <c r="H452" s="219" t="n"/>
      <c r="I452" s="220" t="n"/>
      <c r="J452" s="221">
        <f>IF(COUNTA(A452:F452)=0,"",IF(OR(C452&lt;0,D452&lt;0,E452&lt;0,F452&lt;0),"ERRO: valor negativo",IF(C452&lt;&gt;SUM(D452:F452),"ERRO: categorias diferem dos respondentes",IF(COUNTIFS($A$5:$A$1200,A452,$B$5:$B$1200,B452)&gt;1,"ERRO: período e curso duplicados","OK"))))</f>
        <v/>
      </c>
    </row>
    <row r="453" ht="15" customHeight="1" s="131">
      <c r="A453" s="220" t="n"/>
      <c r="B453" s="222" t="n"/>
      <c r="C453" s="220" t="n"/>
      <c r="D453" s="220" t="n"/>
      <c r="E453" s="220" t="n"/>
      <c r="F453" s="220" t="n"/>
      <c r="G453" s="169">
        <f>IFERROR((D453-F453)/C453*100,"")</f>
        <v/>
      </c>
      <c r="H453" s="219" t="n"/>
      <c r="I453" s="220" t="n"/>
      <c r="J453" s="221">
        <f>IF(COUNTA(A453:F453)=0,"",IF(OR(C453&lt;0,D453&lt;0,E453&lt;0,F453&lt;0),"ERRO: valor negativo",IF(C453&lt;&gt;SUM(D453:F453),"ERRO: categorias diferem dos respondentes",IF(COUNTIFS($A$5:$A$1200,A453,$B$5:$B$1200,B453)&gt;1,"ERRO: período e curso duplicados","OK"))))</f>
        <v/>
      </c>
    </row>
    <row r="454" ht="15" customHeight="1" s="131">
      <c r="A454" s="220" t="n"/>
      <c r="B454" s="222" t="n"/>
      <c r="C454" s="220" t="n"/>
      <c r="D454" s="220" t="n"/>
      <c r="E454" s="220" t="n"/>
      <c r="F454" s="220" t="n"/>
      <c r="G454" s="169">
        <f>IFERROR((D454-F454)/C454*100,"")</f>
        <v/>
      </c>
      <c r="H454" s="219" t="n"/>
      <c r="I454" s="220" t="n"/>
      <c r="J454" s="221">
        <f>IF(COUNTA(A454:F454)=0,"",IF(OR(C454&lt;0,D454&lt;0,E454&lt;0,F454&lt;0),"ERRO: valor negativo",IF(C454&lt;&gt;SUM(D454:F454),"ERRO: categorias diferem dos respondentes",IF(COUNTIFS($A$5:$A$1200,A454,$B$5:$B$1200,B454)&gt;1,"ERRO: período e curso duplicados","OK"))))</f>
        <v/>
      </c>
    </row>
    <row r="455" ht="15" customHeight="1" s="131">
      <c r="A455" s="220" t="n"/>
      <c r="B455" s="222" t="n"/>
      <c r="C455" s="220" t="n"/>
      <c r="D455" s="220" t="n"/>
      <c r="E455" s="220" t="n"/>
      <c r="F455" s="220" t="n"/>
      <c r="G455" s="169">
        <f>IFERROR((D455-F455)/C455*100,"")</f>
        <v/>
      </c>
      <c r="H455" s="219" t="n"/>
      <c r="I455" s="220" t="n"/>
      <c r="J455" s="221">
        <f>IF(COUNTA(A455:F455)=0,"",IF(OR(C455&lt;0,D455&lt;0,E455&lt;0,F455&lt;0),"ERRO: valor negativo",IF(C455&lt;&gt;SUM(D455:F455),"ERRO: categorias diferem dos respondentes",IF(COUNTIFS($A$5:$A$1200,A455,$B$5:$B$1200,B455)&gt;1,"ERRO: período e curso duplicados","OK"))))</f>
        <v/>
      </c>
    </row>
    <row r="456" ht="15" customHeight="1" s="131">
      <c r="A456" s="220" t="n"/>
      <c r="B456" s="222" t="n"/>
      <c r="C456" s="220" t="n"/>
      <c r="D456" s="220" t="n"/>
      <c r="E456" s="220" t="n"/>
      <c r="F456" s="220" t="n"/>
      <c r="G456" s="169">
        <f>IFERROR((D456-F456)/C456*100,"")</f>
        <v/>
      </c>
      <c r="H456" s="219" t="n"/>
      <c r="I456" s="220" t="n"/>
      <c r="J456" s="221">
        <f>IF(COUNTA(A456:F456)=0,"",IF(OR(C456&lt;0,D456&lt;0,E456&lt;0,F456&lt;0),"ERRO: valor negativo",IF(C456&lt;&gt;SUM(D456:F456),"ERRO: categorias diferem dos respondentes",IF(COUNTIFS($A$5:$A$1200,A456,$B$5:$B$1200,B456)&gt;1,"ERRO: período e curso duplicados","OK"))))</f>
        <v/>
      </c>
    </row>
    <row r="457" ht="15" customHeight="1" s="131">
      <c r="A457" s="220" t="n"/>
      <c r="B457" s="222" t="n"/>
      <c r="C457" s="220" t="n"/>
      <c r="D457" s="220" t="n"/>
      <c r="E457" s="220" t="n"/>
      <c r="F457" s="220" t="n"/>
      <c r="G457" s="169">
        <f>IFERROR((D457-F457)/C457*100,"")</f>
        <v/>
      </c>
      <c r="H457" s="219" t="n"/>
      <c r="I457" s="220" t="n"/>
      <c r="J457" s="221">
        <f>IF(COUNTA(A457:F457)=0,"",IF(OR(C457&lt;0,D457&lt;0,E457&lt;0,F457&lt;0),"ERRO: valor negativo",IF(C457&lt;&gt;SUM(D457:F457),"ERRO: categorias diferem dos respondentes",IF(COUNTIFS($A$5:$A$1200,A457,$B$5:$B$1200,B457)&gt;1,"ERRO: período e curso duplicados","OK"))))</f>
        <v/>
      </c>
    </row>
    <row r="458" ht="15" customHeight="1" s="131">
      <c r="A458" s="220" t="n"/>
      <c r="B458" s="222" t="n"/>
      <c r="C458" s="220" t="n"/>
      <c r="D458" s="220" t="n"/>
      <c r="E458" s="220" t="n"/>
      <c r="F458" s="220" t="n"/>
      <c r="G458" s="169">
        <f>IFERROR((D458-F458)/C458*100,"")</f>
        <v/>
      </c>
      <c r="H458" s="219" t="n"/>
      <c r="I458" s="220" t="n"/>
      <c r="J458" s="221">
        <f>IF(COUNTA(A458:F458)=0,"",IF(OR(C458&lt;0,D458&lt;0,E458&lt;0,F458&lt;0),"ERRO: valor negativo",IF(C458&lt;&gt;SUM(D458:F458),"ERRO: categorias diferem dos respondentes",IF(COUNTIFS($A$5:$A$1200,A458,$B$5:$B$1200,B458)&gt;1,"ERRO: período e curso duplicados","OK"))))</f>
        <v/>
      </c>
    </row>
    <row r="459" ht="15" customHeight="1" s="131">
      <c r="A459" s="220" t="n"/>
      <c r="B459" s="222" t="n"/>
      <c r="C459" s="220" t="n"/>
      <c r="D459" s="220" t="n"/>
      <c r="E459" s="220" t="n"/>
      <c r="F459" s="220" t="n"/>
      <c r="G459" s="169">
        <f>IFERROR((D459-F459)/C459*100,"")</f>
        <v/>
      </c>
      <c r="H459" s="219" t="n"/>
      <c r="I459" s="220" t="n"/>
      <c r="J459" s="221">
        <f>IF(COUNTA(A459:F459)=0,"",IF(OR(C459&lt;0,D459&lt;0,E459&lt;0,F459&lt;0),"ERRO: valor negativo",IF(C459&lt;&gt;SUM(D459:F459),"ERRO: categorias diferem dos respondentes",IF(COUNTIFS($A$5:$A$1200,A459,$B$5:$B$1200,B459)&gt;1,"ERRO: período e curso duplicados","OK"))))</f>
        <v/>
      </c>
    </row>
    <row r="460" ht="15" customHeight="1" s="131">
      <c r="A460" s="220" t="n"/>
      <c r="B460" s="222" t="n"/>
      <c r="C460" s="220" t="n"/>
      <c r="D460" s="220" t="n"/>
      <c r="E460" s="220" t="n"/>
      <c r="F460" s="220" t="n"/>
      <c r="G460" s="169">
        <f>IFERROR((D460-F460)/C460*100,"")</f>
        <v/>
      </c>
      <c r="H460" s="219" t="n"/>
      <c r="I460" s="220" t="n"/>
      <c r="J460" s="221">
        <f>IF(COUNTA(A460:F460)=0,"",IF(OR(C460&lt;0,D460&lt;0,E460&lt;0,F460&lt;0),"ERRO: valor negativo",IF(C460&lt;&gt;SUM(D460:F460),"ERRO: categorias diferem dos respondentes",IF(COUNTIFS($A$5:$A$1200,A460,$B$5:$B$1200,B460)&gt;1,"ERRO: período e curso duplicados","OK"))))</f>
        <v/>
      </c>
    </row>
    <row r="461" ht="15" customHeight="1" s="131">
      <c r="A461" s="220" t="n"/>
      <c r="B461" s="222" t="n"/>
      <c r="C461" s="220" t="n"/>
      <c r="D461" s="220" t="n"/>
      <c r="E461" s="220" t="n"/>
      <c r="F461" s="220" t="n"/>
      <c r="G461" s="169">
        <f>IFERROR((D461-F461)/C461*100,"")</f>
        <v/>
      </c>
      <c r="H461" s="219" t="n"/>
      <c r="I461" s="220" t="n"/>
      <c r="J461" s="221">
        <f>IF(COUNTA(A461:F461)=0,"",IF(OR(C461&lt;0,D461&lt;0,E461&lt;0,F461&lt;0),"ERRO: valor negativo",IF(C461&lt;&gt;SUM(D461:F461),"ERRO: categorias diferem dos respondentes",IF(COUNTIFS($A$5:$A$1200,A461,$B$5:$B$1200,B461)&gt;1,"ERRO: período e curso duplicados","OK"))))</f>
        <v/>
      </c>
    </row>
    <row r="462" ht="15" customHeight="1" s="131">
      <c r="A462" s="220" t="n"/>
      <c r="B462" s="222" t="n"/>
      <c r="C462" s="220" t="n"/>
      <c r="D462" s="220" t="n"/>
      <c r="E462" s="220" t="n"/>
      <c r="F462" s="220" t="n"/>
      <c r="G462" s="169">
        <f>IFERROR((D462-F462)/C462*100,"")</f>
        <v/>
      </c>
      <c r="H462" s="219" t="n"/>
      <c r="I462" s="220" t="n"/>
      <c r="J462" s="221">
        <f>IF(COUNTA(A462:F462)=0,"",IF(OR(C462&lt;0,D462&lt;0,E462&lt;0,F462&lt;0),"ERRO: valor negativo",IF(C462&lt;&gt;SUM(D462:F462),"ERRO: categorias diferem dos respondentes",IF(COUNTIFS($A$5:$A$1200,A462,$B$5:$B$1200,B462)&gt;1,"ERRO: período e curso duplicados","OK"))))</f>
        <v/>
      </c>
    </row>
    <row r="463" ht="15" customHeight="1" s="131">
      <c r="A463" s="220" t="n"/>
      <c r="B463" s="222" t="n"/>
      <c r="C463" s="220" t="n"/>
      <c r="D463" s="220" t="n"/>
      <c r="E463" s="220" t="n"/>
      <c r="F463" s="220" t="n"/>
      <c r="G463" s="169">
        <f>IFERROR((D463-F463)/C463*100,"")</f>
        <v/>
      </c>
      <c r="H463" s="219" t="n"/>
      <c r="I463" s="220" t="n"/>
      <c r="J463" s="221">
        <f>IF(COUNTA(A463:F463)=0,"",IF(OR(C463&lt;0,D463&lt;0,E463&lt;0,F463&lt;0),"ERRO: valor negativo",IF(C463&lt;&gt;SUM(D463:F463),"ERRO: categorias diferem dos respondentes",IF(COUNTIFS($A$5:$A$1200,A463,$B$5:$B$1200,B463)&gt;1,"ERRO: período e curso duplicados","OK"))))</f>
        <v/>
      </c>
    </row>
    <row r="464" ht="15" customHeight="1" s="131">
      <c r="A464" s="220" t="n"/>
      <c r="B464" s="222" t="n"/>
      <c r="C464" s="220" t="n"/>
      <c r="D464" s="220" t="n"/>
      <c r="E464" s="220" t="n"/>
      <c r="F464" s="220" t="n"/>
      <c r="G464" s="169">
        <f>IFERROR((D464-F464)/C464*100,"")</f>
        <v/>
      </c>
      <c r="H464" s="219" t="n"/>
      <c r="I464" s="220" t="n"/>
      <c r="J464" s="221">
        <f>IF(COUNTA(A464:F464)=0,"",IF(OR(C464&lt;0,D464&lt;0,E464&lt;0,F464&lt;0),"ERRO: valor negativo",IF(C464&lt;&gt;SUM(D464:F464),"ERRO: categorias diferem dos respondentes",IF(COUNTIFS($A$5:$A$1200,A464,$B$5:$B$1200,B464)&gt;1,"ERRO: período e curso duplicados","OK"))))</f>
        <v/>
      </c>
    </row>
    <row r="465" ht="15" customHeight="1" s="131">
      <c r="A465" s="220" t="n"/>
      <c r="B465" s="222" t="n"/>
      <c r="C465" s="220" t="n"/>
      <c r="D465" s="220" t="n"/>
      <c r="E465" s="220" t="n"/>
      <c r="F465" s="220" t="n"/>
      <c r="G465" s="169">
        <f>IFERROR((D465-F465)/C465*100,"")</f>
        <v/>
      </c>
      <c r="H465" s="219" t="n"/>
      <c r="I465" s="220" t="n"/>
      <c r="J465" s="221">
        <f>IF(COUNTA(A465:F465)=0,"",IF(OR(C465&lt;0,D465&lt;0,E465&lt;0,F465&lt;0),"ERRO: valor negativo",IF(C465&lt;&gt;SUM(D465:F465),"ERRO: categorias diferem dos respondentes",IF(COUNTIFS($A$5:$A$1200,A465,$B$5:$B$1200,B465)&gt;1,"ERRO: período e curso duplicados","OK"))))</f>
        <v/>
      </c>
    </row>
    <row r="466" ht="15" customHeight="1" s="131">
      <c r="A466" s="220" t="n"/>
      <c r="B466" s="222" t="n"/>
      <c r="C466" s="220" t="n"/>
      <c r="D466" s="220" t="n"/>
      <c r="E466" s="220" t="n"/>
      <c r="F466" s="220" t="n"/>
      <c r="G466" s="169">
        <f>IFERROR((D466-F466)/C466*100,"")</f>
        <v/>
      </c>
      <c r="H466" s="219" t="n"/>
      <c r="I466" s="220" t="n"/>
      <c r="J466" s="221">
        <f>IF(COUNTA(A466:F466)=0,"",IF(OR(C466&lt;0,D466&lt;0,E466&lt;0,F466&lt;0),"ERRO: valor negativo",IF(C466&lt;&gt;SUM(D466:F466),"ERRO: categorias diferem dos respondentes",IF(COUNTIFS($A$5:$A$1200,A466,$B$5:$B$1200,B466)&gt;1,"ERRO: período e curso duplicados","OK"))))</f>
        <v/>
      </c>
    </row>
    <row r="467" ht="15" customHeight="1" s="131">
      <c r="A467" s="220" t="n"/>
      <c r="B467" s="222" t="n"/>
      <c r="C467" s="220" t="n"/>
      <c r="D467" s="220" t="n"/>
      <c r="E467" s="220" t="n"/>
      <c r="F467" s="220" t="n"/>
      <c r="G467" s="169">
        <f>IFERROR((D467-F467)/C467*100,"")</f>
        <v/>
      </c>
      <c r="H467" s="219" t="n"/>
      <c r="I467" s="220" t="n"/>
      <c r="J467" s="221">
        <f>IF(COUNTA(A467:F467)=0,"",IF(OR(C467&lt;0,D467&lt;0,E467&lt;0,F467&lt;0),"ERRO: valor negativo",IF(C467&lt;&gt;SUM(D467:F467),"ERRO: categorias diferem dos respondentes",IF(COUNTIFS($A$5:$A$1200,A467,$B$5:$B$1200,B467)&gt;1,"ERRO: período e curso duplicados","OK"))))</f>
        <v/>
      </c>
    </row>
    <row r="468" ht="15" customHeight="1" s="131">
      <c r="A468" s="220" t="n"/>
      <c r="B468" s="222" t="n"/>
      <c r="C468" s="220" t="n"/>
      <c r="D468" s="220" t="n"/>
      <c r="E468" s="220" t="n"/>
      <c r="F468" s="220" t="n"/>
      <c r="G468" s="169">
        <f>IFERROR((D468-F468)/C468*100,"")</f>
        <v/>
      </c>
      <c r="H468" s="219" t="n"/>
      <c r="I468" s="220" t="n"/>
      <c r="J468" s="221">
        <f>IF(COUNTA(A468:F468)=0,"",IF(OR(C468&lt;0,D468&lt;0,E468&lt;0,F468&lt;0),"ERRO: valor negativo",IF(C468&lt;&gt;SUM(D468:F468),"ERRO: categorias diferem dos respondentes",IF(COUNTIFS($A$5:$A$1200,A468,$B$5:$B$1200,B468)&gt;1,"ERRO: período e curso duplicados","OK"))))</f>
        <v/>
      </c>
    </row>
    <row r="469" ht="15" customHeight="1" s="131">
      <c r="A469" s="220" t="n"/>
      <c r="B469" s="222" t="n"/>
      <c r="C469" s="220" t="n"/>
      <c r="D469" s="220" t="n"/>
      <c r="E469" s="220" t="n"/>
      <c r="F469" s="220" t="n"/>
      <c r="G469" s="169">
        <f>IFERROR((D469-F469)/C469*100,"")</f>
        <v/>
      </c>
      <c r="H469" s="219" t="n"/>
      <c r="I469" s="220" t="n"/>
      <c r="J469" s="221">
        <f>IF(COUNTA(A469:F469)=0,"",IF(OR(C469&lt;0,D469&lt;0,E469&lt;0,F469&lt;0),"ERRO: valor negativo",IF(C469&lt;&gt;SUM(D469:F469),"ERRO: categorias diferem dos respondentes",IF(COUNTIFS($A$5:$A$1200,A469,$B$5:$B$1200,B469)&gt;1,"ERRO: período e curso duplicados","OK"))))</f>
        <v/>
      </c>
    </row>
    <row r="470" ht="15" customHeight="1" s="131">
      <c r="A470" s="220" t="n"/>
      <c r="B470" s="222" t="n"/>
      <c r="C470" s="220" t="n"/>
      <c r="D470" s="220" t="n"/>
      <c r="E470" s="220" t="n"/>
      <c r="F470" s="220" t="n"/>
      <c r="G470" s="169">
        <f>IFERROR((D470-F470)/C470*100,"")</f>
        <v/>
      </c>
      <c r="H470" s="219" t="n"/>
      <c r="I470" s="220" t="n"/>
      <c r="J470" s="221">
        <f>IF(COUNTA(A470:F470)=0,"",IF(OR(C470&lt;0,D470&lt;0,E470&lt;0,F470&lt;0),"ERRO: valor negativo",IF(C470&lt;&gt;SUM(D470:F470),"ERRO: categorias diferem dos respondentes",IF(COUNTIFS($A$5:$A$1200,A470,$B$5:$B$1200,B470)&gt;1,"ERRO: período e curso duplicados","OK"))))</f>
        <v/>
      </c>
    </row>
    <row r="471" ht="15" customHeight="1" s="131">
      <c r="A471" s="220" t="n"/>
      <c r="B471" s="222" t="n"/>
      <c r="C471" s="220" t="n"/>
      <c r="D471" s="220" t="n"/>
      <c r="E471" s="220" t="n"/>
      <c r="F471" s="220" t="n"/>
      <c r="G471" s="169">
        <f>IFERROR((D471-F471)/C471*100,"")</f>
        <v/>
      </c>
      <c r="H471" s="219" t="n"/>
      <c r="I471" s="220" t="n"/>
      <c r="J471" s="221">
        <f>IF(COUNTA(A471:F471)=0,"",IF(OR(C471&lt;0,D471&lt;0,E471&lt;0,F471&lt;0),"ERRO: valor negativo",IF(C471&lt;&gt;SUM(D471:F471),"ERRO: categorias diferem dos respondentes",IF(COUNTIFS($A$5:$A$1200,A471,$B$5:$B$1200,B471)&gt;1,"ERRO: período e curso duplicados","OK"))))</f>
        <v/>
      </c>
    </row>
    <row r="472" ht="15" customHeight="1" s="131">
      <c r="A472" s="220" t="n"/>
      <c r="B472" s="222" t="n"/>
      <c r="C472" s="220" t="n"/>
      <c r="D472" s="220" t="n"/>
      <c r="E472" s="220" t="n"/>
      <c r="F472" s="220" t="n"/>
      <c r="G472" s="169">
        <f>IFERROR((D472-F472)/C472*100,"")</f>
        <v/>
      </c>
      <c r="H472" s="219" t="n"/>
      <c r="I472" s="220" t="n"/>
      <c r="J472" s="221">
        <f>IF(COUNTA(A472:F472)=0,"",IF(OR(C472&lt;0,D472&lt;0,E472&lt;0,F472&lt;0),"ERRO: valor negativo",IF(C472&lt;&gt;SUM(D472:F472),"ERRO: categorias diferem dos respondentes",IF(COUNTIFS($A$5:$A$1200,A472,$B$5:$B$1200,B472)&gt;1,"ERRO: período e curso duplicados","OK"))))</f>
        <v/>
      </c>
    </row>
    <row r="473" ht="15" customHeight="1" s="131">
      <c r="A473" s="220" t="n"/>
      <c r="B473" s="222" t="n"/>
      <c r="C473" s="220" t="n"/>
      <c r="D473" s="220" t="n"/>
      <c r="E473" s="220" t="n"/>
      <c r="F473" s="220" t="n"/>
      <c r="G473" s="169">
        <f>IFERROR((D473-F473)/C473*100,"")</f>
        <v/>
      </c>
      <c r="H473" s="219" t="n"/>
      <c r="I473" s="220" t="n"/>
      <c r="J473" s="221">
        <f>IF(COUNTA(A473:F473)=0,"",IF(OR(C473&lt;0,D473&lt;0,E473&lt;0,F473&lt;0),"ERRO: valor negativo",IF(C473&lt;&gt;SUM(D473:F473),"ERRO: categorias diferem dos respondentes",IF(COUNTIFS($A$5:$A$1200,A473,$B$5:$B$1200,B473)&gt;1,"ERRO: período e curso duplicados","OK"))))</f>
        <v/>
      </c>
    </row>
    <row r="474" ht="15" customHeight="1" s="131">
      <c r="A474" s="220" t="n"/>
      <c r="B474" s="222" t="n"/>
      <c r="C474" s="220" t="n"/>
      <c r="D474" s="220" t="n"/>
      <c r="E474" s="220" t="n"/>
      <c r="F474" s="220" t="n"/>
      <c r="G474" s="169">
        <f>IFERROR((D474-F474)/C474*100,"")</f>
        <v/>
      </c>
      <c r="H474" s="219" t="n"/>
      <c r="I474" s="220" t="n"/>
      <c r="J474" s="221">
        <f>IF(COUNTA(A474:F474)=0,"",IF(OR(C474&lt;0,D474&lt;0,E474&lt;0,F474&lt;0),"ERRO: valor negativo",IF(C474&lt;&gt;SUM(D474:F474),"ERRO: categorias diferem dos respondentes",IF(COUNTIFS($A$5:$A$1200,A474,$B$5:$B$1200,B474)&gt;1,"ERRO: período e curso duplicados","OK"))))</f>
        <v/>
      </c>
    </row>
    <row r="475" ht="15" customHeight="1" s="131">
      <c r="A475" s="220" t="n"/>
      <c r="B475" s="222" t="n"/>
      <c r="C475" s="220" t="n"/>
      <c r="D475" s="220" t="n"/>
      <c r="E475" s="220" t="n"/>
      <c r="F475" s="220" t="n"/>
      <c r="G475" s="169">
        <f>IFERROR((D475-F475)/C475*100,"")</f>
        <v/>
      </c>
      <c r="H475" s="219" t="n"/>
      <c r="I475" s="220" t="n"/>
      <c r="J475" s="221">
        <f>IF(COUNTA(A475:F475)=0,"",IF(OR(C475&lt;0,D475&lt;0,E475&lt;0,F475&lt;0),"ERRO: valor negativo",IF(C475&lt;&gt;SUM(D475:F475),"ERRO: categorias diferem dos respondentes",IF(COUNTIFS($A$5:$A$1200,A475,$B$5:$B$1200,B475)&gt;1,"ERRO: período e curso duplicados","OK"))))</f>
        <v/>
      </c>
    </row>
    <row r="476" ht="15" customHeight="1" s="131">
      <c r="A476" s="220" t="n"/>
      <c r="B476" s="222" t="n"/>
      <c r="C476" s="220" t="n"/>
      <c r="D476" s="220" t="n"/>
      <c r="E476" s="220" t="n"/>
      <c r="F476" s="220" t="n"/>
      <c r="G476" s="169">
        <f>IFERROR((D476-F476)/C476*100,"")</f>
        <v/>
      </c>
      <c r="H476" s="219" t="n"/>
      <c r="I476" s="220" t="n"/>
      <c r="J476" s="221">
        <f>IF(COUNTA(A476:F476)=0,"",IF(OR(C476&lt;0,D476&lt;0,E476&lt;0,F476&lt;0),"ERRO: valor negativo",IF(C476&lt;&gt;SUM(D476:F476),"ERRO: categorias diferem dos respondentes",IF(COUNTIFS($A$5:$A$1200,A476,$B$5:$B$1200,B476)&gt;1,"ERRO: período e curso duplicados","OK"))))</f>
        <v/>
      </c>
    </row>
    <row r="477" ht="15" customHeight="1" s="131">
      <c r="A477" s="220" t="n"/>
      <c r="B477" s="222" t="n"/>
      <c r="C477" s="220" t="n"/>
      <c r="D477" s="220" t="n"/>
      <c r="E477" s="220" t="n"/>
      <c r="F477" s="220" t="n"/>
      <c r="G477" s="169">
        <f>IFERROR((D477-F477)/C477*100,"")</f>
        <v/>
      </c>
      <c r="H477" s="219" t="n"/>
      <c r="I477" s="220" t="n"/>
      <c r="J477" s="221">
        <f>IF(COUNTA(A477:F477)=0,"",IF(OR(C477&lt;0,D477&lt;0,E477&lt;0,F477&lt;0),"ERRO: valor negativo",IF(C477&lt;&gt;SUM(D477:F477),"ERRO: categorias diferem dos respondentes",IF(COUNTIFS($A$5:$A$1200,A477,$B$5:$B$1200,B477)&gt;1,"ERRO: período e curso duplicados","OK"))))</f>
        <v/>
      </c>
    </row>
    <row r="478" ht="15" customHeight="1" s="131">
      <c r="A478" s="220" t="n"/>
      <c r="B478" s="222" t="n"/>
      <c r="C478" s="220" t="n"/>
      <c r="D478" s="220" t="n"/>
      <c r="E478" s="220" t="n"/>
      <c r="F478" s="220" t="n"/>
      <c r="G478" s="169">
        <f>IFERROR((D478-F478)/C478*100,"")</f>
        <v/>
      </c>
      <c r="H478" s="219" t="n"/>
      <c r="I478" s="220" t="n"/>
      <c r="J478" s="221">
        <f>IF(COUNTA(A478:F478)=0,"",IF(OR(C478&lt;0,D478&lt;0,E478&lt;0,F478&lt;0),"ERRO: valor negativo",IF(C478&lt;&gt;SUM(D478:F478),"ERRO: categorias diferem dos respondentes",IF(COUNTIFS($A$5:$A$1200,A478,$B$5:$B$1200,B478)&gt;1,"ERRO: período e curso duplicados","OK"))))</f>
        <v/>
      </c>
    </row>
    <row r="479" ht="15" customHeight="1" s="131">
      <c r="A479" s="220" t="n"/>
      <c r="B479" s="222" t="n"/>
      <c r="C479" s="220" t="n"/>
      <c r="D479" s="220" t="n"/>
      <c r="E479" s="220" t="n"/>
      <c r="F479" s="220" t="n"/>
      <c r="G479" s="169">
        <f>IFERROR((D479-F479)/C479*100,"")</f>
        <v/>
      </c>
      <c r="H479" s="219" t="n"/>
      <c r="I479" s="220" t="n"/>
      <c r="J479" s="221">
        <f>IF(COUNTA(A479:F479)=0,"",IF(OR(C479&lt;0,D479&lt;0,E479&lt;0,F479&lt;0),"ERRO: valor negativo",IF(C479&lt;&gt;SUM(D479:F479),"ERRO: categorias diferem dos respondentes",IF(COUNTIFS($A$5:$A$1200,A479,$B$5:$B$1200,B479)&gt;1,"ERRO: período e curso duplicados","OK"))))</f>
        <v/>
      </c>
    </row>
    <row r="480" ht="15" customHeight="1" s="131">
      <c r="A480" s="220" t="n"/>
      <c r="B480" s="222" t="n"/>
      <c r="C480" s="220" t="n"/>
      <c r="D480" s="220" t="n"/>
      <c r="E480" s="220" t="n"/>
      <c r="F480" s="220" t="n"/>
      <c r="G480" s="169">
        <f>IFERROR((D480-F480)/C480*100,"")</f>
        <v/>
      </c>
      <c r="H480" s="219" t="n"/>
      <c r="I480" s="220" t="n"/>
      <c r="J480" s="221">
        <f>IF(COUNTA(A480:F480)=0,"",IF(OR(C480&lt;0,D480&lt;0,E480&lt;0,F480&lt;0),"ERRO: valor negativo",IF(C480&lt;&gt;SUM(D480:F480),"ERRO: categorias diferem dos respondentes",IF(COUNTIFS($A$5:$A$1200,A480,$B$5:$B$1200,B480)&gt;1,"ERRO: período e curso duplicados","OK"))))</f>
        <v/>
      </c>
    </row>
    <row r="481" ht="15" customHeight="1" s="131">
      <c r="A481" s="220" t="n"/>
      <c r="B481" s="222" t="n"/>
      <c r="C481" s="220" t="n"/>
      <c r="D481" s="220" t="n"/>
      <c r="E481" s="220" t="n"/>
      <c r="F481" s="220" t="n"/>
      <c r="G481" s="169">
        <f>IFERROR((D481-F481)/C481*100,"")</f>
        <v/>
      </c>
      <c r="H481" s="219" t="n"/>
      <c r="I481" s="220" t="n"/>
      <c r="J481" s="221">
        <f>IF(COUNTA(A481:F481)=0,"",IF(OR(C481&lt;0,D481&lt;0,E481&lt;0,F481&lt;0),"ERRO: valor negativo",IF(C481&lt;&gt;SUM(D481:F481),"ERRO: categorias diferem dos respondentes",IF(COUNTIFS($A$5:$A$1200,A481,$B$5:$B$1200,B481)&gt;1,"ERRO: período e curso duplicados","OK"))))</f>
        <v/>
      </c>
    </row>
    <row r="482" ht="15" customHeight="1" s="131">
      <c r="A482" s="220" t="n"/>
      <c r="B482" s="222" t="n"/>
      <c r="C482" s="220" t="n"/>
      <c r="D482" s="220" t="n"/>
      <c r="E482" s="220" t="n"/>
      <c r="F482" s="220" t="n"/>
      <c r="G482" s="169">
        <f>IFERROR((D482-F482)/C482*100,"")</f>
        <v/>
      </c>
      <c r="H482" s="219" t="n"/>
      <c r="I482" s="220" t="n"/>
      <c r="J482" s="221">
        <f>IF(COUNTA(A482:F482)=0,"",IF(OR(C482&lt;0,D482&lt;0,E482&lt;0,F482&lt;0),"ERRO: valor negativo",IF(C482&lt;&gt;SUM(D482:F482),"ERRO: categorias diferem dos respondentes",IF(COUNTIFS($A$5:$A$1200,A482,$B$5:$B$1200,B482)&gt;1,"ERRO: período e curso duplicados","OK"))))</f>
        <v/>
      </c>
    </row>
    <row r="483" ht="15" customHeight="1" s="131">
      <c r="A483" s="220" t="n"/>
      <c r="B483" s="222" t="n"/>
      <c r="C483" s="220" t="n"/>
      <c r="D483" s="220" t="n"/>
      <c r="E483" s="220" t="n"/>
      <c r="F483" s="220" t="n"/>
      <c r="G483" s="169">
        <f>IFERROR((D483-F483)/C483*100,"")</f>
        <v/>
      </c>
      <c r="H483" s="219" t="n"/>
      <c r="I483" s="220" t="n"/>
      <c r="J483" s="221">
        <f>IF(COUNTA(A483:F483)=0,"",IF(OR(C483&lt;0,D483&lt;0,E483&lt;0,F483&lt;0),"ERRO: valor negativo",IF(C483&lt;&gt;SUM(D483:F483),"ERRO: categorias diferem dos respondentes",IF(COUNTIFS($A$5:$A$1200,A483,$B$5:$B$1200,B483)&gt;1,"ERRO: período e curso duplicados","OK"))))</f>
        <v/>
      </c>
    </row>
    <row r="484" ht="15" customHeight="1" s="131">
      <c r="A484" s="220" t="n"/>
      <c r="B484" s="222" t="n"/>
      <c r="C484" s="220" t="n"/>
      <c r="D484" s="220" t="n"/>
      <c r="E484" s="220" t="n"/>
      <c r="F484" s="220" t="n"/>
      <c r="G484" s="169">
        <f>IFERROR((D484-F484)/C484*100,"")</f>
        <v/>
      </c>
      <c r="H484" s="219" t="n"/>
      <c r="I484" s="220" t="n"/>
      <c r="J484" s="221">
        <f>IF(COUNTA(A484:F484)=0,"",IF(OR(C484&lt;0,D484&lt;0,E484&lt;0,F484&lt;0),"ERRO: valor negativo",IF(C484&lt;&gt;SUM(D484:F484),"ERRO: categorias diferem dos respondentes",IF(COUNTIFS($A$5:$A$1200,A484,$B$5:$B$1200,B484)&gt;1,"ERRO: período e curso duplicados","OK"))))</f>
        <v/>
      </c>
    </row>
    <row r="485" ht="15" customHeight="1" s="131">
      <c r="A485" s="220" t="n"/>
      <c r="B485" s="222" t="n"/>
      <c r="C485" s="220" t="n"/>
      <c r="D485" s="220" t="n"/>
      <c r="E485" s="220" t="n"/>
      <c r="F485" s="220" t="n"/>
      <c r="G485" s="169">
        <f>IFERROR((D485-F485)/C485*100,"")</f>
        <v/>
      </c>
      <c r="H485" s="219" t="n"/>
      <c r="I485" s="220" t="n"/>
      <c r="J485" s="221">
        <f>IF(COUNTA(A485:F485)=0,"",IF(OR(C485&lt;0,D485&lt;0,E485&lt;0,F485&lt;0),"ERRO: valor negativo",IF(C485&lt;&gt;SUM(D485:F485),"ERRO: categorias diferem dos respondentes",IF(COUNTIFS($A$5:$A$1200,A485,$B$5:$B$1200,B485)&gt;1,"ERRO: período e curso duplicados","OK"))))</f>
        <v/>
      </c>
    </row>
    <row r="486" ht="15" customHeight="1" s="131">
      <c r="A486" s="220" t="n"/>
      <c r="B486" s="222" t="n"/>
      <c r="C486" s="220" t="n"/>
      <c r="D486" s="220" t="n"/>
      <c r="E486" s="220" t="n"/>
      <c r="F486" s="220" t="n"/>
      <c r="G486" s="169">
        <f>IFERROR((D486-F486)/C486*100,"")</f>
        <v/>
      </c>
      <c r="H486" s="219" t="n"/>
      <c r="I486" s="220" t="n"/>
      <c r="J486" s="221">
        <f>IF(COUNTA(A486:F486)=0,"",IF(OR(C486&lt;0,D486&lt;0,E486&lt;0,F486&lt;0),"ERRO: valor negativo",IF(C486&lt;&gt;SUM(D486:F486),"ERRO: categorias diferem dos respondentes",IF(COUNTIFS($A$5:$A$1200,A486,$B$5:$B$1200,B486)&gt;1,"ERRO: período e curso duplicados","OK"))))</f>
        <v/>
      </c>
    </row>
    <row r="487" ht="15" customHeight="1" s="131">
      <c r="A487" s="220" t="n"/>
      <c r="B487" s="222" t="n"/>
      <c r="C487" s="220" t="n"/>
      <c r="D487" s="220" t="n"/>
      <c r="E487" s="220" t="n"/>
      <c r="F487" s="220" t="n"/>
      <c r="G487" s="169">
        <f>IFERROR((D487-F487)/C487*100,"")</f>
        <v/>
      </c>
      <c r="H487" s="219" t="n"/>
      <c r="I487" s="220" t="n"/>
      <c r="J487" s="221">
        <f>IF(COUNTA(A487:F487)=0,"",IF(OR(C487&lt;0,D487&lt;0,E487&lt;0,F487&lt;0),"ERRO: valor negativo",IF(C487&lt;&gt;SUM(D487:F487),"ERRO: categorias diferem dos respondentes",IF(COUNTIFS($A$5:$A$1200,A487,$B$5:$B$1200,B487)&gt;1,"ERRO: período e curso duplicados","OK"))))</f>
        <v/>
      </c>
    </row>
    <row r="488" ht="15" customHeight="1" s="131">
      <c r="A488" s="220" t="n"/>
      <c r="B488" s="222" t="n"/>
      <c r="C488" s="220" t="n"/>
      <c r="D488" s="220" t="n"/>
      <c r="E488" s="220" t="n"/>
      <c r="F488" s="220" t="n"/>
      <c r="G488" s="169">
        <f>IFERROR((D488-F488)/C488*100,"")</f>
        <v/>
      </c>
      <c r="H488" s="219" t="n"/>
      <c r="I488" s="220" t="n"/>
      <c r="J488" s="221">
        <f>IF(COUNTA(A488:F488)=0,"",IF(OR(C488&lt;0,D488&lt;0,E488&lt;0,F488&lt;0),"ERRO: valor negativo",IF(C488&lt;&gt;SUM(D488:F488),"ERRO: categorias diferem dos respondentes",IF(COUNTIFS($A$5:$A$1200,A488,$B$5:$B$1200,B488)&gt;1,"ERRO: período e curso duplicados","OK"))))</f>
        <v/>
      </c>
    </row>
    <row r="489" ht="15" customHeight="1" s="131">
      <c r="A489" s="220" t="n"/>
      <c r="B489" s="222" t="n"/>
      <c r="C489" s="220" t="n"/>
      <c r="D489" s="220" t="n"/>
      <c r="E489" s="220" t="n"/>
      <c r="F489" s="220" t="n"/>
      <c r="G489" s="169">
        <f>IFERROR((D489-F489)/C489*100,"")</f>
        <v/>
      </c>
      <c r="H489" s="219" t="n"/>
      <c r="I489" s="220" t="n"/>
      <c r="J489" s="221">
        <f>IF(COUNTA(A489:F489)=0,"",IF(OR(C489&lt;0,D489&lt;0,E489&lt;0,F489&lt;0),"ERRO: valor negativo",IF(C489&lt;&gt;SUM(D489:F489),"ERRO: categorias diferem dos respondentes",IF(COUNTIFS($A$5:$A$1200,A489,$B$5:$B$1200,B489)&gt;1,"ERRO: período e curso duplicados","OK"))))</f>
        <v/>
      </c>
    </row>
    <row r="490" ht="15" customHeight="1" s="131">
      <c r="A490" s="220" t="n"/>
      <c r="B490" s="222" t="n"/>
      <c r="C490" s="220" t="n"/>
      <c r="D490" s="220" t="n"/>
      <c r="E490" s="220" t="n"/>
      <c r="F490" s="220" t="n"/>
      <c r="G490" s="169">
        <f>IFERROR((D490-F490)/C490*100,"")</f>
        <v/>
      </c>
      <c r="H490" s="219" t="n"/>
      <c r="I490" s="220" t="n"/>
      <c r="J490" s="221">
        <f>IF(COUNTA(A490:F490)=0,"",IF(OR(C490&lt;0,D490&lt;0,E490&lt;0,F490&lt;0),"ERRO: valor negativo",IF(C490&lt;&gt;SUM(D490:F490),"ERRO: categorias diferem dos respondentes",IF(COUNTIFS($A$5:$A$1200,A490,$B$5:$B$1200,B490)&gt;1,"ERRO: período e curso duplicados","OK"))))</f>
        <v/>
      </c>
    </row>
    <row r="491" ht="15" customHeight="1" s="131">
      <c r="A491" s="220" t="n"/>
      <c r="B491" s="222" t="n"/>
      <c r="C491" s="220" t="n"/>
      <c r="D491" s="220" t="n"/>
      <c r="E491" s="220" t="n"/>
      <c r="F491" s="220" t="n"/>
      <c r="G491" s="169">
        <f>IFERROR((D491-F491)/C491*100,"")</f>
        <v/>
      </c>
      <c r="H491" s="219" t="n"/>
      <c r="I491" s="220" t="n"/>
      <c r="J491" s="221">
        <f>IF(COUNTA(A491:F491)=0,"",IF(OR(C491&lt;0,D491&lt;0,E491&lt;0,F491&lt;0),"ERRO: valor negativo",IF(C491&lt;&gt;SUM(D491:F491),"ERRO: categorias diferem dos respondentes",IF(COUNTIFS($A$5:$A$1200,A491,$B$5:$B$1200,B491)&gt;1,"ERRO: período e curso duplicados","OK"))))</f>
        <v/>
      </c>
    </row>
    <row r="492" ht="15" customHeight="1" s="131">
      <c r="A492" s="220" t="n"/>
      <c r="B492" s="222" t="n"/>
      <c r="C492" s="220" t="n"/>
      <c r="D492" s="220" t="n"/>
      <c r="E492" s="220" t="n"/>
      <c r="F492" s="220" t="n"/>
      <c r="G492" s="169">
        <f>IFERROR((D492-F492)/C492*100,"")</f>
        <v/>
      </c>
      <c r="H492" s="219" t="n"/>
      <c r="I492" s="220" t="n"/>
      <c r="J492" s="221">
        <f>IF(COUNTA(A492:F492)=0,"",IF(OR(C492&lt;0,D492&lt;0,E492&lt;0,F492&lt;0),"ERRO: valor negativo",IF(C492&lt;&gt;SUM(D492:F492),"ERRO: categorias diferem dos respondentes",IF(COUNTIFS($A$5:$A$1200,A492,$B$5:$B$1200,B492)&gt;1,"ERRO: período e curso duplicados","OK"))))</f>
        <v/>
      </c>
    </row>
    <row r="493" ht="15" customHeight="1" s="131">
      <c r="A493" s="220" t="n"/>
      <c r="B493" s="222" t="n"/>
      <c r="C493" s="220" t="n"/>
      <c r="D493" s="220" t="n"/>
      <c r="E493" s="220" t="n"/>
      <c r="F493" s="220" t="n"/>
      <c r="G493" s="169">
        <f>IFERROR((D493-F493)/C493*100,"")</f>
        <v/>
      </c>
      <c r="H493" s="219" t="n"/>
      <c r="I493" s="220" t="n"/>
      <c r="J493" s="221">
        <f>IF(COUNTA(A493:F493)=0,"",IF(OR(C493&lt;0,D493&lt;0,E493&lt;0,F493&lt;0),"ERRO: valor negativo",IF(C493&lt;&gt;SUM(D493:F493),"ERRO: categorias diferem dos respondentes",IF(COUNTIFS($A$5:$A$1200,A493,$B$5:$B$1200,B493)&gt;1,"ERRO: período e curso duplicados","OK"))))</f>
        <v/>
      </c>
    </row>
    <row r="494" ht="15" customHeight="1" s="131">
      <c r="A494" s="220" t="n"/>
      <c r="B494" s="222" t="n"/>
      <c r="C494" s="220" t="n"/>
      <c r="D494" s="220" t="n"/>
      <c r="E494" s="220" t="n"/>
      <c r="F494" s="220" t="n"/>
      <c r="G494" s="169">
        <f>IFERROR((D494-F494)/C494*100,"")</f>
        <v/>
      </c>
      <c r="H494" s="219" t="n"/>
      <c r="I494" s="220" t="n"/>
      <c r="J494" s="221">
        <f>IF(COUNTA(A494:F494)=0,"",IF(OR(C494&lt;0,D494&lt;0,E494&lt;0,F494&lt;0),"ERRO: valor negativo",IF(C494&lt;&gt;SUM(D494:F494),"ERRO: categorias diferem dos respondentes",IF(COUNTIFS($A$5:$A$1200,A494,$B$5:$B$1200,B494)&gt;1,"ERRO: período e curso duplicados","OK"))))</f>
        <v/>
      </c>
    </row>
    <row r="495" ht="15" customHeight="1" s="131">
      <c r="A495" s="220" t="n"/>
      <c r="B495" s="222" t="n"/>
      <c r="C495" s="220" t="n"/>
      <c r="D495" s="220" t="n"/>
      <c r="E495" s="220" t="n"/>
      <c r="F495" s="220" t="n"/>
      <c r="G495" s="169">
        <f>IFERROR((D495-F495)/C495*100,"")</f>
        <v/>
      </c>
      <c r="H495" s="219" t="n"/>
      <c r="I495" s="220" t="n"/>
      <c r="J495" s="221">
        <f>IF(COUNTA(A495:F495)=0,"",IF(OR(C495&lt;0,D495&lt;0,E495&lt;0,F495&lt;0),"ERRO: valor negativo",IF(C495&lt;&gt;SUM(D495:F495),"ERRO: categorias diferem dos respondentes",IF(COUNTIFS($A$5:$A$1200,A495,$B$5:$B$1200,B495)&gt;1,"ERRO: período e curso duplicados","OK"))))</f>
        <v/>
      </c>
    </row>
    <row r="496" ht="15" customHeight="1" s="131">
      <c r="A496" s="220" t="n"/>
      <c r="B496" s="222" t="n"/>
      <c r="C496" s="220" t="n"/>
      <c r="D496" s="220" t="n"/>
      <c r="E496" s="220" t="n"/>
      <c r="F496" s="220" t="n"/>
      <c r="G496" s="169">
        <f>IFERROR((D496-F496)/C496*100,"")</f>
        <v/>
      </c>
      <c r="H496" s="219" t="n"/>
      <c r="I496" s="220" t="n"/>
      <c r="J496" s="221">
        <f>IF(COUNTA(A496:F496)=0,"",IF(OR(C496&lt;0,D496&lt;0,E496&lt;0,F496&lt;0),"ERRO: valor negativo",IF(C496&lt;&gt;SUM(D496:F496),"ERRO: categorias diferem dos respondentes",IF(COUNTIFS($A$5:$A$1200,A496,$B$5:$B$1200,B496)&gt;1,"ERRO: período e curso duplicados","OK"))))</f>
        <v/>
      </c>
    </row>
    <row r="497" ht="15" customHeight="1" s="131">
      <c r="A497" s="220" t="n"/>
      <c r="B497" s="222" t="n"/>
      <c r="C497" s="220" t="n"/>
      <c r="D497" s="220" t="n"/>
      <c r="E497" s="220" t="n"/>
      <c r="F497" s="220" t="n"/>
      <c r="G497" s="169">
        <f>IFERROR((D497-F497)/C497*100,"")</f>
        <v/>
      </c>
      <c r="H497" s="219" t="n"/>
      <c r="I497" s="220" t="n"/>
      <c r="J497" s="221">
        <f>IF(COUNTA(A497:F497)=0,"",IF(OR(C497&lt;0,D497&lt;0,E497&lt;0,F497&lt;0),"ERRO: valor negativo",IF(C497&lt;&gt;SUM(D497:F497),"ERRO: categorias diferem dos respondentes",IF(COUNTIFS($A$5:$A$1200,A497,$B$5:$B$1200,B497)&gt;1,"ERRO: período e curso duplicados","OK"))))</f>
        <v/>
      </c>
    </row>
    <row r="498" ht="15" customHeight="1" s="131">
      <c r="A498" s="220" t="n"/>
      <c r="B498" s="222" t="n"/>
      <c r="C498" s="220" t="n"/>
      <c r="D498" s="220" t="n"/>
      <c r="E498" s="220" t="n"/>
      <c r="F498" s="220" t="n"/>
      <c r="G498" s="169">
        <f>IFERROR((D498-F498)/C498*100,"")</f>
        <v/>
      </c>
      <c r="H498" s="219" t="n"/>
      <c r="I498" s="220" t="n"/>
      <c r="J498" s="221">
        <f>IF(COUNTA(A498:F498)=0,"",IF(OR(C498&lt;0,D498&lt;0,E498&lt;0,F498&lt;0),"ERRO: valor negativo",IF(C498&lt;&gt;SUM(D498:F498),"ERRO: categorias diferem dos respondentes",IF(COUNTIFS($A$5:$A$1200,A498,$B$5:$B$1200,B498)&gt;1,"ERRO: período e curso duplicados","OK"))))</f>
        <v/>
      </c>
    </row>
    <row r="499" ht="15" customHeight="1" s="131">
      <c r="A499" s="220" t="n"/>
      <c r="B499" s="222" t="n"/>
      <c r="C499" s="220" t="n"/>
      <c r="D499" s="220" t="n"/>
      <c r="E499" s="220" t="n"/>
      <c r="F499" s="220" t="n"/>
      <c r="G499" s="169">
        <f>IFERROR((D499-F499)/C499*100,"")</f>
        <v/>
      </c>
      <c r="H499" s="219" t="n"/>
      <c r="I499" s="220" t="n"/>
      <c r="J499" s="221">
        <f>IF(COUNTA(A499:F499)=0,"",IF(OR(C499&lt;0,D499&lt;0,E499&lt;0,F499&lt;0),"ERRO: valor negativo",IF(C499&lt;&gt;SUM(D499:F499),"ERRO: categorias diferem dos respondentes",IF(COUNTIFS($A$5:$A$1200,A499,$B$5:$B$1200,B499)&gt;1,"ERRO: período e curso duplicados","OK"))))</f>
        <v/>
      </c>
    </row>
    <row r="500" ht="15" customHeight="1" s="131">
      <c r="A500" s="220" t="n"/>
      <c r="B500" s="222" t="n"/>
      <c r="C500" s="220" t="n"/>
      <c r="D500" s="220" t="n"/>
      <c r="E500" s="220" t="n"/>
      <c r="F500" s="220" t="n"/>
      <c r="G500" s="169">
        <f>IFERROR((D500-F500)/C500*100,"")</f>
        <v/>
      </c>
      <c r="H500" s="219" t="n"/>
      <c r="I500" s="220" t="n"/>
      <c r="J500" s="221">
        <f>IF(COUNTA(A500:F500)=0,"",IF(OR(C500&lt;0,D500&lt;0,E500&lt;0,F500&lt;0),"ERRO: valor negativo",IF(C500&lt;&gt;SUM(D500:F500),"ERRO: categorias diferem dos respondentes",IF(COUNTIFS($A$5:$A$1200,A500,$B$5:$B$1200,B500)&gt;1,"ERRO: período e curso duplicados","OK"))))</f>
        <v/>
      </c>
    </row>
    <row r="501" ht="15" customHeight="1" s="131">
      <c r="A501" s="220" t="n"/>
      <c r="B501" s="222" t="n"/>
      <c r="C501" s="220" t="n"/>
      <c r="D501" s="220" t="n"/>
      <c r="E501" s="220" t="n"/>
      <c r="F501" s="220" t="n"/>
      <c r="G501" s="169">
        <f>IFERROR((D501-F501)/C501*100,"")</f>
        <v/>
      </c>
      <c r="H501" s="219" t="n"/>
      <c r="I501" s="220" t="n"/>
      <c r="J501" s="221">
        <f>IF(COUNTA(A501:F501)=0,"",IF(OR(C501&lt;0,D501&lt;0,E501&lt;0,F501&lt;0),"ERRO: valor negativo",IF(C501&lt;&gt;SUM(D501:F501),"ERRO: categorias diferem dos respondentes",IF(COUNTIFS($A$5:$A$1200,A501,$B$5:$B$1200,B501)&gt;1,"ERRO: período e curso duplicados","OK"))))</f>
        <v/>
      </c>
    </row>
    <row r="502" ht="15" customHeight="1" s="131">
      <c r="A502" s="220" t="n"/>
      <c r="B502" s="222" t="n"/>
      <c r="C502" s="220" t="n"/>
      <c r="D502" s="220" t="n"/>
      <c r="E502" s="220" t="n"/>
      <c r="F502" s="220" t="n"/>
      <c r="G502" s="169">
        <f>IFERROR((D502-F502)/C502*100,"")</f>
        <v/>
      </c>
      <c r="H502" s="219" t="n"/>
      <c r="I502" s="220" t="n"/>
      <c r="J502" s="221">
        <f>IF(COUNTA(A502:F502)=0,"",IF(OR(C502&lt;0,D502&lt;0,E502&lt;0,F502&lt;0),"ERRO: valor negativo",IF(C502&lt;&gt;SUM(D502:F502),"ERRO: categorias diferem dos respondentes",IF(COUNTIFS($A$5:$A$1200,A502,$B$5:$B$1200,B502)&gt;1,"ERRO: período e curso duplicados","OK"))))</f>
        <v/>
      </c>
    </row>
    <row r="503" ht="15" customHeight="1" s="131">
      <c r="A503" s="220" t="n"/>
      <c r="B503" s="222" t="n"/>
      <c r="C503" s="220" t="n"/>
      <c r="D503" s="220" t="n"/>
      <c r="E503" s="220" t="n"/>
      <c r="F503" s="220" t="n"/>
      <c r="G503" s="169">
        <f>IFERROR((D503-F503)/C503*100,"")</f>
        <v/>
      </c>
      <c r="H503" s="219" t="n"/>
      <c r="I503" s="220" t="n"/>
      <c r="J503" s="221">
        <f>IF(COUNTA(A503:F503)=0,"",IF(OR(C503&lt;0,D503&lt;0,E503&lt;0,F503&lt;0),"ERRO: valor negativo",IF(C503&lt;&gt;SUM(D503:F503),"ERRO: categorias diferem dos respondentes",IF(COUNTIFS($A$5:$A$1200,A503,$B$5:$B$1200,B503)&gt;1,"ERRO: período e curso duplicados","OK"))))</f>
        <v/>
      </c>
    </row>
    <row r="504" ht="15" customHeight="1" s="131">
      <c r="A504" s="220" t="n"/>
      <c r="B504" s="222" t="n"/>
      <c r="C504" s="220" t="n"/>
      <c r="D504" s="220" t="n"/>
      <c r="E504" s="220" t="n"/>
      <c r="F504" s="220" t="n"/>
      <c r="G504" s="169">
        <f>IFERROR((D504-F504)/C504*100,"")</f>
        <v/>
      </c>
      <c r="H504" s="219" t="n"/>
      <c r="I504" s="220" t="n"/>
      <c r="J504" s="221">
        <f>IF(COUNTA(A504:F504)=0,"",IF(OR(C504&lt;0,D504&lt;0,E504&lt;0,F504&lt;0),"ERRO: valor negativo",IF(C504&lt;&gt;SUM(D504:F504),"ERRO: categorias diferem dos respondentes",IF(COUNTIFS($A$5:$A$1200,A504,$B$5:$B$1200,B504)&gt;1,"ERRO: período e curso duplicados","OK"))))</f>
        <v/>
      </c>
    </row>
    <row r="505" ht="15" customHeight="1" s="131">
      <c r="A505" s="220" t="n"/>
      <c r="B505" s="222" t="n"/>
      <c r="C505" s="220" t="n"/>
      <c r="D505" s="220" t="n"/>
      <c r="E505" s="220" t="n"/>
      <c r="F505" s="220" t="n"/>
      <c r="G505" s="169">
        <f>IFERROR((D505-F505)/C505*100,"")</f>
        <v/>
      </c>
      <c r="H505" s="219" t="n"/>
      <c r="I505" s="220" t="n"/>
      <c r="J505" s="221">
        <f>IF(COUNTA(A505:F505)=0,"",IF(OR(C505&lt;0,D505&lt;0,E505&lt;0,F505&lt;0),"ERRO: valor negativo",IF(C505&lt;&gt;SUM(D505:F505),"ERRO: categorias diferem dos respondentes",IF(COUNTIFS($A$5:$A$1200,A505,$B$5:$B$1200,B505)&gt;1,"ERRO: período e curso duplicados","OK"))))</f>
        <v/>
      </c>
    </row>
    <row r="506" ht="15" customHeight="1" s="131">
      <c r="A506" s="220" t="n"/>
      <c r="B506" s="222" t="n"/>
      <c r="C506" s="220" t="n"/>
      <c r="D506" s="220" t="n"/>
      <c r="E506" s="220" t="n"/>
      <c r="F506" s="220" t="n"/>
      <c r="G506" s="169">
        <f>IFERROR((D506-F506)/C506*100,"")</f>
        <v/>
      </c>
      <c r="H506" s="219" t="n"/>
      <c r="I506" s="220" t="n"/>
      <c r="J506" s="221">
        <f>IF(COUNTA(A506:F506)=0,"",IF(OR(C506&lt;0,D506&lt;0,E506&lt;0,F506&lt;0),"ERRO: valor negativo",IF(C506&lt;&gt;SUM(D506:F506),"ERRO: categorias diferem dos respondentes",IF(COUNTIFS($A$5:$A$1200,A506,$B$5:$B$1200,B506)&gt;1,"ERRO: período e curso duplicados","OK"))))</f>
        <v/>
      </c>
    </row>
    <row r="507" ht="15" customHeight="1" s="131">
      <c r="A507" s="220" t="n"/>
      <c r="B507" s="222" t="n"/>
      <c r="C507" s="220" t="n"/>
      <c r="D507" s="220" t="n"/>
      <c r="E507" s="220" t="n"/>
      <c r="F507" s="220" t="n"/>
      <c r="G507" s="169">
        <f>IFERROR((D507-F507)/C507*100,"")</f>
        <v/>
      </c>
      <c r="H507" s="219" t="n"/>
      <c r="I507" s="220" t="n"/>
      <c r="J507" s="221">
        <f>IF(COUNTA(A507:F507)=0,"",IF(OR(C507&lt;0,D507&lt;0,E507&lt;0,F507&lt;0),"ERRO: valor negativo",IF(C507&lt;&gt;SUM(D507:F507),"ERRO: categorias diferem dos respondentes",IF(COUNTIFS($A$5:$A$1200,A507,$B$5:$B$1200,B507)&gt;1,"ERRO: período e curso duplicados","OK"))))</f>
        <v/>
      </c>
    </row>
    <row r="508" ht="15" customHeight="1" s="131">
      <c r="A508" s="220" t="n"/>
      <c r="B508" s="222" t="n"/>
      <c r="C508" s="220" t="n"/>
      <c r="D508" s="220" t="n"/>
      <c r="E508" s="220" t="n"/>
      <c r="F508" s="220" t="n"/>
      <c r="G508" s="169">
        <f>IFERROR((D508-F508)/C508*100,"")</f>
        <v/>
      </c>
      <c r="H508" s="219" t="n"/>
      <c r="I508" s="220" t="n"/>
      <c r="J508" s="221">
        <f>IF(COUNTA(A508:F508)=0,"",IF(OR(C508&lt;0,D508&lt;0,E508&lt;0,F508&lt;0),"ERRO: valor negativo",IF(C508&lt;&gt;SUM(D508:F508),"ERRO: categorias diferem dos respondentes",IF(COUNTIFS($A$5:$A$1200,A508,$B$5:$B$1200,B508)&gt;1,"ERRO: período e curso duplicados","OK"))))</f>
        <v/>
      </c>
    </row>
    <row r="509" ht="15" customHeight="1" s="131">
      <c r="A509" s="220" t="n"/>
      <c r="B509" s="222" t="n"/>
      <c r="C509" s="220" t="n"/>
      <c r="D509" s="220" t="n"/>
      <c r="E509" s="220" t="n"/>
      <c r="F509" s="220" t="n"/>
      <c r="G509" s="169">
        <f>IFERROR((D509-F509)/C509*100,"")</f>
        <v/>
      </c>
      <c r="H509" s="219" t="n"/>
      <c r="I509" s="220" t="n"/>
      <c r="J509" s="221">
        <f>IF(COUNTA(A509:F509)=0,"",IF(OR(C509&lt;0,D509&lt;0,E509&lt;0,F509&lt;0),"ERRO: valor negativo",IF(C509&lt;&gt;SUM(D509:F509),"ERRO: categorias diferem dos respondentes",IF(COUNTIFS($A$5:$A$1200,A509,$B$5:$B$1200,B509)&gt;1,"ERRO: período e curso duplicados","OK"))))</f>
        <v/>
      </c>
    </row>
    <row r="510" ht="15" customHeight="1" s="131">
      <c r="A510" s="220" t="n"/>
      <c r="B510" s="222" t="n"/>
      <c r="C510" s="220" t="n"/>
      <c r="D510" s="220" t="n"/>
      <c r="E510" s="220" t="n"/>
      <c r="F510" s="220" t="n"/>
      <c r="G510" s="169">
        <f>IFERROR((D510-F510)/C510*100,"")</f>
        <v/>
      </c>
      <c r="H510" s="219" t="n"/>
      <c r="I510" s="220" t="n"/>
      <c r="J510" s="221">
        <f>IF(COUNTA(A510:F510)=0,"",IF(OR(C510&lt;0,D510&lt;0,E510&lt;0,F510&lt;0),"ERRO: valor negativo",IF(C510&lt;&gt;SUM(D510:F510),"ERRO: categorias diferem dos respondentes",IF(COUNTIFS($A$5:$A$1200,A510,$B$5:$B$1200,B510)&gt;1,"ERRO: período e curso duplicados","OK"))))</f>
        <v/>
      </c>
    </row>
    <row r="511" ht="15" customHeight="1" s="131">
      <c r="A511" s="220" t="n"/>
      <c r="B511" s="222" t="n"/>
      <c r="C511" s="220" t="n"/>
      <c r="D511" s="220" t="n"/>
      <c r="E511" s="220" t="n"/>
      <c r="F511" s="220" t="n"/>
      <c r="G511" s="169">
        <f>IFERROR((D511-F511)/C511*100,"")</f>
        <v/>
      </c>
      <c r="H511" s="219" t="n"/>
      <c r="I511" s="220" t="n"/>
      <c r="J511" s="221">
        <f>IF(COUNTA(A511:F511)=0,"",IF(OR(C511&lt;0,D511&lt;0,E511&lt;0,F511&lt;0),"ERRO: valor negativo",IF(C511&lt;&gt;SUM(D511:F511),"ERRO: categorias diferem dos respondentes",IF(COUNTIFS($A$5:$A$1200,A511,$B$5:$B$1200,B511)&gt;1,"ERRO: período e curso duplicados","OK"))))</f>
        <v/>
      </c>
    </row>
    <row r="512" ht="15" customHeight="1" s="131">
      <c r="A512" s="220" t="n"/>
      <c r="B512" s="222" t="n"/>
      <c r="C512" s="220" t="n"/>
      <c r="D512" s="220" t="n"/>
      <c r="E512" s="220" t="n"/>
      <c r="F512" s="220" t="n"/>
      <c r="G512" s="169">
        <f>IFERROR((D512-F512)/C512*100,"")</f>
        <v/>
      </c>
      <c r="H512" s="219" t="n"/>
      <c r="I512" s="220" t="n"/>
      <c r="J512" s="221">
        <f>IF(COUNTA(A512:F512)=0,"",IF(OR(C512&lt;0,D512&lt;0,E512&lt;0,F512&lt;0),"ERRO: valor negativo",IF(C512&lt;&gt;SUM(D512:F512),"ERRO: categorias diferem dos respondentes",IF(COUNTIFS($A$5:$A$1200,A512,$B$5:$B$1200,B512)&gt;1,"ERRO: período e curso duplicados","OK"))))</f>
        <v/>
      </c>
    </row>
    <row r="513" ht="15" customHeight="1" s="131">
      <c r="A513" s="220" t="n"/>
      <c r="B513" s="222" t="n"/>
      <c r="C513" s="220" t="n"/>
      <c r="D513" s="220" t="n"/>
      <c r="E513" s="220" t="n"/>
      <c r="F513" s="220" t="n"/>
      <c r="G513" s="169">
        <f>IFERROR((D513-F513)/C513*100,"")</f>
        <v/>
      </c>
      <c r="H513" s="219" t="n"/>
      <c r="I513" s="220" t="n"/>
      <c r="J513" s="221">
        <f>IF(COUNTA(A513:F513)=0,"",IF(OR(C513&lt;0,D513&lt;0,E513&lt;0,F513&lt;0),"ERRO: valor negativo",IF(C513&lt;&gt;SUM(D513:F513),"ERRO: categorias diferem dos respondentes",IF(COUNTIFS($A$5:$A$1200,A513,$B$5:$B$1200,B513)&gt;1,"ERRO: período e curso duplicados","OK"))))</f>
        <v/>
      </c>
    </row>
    <row r="514" ht="15" customHeight="1" s="131">
      <c r="A514" s="220" t="n"/>
      <c r="B514" s="222" t="n"/>
      <c r="C514" s="220" t="n"/>
      <c r="D514" s="220" t="n"/>
      <c r="E514" s="220" t="n"/>
      <c r="F514" s="220" t="n"/>
      <c r="G514" s="169">
        <f>IFERROR((D514-F514)/C514*100,"")</f>
        <v/>
      </c>
      <c r="H514" s="219" t="n"/>
      <c r="I514" s="220" t="n"/>
      <c r="J514" s="221">
        <f>IF(COUNTA(A514:F514)=0,"",IF(OR(C514&lt;0,D514&lt;0,E514&lt;0,F514&lt;0),"ERRO: valor negativo",IF(C514&lt;&gt;SUM(D514:F514),"ERRO: categorias diferem dos respondentes",IF(COUNTIFS($A$5:$A$1200,A514,$B$5:$B$1200,B514)&gt;1,"ERRO: período e curso duplicados","OK"))))</f>
        <v/>
      </c>
    </row>
    <row r="515" ht="15" customHeight="1" s="131">
      <c r="A515" s="220" t="n"/>
      <c r="B515" s="222" t="n"/>
      <c r="C515" s="220" t="n"/>
      <c r="D515" s="220" t="n"/>
      <c r="E515" s="220" t="n"/>
      <c r="F515" s="220" t="n"/>
      <c r="G515" s="169">
        <f>IFERROR((D515-F515)/C515*100,"")</f>
        <v/>
      </c>
      <c r="H515" s="219" t="n"/>
      <c r="I515" s="220" t="n"/>
      <c r="J515" s="221">
        <f>IF(COUNTA(A515:F515)=0,"",IF(OR(C515&lt;0,D515&lt;0,E515&lt;0,F515&lt;0),"ERRO: valor negativo",IF(C515&lt;&gt;SUM(D515:F515),"ERRO: categorias diferem dos respondentes",IF(COUNTIFS($A$5:$A$1200,A515,$B$5:$B$1200,B515)&gt;1,"ERRO: período e curso duplicados","OK"))))</f>
        <v/>
      </c>
    </row>
    <row r="516" ht="15" customHeight="1" s="131">
      <c r="A516" s="220" t="n"/>
      <c r="B516" s="222" t="n"/>
      <c r="C516" s="220" t="n"/>
      <c r="D516" s="220" t="n"/>
      <c r="E516" s="220" t="n"/>
      <c r="F516" s="220" t="n"/>
      <c r="G516" s="169">
        <f>IFERROR((D516-F516)/C516*100,"")</f>
        <v/>
      </c>
      <c r="H516" s="219" t="n"/>
      <c r="I516" s="220" t="n"/>
      <c r="J516" s="221">
        <f>IF(COUNTA(A516:F516)=0,"",IF(OR(C516&lt;0,D516&lt;0,E516&lt;0,F516&lt;0),"ERRO: valor negativo",IF(C516&lt;&gt;SUM(D516:F516),"ERRO: categorias diferem dos respondentes",IF(COUNTIFS($A$5:$A$1200,A516,$B$5:$B$1200,B516)&gt;1,"ERRO: período e curso duplicados","OK"))))</f>
        <v/>
      </c>
    </row>
    <row r="517" ht="15" customHeight="1" s="131">
      <c r="A517" s="220" t="n"/>
      <c r="B517" s="222" t="n"/>
      <c r="C517" s="220" t="n"/>
      <c r="D517" s="220" t="n"/>
      <c r="E517" s="220" t="n"/>
      <c r="F517" s="220" t="n"/>
      <c r="G517" s="169">
        <f>IFERROR((D517-F517)/C517*100,"")</f>
        <v/>
      </c>
      <c r="H517" s="219" t="n"/>
      <c r="I517" s="220" t="n"/>
      <c r="J517" s="221">
        <f>IF(COUNTA(A517:F517)=0,"",IF(OR(C517&lt;0,D517&lt;0,E517&lt;0,F517&lt;0),"ERRO: valor negativo",IF(C517&lt;&gt;SUM(D517:F517),"ERRO: categorias diferem dos respondentes",IF(COUNTIFS($A$5:$A$1200,A517,$B$5:$B$1200,B517)&gt;1,"ERRO: período e curso duplicados","OK"))))</f>
        <v/>
      </c>
    </row>
    <row r="518" ht="15" customHeight="1" s="131">
      <c r="A518" s="220" t="n"/>
      <c r="B518" s="222" t="n"/>
      <c r="C518" s="220" t="n"/>
      <c r="D518" s="220" t="n"/>
      <c r="E518" s="220" t="n"/>
      <c r="F518" s="220" t="n"/>
      <c r="G518" s="169">
        <f>IFERROR((D518-F518)/C518*100,"")</f>
        <v/>
      </c>
      <c r="H518" s="219" t="n"/>
      <c r="I518" s="220" t="n"/>
      <c r="J518" s="221">
        <f>IF(COUNTA(A518:F518)=0,"",IF(OR(C518&lt;0,D518&lt;0,E518&lt;0,F518&lt;0),"ERRO: valor negativo",IF(C518&lt;&gt;SUM(D518:F518),"ERRO: categorias diferem dos respondentes",IF(COUNTIFS($A$5:$A$1200,A518,$B$5:$B$1200,B518)&gt;1,"ERRO: período e curso duplicados","OK"))))</f>
        <v/>
      </c>
    </row>
    <row r="519" ht="15" customHeight="1" s="131">
      <c r="A519" s="220" t="n"/>
      <c r="B519" s="222" t="n"/>
      <c r="C519" s="220" t="n"/>
      <c r="D519" s="220" t="n"/>
      <c r="E519" s="220" t="n"/>
      <c r="F519" s="220" t="n"/>
      <c r="G519" s="169">
        <f>IFERROR((D519-F519)/C519*100,"")</f>
        <v/>
      </c>
      <c r="H519" s="219" t="n"/>
      <c r="I519" s="220" t="n"/>
      <c r="J519" s="221">
        <f>IF(COUNTA(A519:F519)=0,"",IF(OR(C519&lt;0,D519&lt;0,E519&lt;0,F519&lt;0),"ERRO: valor negativo",IF(C519&lt;&gt;SUM(D519:F519),"ERRO: categorias diferem dos respondentes",IF(COUNTIFS($A$5:$A$1200,A519,$B$5:$B$1200,B519)&gt;1,"ERRO: período e curso duplicados","OK"))))</f>
        <v/>
      </c>
    </row>
    <row r="520" ht="15" customHeight="1" s="131">
      <c r="A520" s="220" t="n"/>
      <c r="B520" s="222" t="n"/>
      <c r="C520" s="220" t="n"/>
      <c r="D520" s="220" t="n"/>
      <c r="E520" s="220" t="n"/>
      <c r="F520" s="220" t="n"/>
      <c r="G520" s="169">
        <f>IFERROR((D520-F520)/C520*100,"")</f>
        <v/>
      </c>
      <c r="H520" s="219" t="n"/>
      <c r="I520" s="220" t="n"/>
      <c r="J520" s="221">
        <f>IF(COUNTA(A520:F520)=0,"",IF(OR(C520&lt;0,D520&lt;0,E520&lt;0,F520&lt;0),"ERRO: valor negativo",IF(C520&lt;&gt;SUM(D520:F520),"ERRO: categorias diferem dos respondentes",IF(COUNTIFS($A$5:$A$1200,A520,$B$5:$B$1200,B520)&gt;1,"ERRO: período e curso duplicados","OK"))))</f>
        <v/>
      </c>
    </row>
    <row r="521" ht="15" customHeight="1" s="131">
      <c r="A521" s="220" t="n"/>
      <c r="B521" s="222" t="n"/>
      <c r="C521" s="220" t="n"/>
      <c r="D521" s="220" t="n"/>
      <c r="E521" s="220" t="n"/>
      <c r="F521" s="220" t="n"/>
      <c r="G521" s="169">
        <f>IFERROR((D521-F521)/C521*100,"")</f>
        <v/>
      </c>
      <c r="H521" s="219" t="n"/>
      <c r="I521" s="220" t="n"/>
      <c r="J521" s="221">
        <f>IF(COUNTA(A521:F521)=0,"",IF(OR(C521&lt;0,D521&lt;0,E521&lt;0,F521&lt;0),"ERRO: valor negativo",IF(C521&lt;&gt;SUM(D521:F521),"ERRO: categorias diferem dos respondentes",IF(COUNTIFS($A$5:$A$1200,A521,$B$5:$B$1200,B521)&gt;1,"ERRO: período e curso duplicados","OK"))))</f>
        <v/>
      </c>
    </row>
    <row r="522" ht="15" customHeight="1" s="131">
      <c r="A522" s="220" t="n"/>
      <c r="B522" s="222" t="n"/>
      <c r="C522" s="220" t="n"/>
      <c r="D522" s="220" t="n"/>
      <c r="E522" s="220" t="n"/>
      <c r="F522" s="220" t="n"/>
      <c r="G522" s="169">
        <f>IFERROR((D522-F522)/C522*100,"")</f>
        <v/>
      </c>
      <c r="H522" s="219" t="n"/>
      <c r="I522" s="220" t="n"/>
      <c r="J522" s="221">
        <f>IF(COUNTA(A522:F522)=0,"",IF(OR(C522&lt;0,D522&lt;0,E522&lt;0,F522&lt;0),"ERRO: valor negativo",IF(C522&lt;&gt;SUM(D522:F522),"ERRO: categorias diferem dos respondentes",IF(COUNTIFS($A$5:$A$1200,A522,$B$5:$B$1200,B522)&gt;1,"ERRO: período e curso duplicados","OK"))))</f>
        <v/>
      </c>
    </row>
    <row r="523" ht="15" customHeight="1" s="131">
      <c r="A523" s="220" t="n"/>
      <c r="B523" s="222" t="n"/>
      <c r="C523" s="220" t="n"/>
      <c r="D523" s="220" t="n"/>
      <c r="E523" s="220" t="n"/>
      <c r="F523" s="220" t="n"/>
      <c r="G523" s="169">
        <f>IFERROR((D523-F523)/C523*100,"")</f>
        <v/>
      </c>
      <c r="H523" s="219" t="n"/>
      <c r="I523" s="220" t="n"/>
      <c r="J523" s="221">
        <f>IF(COUNTA(A523:F523)=0,"",IF(OR(C523&lt;0,D523&lt;0,E523&lt;0,F523&lt;0),"ERRO: valor negativo",IF(C523&lt;&gt;SUM(D523:F523),"ERRO: categorias diferem dos respondentes",IF(COUNTIFS($A$5:$A$1200,A523,$B$5:$B$1200,B523)&gt;1,"ERRO: período e curso duplicados","OK"))))</f>
        <v/>
      </c>
    </row>
    <row r="524" ht="15" customHeight="1" s="131">
      <c r="A524" s="220" t="n"/>
      <c r="B524" s="222" t="n"/>
      <c r="C524" s="220" t="n"/>
      <c r="D524" s="220" t="n"/>
      <c r="E524" s="220" t="n"/>
      <c r="F524" s="220" t="n"/>
      <c r="G524" s="169">
        <f>IFERROR((D524-F524)/C524*100,"")</f>
        <v/>
      </c>
      <c r="H524" s="219" t="n"/>
      <c r="I524" s="220" t="n"/>
      <c r="J524" s="221">
        <f>IF(COUNTA(A524:F524)=0,"",IF(OR(C524&lt;0,D524&lt;0,E524&lt;0,F524&lt;0),"ERRO: valor negativo",IF(C524&lt;&gt;SUM(D524:F524),"ERRO: categorias diferem dos respondentes",IF(COUNTIFS($A$5:$A$1200,A524,$B$5:$B$1200,B524)&gt;1,"ERRO: período e curso duplicados","OK"))))</f>
        <v/>
      </c>
    </row>
    <row r="525" ht="15" customHeight="1" s="131">
      <c r="A525" s="220" t="n"/>
      <c r="B525" s="222" t="n"/>
      <c r="C525" s="220" t="n"/>
      <c r="D525" s="220" t="n"/>
      <c r="E525" s="220" t="n"/>
      <c r="F525" s="220" t="n"/>
      <c r="G525" s="169">
        <f>IFERROR((D525-F525)/C525*100,"")</f>
        <v/>
      </c>
      <c r="H525" s="219" t="n"/>
      <c r="I525" s="220" t="n"/>
      <c r="J525" s="221">
        <f>IF(COUNTA(A525:F525)=0,"",IF(OR(C525&lt;0,D525&lt;0,E525&lt;0,F525&lt;0),"ERRO: valor negativo",IF(C525&lt;&gt;SUM(D525:F525),"ERRO: categorias diferem dos respondentes",IF(COUNTIFS($A$5:$A$1200,A525,$B$5:$B$1200,B525)&gt;1,"ERRO: período e curso duplicados","OK"))))</f>
        <v/>
      </c>
    </row>
    <row r="526" ht="15" customHeight="1" s="131">
      <c r="A526" s="220" t="n"/>
      <c r="B526" s="222" t="n"/>
      <c r="C526" s="220" t="n"/>
      <c r="D526" s="220" t="n"/>
      <c r="E526" s="220" t="n"/>
      <c r="F526" s="220" t="n"/>
      <c r="G526" s="169">
        <f>IFERROR((D526-F526)/C526*100,"")</f>
        <v/>
      </c>
      <c r="H526" s="219" t="n"/>
      <c r="I526" s="220" t="n"/>
      <c r="J526" s="221">
        <f>IF(COUNTA(A526:F526)=0,"",IF(OR(C526&lt;0,D526&lt;0,E526&lt;0,F526&lt;0),"ERRO: valor negativo",IF(C526&lt;&gt;SUM(D526:F526),"ERRO: categorias diferem dos respondentes",IF(COUNTIFS($A$5:$A$1200,A526,$B$5:$B$1200,B526)&gt;1,"ERRO: período e curso duplicados","OK"))))</f>
        <v/>
      </c>
    </row>
    <row r="527" ht="15" customHeight="1" s="131">
      <c r="A527" s="220" t="n"/>
      <c r="B527" s="222" t="n"/>
      <c r="C527" s="220" t="n"/>
      <c r="D527" s="220" t="n"/>
      <c r="E527" s="220" t="n"/>
      <c r="F527" s="220" t="n"/>
      <c r="G527" s="169">
        <f>IFERROR((D527-F527)/C527*100,"")</f>
        <v/>
      </c>
      <c r="H527" s="219" t="n"/>
      <c r="I527" s="220" t="n"/>
      <c r="J527" s="221">
        <f>IF(COUNTA(A527:F527)=0,"",IF(OR(C527&lt;0,D527&lt;0,E527&lt;0,F527&lt;0),"ERRO: valor negativo",IF(C527&lt;&gt;SUM(D527:F527),"ERRO: categorias diferem dos respondentes",IF(COUNTIFS($A$5:$A$1200,A527,$B$5:$B$1200,B527)&gt;1,"ERRO: período e curso duplicados","OK"))))</f>
        <v/>
      </c>
    </row>
    <row r="528" ht="15" customHeight="1" s="131">
      <c r="A528" s="220" t="n"/>
      <c r="B528" s="222" t="n"/>
      <c r="C528" s="220" t="n"/>
      <c r="D528" s="220" t="n"/>
      <c r="E528" s="220" t="n"/>
      <c r="F528" s="220" t="n"/>
      <c r="G528" s="169">
        <f>IFERROR((D528-F528)/C528*100,"")</f>
        <v/>
      </c>
      <c r="H528" s="219" t="n"/>
      <c r="I528" s="220" t="n"/>
      <c r="J528" s="221">
        <f>IF(COUNTA(A528:F528)=0,"",IF(OR(C528&lt;0,D528&lt;0,E528&lt;0,F528&lt;0),"ERRO: valor negativo",IF(C528&lt;&gt;SUM(D528:F528),"ERRO: categorias diferem dos respondentes",IF(COUNTIFS($A$5:$A$1200,A528,$B$5:$B$1200,B528)&gt;1,"ERRO: período e curso duplicados","OK"))))</f>
        <v/>
      </c>
    </row>
    <row r="529" ht="15" customHeight="1" s="131">
      <c r="A529" s="220" t="n"/>
      <c r="B529" s="222" t="n"/>
      <c r="C529" s="220" t="n"/>
      <c r="D529" s="220" t="n"/>
      <c r="E529" s="220" t="n"/>
      <c r="F529" s="220" t="n"/>
      <c r="G529" s="169">
        <f>IFERROR((D529-F529)/C529*100,"")</f>
        <v/>
      </c>
      <c r="H529" s="219" t="n"/>
      <c r="I529" s="220" t="n"/>
      <c r="J529" s="221">
        <f>IF(COUNTA(A529:F529)=0,"",IF(OR(C529&lt;0,D529&lt;0,E529&lt;0,F529&lt;0),"ERRO: valor negativo",IF(C529&lt;&gt;SUM(D529:F529),"ERRO: categorias diferem dos respondentes",IF(COUNTIFS($A$5:$A$1200,A529,$B$5:$B$1200,B529)&gt;1,"ERRO: período e curso duplicados","OK"))))</f>
        <v/>
      </c>
    </row>
    <row r="530" ht="15" customHeight="1" s="131">
      <c r="A530" s="220" t="n"/>
      <c r="B530" s="222" t="n"/>
      <c r="C530" s="220" t="n"/>
      <c r="D530" s="220" t="n"/>
      <c r="E530" s="220" t="n"/>
      <c r="F530" s="220" t="n"/>
      <c r="G530" s="169">
        <f>IFERROR((D530-F530)/C530*100,"")</f>
        <v/>
      </c>
      <c r="H530" s="219" t="n"/>
      <c r="I530" s="220" t="n"/>
      <c r="J530" s="221">
        <f>IF(COUNTA(A530:F530)=0,"",IF(OR(C530&lt;0,D530&lt;0,E530&lt;0,F530&lt;0),"ERRO: valor negativo",IF(C530&lt;&gt;SUM(D530:F530),"ERRO: categorias diferem dos respondentes",IF(COUNTIFS($A$5:$A$1200,A530,$B$5:$B$1200,B530)&gt;1,"ERRO: período e curso duplicados","OK"))))</f>
        <v/>
      </c>
    </row>
    <row r="531" ht="15" customHeight="1" s="131">
      <c r="A531" s="220" t="n"/>
      <c r="B531" s="222" t="n"/>
      <c r="C531" s="220" t="n"/>
      <c r="D531" s="220" t="n"/>
      <c r="E531" s="220" t="n"/>
      <c r="F531" s="220" t="n"/>
      <c r="G531" s="169">
        <f>IFERROR((D531-F531)/C531*100,"")</f>
        <v/>
      </c>
      <c r="H531" s="219" t="n"/>
      <c r="I531" s="220" t="n"/>
      <c r="J531" s="221">
        <f>IF(COUNTA(A531:F531)=0,"",IF(OR(C531&lt;0,D531&lt;0,E531&lt;0,F531&lt;0),"ERRO: valor negativo",IF(C531&lt;&gt;SUM(D531:F531),"ERRO: categorias diferem dos respondentes",IF(COUNTIFS($A$5:$A$1200,A531,$B$5:$B$1200,B531)&gt;1,"ERRO: período e curso duplicados","OK"))))</f>
        <v/>
      </c>
    </row>
    <row r="532" ht="15" customHeight="1" s="131">
      <c r="A532" s="220" t="n"/>
      <c r="B532" s="222" t="n"/>
      <c r="C532" s="220" t="n"/>
      <c r="D532" s="220" t="n"/>
      <c r="E532" s="220" t="n"/>
      <c r="F532" s="220" t="n"/>
      <c r="G532" s="169">
        <f>IFERROR((D532-F532)/C532*100,"")</f>
        <v/>
      </c>
      <c r="H532" s="219" t="n"/>
      <c r="I532" s="220" t="n"/>
      <c r="J532" s="221">
        <f>IF(COUNTA(A532:F532)=0,"",IF(OR(C532&lt;0,D532&lt;0,E532&lt;0,F532&lt;0),"ERRO: valor negativo",IF(C532&lt;&gt;SUM(D532:F532),"ERRO: categorias diferem dos respondentes",IF(COUNTIFS($A$5:$A$1200,A532,$B$5:$B$1200,B532)&gt;1,"ERRO: período e curso duplicados","OK"))))</f>
        <v/>
      </c>
    </row>
    <row r="533" ht="15" customHeight="1" s="131">
      <c r="A533" s="220" t="n"/>
      <c r="B533" s="222" t="n"/>
      <c r="C533" s="220" t="n"/>
      <c r="D533" s="220" t="n"/>
      <c r="E533" s="220" t="n"/>
      <c r="F533" s="220" t="n"/>
      <c r="G533" s="169">
        <f>IFERROR((D533-F533)/C533*100,"")</f>
        <v/>
      </c>
      <c r="H533" s="219" t="n"/>
      <c r="I533" s="220" t="n"/>
      <c r="J533" s="221">
        <f>IF(COUNTA(A533:F533)=0,"",IF(OR(C533&lt;0,D533&lt;0,E533&lt;0,F533&lt;0),"ERRO: valor negativo",IF(C533&lt;&gt;SUM(D533:F533),"ERRO: categorias diferem dos respondentes",IF(COUNTIFS($A$5:$A$1200,A533,$B$5:$B$1200,B533)&gt;1,"ERRO: período e curso duplicados","OK"))))</f>
        <v/>
      </c>
    </row>
    <row r="534" ht="15" customHeight="1" s="131">
      <c r="A534" s="220" t="n"/>
      <c r="B534" s="222" t="n"/>
      <c r="C534" s="220" t="n"/>
      <c r="D534" s="220" t="n"/>
      <c r="E534" s="220" t="n"/>
      <c r="F534" s="220" t="n"/>
      <c r="G534" s="169">
        <f>IFERROR((D534-F534)/C534*100,"")</f>
        <v/>
      </c>
      <c r="H534" s="219" t="n"/>
      <c r="I534" s="220" t="n"/>
      <c r="J534" s="221">
        <f>IF(COUNTA(A534:F534)=0,"",IF(OR(C534&lt;0,D534&lt;0,E534&lt;0,F534&lt;0),"ERRO: valor negativo",IF(C534&lt;&gt;SUM(D534:F534),"ERRO: categorias diferem dos respondentes",IF(COUNTIFS($A$5:$A$1200,A534,$B$5:$B$1200,B534)&gt;1,"ERRO: período e curso duplicados","OK"))))</f>
        <v/>
      </c>
    </row>
    <row r="535" ht="15" customHeight="1" s="131">
      <c r="A535" s="220" t="n"/>
      <c r="B535" s="222" t="n"/>
      <c r="C535" s="220" t="n"/>
      <c r="D535" s="220" t="n"/>
      <c r="E535" s="220" t="n"/>
      <c r="F535" s="220" t="n"/>
      <c r="G535" s="169">
        <f>IFERROR((D535-F535)/C535*100,"")</f>
        <v/>
      </c>
      <c r="H535" s="219" t="n"/>
      <c r="I535" s="220" t="n"/>
      <c r="J535" s="221">
        <f>IF(COUNTA(A535:F535)=0,"",IF(OR(C535&lt;0,D535&lt;0,E535&lt;0,F535&lt;0),"ERRO: valor negativo",IF(C535&lt;&gt;SUM(D535:F535),"ERRO: categorias diferem dos respondentes",IF(COUNTIFS($A$5:$A$1200,A535,$B$5:$B$1200,B535)&gt;1,"ERRO: período e curso duplicados","OK"))))</f>
        <v/>
      </c>
    </row>
    <row r="536" ht="15" customHeight="1" s="131">
      <c r="A536" s="220" t="n"/>
      <c r="B536" s="222" t="n"/>
      <c r="C536" s="220" t="n"/>
      <c r="D536" s="220" t="n"/>
      <c r="E536" s="220" t="n"/>
      <c r="F536" s="220" t="n"/>
      <c r="G536" s="169">
        <f>IFERROR((D536-F536)/C536*100,"")</f>
        <v/>
      </c>
      <c r="H536" s="219" t="n"/>
      <c r="I536" s="220" t="n"/>
      <c r="J536" s="221">
        <f>IF(COUNTA(A536:F536)=0,"",IF(OR(C536&lt;0,D536&lt;0,E536&lt;0,F536&lt;0),"ERRO: valor negativo",IF(C536&lt;&gt;SUM(D536:F536),"ERRO: categorias diferem dos respondentes",IF(COUNTIFS($A$5:$A$1200,A536,$B$5:$B$1200,B536)&gt;1,"ERRO: período e curso duplicados","OK"))))</f>
        <v/>
      </c>
    </row>
    <row r="537" ht="15" customHeight="1" s="131">
      <c r="A537" s="220" t="n"/>
      <c r="B537" s="222" t="n"/>
      <c r="C537" s="220" t="n"/>
      <c r="D537" s="220" t="n"/>
      <c r="E537" s="220" t="n"/>
      <c r="F537" s="220" t="n"/>
      <c r="G537" s="169">
        <f>IFERROR((D537-F537)/C537*100,"")</f>
        <v/>
      </c>
      <c r="H537" s="219" t="n"/>
      <c r="I537" s="220" t="n"/>
      <c r="J537" s="221">
        <f>IF(COUNTA(A537:F537)=0,"",IF(OR(C537&lt;0,D537&lt;0,E537&lt;0,F537&lt;0),"ERRO: valor negativo",IF(C537&lt;&gt;SUM(D537:F537),"ERRO: categorias diferem dos respondentes",IF(COUNTIFS($A$5:$A$1200,A537,$B$5:$B$1200,B537)&gt;1,"ERRO: período e curso duplicados","OK"))))</f>
        <v/>
      </c>
    </row>
    <row r="538" ht="15" customHeight="1" s="131">
      <c r="A538" s="220" t="n"/>
      <c r="B538" s="222" t="n"/>
      <c r="C538" s="220" t="n"/>
      <c r="D538" s="220" t="n"/>
      <c r="E538" s="220" t="n"/>
      <c r="F538" s="220" t="n"/>
      <c r="G538" s="169">
        <f>IFERROR((D538-F538)/C538*100,"")</f>
        <v/>
      </c>
      <c r="H538" s="219" t="n"/>
      <c r="I538" s="220" t="n"/>
      <c r="J538" s="221">
        <f>IF(COUNTA(A538:F538)=0,"",IF(OR(C538&lt;0,D538&lt;0,E538&lt;0,F538&lt;0),"ERRO: valor negativo",IF(C538&lt;&gt;SUM(D538:F538),"ERRO: categorias diferem dos respondentes",IF(COUNTIFS($A$5:$A$1200,A538,$B$5:$B$1200,B538)&gt;1,"ERRO: período e curso duplicados","OK"))))</f>
        <v/>
      </c>
    </row>
    <row r="539" ht="15" customHeight="1" s="131">
      <c r="A539" s="220" t="n"/>
      <c r="B539" s="222" t="n"/>
      <c r="C539" s="220" t="n"/>
      <c r="D539" s="220" t="n"/>
      <c r="E539" s="220" t="n"/>
      <c r="F539" s="220" t="n"/>
      <c r="G539" s="169">
        <f>IFERROR((D539-F539)/C539*100,"")</f>
        <v/>
      </c>
      <c r="H539" s="219" t="n"/>
      <c r="I539" s="220" t="n"/>
      <c r="J539" s="221">
        <f>IF(COUNTA(A539:F539)=0,"",IF(OR(C539&lt;0,D539&lt;0,E539&lt;0,F539&lt;0),"ERRO: valor negativo",IF(C539&lt;&gt;SUM(D539:F539),"ERRO: categorias diferem dos respondentes",IF(COUNTIFS($A$5:$A$1200,A539,$B$5:$B$1200,B539)&gt;1,"ERRO: período e curso duplicados","OK"))))</f>
        <v/>
      </c>
    </row>
    <row r="540" ht="15" customHeight="1" s="131">
      <c r="A540" s="220" t="n"/>
      <c r="B540" s="222" t="n"/>
      <c r="C540" s="220" t="n"/>
      <c r="D540" s="220" t="n"/>
      <c r="E540" s="220" t="n"/>
      <c r="F540" s="220" t="n"/>
      <c r="G540" s="169">
        <f>IFERROR((D540-F540)/C540*100,"")</f>
        <v/>
      </c>
      <c r="H540" s="219" t="n"/>
      <c r="I540" s="220" t="n"/>
      <c r="J540" s="221">
        <f>IF(COUNTA(A540:F540)=0,"",IF(OR(C540&lt;0,D540&lt;0,E540&lt;0,F540&lt;0),"ERRO: valor negativo",IF(C540&lt;&gt;SUM(D540:F540),"ERRO: categorias diferem dos respondentes",IF(COUNTIFS($A$5:$A$1200,A540,$B$5:$B$1200,B540)&gt;1,"ERRO: período e curso duplicados","OK"))))</f>
        <v/>
      </c>
    </row>
    <row r="541" ht="15" customHeight="1" s="131">
      <c r="A541" s="220" t="n"/>
      <c r="B541" s="222" t="n"/>
      <c r="C541" s="220" t="n"/>
      <c r="D541" s="220" t="n"/>
      <c r="E541" s="220" t="n"/>
      <c r="F541" s="220" t="n"/>
      <c r="G541" s="169">
        <f>IFERROR((D541-F541)/C541*100,"")</f>
        <v/>
      </c>
      <c r="H541" s="219" t="n"/>
      <c r="I541" s="220" t="n"/>
      <c r="J541" s="221">
        <f>IF(COUNTA(A541:F541)=0,"",IF(OR(C541&lt;0,D541&lt;0,E541&lt;0,F541&lt;0),"ERRO: valor negativo",IF(C541&lt;&gt;SUM(D541:F541),"ERRO: categorias diferem dos respondentes",IF(COUNTIFS($A$5:$A$1200,A541,$B$5:$B$1200,B541)&gt;1,"ERRO: período e curso duplicados","OK"))))</f>
        <v/>
      </c>
    </row>
    <row r="542" ht="15" customHeight="1" s="131">
      <c r="A542" s="220" t="n"/>
      <c r="B542" s="222" t="n"/>
      <c r="C542" s="220" t="n"/>
      <c r="D542" s="220" t="n"/>
      <c r="E542" s="220" t="n"/>
      <c r="F542" s="220" t="n"/>
      <c r="G542" s="169">
        <f>IFERROR((D542-F542)/C542*100,"")</f>
        <v/>
      </c>
      <c r="H542" s="219" t="n"/>
      <c r="I542" s="220" t="n"/>
      <c r="J542" s="221">
        <f>IF(COUNTA(A542:F542)=0,"",IF(OR(C542&lt;0,D542&lt;0,E542&lt;0,F542&lt;0),"ERRO: valor negativo",IF(C542&lt;&gt;SUM(D542:F542),"ERRO: categorias diferem dos respondentes",IF(COUNTIFS($A$5:$A$1200,A542,$B$5:$B$1200,B542)&gt;1,"ERRO: período e curso duplicados","OK"))))</f>
        <v/>
      </c>
    </row>
    <row r="543" ht="15" customHeight="1" s="131">
      <c r="A543" s="220" t="n"/>
      <c r="B543" s="222" t="n"/>
      <c r="C543" s="220" t="n"/>
      <c r="D543" s="220" t="n"/>
      <c r="E543" s="220" t="n"/>
      <c r="F543" s="220" t="n"/>
      <c r="G543" s="169">
        <f>IFERROR((D543-F543)/C543*100,"")</f>
        <v/>
      </c>
      <c r="H543" s="219" t="n"/>
      <c r="I543" s="220" t="n"/>
      <c r="J543" s="221">
        <f>IF(COUNTA(A543:F543)=0,"",IF(OR(C543&lt;0,D543&lt;0,E543&lt;0,F543&lt;0),"ERRO: valor negativo",IF(C543&lt;&gt;SUM(D543:F543),"ERRO: categorias diferem dos respondentes",IF(COUNTIFS($A$5:$A$1200,A543,$B$5:$B$1200,B543)&gt;1,"ERRO: período e curso duplicados","OK"))))</f>
        <v/>
      </c>
    </row>
    <row r="544" ht="15" customHeight="1" s="131">
      <c r="A544" s="220" t="n"/>
      <c r="B544" s="222" t="n"/>
      <c r="C544" s="220" t="n"/>
      <c r="D544" s="220" t="n"/>
      <c r="E544" s="220" t="n"/>
      <c r="F544" s="220" t="n"/>
      <c r="G544" s="169">
        <f>IFERROR((D544-F544)/C544*100,"")</f>
        <v/>
      </c>
      <c r="H544" s="219" t="n"/>
      <c r="I544" s="220" t="n"/>
      <c r="J544" s="221">
        <f>IF(COUNTA(A544:F544)=0,"",IF(OR(C544&lt;0,D544&lt;0,E544&lt;0,F544&lt;0),"ERRO: valor negativo",IF(C544&lt;&gt;SUM(D544:F544),"ERRO: categorias diferem dos respondentes",IF(COUNTIFS($A$5:$A$1200,A544,$B$5:$B$1200,B544)&gt;1,"ERRO: período e curso duplicados","OK"))))</f>
        <v/>
      </c>
    </row>
    <row r="545" ht="15" customHeight="1" s="131">
      <c r="A545" s="220" t="n"/>
      <c r="B545" s="222" t="n"/>
      <c r="C545" s="220" t="n"/>
      <c r="D545" s="220" t="n"/>
      <c r="E545" s="220" t="n"/>
      <c r="F545" s="220" t="n"/>
      <c r="G545" s="169">
        <f>IFERROR((D545-F545)/C545*100,"")</f>
        <v/>
      </c>
      <c r="H545" s="219" t="n"/>
      <c r="I545" s="220" t="n"/>
      <c r="J545" s="221">
        <f>IF(COUNTA(A545:F545)=0,"",IF(OR(C545&lt;0,D545&lt;0,E545&lt;0,F545&lt;0),"ERRO: valor negativo",IF(C545&lt;&gt;SUM(D545:F545),"ERRO: categorias diferem dos respondentes",IF(COUNTIFS($A$5:$A$1200,A545,$B$5:$B$1200,B545)&gt;1,"ERRO: período e curso duplicados","OK"))))</f>
        <v/>
      </c>
    </row>
    <row r="546" ht="15" customHeight="1" s="131">
      <c r="A546" s="220" t="n"/>
      <c r="B546" s="222" t="n"/>
      <c r="C546" s="220" t="n"/>
      <c r="D546" s="220" t="n"/>
      <c r="E546" s="220" t="n"/>
      <c r="F546" s="220" t="n"/>
      <c r="G546" s="169">
        <f>IFERROR((D546-F546)/C546*100,"")</f>
        <v/>
      </c>
      <c r="H546" s="219" t="n"/>
      <c r="I546" s="220" t="n"/>
      <c r="J546" s="221">
        <f>IF(COUNTA(A546:F546)=0,"",IF(OR(C546&lt;0,D546&lt;0,E546&lt;0,F546&lt;0),"ERRO: valor negativo",IF(C546&lt;&gt;SUM(D546:F546),"ERRO: categorias diferem dos respondentes",IF(COUNTIFS($A$5:$A$1200,A546,$B$5:$B$1200,B546)&gt;1,"ERRO: período e curso duplicados","OK"))))</f>
        <v/>
      </c>
    </row>
    <row r="547" ht="15" customHeight="1" s="131">
      <c r="A547" s="220" t="n"/>
      <c r="B547" s="222" t="n"/>
      <c r="C547" s="220" t="n"/>
      <c r="D547" s="220" t="n"/>
      <c r="E547" s="220" t="n"/>
      <c r="F547" s="220" t="n"/>
      <c r="G547" s="169">
        <f>IFERROR((D547-F547)/C547*100,"")</f>
        <v/>
      </c>
      <c r="H547" s="219" t="n"/>
      <c r="I547" s="220" t="n"/>
      <c r="J547" s="221">
        <f>IF(COUNTA(A547:F547)=0,"",IF(OR(C547&lt;0,D547&lt;0,E547&lt;0,F547&lt;0),"ERRO: valor negativo",IF(C547&lt;&gt;SUM(D547:F547),"ERRO: categorias diferem dos respondentes",IF(COUNTIFS($A$5:$A$1200,A547,$B$5:$B$1200,B547)&gt;1,"ERRO: período e curso duplicados","OK"))))</f>
        <v/>
      </c>
    </row>
    <row r="548" ht="15" customHeight="1" s="131">
      <c r="A548" s="220" t="n"/>
      <c r="B548" s="222" t="n"/>
      <c r="C548" s="220" t="n"/>
      <c r="D548" s="220" t="n"/>
      <c r="E548" s="220" t="n"/>
      <c r="F548" s="220" t="n"/>
      <c r="G548" s="169">
        <f>IFERROR((D548-F548)/C548*100,"")</f>
        <v/>
      </c>
      <c r="H548" s="219" t="n"/>
      <c r="I548" s="220" t="n"/>
      <c r="J548" s="221">
        <f>IF(COUNTA(A548:F548)=0,"",IF(OR(C548&lt;0,D548&lt;0,E548&lt;0,F548&lt;0),"ERRO: valor negativo",IF(C548&lt;&gt;SUM(D548:F548),"ERRO: categorias diferem dos respondentes",IF(COUNTIFS($A$5:$A$1200,A548,$B$5:$B$1200,B548)&gt;1,"ERRO: período e curso duplicados","OK"))))</f>
        <v/>
      </c>
    </row>
    <row r="549" ht="15" customHeight="1" s="131">
      <c r="A549" s="220" t="n"/>
      <c r="B549" s="222" t="n"/>
      <c r="C549" s="220" t="n"/>
      <c r="D549" s="220" t="n"/>
      <c r="E549" s="220" t="n"/>
      <c r="F549" s="220" t="n"/>
      <c r="G549" s="169">
        <f>IFERROR((D549-F549)/C549*100,"")</f>
        <v/>
      </c>
      <c r="H549" s="219" t="n"/>
      <c r="I549" s="220" t="n"/>
      <c r="J549" s="221">
        <f>IF(COUNTA(A549:F549)=0,"",IF(OR(C549&lt;0,D549&lt;0,E549&lt;0,F549&lt;0),"ERRO: valor negativo",IF(C549&lt;&gt;SUM(D549:F549),"ERRO: categorias diferem dos respondentes",IF(COUNTIFS($A$5:$A$1200,A549,$B$5:$B$1200,B549)&gt;1,"ERRO: período e curso duplicados","OK"))))</f>
        <v/>
      </c>
    </row>
    <row r="550" ht="15" customHeight="1" s="131">
      <c r="A550" s="220" t="n"/>
      <c r="B550" s="222" t="n"/>
      <c r="C550" s="220" t="n"/>
      <c r="D550" s="220" t="n"/>
      <c r="E550" s="220" t="n"/>
      <c r="F550" s="220" t="n"/>
      <c r="G550" s="169">
        <f>IFERROR((D550-F550)/C550*100,"")</f>
        <v/>
      </c>
      <c r="H550" s="219" t="n"/>
      <c r="I550" s="220" t="n"/>
      <c r="J550" s="221">
        <f>IF(COUNTA(A550:F550)=0,"",IF(OR(C550&lt;0,D550&lt;0,E550&lt;0,F550&lt;0),"ERRO: valor negativo",IF(C550&lt;&gt;SUM(D550:F550),"ERRO: categorias diferem dos respondentes",IF(COUNTIFS($A$5:$A$1200,A550,$B$5:$B$1200,B550)&gt;1,"ERRO: período e curso duplicados","OK"))))</f>
        <v/>
      </c>
    </row>
    <row r="551" ht="15" customHeight="1" s="131">
      <c r="A551" s="220" t="n"/>
      <c r="B551" s="222" t="n"/>
      <c r="C551" s="220" t="n"/>
      <c r="D551" s="220" t="n"/>
      <c r="E551" s="220" t="n"/>
      <c r="F551" s="220" t="n"/>
      <c r="G551" s="169">
        <f>IFERROR((D551-F551)/C551*100,"")</f>
        <v/>
      </c>
      <c r="H551" s="219" t="n"/>
      <c r="I551" s="220" t="n"/>
      <c r="J551" s="221">
        <f>IF(COUNTA(A551:F551)=0,"",IF(OR(C551&lt;0,D551&lt;0,E551&lt;0,F551&lt;0),"ERRO: valor negativo",IF(C551&lt;&gt;SUM(D551:F551),"ERRO: categorias diferem dos respondentes",IF(COUNTIFS($A$5:$A$1200,A551,$B$5:$B$1200,B551)&gt;1,"ERRO: período e curso duplicados","OK"))))</f>
        <v/>
      </c>
    </row>
    <row r="552" ht="15" customHeight="1" s="131">
      <c r="A552" s="220" t="n"/>
      <c r="B552" s="222" t="n"/>
      <c r="C552" s="220" t="n"/>
      <c r="D552" s="220" t="n"/>
      <c r="E552" s="220" t="n"/>
      <c r="F552" s="220" t="n"/>
      <c r="G552" s="169">
        <f>IFERROR((D552-F552)/C552*100,"")</f>
        <v/>
      </c>
      <c r="H552" s="219" t="n"/>
      <c r="I552" s="220" t="n"/>
      <c r="J552" s="221">
        <f>IF(COUNTA(A552:F552)=0,"",IF(OR(C552&lt;0,D552&lt;0,E552&lt;0,F552&lt;0),"ERRO: valor negativo",IF(C552&lt;&gt;SUM(D552:F552),"ERRO: categorias diferem dos respondentes",IF(COUNTIFS($A$5:$A$1200,A552,$B$5:$B$1200,B552)&gt;1,"ERRO: período e curso duplicados","OK"))))</f>
        <v/>
      </c>
    </row>
    <row r="553" ht="15" customHeight="1" s="131">
      <c r="A553" s="220" t="n"/>
      <c r="B553" s="222" t="n"/>
      <c r="C553" s="220" t="n"/>
      <c r="D553" s="220" t="n"/>
      <c r="E553" s="220" t="n"/>
      <c r="F553" s="220" t="n"/>
      <c r="G553" s="169">
        <f>IFERROR((D553-F553)/C553*100,"")</f>
        <v/>
      </c>
      <c r="H553" s="219" t="n"/>
      <c r="I553" s="220" t="n"/>
      <c r="J553" s="221">
        <f>IF(COUNTA(A553:F553)=0,"",IF(OR(C553&lt;0,D553&lt;0,E553&lt;0,F553&lt;0),"ERRO: valor negativo",IF(C553&lt;&gt;SUM(D553:F553),"ERRO: categorias diferem dos respondentes",IF(COUNTIFS($A$5:$A$1200,A553,$B$5:$B$1200,B553)&gt;1,"ERRO: período e curso duplicados","OK"))))</f>
        <v/>
      </c>
    </row>
    <row r="554" ht="15" customHeight="1" s="131">
      <c r="A554" s="220" t="n"/>
      <c r="B554" s="222" t="n"/>
      <c r="C554" s="220" t="n"/>
      <c r="D554" s="220" t="n"/>
      <c r="E554" s="220" t="n"/>
      <c r="F554" s="220" t="n"/>
      <c r="G554" s="169">
        <f>IFERROR((D554-F554)/C554*100,"")</f>
        <v/>
      </c>
      <c r="H554" s="219" t="n"/>
      <c r="I554" s="220" t="n"/>
      <c r="J554" s="221">
        <f>IF(COUNTA(A554:F554)=0,"",IF(OR(C554&lt;0,D554&lt;0,E554&lt;0,F554&lt;0),"ERRO: valor negativo",IF(C554&lt;&gt;SUM(D554:F554),"ERRO: categorias diferem dos respondentes",IF(COUNTIFS($A$5:$A$1200,A554,$B$5:$B$1200,B554)&gt;1,"ERRO: período e curso duplicados","OK"))))</f>
        <v/>
      </c>
    </row>
    <row r="555" ht="15" customHeight="1" s="131">
      <c r="A555" s="220" t="n"/>
      <c r="B555" s="222" t="n"/>
      <c r="C555" s="220" t="n"/>
      <c r="D555" s="220" t="n"/>
      <c r="E555" s="220" t="n"/>
      <c r="F555" s="220" t="n"/>
      <c r="G555" s="169">
        <f>IFERROR((D555-F555)/C555*100,"")</f>
        <v/>
      </c>
      <c r="H555" s="219" t="n"/>
      <c r="I555" s="220" t="n"/>
      <c r="J555" s="221">
        <f>IF(COUNTA(A555:F555)=0,"",IF(OR(C555&lt;0,D555&lt;0,E555&lt;0,F555&lt;0),"ERRO: valor negativo",IF(C555&lt;&gt;SUM(D555:F555),"ERRO: categorias diferem dos respondentes",IF(COUNTIFS($A$5:$A$1200,A555,$B$5:$B$1200,B555)&gt;1,"ERRO: período e curso duplicados","OK"))))</f>
        <v/>
      </c>
    </row>
    <row r="556" ht="15" customHeight="1" s="131">
      <c r="A556" s="220" t="n"/>
      <c r="B556" s="222" t="n"/>
      <c r="C556" s="220" t="n"/>
      <c r="D556" s="220" t="n"/>
      <c r="E556" s="220" t="n"/>
      <c r="F556" s="220" t="n"/>
      <c r="G556" s="169">
        <f>IFERROR((D556-F556)/C556*100,"")</f>
        <v/>
      </c>
      <c r="H556" s="219" t="n"/>
      <c r="I556" s="220" t="n"/>
      <c r="J556" s="221">
        <f>IF(COUNTA(A556:F556)=0,"",IF(OR(C556&lt;0,D556&lt;0,E556&lt;0,F556&lt;0),"ERRO: valor negativo",IF(C556&lt;&gt;SUM(D556:F556),"ERRO: categorias diferem dos respondentes",IF(COUNTIFS($A$5:$A$1200,A556,$B$5:$B$1200,B556)&gt;1,"ERRO: período e curso duplicados","OK"))))</f>
        <v/>
      </c>
    </row>
    <row r="557" ht="15" customHeight="1" s="131">
      <c r="A557" s="220" t="n"/>
      <c r="B557" s="222" t="n"/>
      <c r="C557" s="220" t="n"/>
      <c r="D557" s="220" t="n"/>
      <c r="E557" s="220" t="n"/>
      <c r="F557" s="220" t="n"/>
      <c r="G557" s="169">
        <f>IFERROR((D557-F557)/C557*100,"")</f>
        <v/>
      </c>
      <c r="H557" s="219" t="n"/>
      <c r="I557" s="220" t="n"/>
      <c r="J557" s="221">
        <f>IF(COUNTA(A557:F557)=0,"",IF(OR(C557&lt;0,D557&lt;0,E557&lt;0,F557&lt;0),"ERRO: valor negativo",IF(C557&lt;&gt;SUM(D557:F557),"ERRO: categorias diferem dos respondentes",IF(COUNTIFS($A$5:$A$1200,A557,$B$5:$B$1200,B557)&gt;1,"ERRO: período e curso duplicados","OK"))))</f>
        <v/>
      </c>
    </row>
    <row r="558" ht="15" customHeight="1" s="131">
      <c r="A558" s="220" t="n"/>
      <c r="B558" s="222" t="n"/>
      <c r="C558" s="220" t="n"/>
      <c r="D558" s="220" t="n"/>
      <c r="E558" s="220" t="n"/>
      <c r="F558" s="220" t="n"/>
      <c r="G558" s="169">
        <f>IFERROR((D558-F558)/C558*100,"")</f>
        <v/>
      </c>
      <c r="H558" s="219" t="n"/>
      <c r="I558" s="220" t="n"/>
      <c r="J558" s="221">
        <f>IF(COUNTA(A558:F558)=0,"",IF(OR(C558&lt;0,D558&lt;0,E558&lt;0,F558&lt;0),"ERRO: valor negativo",IF(C558&lt;&gt;SUM(D558:F558),"ERRO: categorias diferem dos respondentes",IF(COUNTIFS($A$5:$A$1200,A558,$B$5:$B$1200,B558)&gt;1,"ERRO: período e curso duplicados","OK"))))</f>
        <v/>
      </c>
    </row>
    <row r="559" ht="15" customHeight="1" s="131">
      <c r="A559" s="220" t="n"/>
      <c r="B559" s="222" t="n"/>
      <c r="C559" s="220" t="n"/>
      <c r="D559" s="220" t="n"/>
      <c r="E559" s="220" t="n"/>
      <c r="F559" s="220" t="n"/>
      <c r="G559" s="169">
        <f>IFERROR((D559-F559)/C559*100,"")</f>
        <v/>
      </c>
      <c r="H559" s="219" t="n"/>
      <c r="I559" s="220" t="n"/>
      <c r="J559" s="221">
        <f>IF(COUNTA(A559:F559)=0,"",IF(OR(C559&lt;0,D559&lt;0,E559&lt;0,F559&lt;0),"ERRO: valor negativo",IF(C559&lt;&gt;SUM(D559:F559),"ERRO: categorias diferem dos respondentes",IF(COUNTIFS($A$5:$A$1200,A559,$B$5:$B$1200,B559)&gt;1,"ERRO: período e curso duplicados","OK"))))</f>
        <v/>
      </c>
    </row>
    <row r="560" ht="15" customHeight="1" s="131">
      <c r="A560" s="220" t="n"/>
      <c r="B560" s="222" t="n"/>
      <c r="C560" s="220" t="n"/>
      <c r="D560" s="220" t="n"/>
      <c r="E560" s="220" t="n"/>
      <c r="F560" s="220" t="n"/>
      <c r="G560" s="169">
        <f>IFERROR((D560-F560)/C560*100,"")</f>
        <v/>
      </c>
      <c r="H560" s="219" t="n"/>
      <c r="I560" s="220" t="n"/>
      <c r="J560" s="221">
        <f>IF(COUNTA(A560:F560)=0,"",IF(OR(C560&lt;0,D560&lt;0,E560&lt;0,F560&lt;0),"ERRO: valor negativo",IF(C560&lt;&gt;SUM(D560:F560),"ERRO: categorias diferem dos respondentes",IF(COUNTIFS($A$5:$A$1200,A560,$B$5:$B$1200,B560)&gt;1,"ERRO: período e curso duplicados","OK"))))</f>
        <v/>
      </c>
    </row>
    <row r="561" ht="15" customHeight="1" s="131">
      <c r="A561" s="220" t="n"/>
      <c r="B561" s="222" t="n"/>
      <c r="C561" s="220" t="n"/>
      <c r="D561" s="220" t="n"/>
      <c r="E561" s="220" t="n"/>
      <c r="F561" s="220" t="n"/>
      <c r="G561" s="169">
        <f>IFERROR((D561-F561)/C561*100,"")</f>
        <v/>
      </c>
      <c r="H561" s="219" t="n"/>
      <c r="I561" s="220" t="n"/>
      <c r="J561" s="221">
        <f>IF(COUNTA(A561:F561)=0,"",IF(OR(C561&lt;0,D561&lt;0,E561&lt;0,F561&lt;0),"ERRO: valor negativo",IF(C561&lt;&gt;SUM(D561:F561),"ERRO: categorias diferem dos respondentes",IF(COUNTIFS($A$5:$A$1200,A561,$B$5:$B$1200,B561)&gt;1,"ERRO: período e curso duplicados","OK"))))</f>
        <v/>
      </c>
    </row>
    <row r="562" ht="15" customHeight="1" s="131">
      <c r="A562" s="220" t="n"/>
      <c r="B562" s="222" t="n"/>
      <c r="C562" s="220" t="n"/>
      <c r="D562" s="220" t="n"/>
      <c r="E562" s="220" t="n"/>
      <c r="F562" s="220" t="n"/>
      <c r="G562" s="169">
        <f>IFERROR((D562-F562)/C562*100,"")</f>
        <v/>
      </c>
      <c r="H562" s="219" t="n"/>
      <c r="I562" s="220" t="n"/>
      <c r="J562" s="221">
        <f>IF(COUNTA(A562:F562)=0,"",IF(OR(C562&lt;0,D562&lt;0,E562&lt;0,F562&lt;0),"ERRO: valor negativo",IF(C562&lt;&gt;SUM(D562:F562),"ERRO: categorias diferem dos respondentes",IF(COUNTIFS($A$5:$A$1200,A562,$B$5:$B$1200,B562)&gt;1,"ERRO: período e curso duplicados","OK"))))</f>
        <v/>
      </c>
    </row>
    <row r="563" ht="15" customHeight="1" s="131">
      <c r="A563" s="220" t="n"/>
      <c r="B563" s="222" t="n"/>
      <c r="C563" s="220" t="n"/>
      <c r="D563" s="220" t="n"/>
      <c r="E563" s="220" t="n"/>
      <c r="F563" s="220" t="n"/>
      <c r="G563" s="169">
        <f>IFERROR((D563-F563)/C563*100,"")</f>
        <v/>
      </c>
      <c r="H563" s="219" t="n"/>
      <c r="I563" s="220" t="n"/>
      <c r="J563" s="221">
        <f>IF(COUNTA(A563:F563)=0,"",IF(OR(C563&lt;0,D563&lt;0,E563&lt;0,F563&lt;0),"ERRO: valor negativo",IF(C563&lt;&gt;SUM(D563:F563),"ERRO: categorias diferem dos respondentes",IF(COUNTIFS($A$5:$A$1200,A563,$B$5:$B$1200,B563)&gt;1,"ERRO: período e curso duplicados","OK"))))</f>
        <v/>
      </c>
    </row>
    <row r="564" ht="15" customHeight="1" s="131">
      <c r="A564" s="220" t="n"/>
      <c r="B564" s="222" t="n"/>
      <c r="C564" s="220" t="n"/>
      <c r="D564" s="220" t="n"/>
      <c r="E564" s="220" t="n"/>
      <c r="F564" s="220" t="n"/>
      <c r="G564" s="169">
        <f>IFERROR((D564-F564)/C564*100,"")</f>
        <v/>
      </c>
      <c r="H564" s="219" t="n"/>
      <c r="I564" s="220" t="n"/>
      <c r="J564" s="221">
        <f>IF(COUNTA(A564:F564)=0,"",IF(OR(C564&lt;0,D564&lt;0,E564&lt;0,F564&lt;0),"ERRO: valor negativo",IF(C564&lt;&gt;SUM(D564:F564),"ERRO: categorias diferem dos respondentes",IF(COUNTIFS($A$5:$A$1200,A564,$B$5:$B$1200,B564)&gt;1,"ERRO: período e curso duplicados","OK"))))</f>
        <v/>
      </c>
    </row>
    <row r="565" ht="15" customHeight="1" s="131">
      <c r="A565" s="220" t="n"/>
      <c r="B565" s="222" t="n"/>
      <c r="C565" s="220" t="n"/>
      <c r="D565" s="220" t="n"/>
      <c r="E565" s="220" t="n"/>
      <c r="F565" s="220" t="n"/>
      <c r="G565" s="169">
        <f>IFERROR((D565-F565)/C565*100,"")</f>
        <v/>
      </c>
      <c r="H565" s="219" t="n"/>
      <c r="I565" s="220" t="n"/>
      <c r="J565" s="221">
        <f>IF(COUNTA(A565:F565)=0,"",IF(OR(C565&lt;0,D565&lt;0,E565&lt;0,F565&lt;0),"ERRO: valor negativo",IF(C565&lt;&gt;SUM(D565:F565),"ERRO: categorias diferem dos respondentes",IF(COUNTIFS($A$5:$A$1200,A565,$B$5:$B$1200,B565)&gt;1,"ERRO: período e curso duplicados","OK"))))</f>
        <v/>
      </c>
    </row>
    <row r="566" ht="15" customHeight="1" s="131">
      <c r="A566" s="220" t="n"/>
      <c r="B566" s="222" t="n"/>
      <c r="C566" s="220" t="n"/>
      <c r="D566" s="220" t="n"/>
      <c r="E566" s="220" t="n"/>
      <c r="F566" s="220" t="n"/>
      <c r="G566" s="169">
        <f>IFERROR((D566-F566)/C566*100,"")</f>
        <v/>
      </c>
      <c r="H566" s="219" t="n"/>
      <c r="I566" s="220" t="n"/>
      <c r="J566" s="221">
        <f>IF(COUNTA(A566:F566)=0,"",IF(OR(C566&lt;0,D566&lt;0,E566&lt;0,F566&lt;0),"ERRO: valor negativo",IF(C566&lt;&gt;SUM(D566:F566),"ERRO: categorias diferem dos respondentes",IF(COUNTIFS($A$5:$A$1200,A566,$B$5:$B$1200,B566)&gt;1,"ERRO: período e curso duplicados","OK"))))</f>
        <v/>
      </c>
    </row>
    <row r="567" ht="15" customHeight="1" s="131">
      <c r="A567" s="220" t="n"/>
      <c r="B567" s="222" t="n"/>
      <c r="C567" s="220" t="n"/>
      <c r="D567" s="220" t="n"/>
      <c r="E567" s="220" t="n"/>
      <c r="F567" s="220" t="n"/>
      <c r="G567" s="169">
        <f>IFERROR((D567-F567)/C567*100,"")</f>
        <v/>
      </c>
      <c r="H567" s="219" t="n"/>
      <c r="I567" s="220" t="n"/>
      <c r="J567" s="221">
        <f>IF(COUNTA(A567:F567)=0,"",IF(OR(C567&lt;0,D567&lt;0,E567&lt;0,F567&lt;0),"ERRO: valor negativo",IF(C567&lt;&gt;SUM(D567:F567),"ERRO: categorias diferem dos respondentes",IF(COUNTIFS($A$5:$A$1200,A567,$B$5:$B$1200,B567)&gt;1,"ERRO: período e curso duplicados","OK"))))</f>
        <v/>
      </c>
    </row>
    <row r="568" ht="15" customHeight="1" s="131">
      <c r="A568" s="220" t="n"/>
      <c r="B568" s="222" t="n"/>
      <c r="C568" s="220" t="n"/>
      <c r="D568" s="220" t="n"/>
      <c r="E568" s="220" t="n"/>
      <c r="F568" s="220" t="n"/>
      <c r="G568" s="169">
        <f>IFERROR((D568-F568)/C568*100,"")</f>
        <v/>
      </c>
      <c r="H568" s="219" t="n"/>
      <c r="I568" s="220" t="n"/>
      <c r="J568" s="221">
        <f>IF(COUNTA(A568:F568)=0,"",IF(OR(C568&lt;0,D568&lt;0,E568&lt;0,F568&lt;0),"ERRO: valor negativo",IF(C568&lt;&gt;SUM(D568:F568),"ERRO: categorias diferem dos respondentes",IF(COUNTIFS($A$5:$A$1200,A568,$B$5:$B$1200,B568)&gt;1,"ERRO: período e curso duplicados","OK"))))</f>
        <v/>
      </c>
    </row>
    <row r="569" ht="15" customHeight="1" s="131">
      <c r="A569" s="220" t="n"/>
      <c r="B569" s="222" t="n"/>
      <c r="C569" s="220" t="n"/>
      <c r="D569" s="220" t="n"/>
      <c r="E569" s="220" t="n"/>
      <c r="F569" s="220" t="n"/>
      <c r="G569" s="169">
        <f>IFERROR((D569-F569)/C569*100,"")</f>
        <v/>
      </c>
      <c r="H569" s="219" t="n"/>
      <c r="I569" s="220" t="n"/>
      <c r="J569" s="221">
        <f>IF(COUNTA(A569:F569)=0,"",IF(OR(C569&lt;0,D569&lt;0,E569&lt;0,F569&lt;0),"ERRO: valor negativo",IF(C569&lt;&gt;SUM(D569:F569),"ERRO: categorias diferem dos respondentes",IF(COUNTIFS($A$5:$A$1200,A569,$B$5:$B$1200,B569)&gt;1,"ERRO: período e curso duplicados","OK"))))</f>
        <v/>
      </c>
    </row>
    <row r="570" ht="15" customHeight="1" s="131">
      <c r="A570" s="220" t="n"/>
      <c r="B570" s="222" t="n"/>
      <c r="C570" s="220" t="n"/>
      <c r="D570" s="220" t="n"/>
      <c r="E570" s="220" t="n"/>
      <c r="F570" s="220" t="n"/>
      <c r="G570" s="169">
        <f>IFERROR((D570-F570)/C570*100,"")</f>
        <v/>
      </c>
      <c r="H570" s="219" t="n"/>
      <c r="I570" s="220" t="n"/>
      <c r="J570" s="221">
        <f>IF(COUNTA(A570:F570)=0,"",IF(OR(C570&lt;0,D570&lt;0,E570&lt;0,F570&lt;0),"ERRO: valor negativo",IF(C570&lt;&gt;SUM(D570:F570),"ERRO: categorias diferem dos respondentes",IF(COUNTIFS($A$5:$A$1200,A570,$B$5:$B$1200,B570)&gt;1,"ERRO: período e curso duplicados","OK"))))</f>
        <v/>
      </c>
    </row>
    <row r="571" ht="15" customHeight="1" s="131">
      <c r="A571" s="220" t="n"/>
      <c r="B571" s="222" t="n"/>
      <c r="C571" s="220" t="n"/>
      <c r="D571" s="220" t="n"/>
      <c r="E571" s="220" t="n"/>
      <c r="F571" s="220" t="n"/>
      <c r="G571" s="169">
        <f>IFERROR((D571-F571)/C571*100,"")</f>
        <v/>
      </c>
      <c r="H571" s="219" t="n"/>
      <c r="I571" s="220" t="n"/>
      <c r="J571" s="221">
        <f>IF(COUNTA(A571:F571)=0,"",IF(OR(C571&lt;0,D571&lt;0,E571&lt;0,F571&lt;0),"ERRO: valor negativo",IF(C571&lt;&gt;SUM(D571:F571),"ERRO: categorias diferem dos respondentes",IF(COUNTIFS($A$5:$A$1200,A571,$B$5:$B$1200,B571)&gt;1,"ERRO: período e curso duplicados","OK"))))</f>
        <v/>
      </c>
    </row>
    <row r="572" ht="15" customHeight="1" s="131">
      <c r="A572" s="220" t="n"/>
      <c r="B572" s="222" t="n"/>
      <c r="C572" s="220" t="n"/>
      <c r="D572" s="220" t="n"/>
      <c r="E572" s="220" t="n"/>
      <c r="F572" s="220" t="n"/>
      <c r="G572" s="169">
        <f>IFERROR((D572-F572)/C572*100,"")</f>
        <v/>
      </c>
      <c r="H572" s="219" t="n"/>
      <c r="I572" s="220" t="n"/>
      <c r="J572" s="221">
        <f>IF(COUNTA(A572:F572)=0,"",IF(OR(C572&lt;0,D572&lt;0,E572&lt;0,F572&lt;0),"ERRO: valor negativo",IF(C572&lt;&gt;SUM(D572:F572),"ERRO: categorias diferem dos respondentes",IF(COUNTIFS($A$5:$A$1200,A572,$B$5:$B$1200,B572)&gt;1,"ERRO: período e curso duplicados","OK"))))</f>
        <v/>
      </c>
    </row>
    <row r="573" ht="15" customHeight="1" s="131">
      <c r="A573" s="220" t="n"/>
      <c r="B573" s="222" t="n"/>
      <c r="C573" s="220" t="n"/>
      <c r="D573" s="220" t="n"/>
      <c r="E573" s="220" t="n"/>
      <c r="F573" s="220" t="n"/>
      <c r="G573" s="169">
        <f>IFERROR((D573-F573)/C573*100,"")</f>
        <v/>
      </c>
      <c r="H573" s="219" t="n"/>
      <c r="I573" s="220" t="n"/>
      <c r="J573" s="221">
        <f>IF(COUNTA(A573:F573)=0,"",IF(OR(C573&lt;0,D573&lt;0,E573&lt;0,F573&lt;0),"ERRO: valor negativo",IF(C573&lt;&gt;SUM(D573:F573),"ERRO: categorias diferem dos respondentes",IF(COUNTIFS($A$5:$A$1200,A573,$B$5:$B$1200,B573)&gt;1,"ERRO: período e curso duplicados","OK"))))</f>
        <v/>
      </c>
    </row>
    <row r="574" ht="15" customHeight="1" s="131">
      <c r="A574" s="220" t="n"/>
      <c r="B574" s="222" t="n"/>
      <c r="C574" s="220" t="n"/>
      <c r="D574" s="220" t="n"/>
      <c r="E574" s="220" t="n"/>
      <c r="F574" s="220" t="n"/>
      <c r="G574" s="169">
        <f>IFERROR((D574-F574)/C574*100,"")</f>
        <v/>
      </c>
      <c r="H574" s="219" t="n"/>
      <c r="I574" s="220" t="n"/>
      <c r="J574" s="221">
        <f>IF(COUNTA(A574:F574)=0,"",IF(OR(C574&lt;0,D574&lt;0,E574&lt;0,F574&lt;0),"ERRO: valor negativo",IF(C574&lt;&gt;SUM(D574:F574),"ERRO: categorias diferem dos respondentes",IF(COUNTIFS($A$5:$A$1200,A574,$B$5:$B$1200,B574)&gt;1,"ERRO: período e curso duplicados","OK"))))</f>
        <v/>
      </c>
    </row>
    <row r="575" ht="15" customHeight="1" s="131">
      <c r="A575" s="220" t="n"/>
      <c r="B575" s="222" t="n"/>
      <c r="C575" s="220" t="n"/>
      <c r="D575" s="220" t="n"/>
      <c r="E575" s="220" t="n"/>
      <c r="F575" s="220" t="n"/>
      <c r="G575" s="169">
        <f>IFERROR((D575-F575)/C575*100,"")</f>
        <v/>
      </c>
      <c r="H575" s="219" t="n"/>
      <c r="I575" s="220" t="n"/>
      <c r="J575" s="221">
        <f>IF(COUNTA(A575:F575)=0,"",IF(OR(C575&lt;0,D575&lt;0,E575&lt;0,F575&lt;0),"ERRO: valor negativo",IF(C575&lt;&gt;SUM(D575:F575),"ERRO: categorias diferem dos respondentes",IF(COUNTIFS($A$5:$A$1200,A575,$B$5:$B$1200,B575)&gt;1,"ERRO: período e curso duplicados","OK"))))</f>
        <v/>
      </c>
    </row>
    <row r="576" ht="15" customHeight="1" s="131">
      <c r="A576" s="220" t="n"/>
      <c r="B576" s="222" t="n"/>
      <c r="C576" s="220" t="n"/>
      <c r="D576" s="220" t="n"/>
      <c r="E576" s="220" t="n"/>
      <c r="F576" s="220" t="n"/>
      <c r="G576" s="169">
        <f>IFERROR((D576-F576)/C576*100,"")</f>
        <v/>
      </c>
      <c r="H576" s="219" t="n"/>
      <c r="I576" s="220" t="n"/>
      <c r="J576" s="221">
        <f>IF(COUNTA(A576:F576)=0,"",IF(OR(C576&lt;0,D576&lt;0,E576&lt;0,F576&lt;0),"ERRO: valor negativo",IF(C576&lt;&gt;SUM(D576:F576),"ERRO: categorias diferem dos respondentes",IF(COUNTIFS($A$5:$A$1200,A576,$B$5:$B$1200,B576)&gt;1,"ERRO: período e curso duplicados","OK"))))</f>
        <v/>
      </c>
    </row>
    <row r="577" ht="15" customHeight="1" s="131">
      <c r="A577" s="220" t="n"/>
      <c r="B577" s="222" t="n"/>
      <c r="C577" s="220" t="n"/>
      <c r="D577" s="220" t="n"/>
      <c r="E577" s="220" t="n"/>
      <c r="F577" s="220" t="n"/>
      <c r="G577" s="169">
        <f>IFERROR((D577-F577)/C577*100,"")</f>
        <v/>
      </c>
      <c r="H577" s="219" t="n"/>
      <c r="I577" s="220" t="n"/>
      <c r="J577" s="221">
        <f>IF(COUNTA(A577:F577)=0,"",IF(OR(C577&lt;0,D577&lt;0,E577&lt;0,F577&lt;0),"ERRO: valor negativo",IF(C577&lt;&gt;SUM(D577:F577),"ERRO: categorias diferem dos respondentes",IF(COUNTIFS($A$5:$A$1200,A577,$B$5:$B$1200,B577)&gt;1,"ERRO: período e curso duplicados","OK"))))</f>
        <v/>
      </c>
    </row>
    <row r="578" ht="15" customHeight="1" s="131">
      <c r="A578" s="220" t="n"/>
      <c r="B578" s="222" t="n"/>
      <c r="C578" s="220" t="n"/>
      <c r="D578" s="220" t="n"/>
      <c r="E578" s="220" t="n"/>
      <c r="F578" s="220" t="n"/>
      <c r="G578" s="169">
        <f>IFERROR((D578-F578)/C578*100,"")</f>
        <v/>
      </c>
      <c r="H578" s="219" t="n"/>
      <c r="I578" s="220" t="n"/>
      <c r="J578" s="221">
        <f>IF(COUNTA(A578:F578)=0,"",IF(OR(C578&lt;0,D578&lt;0,E578&lt;0,F578&lt;0),"ERRO: valor negativo",IF(C578&lt;&gt;SUM(D578:F578),"ERRO: categorias diferem dos respondentes",IF(COUNTIFS($A$5:$A$1200,A578,$B$5:$B$1200,B578)&gt;1,"ERRO: período e curso duplicados","OK"))))</f>
        <v/>
      </c>
    </row>
    <row r="579" ht="15" customHeight="1" s="131">
      <c r="A579" s="220" t="n"/>
      <c r="B579" s="222" t="n"/>
      <c r="C579" s="220" t="n"/>
      <c r="D579" s="220" t="n"/>
      <c r="E579" s="220" t="n"/>
      <c r="F579" s="220" t="n"/>
      <c r="G579" s="169">
        <f>IFERROR((D579-F579)/C579*100,"")</f>
        <v/>
      </c>
      <c r="H579" s="219" t="n"/>
      <c r="I579" s="220" t="n"/>
      <c r="J579" s="221">
        <f>IF(COUNTA(A579:F579)=0,"",IF(OR(C579&lt;0,D579&lt;0,E579&lt;0,F579&lt;0),"ERRO: valor negativo",IF(C579&lt;&gt;SUM(D579:F579),"ERRO: categorias diferem dos respondentes",IF(COUNTIFS($A$5:$A$1200,A579,$B$5:$B$1200,B579)&gt;1,"ERRO: período e curso duplicados","OK"))))</f>
        <v/>
      </c>
    </row>
    <row r="580" ht="15" customHeight="1" s="131">
      <c r="A580" s="220" t="n"/>
      <c r="B580" s="222" t="n"/>
      <c r="C580" s="220" t="n"/>
      <c r="D580" s="220" t="n"/>
      <c r="E580" s="220" t="n"/>
      <c r="F580" s="220" t="n"/>
      <c r="G580" s="169">
        <f>IFERROR((D580-F580)/C580*100,"")</f>
        <v/>
      </c>
      <c r="H580" s="219" t="n"/>
      <c r="I580" s="220" t="n"/>
      <c r="J580" s="221">
        <f>IF(COUNTA(A580:F580)=0,"",IF(OR(C580&lt;0,D580&lt;0,E580&lt;0,F580&lt;0),"ERRO: valor negativo",IF(C580&lt;&gt;SUM(D580:F580),"ERRO: categorias diferem dos respondentes",IF(COUNTIFS($A$5:$A$1200,A580,$B$5:$B$1200,B580)&gt;1,"ERRO: período e curso duplicados","OK"))))</f>
        <v/>
      </c>
    </row>
    <row r="581" ht="15" customHeight="1" s="131">
      <c r="A581" s="220" t="n"/>
      <c r="B581" s="222" t="n"/>
      <c r="C581" s="220" t="n"/>
      <c r="D581" s="220" t="n"/>
      <c r="E581" s="220" t="n"/>
      <c r="F581" s="220" t="n"/>
      <c r="G581" s="169">
        <f>IFERROR((D581-F581)/C581*100,"")</f>
        <v/>
      </c>
      <c r="H581" s="219" t="n"/>
      <c r="I581" s="220" t="n"/>
      <c r="J581" s="221">
        <f>IF(COUNTA(A581:F581)=0,"",IF(OR(C581&lt;0,D581&lt;0,E581&lt;0,F581&lt;0),"ERRO: valor negativo",IF(C581&lt;&gt;SUM(D581:F581),"ERRO: categorias diferem dos respondentes",IF(COUNTIFS($A$5:$A$1200,A581,$B$5:$B$1200,B581)&gt;1,"ERRO: período e curso duplicados","OK"))))</f>
        <v/>
      </c>
    </row>
    <row r="582" ht="15" customHeight="1" s="131">
      <c r="A582" s="220" t="n"/>
      <c r="B582" s="222" t="n"/>
      <c r="C582" s="220" t="n"/>
      <c r="D582" s="220" t="n"/>
      <c r="E582" s="220" t="n"/>
      <c r="F582" s="220" t="n"/>
      <c r="G582" s="169">
        <f>IFERROR((D582-F582)/C582*100,"")</f>
        <v/>
      </c>
      <c r="H582" s="219" t="n"/>
      <c r="I582" s="220" t="n"/>
      <c r="J582" s="221">
        <f>IF(COUNTA(A582:F582)=0,"",IF(OR(C582&lt;0,D582&lt;0,E582&lt;0,F582&lt;0),"ERRO: valor negativo",IF(C582&lt;&gt;SUM(D582:F582),"ERRO: categorias diferem dos respondentes",IF(COUNTIFS($A$5:$A$1200,A582,$B$5:$B$1200,B582)&gt;1,"ERRO: período e curso duplicados","OK"))))</f>
        <v/>
      </c>
    </row>
    <row r="583" ht="15" customHeight="1" s="131">
      <c r="A583" s="220" t="n"/>
      <c r="B583" s="222" t="n"/>
      <c r="C583" s="220" t="n"/>
      <c r="D583" s="220" t="n"/>
      <c r="E583" s="220" t="n"/>
      <c r="F583" s="220" t="n"/>
      <c r="G583" s="169">
        <f>IFERROR((D583-F583)/C583*100,"")</f>
        <v/>
      </c>
      <c r="H583" s="219" t="n"/>
      <c r="I583" s="220" t="n"/>
      <c r="J583" s="221">
        <f>IF(COUNTA(A583:F583)=0,"",IF(OR(C583&lt;0,D583&lt;0,E583&lt;0,F583&lt;0),"ERRO: valor negativo",IF(C583&lt;&gt;SUM(D583:F583),"ERRO: categorias diferem dos respondentes",IF(COUNTIFS($A$5:$A$1200,A583,$B$5:$B$1200,B583)&gt;1,"ERRO: período e curso duplicados","OK"))))</f>
        <v/>
      </c>
    </row>
    <row r="584" ht="15" customHeight="1" s="131">
      <c r="A584" s="220" t="n"/>
      <c r="B584" s="222" t="n"/>
      <c r="C584" s="220" t="n"/>
      <c r="D584" s="220" t="n"/>
      <c r="E584" s="220" t="n"/>
      <c r="F584" s="220" t="n"/>
      <c r="G584" s="169">
        <f>IFERROR((D584-F584)/C584*100,"")</f>
        <v/>
      </c>
      <c r="H584" s="219" t="n"/>
      <c r="I584" s="220" t="n"/>
      <c r="J584" s="221">
        <f>IF(COUNTA(A584:F584)=0,"",IF(OR(C584&lt;0,D584&lt;0,E584&lt;0,F584&lt;0),"ERRO: valor negativo",IF(C584&lt;&gt;SUM(D584:F584),"ERRO: categorias diferem dos respondentes",IF(COUNTIFS($A$5:$A$1200,A584,$B$5:$B$1200,B584)&gt;1,"ERRO: período e curso duplicados","OK"))))</f>
        <v/>
      </c>
    </row>
    <row r="585" ht="15" customHeight="1" s="131">
      <c r="A585" s="220" t="n"/>
      <c r="B585" s="222" t="n"/>
      <c r="C585" s="220" t="n"/>
      <c r="D585" s="220" t="n"/>
      <c r="E585" s="220" t="n"/>
      <c r="F585" s="220" t="n"/>
      <c r="G585" s="169">
        <f>IFERROR((D585-F585)/C585*100,"")</f>
        <v/>
      </c>
      <c r="H585" s="219" t="n"/>
      <c r="I585" s="220" t="n"/>
      <c r="J585" s="221">
        <f>IF(COUNTA(A585:F585)=0,"",IF(OR(C585&lt;0,D585&lt;0,E585&lt;0,F585&lt;0),"ERRO: valor negativo",IF(C585&lt;&gt;SUM(D585:F585),"ERRO: categorias diferem dos respondentes",IF(COUNTIFS($A$5:$A$1200,A585,$B$5:$B$1200,B585)&gt;1,"ERRO: período e curso duplicados","OK"))))</f>
        <v/>
      </c>
    </row>
    <row r="586" ht="15" customHeight="1" s="131">
      <c r="A586" s="220" t="n"/>
      <c r="B586" s="222" t="n"/>
      <c r="C586" s="220" t="n"/>
      <c r="D586" s="220" t="n"/>
      <c r="E586" s="220" t="n"/>
      <c r="F586" s="220" t="n"/>
      <c r="G586" s="169">
        <f>IFERROR((D586-F586)/C586*100,"")</f>
        <v/>
      </c>
      <c r="H586" s="219" t="n"/>
      <c r="I586" s="220" t="n"/>
      <c r="J586" s="221">
        <f>IF(COUNTA(A586:F586)=0,"",IF(OR(C586&lt;0,D586&lt;0,E586&lt;0,F586&lt;0),"ERRO: valor negativo",IF(C586&lt;&gt;SUM(D586:F586),"ERRO: categorias diferem dos respondentes",IF(COUNTIFS($A$5:$A$1200,A586,$B$5:$B$1200,B586)&gt;1,"ERRO: período e curso duplicados","OK"))))</f>
        <v/>
      </c>
    </row>
    <row r="587" ht="15" customHeight="1" s="131">
      <c r="A587" s="220" t="n"/>
      <c r="B587" s="222" t="n"/>
      <c r="C587" s="220" t="n"/>
      <c r="D587" s="220" t="n"/>
      <c r="E587" s="220" t="n"/>
      <c r="F587" s="220" t="n"/>
      <c r="G587" s="169">
        <f>IFERROR((D587-F587)/C587*100,"")</f>
        <v/>
      </c>
      <c r="H587" s="219" t="n"/>
      <c r="I587" s="220" t="n"/>
      <c r="J587" s="221">
        <f>IF(COUNTA(A587:F587)=0,"",IF(OR(C587&lt;0,D587&lt;0,E587&lt;0,F587&lt;0),"ERRO: valor negativo",IF(C587&lt;&gt;SUM(D587:F587),"ERRO: categorias diferem dos respondentes",IF(COUNTIFS($A$5:$A$1200,A587,$B$5:$B$1200,B587)&gt;1,"ERRO: período e curso duplicados","OK"))))</f>
        <v/>
      </c>
    </row>
    <row r="588" ht="15" customHeight="1" s="131">
      <c r="A588" s="220" t="n"/>
      <c r="B588" s="222" t="n"/>
      <c r="C588" s="220" t="n"/>
      <c r="D588" s="220" t="n"/>
      <c r="E588" s="220" t="n"/>
      <c r="F588" s="220" t="n"/>
      <c r="G588" s="169">
        <f>IFERROR((D588-F588)/C588*100,"")</f>
        <v/>
      </c>
      <c r="H588" s="219" t="n"/>
      <c r="I588" s="220" t="n"/>
      <c r="J588" s="221">
        <f>IF(COUNTA(A588:F588)=0,"",IF(OR(C588&lt;0,D588&lt;0,E588&lt;0,F588&lt;0),"ERRO: valor negativo",IF(C588&lt;&gt;SUM(D588:F588),"ERRO: categorias diferem dos respondentes",IF(COUNTIFS($A$5:$A$1200,A588,$B$5:$B$1200,B588)&gt;1,"ERRO: período e curso duplicados","OK"))))</f>
        <v/>
      </c>
    </row>
    <row r="589" ht="15" customHeight="1" s="131">
      <c r="A589" s="220" t="n"/>
      <c r="B589" s="222" t="n"/>
      <c r="C589" s="220" t="n"/>
      <c r="D589" s="220" t="n"/>
      <c r="E589" s="220" t="n"/>
      <c r="F589" s="220" t="n"/>
      <c r="G589" s="169">
        <f>IFERROR((D589-F589)/C589*100,"")</f>
        <v/>
      </c>
      <c r="H589" s="219" t="n"/>
      <c r="I589" s="220" t="n"/>
      <c r="J589" s="221">
        <f>IF(COUNTA(A589:F589)=0,"",IF(OR(C589&lt;0,D589&lt;0,E589&lt;0,F589&lt;0),"ERRO: valor negativo",IF(C589&lt;&gt;SUM(D589:F589),"ERRO: categorias diferem dos respondentes",IF(COUNTIFS($A$5:$A$1200,A589,$B$5:$B$1200,B589)&gt;1,"ERRO: período e curso duplicados","OK"))))</f>
        <v/>
      </c>
    </row>
    <row r="590" ht="15" customHeight="1" s="131">
      <c r="A590" s="220" t="n"/>
      <c r="B590" s="222" t="n"/>
      <c r="C590" s="220" t="n"/>
      <c r="D590" s="220" t="n"/>
      <c r="E590" s="220" t="n"/>
      <c r="F590" s="220" t="n"/>
      <c r="G590" s="169">
        <f>IFERROR((D590-F590)/C590*100,"")</f>
        <v/>
      </c>
      <c r="H590" s="219" t="n"/>
      <c r="I590" s="220" t="n"/>
      <c r="J590" s="221">
        <f>IF(COUNTA(A590:F590)=0,"",IF(OR(C590&lt;0,D590&lt;0,E590&lt;0,F590&lt;0),"ERRO: valor negativo",IF(C590&lt;&gt;SUM(D590:F590),"ERRO: categorias diferem dos respondentes",IF(COUNTIFS($A$5:$A$1200,A590,$B$5:$B$1200,B590)&gt;1,"ERRO: período e curso duplicados","OK"))))</f>
        <v/>
      </c>
    </row>
    <row r="591" ht="15" customHeight="1" s="131">
      <c r="A591" s="220" t="n"/>
      <c r="B591" s="222" t="n"/>
      <c r="C591" s="220" t="n"/>
      <c r="D591" s="220" t="n"/>
      <c r="E591" s="220" t="n"/>
      <c r="F591" s="220" t="n"/>
      <c r="G591" s="169">
        <f>IFERROR((D591-F591)/C591*100,"")</f>
        <v/>
      </c>
      <c r="H591" s="219" t="n"/>
      <c r="I591" s="220" t="n"/>
      <c r="J591" s="221">
        <f>IF(COUNTA(A591:F591)=0,"",IF(OR(C591&lt;0,D591&lt;0,E591&lt;0,F591&lt;0),"ERRO: valor negativo",IF(C591&lt;&gt;SUM(D591:F591),"ERRO: categorias diferem dos respondentes",IF(COUNTIFS($A$5:$A$1200,A591,$B$5:$B$1200,B591)&gt;1,"ERRO: período e curso duplicados","OK"))))</f>
        <v/>
      </c>
    </row>
    <row r="592" ht="15" customHeight="1" s="131">
      <c r="A592" s="220" t="n"/>
      <c r="B592" s="222" t="n"/>
      <c r="C592" s="220" t="n"/>
      <c r="D592" s="220" t="n"/>
      <c r="E592" s="220" t="n"/>
      <c r="F592" s="220" t="n"/>
      <c r="G592" s="169">
        <f>IFERROR((D592-F592)/C592*100,"")</f>
        <v/>
      </c>
      <c r="H592" s="219" t="n"/>
      <c r="I592" s="220" t="n"/>
      <c r="J592" s="221">
        <f>IF(COUNTA(A592:F592)=0,"",IF(OR(C592&lt;0,D592&lt;0,E592&lt;0,F592&lt;0),"ERRO: valor negativo",IF(C592&lt;&gt;SUM(D592:F592),"ERRO: categorias diferem dos respondentes",IF(COUNTIFS($A$5:$A$1200,A592,$B$5:$B$1200,B592)&gt;1,"ERRO: período e curso duplicados","OK"))))</f>
        <v/>
      </c>
    </row>
    <row r="593" ht="15" customHeight="1" s="131">
      <c r="A593" s="220" t="n"/>
      <c r="B593" s="222" t="n"/>
      <c r="C593" s="220" t="n"/>
      <c r="D593" s="220" t="n"/>
      <c r="E593" s="220" t="n"/>
      <c r="F593" s="220" t="n"/>
      <c r="G593" s="169">
        <f>IFERROR((D593-F593)/C593*100,"")</f>
        <v/>
      </c>
      <c r="H593" s="219" t="n"/>
      <c r="I593" s="220" t="n"/>
      <c r="J593" s="221">
        <f>IF(COUNTA(A593:F593)=0,"",IF(OR(C593&lt;0,D593&lt;0,E593&lt;0,F593&lt;0),"ERRO: valor negativo",IF(C593&lt;&gt;SUM(D593:F593),"ERRO: categorias diferem dos respondentes",IF(COUNTIFS($A$5:$A$1200,A593,$B$5:$B$1200,B593)&gt;1,"ERRO: período e curso duplicados","OK"))))</f>
        <v/>
      </c>
    </row>
    <row r="594" ht="15" customHeight="1" s="131">
      <c r="A594" s="220" t="n"/>
      <c r="B594" s="222" t="n"/>
      <c r="C594" s="220" t="n"/>
      <c r="D594" s="220" t="n"/>
      <c r="E594" s="220" t="n"/>
      <c r="F594" s="220" t="n"/>
      <c r="G594" s="169">
        <f>IFERROR((D594-F594)/C594*100,"")</f>
        <v/>
      </c>
      <c r="H594" s="219" t="n"/>
      <c r="I594" s="220" t="n"/>
      <c r="J594" s="221">
        <f>IF(COUNTA(A594:F594)=0,"",IF(OR(C594&lt;0,D594&lt;0,E594&lt;0,F594&lt;0),"ERRO: valor negativo",IF(C594&lt;&gt;SUM(D594:F594),"ERRO: categorias diferem dos respondentes",IF(COUNTIFS($A$5:$A$1200,A594,$B$5:$B$1200,B594)&gt;1,"ERRO: período e curso duplicados","OK"))))</f>
        <v/>
      </c>
    </row>
    <row r="595" ht="15" customHeight="1" s="131">
      <c r="A595" s="220" t="n"/>
      <c r="B595" s="222" t="n"/>
      <c r="C595" s="220" t="n"/>
      <c r="D595" s="220" t="n"/>
      <c r="E595" s="220" t="n"/>
      <c r="F595" s="220" t="n"/>
      <c r="G595" s="169">
        <f>IFERROR((D595-F595)/C595*100,"")</f>
        <v/>
      </c>
      <c r="H595" s="219" t="n"/>
      <c r="I595" s="220" t="n"/>
      <c r="J595" s="221">
        <f>IF(COUNTA(A595:F595)=0,"",IF(OR(C595&lt;0,D595&lt;0,E595&lt;0,F595&lt;0),"ERRO: valor negativo",IF(C595&lt;&gt;SUM(D595:F595),"ERRO: categorias diferem dos respondentes",IF(COUNTIFS($A$5:$A$1200,A595,$B$5:$B$1200,B595)&gt;1,"ERRO: período e curso duplicados","OK"))))</f>
        <v/>
      </c>
    </row>
    <row r="596" ht="15" customHeight="1" s="131">
      <c r="A596" s="220" t="n"/>
      <c r="B596" s="222" t="n"/>
      <c r="C596" s="220" t="n"/>
      <c r="D596" s="220" t="n"/>
      <c r="E596" s="220" t="n"/>
      <c r="F596" s="220" t="n"/>
      <c r="G596" s="169">
        <f>IFERROR((D596-F596)/C596*100,"")</f>
        <v/>
      </c>
      <c r="H596" s="219" t="n"/>
      <c r="I596" s="220" t="n"/>
      <c r="J596" s="221">
        <f>IF(COUNTA(A596:F596)=0,"",IF(OR(C596&lt;0,D596&lt;0,E596&lt;0,F596&lt;0),"ERRO: valor negativo",IF(C596&lt;&gt;SUM(D596:F596),"ERRO: categorias diferem dos respondentes",IF(COUNTIFS($A$5:$A$1200,A596,$B$5:$B$1200,B596)&gt;1,"ERRO: período e curso duplicados","OK"))))</f>
        <v/>
      </c>
    </row>
    <row r="597" ht="15" customHeight="1" s="131">
      <c r="A597" s="220" t="n"/>
      <c r="B597" s="222" t="n"/>
      <c r="C597" s="220" t="n"/>
      <c r="D597" s="220" t="n"/>
      <c r="E597" s="220" t="n"/>
      <c r="F597" s="220" t="n"/>
      <c r="G597" s="169">
        <f>IFERROR((D597-F597)/C597*100,"")</f>
        <v/>
      </c>
      <c r="H597" s="219" t="n"/>
      <c r="I597" s="220" t="n"/>
      <c r="J597" s="221">
        <f>IF(COUNTA(A597:F597)=0,"",IF(OR(C597&lt;0,D597&lt;0,E597&lt;0,F597&lt;0),"ERRO: valor negativo",IF(C597&lt;&gt;SUM(D597:F597),"ERRO: categorias diferem dos respondentes",IF(COUNTIFS($A$5:$A$1200,A597,$B$5:$B$1200,B597)&gt;1,"ERRO: período e curso duplicados","OK"))))</f>
        <v/>
      </c>
    </row>
    <row r="598" ht="15" customHeight="1" s="131">
      <c r="A598" s="220" t="n"/>
      <c r="B598" s="222" t="n"/>
      <c r="C598" s="220" t="n"/>
      <c r="D598" s="220" t="n"/>
      <c r="E598" s="220" t="n"/>
      <c r="F598" s="220" t="n"/>
      <c r="G598" s="169">
        <f>IFERROR((D598-F598)/C598*100,"")</f>
        <v/>
      </c>
      <c r="H598" s="219" t="n"/>
      <c r="I598" s="220" t="n"/>
      <c r="J598" s="221">
        <f>IF(COUNTA(A598:F598)=0,"",IF(OR(C598&lt;0,D598&lt;0,E598&lt;0,F598&lt;0),"ERRO: valor negativo",IF(C598&lt;&gt;SUM(D598:F598),"ERRO: categorias diferem dos respondentes",IF(COUNTIFS($A$5:$A$1200,A598,$B$5:$B$1200,B598)&gt;1,"ERRO: período e curso duplicados","OK"))))</f>
        <v/>
      </c>
    </row>
    <row r="599" ht="15" customHeight="1" s="131">
      <c r="A599" s="220" t="n"/>
      <c r="B599" s="222" t="n"/>
      <c r="C599" s="220" t="n"/>
      <c r="D599" s="220" t="n"/>
      <c r="E599" s="220" t="n"/>
      <c r="F599" s="220" t="n"/>
      <c r="G599" s="169">
        <f>IFERROR((D599-F599)/C599*100,"")</f>
        <v/>
      </c>
      <c r="H599" s="219" t="n"/>
      <c r="I599" s="220" t="n"/>
      <c r="J599" s="221">
        <f>IF(COUNTA(A599:F599)=0,"",IF(OR(C599&lt;0,D599&lt;0,E599&lt;0,F599&lt;0),"ERRO: valor negativo",IF(C599&lt;&gt;SUM(D599:F599),"ERRO: categorias diferem dos respondentes",IF(COUNTIFS($A$5:$A$1200,A599,$B$5:$B$1200,B599)&gt;1,"ERRO: período e curso duplicados","OK"))))</f>
        <v/>
      </c>
    </row>
    <row r="600" ht="15" customHeight="1" s="131">
      <c r="A600" s="220" t="n"/>
      <c r="B600" s="222" t="n"/>
      <c r="C600" s="220" t="n"/>
      <c r="D600" s="220" t="n"/>
      <c r="E600" s="220" t="n"/>
      <c r="F600" s="220" t="n"/>
      <c r="G600" s="169">
        <f>IFERROR((D600-F600)/C600*100,"")</f>
        <v/>
      </c>
      <c r="H600" s="219" t="n"/>
      <c r="I600" s="220" t="n"/>
      <c r="J600" s="221">
        <f>IF(COUNTA(A600:F600)=0,"",IF(OR(C600&lt;0,D600&lt;0,E600&lt;0,F600&lt;0),"ERRO: valor negativo",IF(C600&lt;&gt;SUM(D600:F600),"ERRO: categorias diferem dos respondentes",IF(COUNTIFS($A$5:$A$1200,A600,$B$5:$B$1200,B600)&gt;1,"ERRO: período e curso duplicados","OK"))))</f>
        <v/>
      </c>
    </row>
    <row r="601" ht="15" customHeight="1" s="131">
      <c r="A601" s="220" t="n"/>
      <c r="B601" s="222" t="n"/>
      <c r="C601" s="220" t="n"/>
      <c r="D601" s="220" t="n"/>
      <c r="E601" s="220" t="n"/>
      <c r="F601" s="220" t="n"/>
      <c r="G601" s="169">
        <f>IFERROR((D601-F601)/C601*100,"")</f>
        <v/>
      </c>
      <c r="H601" s="219" t="n"/>
      <c r="I601" s="220" t="n"/>
      <c r="J601" s="221">
        <f>IF(COUNTA(A601:F601)=0,"",IF(OR(C601&lt;0,D601&lt;0,E601&lt;0,F601&lt;0),"ERRO: valor negativo",IF(C601&lt;&gt;SUM(D601:F601),"ERRO: categorias diferem dos respondentes",IF(COUNTIFS($A$5:$A$1200,A601,$B$5:$B$1200,B601)&gt;1,"ERRO: período e curso duplicados","OK"))))</f>
        <v/>
      </c>
    </row>
    <row r="602" ht="15" customHeight="1" s="131">
      <c r="A602" s="220" t="n"/>
      <c r="B602" s="222" t="n"/>
      <c r="C602" s="220" t="n"/>
      <c r="D602" s="220" t="n"/>
      <c r="E602" s="220" t="n"/>
      <c r="F602" s="220" t="n"/>
      <c r="G602" s="169">
        <f>IFERROR((D602-F602)/C602*100,"")</f>
        <v/>
      </c>
      <c r="H602" s="219" t="n"/>
      <c r="I602" s="220" t="n"/>
      <c r="J602" s="221">
        <f>IF(COUNTA(A602:F602)=0,"",IF(OR(C602&lt;0,D602&lt;0,E602&lt;0,F602&lt;0),"ERRO: valor negativo",IF(C602&lt;&gt;SUM(D602:F602),"ERRO: categorias diferem dos respondentes",IF(COUNTIFS($A$5:$A$1200,A602,$B$5:$B$1200,B602)&gt;1,"ERRO: período e curso duplicados","OK"))))</f>
        <v/>
      </c>
    </row>
    <row r="603" ht="15" customHeight="1" s="131">
      <c r="A603" s="220" t="n"/>
      <c r="B603" s="222" t="n"/>
      <c r="C603" s="220" t="n"/>
      <c r="D603" s="220" t="n"/>
      <c r="E603" s="220" t="n"/>
      <c r="F603" s="220" t="n"/>
      <c r="G603" s="169">
        <f>IFERROR((D603-F603)/C603*100,"")</f>
        <v/>
      </c>
      <c r="H603" s="219" t="n"/>
      <c r="I603" s="220" t="n"/>
      <c r="J603" s="221">
        <f>IF(COUNTA(A603:F603)=0,"",IF(OR(C603&lt;0,D603&lt;0,E603&lt;0,F603&lt;0),"ERRO: valor negativo",IF(C603&lt;&gt;SUM(D603:F603),"ERRO: categorias diferem dos respondentes",IF(COUNTIFS($A$5:$A$1200,A603,$B$5:$B$1200,B603)&gt;1,"ERRO: período e curso duplicados","OK"))))</f>
        <v/>
      </c>
    </row>
    <row r="604" ht="15" customHeight="1" s="131">
      <c r="A604" s="220" t="n"/>
      <c r="B604" s="222" t="n"/>
      <c r="C604" s="220" t="n"/>
      <c r="D604" s="220" t="n"/>
      <c r="E604" s="220" t="n"/>
      <c r="F604" s="220" t="n"/>
      <c r="G604" s="169">
        <f>IFERROR((D604-F604)/C604*100,"")</f>
        <v/>
      </c>
      <c r="H604" s="219" t="n"/>
      <c r="I604" s="220" t="n"/>
      <c r="J604" s="221">
        <f>IF(COUNTA(A604:F604)=0,"",IF(OR(C604&lt;0,D604&lt;0,E604&lt;0,F604&lt;0),"ERRO: valor negativo",IF(C604&lt;&gt;SUM(D604:F604),"ERRO: categorias diferem dos respondentes",IF(COUNTIFS($A$5:$A$1200,A604,$B$5:$B$1200,B604)&gt;1,"ERRO: período e curso duplicados","OK"))))</f>
        <v/>
      </c>
    </row>
    <row r="605" ht="15" customHeight="1" s="131">
      <c r="A605" s="220" t="n"/>
      <c r="B605" s="222" t="n"/>
      <c r="C605" s="220" t="n"/>
      <c r="D605" s="220" t="n"/>
      <c r="E605" s="220" t="n"/>
      <c r="F605" s="220" t="n"/>
      <c r="G605" s="169">
        <f>IFERROR((D605-F605)/C605*100,"")</f>
        <v/>
      </c>
      <c r="H605" s="219" t="n"/>
      <c r="I605" s="220" t="n"/>
      <c r="J605" s="221">
        <f>IF(COUNTA(A605:F605)=0,"",IF(OR(C605&lt;0,D605&lt;0,E605&lt;0,F605&lt;0),"ERRO: valor negativo",IF(C605&lt;&gt;SUM(D605:F605),"ERRO: categorias diferem dos respondentes",IF(COUNTIFS($A$5:$A$1200,A605,$B$5:$B$1200,B605)&gt;1,"ERRO: período e curso duplicados","OK"))))</f>
        <v/>
      </c>
    </row>
    <row r="606" ht="15" customHeight="1" s="131">
      <c r="A606" s="220" t="n"/>
      <c r="B606" s="222" t="n"/>
      <c r="C606" s="220" t="n"/>
      <c r="D606" s="220" t="n"/>
      <c r="E606" s="220" t="n"/>
      <c r="F606" s="220" t="n"/>
      <c r="G606" s="169">
        <f>IFERROR((D606-F606)/C606*100,"")</f>
        <v/>
      </c>
      <c r="H606" s="219" t="n"/>
      <c r="I606" s="220" t="n"/>
      <c r="J606" s="221">
        <f>IF(COUNTA(A606:F606)=0,"",IF(OR(C606&lt;0,D606&lt;0,E606&lt;0,F606&lt;0),"ERRO: valor negativo",IF(C606&lt;&gt;SUM(D606:F606),"ERRO: categorias diferem dos respondentes",IF(COUNTIFS($A$5:$A$1200,A606,$B$5:$B$1200,B606)&gt;1,"ERRO: período e curso duplicados","OK"))))</f>
        <v/>
      </c>
    </row>
    <row r="607" ht="15" customHeight="1" s="131">
      <c r="A607" s="220" t="n"/>
      <c r="B607" s="222" t="n"/>
      <c r="C607" s="220" t="n"/>
      <c r="D607" s="220" t="n"/>
      <c r="E607" s="220" t="n"/>
      <c r="F607" s="220" t="n"/>
      <c r="G607" s="169">
        <f>IFERROR((D607-F607)/C607*100,"")</f>
        <v/>
      </c>
      <c r="H607" s="219" t="n"/>
      <c r="I607" s="220" t="n"/>
      <c r="J607" s="221">
        <f>IF(COUNTA(A607:F607)=0,"",IF(OR(C607&lt;0,D607&lt;0,E607&lt;0,F607&lt;0),"ERRO: valor negativo",IF(C607&lt;&gt;SUM(D607:F607),"ERRO: categorias diferem dos respondentes",IF(COUNTIFS($A$5:$A$1200,A607,$B$5:$B$1200,B607)&gt;1,"ERRO: período e curso duplicados","OK"))))</f>
        <v/>
      </c>
    </row>
    <row r="608" ht="15" customHeight="1" s="131">
      <c r="A608" s="220" t="n"/>
      <c r="B608" s="222" t="n"/>
      <c r="C608" s="220" t="n"/>
      <c r="D608" s="220" t="n"/>
      <c r="E608" s="220" t="n"/>
      <c r="F608" s="220" t="n"/>
      <c r="G608" s="169">
        <f>IFERROR((D608-F608)/C608*100,"")</f>
        <v/>
      </c>
      <c r="H608" s="219" t="n"/>
      <c r="I608" s="220" t="n"/>
      <c r="J608" s="221">
        <f>IF(COUNTA(A608:F608)=0,"",IF(OR(C608&lt;0,D608&lt;0,E608&lt;0,F608&lt;0),"ERRO: valor negativo",IF(C608&lt;&gt;SUM(D608:F608),"ERRO: categorias diferem dos respondentes",IF(COUNTIFS($A$5:$A$1200,A608,$B$5:$B$1200,B608)&gt;1,"ERRO: período e curso duplicados","OK"))))</f>
        <v/>
      </c>
    </row>
    <row r="609" ht="15" customHeight="1" s="131">
      <c r="A609" s="220" t="n"/>
      <c r="B609" s="222" t="n"/>
      <c r="C609" s="220" t="n"/>
      <c r="D609" s="220" t="n"/>
      <c r="E609" s="220" t="n"/>
      <c r="F609" s="220" t="n"/>
      <c r="G609" s="169">
        <f>IFERROR((D609-F609)/C609*100,"")</f>
        <v/>
      </c>
      <c r="H609" s="219" t="n"/>
      <c r="I609" s="220" t="n"/>
      <c r="J609" s="221">
        <f>IF(COUNTA(A609:F609)=0,"",IF(OR(C609&lt;0,D609&lt;0,E609&lt;0,F609&lt;0),"ERRO: valor negativo",IF(C609&lt;&gt;SUM(D609:F609),"ERRO: categorias diferem dos respondentes",IF(COUNTIFS($A$5:$A$1200,A609,$B$5:$B$1200,B609)&gt;1,"ERRO: período e curso duplicados","OK"))))</f>
        <v/>
      </c>
    </row>
    <row r="610" ht="15" customHeight="1" s="131">
      <c r="A610" s="220" t="n"/>
      <c r="B610" s="222" t="n"/>
      <c r="C610" s="220" t="n"/>
      <c r="D610" s="220" t="n"/>
      <c r="E610" s="220" t="n"/>
      <c r="F610" s="220" t="n"/>
      <c r="G610" s="169">
        <f>IFERROR((D610-F610)/C610*100,"")</f>
        <v/>
      </c>
      <c r="H610" s="219" t="n"/>
      <c r="I610" s="220" t="n"/>
      <c r="J610" s="221">
        <f>IF(COUNTA(A610:F610)=0,"",IF(OR(C610&lt;0,D610&lt;0,E610&lt;0,F610&lt;0),"ERRO: valor negativo",IF(C610&lt;&gt;SUM(D610:F610),"ERRO: categorias diferem dos respondentes",IF(COUNTIFS($A$5:$A$1200,A610,$B$5:$B$1200,B610)&gt;1,"ERRO: período e curso duplicados","OK"))))</f>
        <v/>
      </c>
    </row>
    <row r="611" ht="15" customHeight="1" s="131">
      <c r="A611" s="220" t="n"/>
      <c r="B611" s="222" t="n"/>
      <c r="C611" s="220" t="n"/>
      <c r="D611" s="220" t="n"/>
      <c r="E611" s="220" t="n"/>
      <c r="F611" s="220" t="n"/>
      <c r="G611" s="169">
        <f>IFERROR((D611-F611)/C611*100,"")</f>
        <v/>
      </c>
      <c r="H611" s="219" t="n"/>
      <c r="I611" s="220" t="n"/>
      <c r="J611" s="221">
        <f>IF(COUNTA(A611:F611)=0,"",IF(OR(C611&lt;0,D611&lt;0,E611&lt;0,F611&lt;0),"ERRO: valor negativo",IF(C611&lt;&gt;SUM(D611:F611),"ERRO: categorias diferem dos respondentes",IF(COUNTIFS($A$5:$A$1200,A611,$B$5:$B$1200,B611)&gt;1,"ERRO: período e curso duplicados","OK"))))</f>
        <v/>
      </c>
    </row>
    <row r="612" ht="15" customHeight="1" s="131">
      <c r="A612" s="220" t="n"/>
      <c r="B612" s="222" t="n"/>
      <c r="C612" s="220" t="n"/>
      <c r="D612" s="220" t="n"/>
      <c r="E612" s="220" t="n"/>
      <c r="F612" s="220" t="n"/>
      <c r="G612" s="169">
        <f>IFERROR((D612-F612)/C612*100,"")</f>
        <v/>
      </c>
      <c r="H612" s="219" t="n"/>
      <c r="I612" s="220" t="n"/>
      <c r="J612" s="221">
        <f>IF(COUNTA(A612:F612)=0,"",IF(OR(C612&lt;0,D612&lt;0,E612&lt;0,F612&lt;0),"ERRO: valor negativo",IF(C612&lt;&gt;SUM(D612:F612),"ERRO: categorias diferem dos respondentes",IF(COUNTIFS($A$5:$A$1200,A612,$B$5:$B$1200,B612)&gt;1,"ERRO: período e curso duplicados","OK"))))</f>
        <v/>
      </c>
    </row>
    <row r="613" ht="15" customHeight="1" s="131">
      <c r="A613" s="220" t="n"/>
      <c r="B613" s="222" t="n"/>
      <c r="C613" s="220" t="n"/>
      <c r="D613" s="220" t="n"/>
      <c r="E613" s="220" t="n"/>
      <c r="F613" s="220" t="n"/>
      <c r="G613" s="169">
        <f>IFERROR((D613-F613)/C613*100,"")</f>
        <v/>
      </c>
      <c r="H613" s="219" t="n"/>
      <c r="I613" s="220" t="n"/>
      <c r="J613" s="221">
        <f>IF(COUNTA(A613:F613)=0,"",IF(OR(C613&lt;0,D613&lt;0,E613&lt;0,F613&lt;0),"ERRO: valor negativo",IF(C613&lt;&gt;SUM(D613:F613),"ERRO: categorias diferem dos respondentes",IF(COUNTIFS($A$5:$A$1200,A613,$B$5:$B$1200,B613)&gt;1,"ERRO: período e curso duplicados","OK"))))</f>
        <v/>
      </c>
    </row>
    <row r="614" ht="15" customHeight="1" s="131">
      <c r="A614" s="220" t="n"/>
      <c r="B614" s="222" t="n"/>
      <c r="C614" s="220" t="n"/>
      <c r="D614" s="220" t="n"/>
      <c r="E614" s="220" t="n"/>
      <c r="F614" s="220" t="n"/>
      <c r="G614" s="169">
        <f>IFERROR((D614-F614)/C614*100,"")</f>
        <v/>
      </c>
      <c r="H614" s="219" t="n"/>
      <c r="I614" s="220" t="n"/>
      <c r="J614" s="221">
        <f>IF(COUNTA(A614:F614)=0,"",IF(OR(C614&lt;0,D614&lt;0,E614&lt;0,F614&lt;0),"ERRO: valor negativo",IF(C614&lt;&gt;SUM(D614:F614),"ERRO: categorias diferem dos respondentes",IF(COUNTIFS($A$5:$A$1200,A614,$B$5:$B$1200,B614)&gt;1,"ERRO: período e curso duplicados","OK"))))</f>
        <v/>
      </c>
    </row>
    <row r="615" ht="15" customHeight="1" s="131">
      <c r="A615" s="220" t="n"/>
      <c r="B615" s="222" t="n"/>
      <c r="C615" s="220" t="n"/>
      <c r="D615" s="220" t="n"/>
      <c r="E615" s="220" t="n"/>
      <c r="F615" s="220" t="n"/>
      <c r="G615" s="169">
        <f>IFERROR((D615-F615)/C615*100,"")</f>
        <v/>
      </c>
      <c r="H615" s="219" t="n"/>
      <c r="I615" s="220" t="n"/>
      <c r="J615" s="221">
        <f>IF(COUNTA(A615:F615)=0,"",IF(OR(C615&lt;0,D615&lt;0,E615&lt;0,F615&lt;0),"ERRO: valor negativo",IF(C615&lt;&gt;SUM(D615:F615),"ERRO: categorias diferem dos respondentes",IF(COUNTIFS($A$5:$A$1200,A615,$B$5:$B$1200,B615)&gt;1,"ERRO: período e curso duplicados","OK"))))</f>
        <v/>
      </c>
    </row>
    <row r="616" ht="15" customHeight="1" s="131">
      <c r="A616" s="220" t="n"/>
      <c r="B616" s="222" t="n"/>
      <c r="C616" s="220" t="n"/>
      <c r="D616" s="220" t="n"/>
      <c r="E616" s="220" t="n"/>
      <c r="F616" s="220" t="n"/>
      <c r="G616" s="169">
        <f>IFERROR((D616-F616)/C616*100,"")</f>
        <v/>
      </c>
      <c r="H616" s="219" t="n"/>
      <c r="I616" s="220" t="n"/>
      <c r="J616" s="221">
        <f>IF(COUNTA(A616:F616)=0,"",IF(OR(C616&lt;0,D616&lt;0,E616&lt;0,F616&lt;0),"ERRO: valor negativo",IF(C616&lt;&gt;SUM(D616:F616),"ERRO: categorias diferem dos respondentes",IF(COUNTIFS($A$5:$A$1200,A616,$B$5:$B$1200,B616)&gt;1,"ERRO: período e curso duplicados","OK"))))</f>
        <v/>
      </c>
    </row>
    <row r="617" ht="15" customHeight="1" s="131">
      <c r="A617" s="220" t="n"/>
      <c r="B617" s="222" t="n"/>
      <c r="C617" s="220" t="n"/>
      <c r="D617" s="220" t="n"/>
      <c r="E617" s="220" t="n"/>
      <c r="F617" s="220" t="n"/>
      <c r="G617" s="169">
        <f>IFERROR((D617-F617)/C617*100,"")</f>
        <v/>
      </c>
      <c r="H617" s="219" t="n"/>
      <c r="I617" s="220" t="n"/>
      <c r="J617" s="221">
        <f>IF(COUNTA(A617:F617)=0,"",IF(OR(C617&lt;0,D617&lt;0,E617&lt;0,F617&lt;0),"ERRO: valor negativo",IF(C617&lt;&gt;SUM(D617:F617),"ERRO: categorias diferem dos respondentes",IF(COUNTIFS($A$5:$A$1200,A617,$B$5:$B$1200,B617)&gt;1,"ERRO: período e curso duplicados","OK"))))</f>
        <v/>
      </c>
    </row>
    <row r="618" ht="15" customHeight="1" s="131">
      <c r="A618" s="220" t="n"/>
      <c r="B618" s="222" t="n"/>
      <c r="C618" s="220" t="n"/>
      <c r="D618" s="220" t="n"/>
      <c r="E618" s="220" t="n"/>
      <c r="F618" s="220" t="n"/>
      <c r="G618" s="169">
        <f>IFERROR((D618-F618)/C618*100,"")</f>
        <v/>
      </c>
      <c r="H618" s="219" t="n"/>
      <c r="I618" s="220" t="n"/>
      <c r="J618" s="221">
        <f>IF(COUNTA(A618:F618)=0,"",IF(OR(C618&lt;0,D618&lt;0,E618&lt;0,F618&lt;0),"ERRO: valor negativo",IF(C618&lt;&gt;SUM(D618:F618),"ERRO: categorias diferem dos respondentes",IF(COUNTIFS($A$5:$A$1200,A618,$B$5:$B$1200,B618)&gt;1,"ERRO: período e curso duplicados","OK"))))</f>
        <v/>
      </c>
    </row>
    <row r="619" ht="15" customHeight="1" s="131">
      <c r="A619" s="220" t="n"/>
      <c r="B619" s="222" t="n"/>
      <c r="C619" s="220" t="n"/>
      <c r="D619" s="220" t="n"/>
      <c r="E619" s="220" t="n"/>
      <c r="F619" s="220" t="n"/>
      <c r="G619" s="169">
        <f>IFERROR((D619-F619)/C619*100,"")</f>
        <v/>
      </c>
      <c r="H619" s="219" t="n"/>
      <c r="I619" s="220" t="n"/>
      <c r="J619" s="221">
        <f>IF(COUNTA(A619:F619)=0,"",IF(OR(C619&lt;0,D619&lt;0,E619&lt;0,F619&lt;0),"ERRO: valor negativo",IF(C619&lt;&gt;SUM(D619:F619),"ERRO: categorias diferem dos respondentes",IF(COUNTIFS($A$5:$A$1200,A619,$B$5:$B$1200,B619)&gt;1,"ERRO: período e curso duplicados","OK"))))</f>
        <v/>
      </c>
    </row>
    <row r="620" ht="15" customHeight="1" s="131">
      <c r="A620" s="220" t="n"/>
      <c r="B620" s="222" t="n"/>
      <c r="C620" s="220" t="n"/>
      <c r="D620" s="220" t="n"/>
      <c r="E620" s="220" t="n"/>
      <c r="F620" s="220" t="n"/>
      <c r="G620" s="169">
        <f>IFERROR((D620-F620)/C620*100,"")</f>
        <v/>
      </c>
      <c r="H620" s="219" t="n"/>
      <c r="I620" s="220" t="n"/>
      <c r="J620" s="221">
        <f>IF(COUNTA(A620:F620)=0,"",IF(OR(C620&lt;0,D620&lt;0,E620&lt;0,F620&lt;0),"ERRO: valor negativo",IF(C620&lt;&gt;SUM(D620:F620),"ERRO: categorias diferem dos respondentes",IF(COUNTIFS($A$5:$A$1200,A620,$B$5:$B$1200,B620)&gt;1,"ERRO: período e curso duplicados","OK"))))</f>
        <v/>
      </c>
    </row>
    <row r="621" ht="15" customHeight="1" s="131">
      <c r="A621" s="220" t="n"/>
      <c r="B621" s="222" t="n"/>
      <c r="C621" s="220" t="n"/>
      <c r="D621" s="220" t="n"/>
      <c r="E621" s="220" t="n"/>
      <c r="F621" s="220" t="n"/>
      <c r="G621" s="169">
        <f>IFERROR((D621-F621)/C621*100,"")</f>
        <v/>
      </c>
      <c r="H621" s="219" t="n"/>
      <c r="I621" s="220" t="n"/>
      <c r="J621" s="221">
        <f>IF(COUNTA(A621:F621)=0,"",IF(OR(C621&lt;0,D621&lt;0,E621&lt;0,F621&lt;0),"ERRO: valor negativo",IF(C621&lt;&gt;SUM(D621:F621),"ERRO: categorias diferem dos respondentes",IF(COUNTIFS($A$5:$A$1200,A621,$B$5:$B$1200,B621)&gt;1,"ERRO: período e curso duplicados","OK"))))</f>
        <v/>
      </c>
    </row>
    <row r="622" ht="15" customHeight="1" s="131">
      <c r="A622" s="220" t="n"/>
      <c r="B622" s="222" t="n"/>
      <c r="C622" s="220" t="n"/>
      <c r="D622" s="220" t="n"/>
      <c r="E622" s="220" t="n"/>
      <c r="F622" s="220" t="n"/>
      <c r="G622" s="169">
        <f>IFERROR((D622-F622)/C622*100,"")</f>
        <v/>
      </c>
      <c r="H622" s="219" t="n"/>
      <c r="I622" s="220" t="n"/>
      <c r="J622" s="221">
        <f>IF(COUNTA(A622:F622)=0,"",IF(OR(C622&lt;0,D622&lt;0,E622&lt;0,F622&lt;0),"ERRO: valor negativo",IF(C622&lt;&gt;SUM(D622:F622),"ERRO: categorias diferem dos respondentes",IF(COUNTIFS($A$5:$A$1200,A622,$B$5:$B$1200,B622)&gt;1,"ERRO: período e curso duplicados","OK"))))</f>
        <v/>
      </c>
    </row>
    <row r="623" ht="15" customHeight="1" s="131">
      <c r="A623" s="220" t="n"/>
      <c r="B623" s="222" t="n"/>
      <c r="C623" s="220" t="n"/>
      <c r="D623" s="220" t="n"/>
      <c r="E623" s="220" t="n"/>
      <c r="F623" s="220" t="n"/>
      <c r="G623" s="169">
        <f>IFERROR((D623-F623)/C623*100,"")</f>
        <v/>
      </c>
      <c r="H623" s="219" t="n"/>
      <c r="I623" s="220" t="n"/>
      <c r="J623" s="221">
        <f>IF(COUNTA(A623:F623)=0,"",IF(OR(C623&lt;0,D623&lt;0,E623&lt;0,F623&lt;0),"ERRO: valor negativo",IF(C623&lt;&gt;SUM(D623:F623),"ERRO: categorias diferem dos respondentes",IF(COUNTIFS($A$5:$A$1200,A623,$B$5:$B$1200,B623)&gt;1,"ERRO: período e curso duplicados","OK"))))</f>
        <v/>
      </c>
    </row>
    <row r="624" ht="15" customHeight="1" s="131">
      <c r="A624" s="220" t="n"/>
      <c r="B624" s="222" t="n"/>
      <c r="C624" s="220" t="n"/>
      <c r="D624" s="220" t="n"/>
      <c r="E624" s="220" t="n"/>
      <c r="F624" s="220" t="n"/>
      <c r="G624" s="169">
        <f>IFERROR((D624-F624)/C624*100,"")</f>
        <v/>
      </c>
      <c r="H624" s="219" t="n"/>
      <c r="I624" s="220" t="n"/>
      <c r="J624" s="221">
        <f>IF(COUNTA(A624:F624)=0,"",IF(OR(C624&lt;0,D624&lt;0,E624&lt;0,F624&lt;0),"ERRO: valor negativo",IF(C624&lt;&gt;SUM(D624:F624),"ERRO: categorias diferem dos respondentes",IF(COUNTIFS($A$5:$A$1200,A624,$B$5:$B$1200,B624)&gt;1,"ERRO: período e curso duplicados","OK"))))</f>
        <v/>
      </c>
    </row>
    <row r="625" ht="15" customHeight="1" s="131">
      <c r="A625" s="220" t="n"/>
      <c r="B625" s="222" t="n"/>
      <c r="C625" s="220" t="n"/>
      <c r="D625" s="220" t="n"/>
      <c r="E625" s="220" t="n"/>
      <c r="F625" s="220" t="n"/>
      <c r="G625" s="169">
        <f>IFERROR((D625-F625)/C625*100,"")</f>
        <v/>
      </c>
      <c r="H625" s="219" t="n"/>
      <c r="I625" s="220" t="n"/>
      <c r="J625" s="221">
        <f>IF(COUNTA(A625:F625)=0,"",IF(OR(C625&lt;0,D625&lt;0,E625&lt;0,F625&lt;0),"ERRO: valor negativo",IF(C625&lt;&gt;SUM(D625:F625),"ERRO: categorias diferem dos respondentes",IF(COUNTIFS($A$5:$A$1200,A625,$B$5:$B$1200,B625)&gt;1,"ERRO: período e curso duplicados","OK"))))</f>
        <v/>
      </c>
    </row>
    <row r="626" ht="15" customHeight="1" s="131">
      <c r="A626" s="220" t="n"/>
      <c r="B626" s="222" t="n"/>
      <c r="C626" s="220" t="n"/>
      <c r="D626" s="220" t="n"/>
      <c r="E626" s="220" t="n"/>
      <c r="F626" s="220" t="n"/>
      <c r="G626" s="169">
        <f>IFERROR((D626-F626)/C626*100,"")</f>
        <v/>
      </c>
      <c r="H626" s="219" t="n"/>
      <c r="I626" s="220" t="n"/>
      <c r="J626" s="221">
        <f>IF(COUNTA(A626:F626)=0,"",IF(OR(C626&lt;0,D626&lt;0,E626&lt;0,F626&lt;0),"ERRO: valor negativo",IF(C626&lt;&gt;SUM(D626:F626),"ERRO: categorias diferem dos respondentes",IF(COUNTIFS($A$5:$A$1200,A626,$B$5:$B$1200,B626)&gt;1,"ERRO: período e curso duplicados","OK"))))</f>
        <v/>
      </c>
    </row>
    <row r="627" ht="15" customHeight="1" s="131">
      <c r="A627" s="220" t="n"/>
      <c r="B627" s="222" t="n"/>
      <c r="C627" s="220" t="n"/>
      <c r="D627" s="220" t="n"/>
      <c r="E627" s="220" t="n"/>
      <c r="F627" s="220" t="n"/>
      <c r="G627" s="169">
        <f>IFERROR((D627-F627)/C627*100,"")</f>
        <v/>
      </c>
      <c r="H627" s="219" t="n"/>
      <c r="I627" s="220" t="n"/>
      <c r="J627" s="221">
        <f>IF(COUNTA(A627:F627)=0,"",IF(OR(C627&lt;0,D627&lt;0,E627&lt;0,F627&lt;0),"ERRO: valor negativo",IF(C627&lt;&gt;SUM(D627:F627),"ERRO: categorias diferem dos respondentes",IF(COUNTIFS($A$5:$A$1200,A627,$B$5:$B$1200,B627)&gt;1,"ERRO: período e curso duplicados","OK"))))</f>
        <v/>
      </c>
    </row>
    <row r="628" ht="15" customHeight="1" s="131">
      <c r="A628" s="220" t="n"/>
      <c r="B628" s="222" t="n"/>
      <c r="C628" s="220" t="n"/>
      <c r="D628" s="220" t="n"/>
      <c r="E628" s="220" t="n"/>
      <c r="F628" s="220" t="n"/>
      <c r="G628" s="169">
        <f>IFERROR((D628-F628)/C628*100,"")</f>
        <v/>
      </c>
      <c r="H628" s="219" t="n"/>
      <c r="I628" s="220" t="n"/>
      <c r="J628" s="221">
        <f>IF(COUNTA(A628:F628)=0,"",IF(OR(C628&lt;0,D628&lt;0,E628&lt;0,F628&lt;0),"ERRO: valor negativo",IF(C628&lt;&gt;SUM(D628:F628),"ERRO: categorias diferem dos respondentes",IF(COUNTIFS($A$5:$A$1200,A628,$B$5:$B$1200,B628)&gt;1,"ERRO: período e curso duplicados","OK"))))</f>
        <v/>
      </c>
    </row>
    <row r="629" ht="15" customHeight="1" s="131">
      <c r="A629" s="220" t="n"/>
      <c r="B629" s="222" t="n"/>
      <c r="C629" s="220" t="n"/>
      <c r="D629" s="220" t="n"/>
      <c r="E629" s="220" t="n"/>
      <c r="F629" s="220" t="n"/>
      <c r="G629" s="169">
        <f>IFERROR((D629-F629)/C629*100,"")</f>
        <v/>
      </c>
      <c r="H629" s="219" t="n"/>
      <c r="I629" s="220" t="n"/>
      <c r="J629" s="221">
        <f>IF(COUNTA(A629:F629)=0,"",IF(OR(C629&lt;0,D629&lt;0,E629&lt;0,F629&lt;0),"ERRO: valor negativo",IF(C629&lt;&gt;SUM(D629:F629),"ERRO: categorias diferem dos respondentes",IF(COUNTIFS($A$5:$A$1200,A629,$B$5:$B$1200,B629)&gt;1,"ERRO: período e curso duplicados","OK"))))</f>
        <v/>
      </c>
    </row>
    <row r="630" ht="15" customHeight="1" s="131">
      <c r="A630" s="220" t="n"/>
      <c r="B630" s="222" t="n"/>
      <c r="C630" s="220" t="n"/>
      <c r="D630" s="220" t="n"/>
      <c r="E630" s="220" t="n"/>
      <c r="F630" s="220" t="n"/>
      <c r="G630" s="169">
        <f>IFERROR((D630-F630)/C630*100,"")</f>
        <v/>
      </c>
      <c r="H630" s="219" t="n"/>
      <c r="I630" s="220" t="n"/>
      <c r="J630" s="221">
        <f>IF(COUNTA(A630:F630)=0,"",IF(OR(C630&lt;0,D630&lt;0,E630&lt;0,F630&lt;0),"ERRO: valor negativo",IF(C630&lt;&gt;SUM(D630:F630),"ERRO: categorias diferem dos respondentes",IF(COUNTIFS($A$5:$A$1200,A630,$B$5:$B$1200,B630)&gt;1,"ERRO: período e curso duplicados","OK"))))</f>
        <v/>
      </c>
    </row>
    <row r="631" ht="15" customHeight="1" s="131">
      <c r="A631" s="220" t="n"/>
      <c r="B631" s="222" t="n"/>
      <c r="C631" s="220" t="n"/>
      <c r="D631" s="220" t="n"/>
      <c r="E631" s="220" t="n"/>
      <c r="F631" s="220" t="n"/>
      <c r="G631" s="169">
        <f>IFERROR((D631-F631)/C631*100,"")</f>
        <v/>
      </c>
      <c r="H631" s="219" t="n"/>
      <c r="I631" s="220" t="n"/>
      <c r="J631" s="221">
        <f>IF(COUNTA(A631:F631)=0,"",IF(OR(C631&lt;0,D631&lt;0,E631&lt;0,F631&lt;0),"ERRO: valor negativo",IF(C631&lt;&gt;SUM(D631:F631),"ERRO: categorias diferem dos respondentes",IF(COUNTIFS($A$5:$A$1200,A631,$B$5:$B$1200,B631)&gt;1,"ERRO: período e curso duplicados","OK"))))</f>
        <v/>
      </c>
    </row>
    <row r="632" ht="15" customHeight="1" s="131">
      <c r="A632" s="220" t="n"/>
      <c r="B632" s="222" t="n"/>
      <c r="C632" s="220" t="n"/>
      <c r="D632" s="220" t="n"/>
      <c r="E632" s="220" t="n"/>
      <c r="F632" s="220" t="n"/>
      <c r="G632" s="169">
        <f>IFERROR((D632-F632)/C632*100,"")</f>
        <v/>
      </c>
      <c r="H632" s="219" t="n"/>
      <c r="I632" s="220" t="n"/>
      <c r="J632" s="221">
        <f>IF(COUNTA(A632:F632)=0,"",IF(OR(C632&lt;0,D632&lt;0,E632&lt;0,F632&lt;0),"ERRO: valor negativo",IF(C632&lt;&gt;SUM(D632:F632),"ERRO: categorias diferem dos respondentes",IF(COUNTIFS($A$5:$A$1200,A632,$B$5:$B$1200,B632)&gt;1,"ERRO: período e curso duplicados","OK"))))</f>
        <v/>
      </c>
    </row>
    <row r="633" ht="15" customHeight="1" s="131">
      <c r="A633" s="220" t="n"/>
      <c r="B633" s="222" t="n"/>
      <c r="C633" s="220" t="n"/>
      <c r="D633" s="220" t="n"/>
      <c r="E633" s="220" t="n"/>
      <c r="F633" s="220" t="n"/>
      <c r="G633" s="169">
        <f>IFERROR((D633-F633)/C633*100,"")</f>
        <v/>
      </c>
      <c r="H633" s="219" t="n"/>
      <c r="I633" s="220" t="n"/>
      <c r="J633" s="221">
        <f>IF(COUNTA(A633:F633)=0,"",IF(OR(C633&lt;0,D633&lt;0,E633&lt;0,F633&lt;0),"ERRO: valor negativo",IF(C633&lt;&gt;SUM(D633:F633),"ERRO: categorias diferem dos respondentes",IF(COUNTIFS($A$5:$A$1200,A633,$B$5:$B$1200,B633)&gt;1,"ERRO: período e curso duplicados","OK"))))</f>
        <v/>
      </c>
    </row>
    <row r="634" ht="15" customHeight="1" s="131">
      <c r="A634" s="220" t="n"/>
      <c r="B634" s="222" t="n"/>
      <c r="C634" s="220" t="n"/>
      <c r="D634" s="220" t="n"/>
      <c r="E634" s="220" t="n"/>
      <c r="F634" s="220" t="n"/>
      <c r="G634" s="169">
        <f>IFERROR((D634-F634)/C634*100,"")</f>
        <v/>
      </c>
      <c r="H634" s="219" t="n"/>
      <c r="I634" s="220" t="n"/>
      <c r="J634" s="221">
        <f>IF(COUNTA(A634:F634)=0,"",IF(OR(C634&lt;0,D634&lt;0,E634&lt;0,F634&lt;0),"ERRO: valor negativo",IF(C634&lt;&gt;SUM(D634:F634),"ERRO: categorias diferem dos respondentes",IF(COUNTIFS($A$5:$A$1200,A634,$B$5:$B$1200,B634)&gt;1,"ERRO: período e curso duplicados","OK"))))</f>
        <v/>
      </c>
    </row>
    <row r="635" ht="15" customHeight="1" s="131">
      <c r="A635" s="220" t="n"/>
      <c r="B635" s="222" t="n"/>
      <c r="C635" s="220" t="n"/>
      <c r="D635" s="220" t="n"/>
      <c r="E635" s="220" t="n"/>
      <c r="F635" s="220" t="n"/>
      <c r="G635" s="169">
        <f>IFERROR((D635-F635)/C635*100,"")</f>
        <v/>
      </c>
      <c r="H635" s="219" t="n"/>
      <c r="I635" s="220" t="n"/>
      <c r="J635" s="221">
        <f>IF(COUNTA(A635:F635)=0,"",IF(OR(C635&lt;0,D635&lt;0,E635&lt;0,F635&lt;0),"ERRO: valor negativo",IF(C635&lt;&gt;SUM(D635:F635),"ERRO: categorias diferem dos respondentes",IF(COUNTIFS($A$5:$A$1200,A635,$B$5:$B$1200,B635)&gt;1,"ERRO: período e curso duplicados","OK"))))</f>
        <v/>
      </c>
    </row>
    <row r="636" ht="15" customHeight="1" s="131">
      <c r="A636" s="220" t="n"/>
      <c r="B636" s="222" t="n"/>
      <c r="C636" s="220" t="n"/>
      <c r="D636" s="220" t="n"/>
      <c r="E636" s="220" t="n"/>
      <c r="F636" s="220" t="n"/>
      <c r="G636" s="169">
        <f>IFERROR((D636-F636)/C636*100,"")</f>
        <v/>
      </c>
      <c r="H636" s="219" t="n"/>
      <c r="I636" s="220" t="n"/>
      <c r="J636" s="221">
        <f>IF(COUNTA(A636:F636)=0,"",IF(OR(C636&lt;0,D636&lt;0,E636&lt;0,F636&lt;0),"ERRO: valor negativo",IF(C636&lt;&gt;SUM(D636:F636),"ERRO: categorias diferem dos respondentes",IF(COUNTIFS($A$5:$A$1200,A636,$B$5:$B$1200,B636)&gt;1,"ERRO: período e curso duplicados","OK"))))</f>
        <v/>
      </c>
    </row>
    <row r="637" ht="15" customHeight="1" s="131">
      <c r="A637" s="220" t="n"/>
      <c r="B637" s="222" t="n"/>
      <c r="C637" s="220" t="n"/>
      <c r="D637" s="220" t="n"/>
      <c r="E637" s="220" t="n"/>
      <c r="F637" s="220" t="n"/>
      <c r="G637" s="169">
        <f>IFERROR((D637-F637)/C637*100,"")</f>
        <v/>
      </c>
      <c r="H637" s="219" t="n"/>
      <c r="I637" s="220" t="n"/>
      <c r="J637" s="221">
        <f>IF(COUNTA(A637:F637)=0,"",IF(OR(C637&lt;0,D637&lt;0,E637&lt;0,F637&lt;0),"ERRO: valor negativo",IF(C637&lt;&gt;SUM(D637:F637),"ERRO: categorias diferem dos respondentes",IF(COUNTIFS($A$5:$A$1200,A637,$B$5:$B$1200,B637)&gt;1,"ERRO: período e curso duplicados","OK"))))</f>
        <v/>
      </c>
    </row>
    <row r="638" ht="15" customHeight="1" s="131">
      <c r="A638" s="220" t="n"/>
      <c r="B638" s="222" t="n"/>
      <c r="C638" s="220" t="n"/>
      <c r="D638" s="220" t="n"/>
      <c r="E638" s="220" t="n"/>
      <c r="F638" s="220" t="n"/>
      <c r="G638" s="169">
        <f>IFERROR((D638-F638)/C638*100,"")</f>
        <v/>
      </c>
      <c r="H638" s="219" t="n"/>
      <c r="I638" s="220" t="n"/>
      <c r="J638" s="221">
        <f>IF(COUNTA(A638:F638)=0,"",IF(OR(C638&lt;0,D638&lt;0,E638&lt;0,F638&lt;0),"ERRO: valor negativo",IF(C638&lt;&gt;SUM(D638:F638),"ERRO: categorias diferem dos respondentes",IF(COUNTIFS($A$5:$A$1200,A638,$B$5:$B$1200,B638)&gt;1,"ERRO: período e curso duplicados","OK"))))</f>
        <v/>
      </c>
    </row>
    <row r="639" ht="15" customHeight="1" s="131">
      <c r="A639" s="220" t="n"/>
      <c r="B639" s="222" t="n"/>
      <c r="C639" s="220" t="n"/>
      <c r="D639" s="220" t="n"/>
      <c r="E639" s="220" t="n"/>
      <c r="F639" s="220" t="n"/>
      <c r="G639" s="169">
        <f>IFERROR((D639-F639)/C639*100,"")</f>
        <v/>
      </c>
      <c r="H639" s="219" t="n"/>
      <c r="I639" s="220" t="n"/>
      <c r="J639" s="221">
        <f>IF(COUNTA(A639:F639)=0,"",IF(OR(C639&lt;0,D639&lt;0,E639&lt;0,F639&lt;0),"ERRO: valor negativo",IF(C639&lt;&gt;SUM(D639:F639),"ERRO: categorias diferem dos respondentes",IF(COUNTIFS($A$5:$A$1200,A639,$B$5:$B$1200,B639)&gt;1,"ERRO: período e curso duplicados","OK"))))</f>
        <v/>
      </c>
    </row>
    <row r="640" ht="15" customHeight="1" s="131">
      <c r="A640" s="220" t="n"/>
      <c r="B640" s="222" t="n"/>
      <c r="C640" s="220" t="n"/>
      <c r="D640" s="220" t="n"/>
      <c r="E640" s="220" t="n"/>
      <c r="F640" s="220" t="n"/>
      <c r="G640" s="169">
        <f>IFERROR((D640-F640)/C640*100,"")</f>
        <v/>
      </c>
      <c r="H640" s="219" t="n"/>
      <c r="I640" s="220" t="n"/>
      <c r="J640" s="221">
        <f>IF(COUNTA(A640:F640)=0,"",IF(OR(C640&lt;0,D640&lt;0,E640&lt;0,F640&lt;0),"ERRO: valor negativo",IF(C640&lt;&gt;SUM(D640:F640),"ERRO: categorias diferem dos respondentes",IF(COUNTIFS($A$5:$A$1200,A640,$B$5:$B$1200,B640)&gt;1,"ERRO: período e curso duplicados","OK"))))</f>
        <v/>
      </c>
    </row>
    <row r="641" ht="15" customHeight="1" s="131">
      <c r="A641" s="220" t="n"/>
      <c r="B641" s="222" t="n"/>
      <c r="C641" s="220" t="n"/>
      <c r="D641" s="220" t="n"/>
      <c r="E641" s="220" t="n"/>
      <c r="F641" s="220" t="n"/>
      <c r="G641" s="169">
        <f>IFERROR((D641-F641)/C641*100,"")</f>
        <v/>
      </c>
      <c r="H641" s="219" t="n"/>
      <c r="I641" s="220" t="n"/>
      <c r="J641" s="221">
        <f>IF(COUNTA(A641:F641)=0,"",IF(OR(C641&lt;0,D641&lt;0,E641&lt;0,F641&lt;0),"ERRO: valor negativo",IF(C641&lt;&gt;SUM(D641:F641),"ERRO: categorias diferem dos respondentes",IF(COUNTIFS($A$5:$A$1200,A641,$B$5:$B$1200,B641)&gt;1,"ERRO: período e curso duplicados","OK"))))</f>
        <v/>
      </c>
    </row>
    <row r="642" ht="15" customHeight="1" s="131">
      <c r="A642" s="220" t="n"/>
      <c r="B642" s="222" t="n"/>
      <c r="C642" s="220" t="n"/>
      <c r="D642" s="220" t="n"/>
      <c r="E642" s="220" t="n"/>
      <c r="F642" s="220" t="n"/>
      <c r="G642" s="169">
        <f>IFERROR((D642-F642)/C642*100,"")</f>
        <v/>
      </c>
      <c r="H642" s="219" t="n"/>
      <c r="I642" s="220" t="n"/>
      <c r="J642" s="221">
        <f>IF(COUNTA(A642:F642)=0,"",IF(OR(C642&lt;0,D642&lt;0,E642&lt;0,F642&lt;0),"ERRO: valor negativo",IF(C642&lt;&gt;SUM(D642:F642),"ERRO: categorias diferem dos respondentes",IF(COUNTIFS($A$5:$A$1200,A642,$B$5:$B$1200,B642)&gt;1,"ERRO: período e curso duplicados","OK"))))</f>
        <v/>
      </c>
    </row>
    <row r="643" ht="15" customHeight="1" s="131">
      <c r="A643" s="220" t="n"/>
      <c r="B643" s="222" t="n"/>
      <c r="C643" s="220" t="n"/>
      <c r="D643" s="220" t="n"/>
      <c r="E643" s="220" t="n"/>
      <c r="F643" s="220" t="n"/>
      <c r="G643" s="169">
        <f>IFERROR((D643-F643)/C643*100,"")</f>
        <v/>
      </c>
      <c r="H643" s="219" t="n"/>
      <c r="I643" s="220" t="n"/>
      <c r="J643" s="221">
        <f>IF(COUNTA(A643:F643)=0,"",IF(OR(C643&lt;0,D643&lt;0,E643&lt;0,F643&lt;0),"ERRO: valor negativo",IF(C643&lt;&gt;SUM(D643:F643),"ERRO: categorias diferem dos respondentes",IF(COUNTIFS($A$5:$A$1200,A643,$B$5:$B$1200,B643)&gt;1,"ERRO: período e curso duplicados","OK"))))</f>
        <v/>
      </c>
    </row>
    <row r="644" ht="15" customHeight="1" s="131">
      <c r="A644" s="220" t="n"/>
      <c r="B644" s="222" t="n"/>
      <c r="C644" s="220" t="n"/>
      <c r="D644" s="220" t="n"/>
      <c r="E644" s="220" t="n"/>
      <c r="F644" s="220" t="n"/>
      <c r="G644" s="169">
        <f>IFERROR((D644-F644)/C644*100,"")</f>
        <v/>
      </c>
      <c r="H644" s="219" t="n"/>
      <c r="I644" s="220" t="n"/>
      <c r="J644" s="221">
        <f>IF(COUNTA(A644:F644)=0,"",IF(OR(C644&lt;0,D644&lt;0,E644&lt;0,F644&lt;0),"ERRO: valor negativo",IF(C644&lt;&gt;SUM(D644:F644),"ERRO: categorias diferem dos respondentes",IF(COUNTIFS($A$5:$A$1200,A644,$B$5:$B$1200,B644)&gt;1,"ERRO: período e curso duplicados","OK"))))</f>
        <v/>
      </c>
    </row>
    <row r="645" ht="15" customHeight="1" s="131">
      <c r="A645" s="220" t="n"/>
      <c r="B645" s="222" t="n"/>
      <c r="C645" s="220" t="n"/>
      <c r="D645" s="220" t="n"/>
      <c r="E645" s="220" t="n"/>
      <c r="F645" s="220" t="n"/>
      <c r="G645" s="169">
        <f>IFERROR((D645-F645)/C645*100,"")</f>
        <v/>
      </c>
      <c r="H645" s="219" t="n"/>
      <c r="I645" s="220" t="n"/>
      <c r="J645" s="221">
        <f>IF(COUNTA(A645:F645)=0,"",IF(OR(C645&lt;0,D645&lt;0,E645&lt;0,F645&lt;0),"ERRO: valor negativo",IF(C645&lt;&gt;SUM(D645:F645),"ERRO: categorias diferem dos respondentes",IF(COUNTIFS($A$5:$A$1200,A645,$B$5:$B$1200,B645)&gt;1,"ERRO: período e curso duplicados","OK"))))</f>
        <v/>
      </c>
    </row>
    <row r="646" ht="15" customHeight="1" s="131">
      <c r="A646" s="220" t="n"/>
      <c r="B646" s="222" t="n"/>
      <c r="C646" s="220" t="n"/>
      <c r="D646" s="220" t="n"/>
      <c r="E646" s="220" t="n"/>
      <c r="F646" s="220" t="n"/>
      <c r="G646" s="169">
        <f>IFERROR((D646-F646)/C646*100,"")</f>
        <v/>
      </c>
      <c r="H646" s="219" t="n"/>
      <c r="I646" s="220" t="n"/>
      <c r="J646" s="221">
        <f>IF(COUNTA(A646:F646)=0,"",IF(OR(C646&lt;0,D646&lt;0,E646&lt;0,F646&lt;0),"ERRO: valor negativo",IF(C646&lt;&gt;SUM(D646:F646),"ERRO: categorias diferem dos respondentes",IF(COUNTIFS($A$5:$A$1200,A646,$B$5:$B$1200,B646)&gt;1,"ERRO: período e curso duplicados","OK"))))</f>
        <v/>
      </c>
    </row>
    <row r="647" ht="15" customHeight="1" s="131">
      <c r="A647" s="220" t="n"/>
      <c r="B647" s="222" t="n"/>
      <c r="C647" s="220" t="n"/>
      <c r="D647" s="220" t="n"/>
      <c r="E647" s="220" t="n"/>
      <c r="F647" s="220" t="n"/>
      <c r="G647" s="169">
        <f>IFERROR((D647-F647)/C647*100,"")</f>
        <v/>
      </c>
      <c r="H647" s="219" t="n"/>
      <c r="I647" s="220" t="n"/>
      <c r="J647" s="221">
        <f>IF(COUNTA(A647:F647)=0,"",IF(OR(C647&lt;0,D647&lt;0,E647&lt;0,F647&lt;0),"ERRO: valor negativo",IF(C647&lt;&gt;SUM(D647:F647),"ERRO: categorias diferem dos respondentes",IF(COUNTIFS($A$5:$A$1200,A647,$B$5:$B$1200,B647)&gt;1,"ERRO: período e curso duplicados","OK"))))</f>
        <v/>
      </c>
    </row>
    <row r="648" ht="15" customHeight="1" s="131">
      <c r="A648" s="220" t="n"/>
      <c r="B648" s="222" t="n"/>
      <c r="C648" s="220" t="n"/>
      <c r="D648" s="220" t="n"/>
      <c r="E648" s="220" t="n"/>
      <c r="F648" s="220" t="n"/>
      <c r="G648" s="169">
        <f>IFERROR((D648-F648)/C648*100,"")</f>
        <v/>
      </c>
      <c r="H648" s="219" t="n"/>
      <c r="I648" s="220" t="n"/>
      <c r="J648" s="221">
        <f>IF(COUNTA(A648:F648)=0,"",IF(OR(C648&lt;0,D648&lt;0,E648&lt;0,F648&lt;0),"ERRO: valor negativo",IF(C648&lt;&gt;SUM(D648:F648),"ERRO: categorias diferem dos respondentes",IF(COUNTIFS($A$5:$A$1200,A648,$B$5:$B$1200,B648)&gt;1,"ERRO: período e curso duplicados","OK"))))</f>
        <v/>
      </c>
    </row>
    <row r="649" ht="15" customHeight="1" s="131">
      <c r="A649" s="220" t="n"/>
      <c r="B649" s="222" t="n"/>
      <c r="C649" s="220" t="n"/>
      <c r="D649" s="220" t="n"/>
      <c r="E649" s="220" t="n"/>
      <c r="F649" s="220" t="n"/>
      <c r="G649" s="169">
        <f>IFERROR((D649-F649)/C649*100,"")</f>
        <v/>
      </c>
      <c r="H649" s="219" t="n"/>
      <c r="I649" s="220" t="n"/>
      <c r="J649" s="221">
        <f>IF(COUNTA(A649:F649)=0,"",IF(OR(C649&lt;0,D649&lt;0,E649&lt;0,F649&lt;0),"ERRO: valor negativo",IF(C649&lt;&gt;SUM(D649:F649),"ERRO: categorias diferem dos respondentes",IF(COUNTIFS($A$5:$A$1200,A649,$B$5:$B$1200,B649)&gt;1,"ERRO: período e curso duplicados","OK"))))</f>
        <v/>
      </c>
    </row>
    <row r="650" ht="15" customHeight="1" s="131">
      <c r="A650" s="220" t="n"/>
      <c r="B650" s="222" t="n"/>
      <c r="C650" s="220" t="n"/>
      <c r="D650" s="220" t="n"/>
      <c r="E650" s="220" t="n"/>
      <c r="F650" s="220" t="n"/>
      <c r="G650" s="169">
        <f>IFERROR((D650-F650)/C650*100,"")</f>
        <v/>
      </c>
      <c r="H650" s="219" t="n"/>
      <c r="I650" s="220" t="n"/>
      <c r="J650" s="221">
        <f>IF(COUNTA(A650:F650)=0,"",IF(OR(C650&lt;0,D650&lt;0,E650&lt;0,F650&lt;0),"ERRO: valor negativo",IF(C650&lt;&gt;SUM(D650:F650),"ERRO: categorias diferem dos respondentes",IF(COUNTIFS($A$5:$A$1200,A650,$B$5:$B$1200,B650)&gt;1,"ERRO: período e curso duplicados","OK"))))</f>
        <v/>
      </c>
    </row>
    <row r="651" ht="15" customHeight="1" s="131">
      <c r="A651" s="220" t="n"/>
      <c r="B651" s="222" t="n"/>
      <c r="C651" s="220" t="n"/>
      <c r="D651" s="220" t="n"/>
      <c r="E651" s="220" t="n"/>
      <c r="F651" s="220" t="n"/>
      <c r="G651" s="169">
        <f>IFERROR((D651-F651)/C651*100,"")</f>
        <v/>
      </c>
      <c r="H651" s="219" t="n"/>
      <c r="I651" s="220" t="n"/>
      <c r="J651" s="221">
        <f>IF(COUNTA(A651:F651)=0,"",IF(OR(C651&lt;0,D651&lt;0,E651&lt;0,F651&lt;0),"ERRO: valor negativo",IF(C651&lt;&gt;SUM(D651:F651),"ERRO: categorias diferem dos respondentes",IF(COUNTIFS($A$5:$A$1200,A651,$B$5:$B$1200,B651)&gt;1,"ERRO: período e curso duplicados","OK"))))</f>
        <v/>
      </c>
    </row>
    <row r="652" ht="15" customHeight="1" s="131">
      <c r="A652" s="220" t="n"/>
      <c r="B652" s="222" t="n"/>
      <c r="C652" s="220" t="n"/>
      <c r="D652" s="220" t="n"/>
      <c r="E652" s="220" t="n"/>
      <c r="F652" s="220" t="n"/>
      <c r="G652" s="169">
        <f>IFERROR((D652-F652)/C652*100,"")</f>
        <v/>
      </c>
      <c r="H652" s="219" t="n"/>
      <c r="I652" s="220" t="n"/>
      <c r="J652" s="221">
        <f>IF(COUNTA(A652:F652)=0,"",IF(OR(C652&lt;0,D652&lt;0,E652&lt;0,F652&lt;0),"ERRO: valor negativo",IF(C652&lt;&gt;SUM(D652:F652),"ERRO: categorias diferem dos respondentes",IF(COUNTIFS($A$5:$A$1200,A652,$B$5:$B$1200,B652)&gt;1,"ERRO: período e curso duplicados","OK"))))</f>
        <v/>
      </c>
    </row>
    <row r="653" ht="15" customHeight="1" s="131">
      <c r="A653" s="220" t="n"/>
      <c r="B653" s="222" t="n"/>
      <c r="C653" s="220" t="n"/>
      <c r="D653" s="220" t="n"/>
      <c r="E653" s="220" t="n"/>
      <c r="F653" s="220" t="n"/>
      <c r="G653" s="169">
        <f>IFERROR((D653-F653)/C653*100,"")</f>
        <v/>
      </c>
      <c r="H653" s="219" t="n"/>
      <c r="I653" s="220" t="n"/>
      <c r="J653" s="221">
        <f>IF(COUNTA(A653:F653)=0,"",IF(OR(C653&lt;0,D653&lt;0,E653&lt;0,F653&lt;0),"ERRO: valor negativo",IF(C653&lt;&gt;SUM(D653:F653),"ERRO: categorias diferem dos respondentes",IF(COUNTIFS($A$5:$A$1200,A653,$B$5:$B$1200,B653)&gt;1,"ERRO: período e curso duplicados","OK"))))</f>
        <v/>
      </c>
    </row>
    <row r="654" ht="15" customHeight="1" s="131">
      <c r="A654" s="220" t="n"/>
      <c r="B654" s="222" t="n"/>
      <c r="C654" s="220" t="n"/>
      <c r="D654" s="220" t="n"/>
      <c r="E654" s="220" t="n"/>
      <c r="F654" s="220" t="n"/>
      <c r="G654" s="169">
        <f>IFERROR((D654-F654)/C654*100,"")</f>
        <v/>
      </c>
      <c r="H654" s="219" t="n"/>
      <c r="I654" s="220" t="n"/>
      <c r="J654" s="221">
        <f>IF(COUNTA(A654:F654)=0,"",IF(OR(C654&lt;0,D654&lt;0,E654&lt;0,F654&lt;0),"ERRO: valor negativo",IF(C654&lt;&gt;SUM(D654:F654),"ERRO: categorias diferem dos respondentes",IF(COUNTIFS($A$5:$A$1200,A654,$B$5:$B$1200,B654)&gt;1,"ERRO: período e curso duplicados","OK"))))</f>
        <v/>
      </c>
    </row>
    <row r="655" ht="15" customHeight="1" s="131">
      <c r="A655" s="220" t="n"/>
      <c r="B655" s="222" t="n"/>
      <c r="C655" s="220" t="n"/>
      <c r="D655" s="220" t="n"/>
      <c r="E655" s="220" t="n"/>
      <c r="F655" s="220" t="n"/>
      <c r="G655" s="169">
        <f>IFERROR((D655-F655)/C655*100,"")</f>
        <v/>
      </c>
      <c r="H655" s="219" t="n"/>
      <c r="I655" s="220" t="n"/>
      <c r="J655" s="221">
        <f>IF(COUNTA(A655:F655)=0,"",IF(OR(C655&lt;0,D655&lt;0,E655&lt;0,F655&lt;0),"ERRO: valor negativo",IF(C655&lt;&gt;SUM(D655:F655),"ERRO: categorias diferem dos respondentes",IF(COUNTIFS($A$5:$A$1200,A655,$B$5:$B$1200,B655)&gt;1,"ERRO: período e curso duplicados","OK"))))</f>
        <v/>
      </c>
    </row>
    <row r="656" ht="15" customHeight="1" s="131">
      <c r="A656" s="220" t="n"/>
      <c r="B656" s="222" t="n"/>
      <c r="C656" s="220" t="n"/>
      <c r="D656" s="220" t="n"/>
      <c r="E656" s="220" t="n"/>
      <c r="F656" s="220" t="n"/>
      <c r="G656" s="169">
        <f>IFERROR((D656-F656)/C656*100,"")</f>
        <v/>
      </c>
      <c r="H656" s="219" t="n"/>
      <c r="I656" s="220" t="n"/>
      <c r="J656" s="221">
        <f>IF(COUNTA(A656:F656)=0,"",IF(OR(C656&lt;0,D656&lt;0,E656&lt;0,F656&lt;0),"ERRO: valor negativo",IF(C656&lt;&gt;SUM(D656:F656),"ERRO: categorias diferem dos respondentes",IF(COUNTIFS($A$5:$A$1200,A656,$B$5:$B$1200,B656)&gt;1,"ERRO: período e curso duplicados","OK"))))</f>
        <v/>
      </c>
    </row>
    <row r="657" ht="15" customHeight="1" s="131">
      <c r="A657" s="220" t="n"/>
      <c r="B657" s="222" t="n"/>
      <c r="C657" s="220" t="n"/>
      <c r="D657" s="220" t="n"/>
      <c r="E657" s="220" t="n"/>
      <c r="F657" s="220" t="n"/>
      <c r="G657" s="169">
        <f>IFERROR((D657-F657)/C657*100,"")</f>
        <v/>
      </c>
      <c r="H657" s="219" t="n"/>
      <c r="I657" s="220" t="n"/>
      <c r="J657" s="221">
        <f>IF(COUNTA(A657:F657)=0,"",IF(OR(C657&lt;0,D657&lt;0,E657&lt;0,F657&lt;0),"ERRO: valor negativo",IF(C657&lt;&gt;SUM(D657:F657),"ERRO: categorias diferem dos respondentes",IF(COUNTIFS($A$5:$A$1200,A657,$B$5:$B$1200,B657)&gt;1,"ERRO: período e curso duplicados","OK"))))</f>
        <v/>
      </c>
    </row>
    <row r="658" ht="15" customHeight="1" s="131">
      <c r="A658" s="220" t="n"/>
      <c r="B658" s="222" t="n"/>
      <c r="C658" s="220" t="n"/>
      <c r="D658" s="220" t="n"/>
      <c r="E658" s="220" t="n"/>
      <c r="F658" s="220" t="n"/>
      <c r="G658" s="169">
        <f>IFERROR((D658-F658)/C658*100,"")</f>
        <v/>
      </c>
      <c r="H658" s="219" t="n"/>
      <c r="I658" s="220" t="n"/>
      <c r="J658" s="221">
        <f>IF(COUNTA(A658:F658)=0,"",IF(OR(C658&lt;0,D658&lt;0,E658&lt;0,F658&lt;0),"ERRO: valor negativo",IF(C658&lt;&gt;SUM(D658:F658),"ERRO: categorias diferem dos respondentes",IF(COUNTIFS($A$5:$A$1200,A658,$B$5:$B$1200,B658)&gt;1,"ERRO: período e curso duplicados","OK"))))</f>
        <v/>
      </c>
    </row>
    <row r="659" ht="15" customHeight="1" s="131">
      <c r="A659" s="220" t="n"/>
      <c r="B659" s="222" t="n"/>
      <c r="C659" s="220" t="n"/>
      <c r="D659" s="220" t="n"/>
      <c r="E659" s="220" t="n"/>
      <c r="F659" s="220" t="n"/>
      <c r="G659" s="169">
        <f>IFERROR((D659-F659)/C659*100,"")</f>
        <v/>
      </c>
      <c r="H659" s="219" t="n"/>
      <c r="I659" s="220" t="n"/>
      <c r="J659" s="221">
        <f>IF(COUNTA(A659:F659)=0,"",IF(OR(C659&lt;0,D659&lt;0,E659&lt;0,F659&lt;0),"ERRO: valor negativo",IF(C659&lt;&gt;SUM(D659:F659),"ERRO: categorias diferem dos respondentes",IF(COUNTIFS($A$5:$A$1200,A659,$B$5:$B$1200,B659)&gt;1,"ERRO: período e curso duplicados","OK"))))</f>
        <v/>
      </c>
    </row>
    <row r="660" ht="15" customHeight="1" s="131">
      <c r="A660" s="220" t="n"/>
      <c r="B660" s="222" t="n"/>
      <c r="C660" s="220" t="n"/>
      <c r="D660" s="220" t="n"/>
      <c r="E660" s="220" t="n"/>
      <c r="F660" s="220" t="n"/>
      <c r="G660" s="169">
        <f>IFERROR((D660-F660)/C660*100,"")</f>
        <v/>
      </c>
      <c r="H660" s="219" t="n"/>
      <c r="I660" s="220" t="n"/>
      <c r="J660" s="221">
        <f>IF(COUNTA(A660:F660)=0,"",IF(OR(C660&lt;0,D660&lt;0,E660&lt;0,F660&lt;0),"ERRO: valor negativo",IF(C660&lt;&gt;SUM(D660:F660),"ERRO: categorias diferem dos respondentes",IF(COUNTIFS($A$5:$A$1200,A660,$B$5:$B$1200,B660)&gt;1,"ERRO: período e curso duplicados","OK"))))</f>
        <v/>
      </c>
    </row>
    <row r="661" ht="15" customHeight="1" s="131">
      <c r="A661" s="220" t="n"/>
      <c r="B661" s="222" t="n"/>
      <c r="C661" s="220" t="n"/>
      <c r="D661" s="220" t="n"/>
      <c r="E661" s="220" t="n"/>
      <c r="F661" s="220" t="n"/>
      <c r="G661" s="169">
        <f>IFERROR((D661-F661)/C661*100,"")</f>
        <v/>
      </c>
      <c r="H661" s="219" t="n"/>
      <c r="I661" s="220" t="n"/>
      <c r="J661" s="221">
        <f>IF(COUNTA(A661:F661)=0,"",IF(OR(C661&lt;0,D661&lt;0,E661&lt;0,F661&lt;0),"ERRO: valor negativo",IF(C661&lt;&gt;SUM(D661:F661),"ERRO: categorias diferem dos respondentes",IF(COUNTIFS($A$5:$A$1200,A661,$B$5:$B$1200,B661)&gt;1,"ERRO: período e curso duplicados","OK"))))</f>
        <v/>
      </c>
    </row>
    <row r="662" ht="15" customHeight="1" s="131">
      <c r="A662" s="220" t="n"/>
      <c r="B662" s="222" t="n"/>
      <c r="C662" s="220" t="n"/>
      <c r="D662" s="220" t="n"/>
      <c r="E662" s="220" t="n"/>
      <c r="F662" s="220" t="n"/>
      <c r="G662" s="169">
        <f>IFERROR((D662-F662)/C662*100,"")</f>
        <v/>
      </c>
      <c r="H662" s="219" t="n"/>
      <c r="I662" s="220" t="n"/>
      <c r="J662" s="221">
        <f>IF(COUNTA(A662:F662)=0,"",IF(OR(C662&lt;0,D662&lt;0,E662&lt;0,F662&lt;0),"ERRO: valor negativo",IF(C662&lt;&gt;SUM(D662:F662),"ERRO: categorias diferem dos respondentes",IF(COUNTIFS($A$5:$A$1200,A662,$B$5:$B$1200,B662)&gt;1,"ERRO: período e curso duplicados","OK"))))</f>
        <v/>
      </c>
    </row>
    <row r="663" ht="15" customHeight="1" s="131">
      <c r="A663" s="220" t="n"/>
      <c r="B663" s="222" t="n"/>
      <c r="C663" s="220" t="n"/>
      <c r="D663" s="220" t="n"/>
      <c r="E663" s="220" t="n"/>
      <c r="F663" s="220" t="n"/>
      <c r="G663" s="169">
        <f>IFERROR((D663-F663)/C663*100,"")</f>
        <v/>
      </c>
      <c r="H663" s="219" t="n"/>
      <c r="I663" s="220" t="n"/>
      <c r="J663" s="221">
        <f>IF(COUNTA(A663:F663)=0,"",IF(OR(C663&lt;0,D663&lt;0,E663&lt;0,F663&lt;0),"ERRO: valor negativo",IF(C663&lt;&gt;SUM(D663:F663),"ERRO: categorias diferem dos respondentes",IF(COUNTIFS($A$5:$A$1200,A663,$B$5:$B$1200,B663)&gt;1,"ERRO: período e curso duplicados","OK"))))</f>
        <v/>
      </c>
    </row>
    <row r="664" ht="15" customHeight="1" s="131">
      <c r="A664" s="220" t="n"/>
      <c r="B664" s="222" t="n"/>
      <c r="C664" s="220" t="n"/>
      <c r="D664" s="220" t="n"/>
      <c r="E664" s="220" t="n"/>
      <c r="F664" s="220" t="n"/>
      <c r="G664" s="169">
        <f>IFERROR((D664-F664)/C664*100,"")</f>
        <v/>
      </c>
      <c r="H664" s="219" t="n"/>
      <c r="I664" s="220" t="n"/>
      <c r="J664" s="221">
        <f>IF(COUNTA(A664:F664)=0,"",IF(OR(C664&lt;0,D664&lt;0,E664&lt;0,F664&lt;0),"ERRO: valor negativo",IF(C664&lt;&gt;SUM(D664:F664),"ERRO: categorias diferem dos respondentes",IF(COUNTIFS($A$5:$A$1200,A664,$B$5:$B$1200,B664)&gt;1,"ERRO: período e curso duplicados","OK"))))</f>
        <v/>
      </c>
    </row>
    <row r="665" ht="15" customHeight="1" s="131">
      <c r="A665" s="220" t="n"/>
      <c r="B665" s="222" t="n"/>
      <c r="C665" s="220" t="n"/>
      <c r="D665" s="220" t="n"/>
      <c r="E665" s="220" t="n"/>
      <c r="F665" s="220" t="n"/>
      <c r="G665" s="169">
        <f>IFERROR((D665-F665)/C665*100,"")</f>
        <v/>
      </c>
      <c r="H665" s="219" t="n"/>
      <c r="I665" s="220" t="n"/>
      <c r="J665" s="221">
        <f>IF(COUNTA(A665:F665)=0,"",IF(OR(C665&lt;0,D665&lt;0,E665&lt;0,F665&lt;0),"ERRO: valor negativo",IF(C665&lt;&gt;SUM(D665:F665),"ERRO: categorias diferem dos respondentes",IF(COUNTIFS($A$5:$A$1200,A665,$B$5:$B$1200,B665)&gt;1,"ERRO: período e curso duplicados","OK"))))</f>
        <v/>
      </c>
    </row>
    <row r="666" ht="15" customHeight="1" s="131">
      <c r="A666" s="220" t="n"/>
      <c r="B666" s="222" t="n"/>
      <c r="C666" s="220" t="n"/>
      <c r="D666" s="220" t="n"/>
      <c r="E666" s="220" t="n"/>
      <c r="F666" s="220" t="n"/>
      <c r="G666" s="169">
        <f>IFERROR((D666-F666)/C666*100,"")</f>
        <v/>
      </c>
      <c r="H666" s="219" t="n"/>
      <c r="I666" s="220" t="n"/>
      <c r="J666" s="221">
        <f>IF(COUNTA(A666:F666)=0,"",IF(OR(C666&lt;0,D666&lt;0,E666&lt;0,F666&lt;0),"ERRO: valor negativo",IF(C666&lt;&gt;SUM(D666:F666),"ERRO: categorias diferem dos respondentes",IF(COUNTIFS($A$5:$A$1200,A666,$B$5:$B$1200,B666)&gt;1,"ERRO: período e curso duplicados","OK"))))</f>
        <v/>
      </c>
    </row>
    <row r="667" ht="15" customHeight="1" s="131">
      <c r="A667" s="220" t="n"/>
      <c r="B667" s="222" t="n"/>
      <c r="C667" s="220" t="n"/>
      <c r="D667" s="220" t="n"/>
      <c r="E667" s="220" t="n"/>
      <c r="F667" s="220" t="n"/>
      <c r="G667" s="169">
        <f>IFERROR((D667-F667)/C667*100,"")</f>
        <v/>
      </c>
      <c r="H667" s="219" t="n"/>
      <c r="I667" s="220" t="n"/>
      <c r="J667" s="221">
        <f>IF(COUNTA(A667:F667)=0,"",IF(OR(C667&lt;0,D667&lt;0,E667&lt;0,F667&lt;0),"ERRO: valor negativo",IF(C667&lt;&gt;SUM(D667:F667),"ERRO: categorias diferem dos respondentes",IF(COUNTIFS($A$5:$A$1200,A667,$B$5:$B$1200,B667)&gt;1,"ERRO: período e curso duplicados","OK"))))</f>
        <v/>
      </c>
    </row>
    <row r="668" ht="15" customHeight="1" s="131">
      <c r="A668" s="220" t="n"/>
      <c r="B668" s="222" t="n"/>
      <c r="C668" s="220" t="n"/>
      <c r="D668" s="220" t="n"/>
      <c r="E668" s="220" t="n"/>
      <c r="F668" s="220" t="n"/>
      <c r="G668" s="169">
        <f>IFERROR((D668-F668)/C668*100,"")</f>
        <v/>
      </c>
      <c r="H668" s="219" t="n"/>
      <c r="I668" s="220" t="n"/>
      <c r="J668" s="221">
        <f>IF(COUNTA(A668:F668)=0,"",IF(OR(C668&lt;0,D668&lt;0,E668&lt;0,F668&lt;0),"ERRO: valor negativo",IF(C668&lt;&gt;SUM(D668:F668),"ERRO: categorias diferem dos respondentes",IF(COUNTIFS($A$5:$A$1200,A668,$B$5:$B$1200,B668)&gt;1,"ERRO: período e curso duplicados","OK"))))</f>
        <v/>
      </c>
    </row>
    <row r="669" ht="15" customHeight="1" s="131">
      <c r="A669" s="220" t="n"/>
      <c r="B669" s="222" t="n"/>
      <c r="C669" s="220" t="n"/>
      <c r="D669" s="220" t="n"/>
      <c r="E669" s="220" t="n"/>
      <c r="F669" s="220" t="n"/>
      <c r="G669" s="169">
        <f>IFERROR((D669-F669)/C669*100,"")</f>
        <v/>
      </c>
      <c r="H669" s="219" t="n"/>
      <c r="I669" s="220" t="n"/>
      <c r="J669" s="221">
        <f>IF(COUNTA(A669:F669)=0,"",IF(OR(C669&lt;0,D669&lt;0,E669&lt;0,F669&lt;0),"ERRO: valor negativo",IF(C669&lt;&gt;SUM(D669:F669),"ERRO: categorias diferem dos respondentes",IF(COUNTIFS($A$5:$A$1200,A669,$B$5:$B$1200,B669)&gt;1,"ERRO: período e curso duplicados","OK"))))</f>
        <v/>
      </c>
    </row>
    <row r="670" ht="15" customHeight="1" s="131">
      <c r="A670" s="220" t="n"/>
      <c r="B670" s="222" t="n"/>
      <c r="C670" s="220" t="n"/>
      <c r="D670" s="220" t="n"/>
      <c r="E670" s="220" t="n"/>
      <c r="F670" s="220" t="n"/>
      <c r="G670" s="169">
        <f>IFERROR((D670-F670)/C670*100,"")</f>
        <v/>
      </c>
      <c r="H670" s="219" t="n"/>
      <c r="I670" s="220" t="n"/>
      <c r="J670" s="221">
        <f>IF(COUNTA(A670:F670)=0,"",IF(OR(C670&lt;0,D670&lt;0,E670&lt;0,F670&lt;0),"ERRO: valor negativo",IF(C670&lt;&gt;SUM(D670:F670),"ERRO: categorias diferem dos respondentes",IF(COUNTIFS($A$5:$A$1200,A670,$B$5:$B$1200,B670)&gt;1,"ERRO: período e curso duplicados","OK"))))</f>
        <v/>
      </c>
    </row>
    <row r="671" ht="15" customHeight="1" s="131">
      <c r="A671" s="220" t="n"/>
      <c r="B671" s="222" t="n"/>
      <c r="C671" s="220" t="n"/>
      <c r="D671" s="220" t="n"/>
      <c r="E671" s="220" t="n"/>
      <c r="F671" s="220" t="n"/>
      <c r="G671" s="169">
        <f>IFERROR((D671-F671)/C671*100,"")</f>
        <v/>
      </c>
      <c r="H671" s="219" t="n"/>
      <c r="I671" s="220" t="n"/>
      <c r="J671" s="221">
        <f>IF(COUNTA(A671:F671)=0,"",IF(OR(C671&lt;0,D671&lt;0,E671&lt;0,F671&lt;0),"ERRO: valor negativo",IF(C671&lt;&gt;SUM(D671:F671),"ERRO: categorias diferem dos respondentes",IF(COUNTIFS($A$5:$A$1200,A671,$B$5:$B$1200,B671)&gt;1,"ERRO: período e curso duplicados","OK"))))</f>
        <v/>
      </c>
    </row>
    <row r="672" ht="15" customHeight="1" s="131">
      <c r="A672" s="220" t="n"/>
      <c r="B672" s="222" t="n"/>
      <c r="C672" s="220" t="n"/>
      <c r="D672" s="220" t="n"/>
      <c r="E672" s="220" t="n"/>
      <c r="F672" s="220" t="n"/>
      <c r="G672" s="169">
        <f>IFERROR((D672-F672)/C672*100,"")</f>
        <v/>
      </c>
      <c r="H672" s="219" t="n"/>
      <c r="I672" s="220" t="n"/>
      <c r="J672" s="221">
        <f>IF(COUNTA(A672:F672)=0,"",IF(OR(C672&lt;0,D672&lt;0,E672&lt;0,F672&lt;0),"ERRO: valor negativo",IF(C672&lt;&gt;SUM(D672:F672),"ERRO: categorias diferem dos respondentes",IF(COUNTIFS($A$5:$A$1200,A672,$B$5:$B$1200,B672)&gt;1,"ERRO: período e curso duplicados","OK"))))</f>
        <v/>
      </c>
    </row>
    <row r="673" ht="15" customHeight="1" s="131">
      <c r="A673" s="220" t="n"/>
      <c r="B673" s="222" t="n"/>
      <c r="C673" s="220" t="n"/>
      <c r="D673" s="220" t="n"/>
      <c r="E673" s="220" t="n"/>
      <c r="F673" s="220" t="n"/>
      <c r="G673" s="169">
        <f>IFERROR((D673-F673)/C673*100,"")</f>
        <v/>
      </c>
      <c r="H673" s="219" t="n"/>
      <c r="I673" s="220" t="n"/>
      <c r="J673" s="221">
        <f>IF(COUNTA(A673:F673)=0,"",IF(OR(C673&lt;0,D673&lt;0,E673&lt;0,F673&lt;0),"ERRO: valor negativo",IF(C673&lt;&gt;SUM(D673:F673),"ERRO: categorias diferem dos respondentes",IF(COUNTIFS($A$5:$A$1200,A673,$B$5:$B$1200,B673)&gt;1,"ERRO: período e curso duplicados","OK"))))</f>
        <v/>
      </c>
    </row>
    <row r="674" ht="15" customHeight="1" s="131">
      <c r="A674" s="220" t="n"/>
      <c r="B674" s="222" t="n"/>
      <c r="C674" s="220" t="n"/>
      <c r="D674" s="220" t="n"/>
      <c r="E674" s="220" t="n"/>
      <c r="F674" s="220" t="n"/>
      <c r="G674" s="169">
        <f>IFERROR((D674-F674)/C674*100,"")</f>
        <v/>
      </c>
      <c r="H674" s="219" t="n"/>
      <c r="I674" s="220" t="n"/>
      <c r="J674" s="221">
        <f>IF(COUNTA(A674:F674)=0,"",IF(OR(C674&lt;0,D674&lt;0,E674&lt;0,F674&lt;0),"ERRO: valor negativo",IF(C674&lt;&gt;SUM(D674:F674),"ERRO: categorias diferem dos respondentes",IF(COUNTIFS($A$5:$A$1200,A674,$B$5:$B$1200,B674)&gt;1,"ERRO: período e curso duplicados","OK"))))</f>
        <v/>
      </c>
    </row>
    <row r="675" ht="15" customHeight="1" s="131">
      <c r="A675" s="220" t="n"/>
      <c r="B675" s="222" t="n"/>
      <c r="C675" s="220" t="n"/>
      <c r="D675" s="220" t="n"/>
      <c r="E675" s="220" t="n"/>
      <c r="F675" s="220" t="n"/>
      <c r="G675" s="169">
        <f>IFERROR((D675-F675)/C675*100,"")</f>
        <v/>
      </c>
      <c r="H675" s="219" t="n"/>
      <c r="I675" s="220" t="n"/>
      <c r="J675" s="221">
        <f>IF(COUNTA(A675:F675)=0,"",IF(OR(C675&lt;0,D675&lt;0,E675&lt;0,F675&lt;0),"ERRO: valor negativo",IF(C675&lt;&gt;SUM(D675:F675),"ERRO: categorias diferem dos respondentes",IF(COUNTIFS($A$5:$A$1200,A675,$B$5:$B$1200,B675)&gt;1,"ERRO: período e curso duplicados","OK"))))</f>
        <v/>
      </c>
    </row>
    <row r="676" ht="15" customHeight="1" s="131">
      <c r="A676" s="220" t="n"/>
      <c r="B676" s="222" t="n"/>
      <c r="C676" s="220" t="n"/>
      <c r="D676" s="220" t="n"/>
      <c r="E676" s="220" t="n"/>
      <c r="F676" s="220" t="n"/>
      <c r="G676" s="169">
        <f>IFERROR((D676-F676)/C676*100,"")</f>
        <v/>
      </c>
      <c r="H676" s="219" t="n"/>
      <c r="I676" s="220" t="n"/>
      <c r="J676" s="221">
        <f>IF(COUNTA(A676:F676)=0,"",IF(OR(C676&lt;0,D676&lt;0,E676&lt;0,F676&lt;0),"ERRO: valor negativo",IF(C676&lt;&gt;SUM(D676:F676),"ERRO: categorias diferem dos respondentes",IF(COUNTIFS($A$5:$A$1200,A676,$B$5:$B$1200,B676)&gt;1,"ERRO: período e curso duplicados","OK"))))</f>
        <v/>
      </c>
    </row>
    <row r="677" ht="15" customHeight="1" s="131">
      <c r="A677" s="220" t="n"/>
      <c r="B677" s="222" t="n"/>
      <c r="C677" s="220" t="n"/>
      <c r="D677" s="220" t="n"/>
      <c r="E677" s="220" t="n"/>
      <c r="F677" s="220" t="n"/>
      <c r="G677" s="169">
        <f>IFERROR((D677-F677)/C677*100,"")</f>
        <v/>
      </c>
      <c r="H677" s="219" t="n"/>
      <c r="I677" s="220" t="n"/>
      <c r="J677" s="221">
        <f>IF(COUNTA(A677:F677)=0,"",IF(OR(C677&lt;0,D677&lt;0,E677&lt;0,F677&lt;0),"ERRO: valor negativo",IF(C677&lt;&gt;SUM(D677:F677),"ERRO: categorias diferem dos respondentes",IF(COUNTIFS($A$5:$A$1200,A677,$B$5:$B$1200,B677)&gt;1,"ERRO: período e curso duplicados","OK"))))</f>
        <v/>
      </c>
    </row>
    <row r="678" ht="15" customHeight="1" s="131">
      <c r="A678" s="220" t="n"/>
      <c r="B678" s="222" t="n"/>
      <c r="C678" s="220" t="n"/>
      <c r="D678" s="220" t="n"/>
      <c r="E678" s="220" t="n"/>
      <c r="F678" s="220" t="n"/>
      <c r="G678" s="169">
        <f>IFERROR((D678-F678)/C678*100,"")</f>
        <v/>
      </c>
      <c r="H678" s="219" t="n"/>
      <c r="I678" s="220" t="n"/>
      <c r="J678" s="221">
        <f>IF(COUNTA(A678:F678)=0,"",IF(OR(C678&lt;0,D678&lt;0,E678&lt;0,F678&lt;0),"ERRO: valor negativo",IF(C678&lt;&gt;SUM(D678:F678),"ERRO: categorias diferem dos respondentes",IF(COUNTIFS($A$5:$A$1200,A678,$B$5:$B$1200,B678)&gt;1,"ERRO: período e curso duplicados","OK"))))</f>
        <v/>
      </c>
    </row>
    <row r="679" ht="15" customHeight="1" s="131">
      <c r="A679" s="220" t="n"/>
      <c r="B679" s="222" t="n"/>
      <c r="C679" s="220" t="n"/>
      <c r="D679" s="220" t="n"/>
      <c r="E679" s="220" t="n"/>
      <c r="F679" s="220" t="n"/>
      <c r="G679" s="169">
        <f>IFERROR((D679-F679)/C679*100,"")</f>
        <v/>
      </c>
      <c r="H679" s="219" t="n"/>
      <c r="I679" s="220" t="n"/>
      <c r="J679" s="221">
        <f>IF(COUNTA(A679:F679)=0,"",IF(OR(C679&lt;0,D679&lt;0,E679&lt;0,F679&lt;0),"ERRO: valor negativo",IF(C679&lt;&gt;SUM(D679:F679),"ERRO: categorias diferem dos respondentes",IF(COUNTIFS($A$5:$A$1200,A679,$B$5:$B$1200,B679)&gt;1,"ERRO: período e curso duplicados","OK"))))</f>
        <v/>
      </c>
    </row>
    <row r="680" ht="15" customHeight="1" s="131">
      <c r="A680" s="220" t="n"/>
      <c r="B680" s="222" t="n"/>
      <c r="C680" s="220" t="n"/>
      <c r="D680" s="220" t="n"/>
      <c r="E680" s="220" t="n"/>
      <c r="F680" s="220" t="n"/>
      <c r="G680" s="169">
        <f>IFERROR((D680-F680)/C680*100,"")</f>
        <v/>
      </c>
      <c r="H680" s="219" t="n"/>
      <c r="I680" s="220" t="n"/>
      <c r="J680" s="221">
        <f>IF(COUNTA(A680:F680)=0,"",IF(OR(C680&lt;0,D680&lt;0,E680&lt;0,F680&lt;0),"ERRO: valor negativo",IF(C680&lt;&gt;SUM(D680:F680),"ERRO: categorias diferem dos respondentes",IF(COUNTIFS($A$5:$A$1200,A680,$B$5:$B$1200,B680)&gt;1,"ERRO: período e curso duplicados","OK"))))</f>
        <v/>
      </c>
    </row>
    <row r="681" ht="15" customHeight="1" s="131">
      <c r="A681" s="220" t="n"/>
      <c r="B681" s="222" t="n"/>
      <c r="C681" s="220" t="n"/>
      <c r="D681" s="220" t="n"/>
      <c r="E681" s="220" t="n"/>
      <c r="F681" s="220" t="n"/>
      <c r="G681" s="169">
        <f>IFERROR((D681-F681)/C681*100,"")</f>
        <v/>
      </c>
      <c r="H681" s="219" t="n"/>
      <c r="I681" s="220" t="n"/>
      <c r="J681" s="221">
        <f>IF(COUNTA(A681:F681)=0,"",IF(OR(C681&lt;0,D681&lt;0,E681&lt;0,F681&lt;0),"ERRO: valor negativo",IF(C681&lt;&gt;SUM(D681:F681),"ERRO: categorias diferem dos respondentes",IF(COUNTIFS($A$5:$A$1200,A681,$B$5:$B$1200,B681)&gt;1,"ERRO: período e curso duplicados","OK"))))</f>
        <v/>
      </c>
    </row>
    <row r="682" ht="15" customHeight="1" s="131">
      <c r="A682" s="220" t="n"/>
      <c r="B682" s="222" t="n"/>
      <c r="C682" s="220" t="n"/>
      <c r="D682" s="220" t="n"/>
      <c r="E682" s="220" t="n"/>
      <c r="F682" s="220" t="n"/>
      <c r="G682" s="169">
        <f>IFERROR((D682-F682)/C682*100,"")</f>
        <v/>
      </c>
      <c r="H682" s="219" t="n"/>
      <c r="I682" s="220" t="n"/>
      <c r="J682" s="221">
        <f>IF(COUNTA(A682:F682)=0,"",IF(OR(C682&lt;0,D682&lt;0,E682&lt;0,F682&lt;0),"ERRO: valor negativo",IF(C682&lt;&gt;SUM(D682:F682),"ERRO: categorias diferem dos respondentes",IF(COUNTIFS($A$5:$A$1200,A682,$B$5:$B$1200,B682)&gt;1,"ERRO: período e curso duplicados","OK"))))</f>
        <v/>
      </c>
    </row>
    <row r="683" ht="15" customHeight="1" s="131">
      <c r="A683" s="220" t="n"/>
      <c r="B683" s="222" t="n"/>
      <c r="C683" s="220" t="n"/>
      <c r="D683" s="220" t="n"/>
      <c r="E683" s="220" t="n"/>
      <c r="F683" s="220" t="n"/>
      <c r="G683" s="169">
        <f>IFERROR((D683-F683)/C683*100,"")</f>
        <v/>
      </c>
      <c r="H683" s="219" t="n"/>
      <c r="I683" s="220" t="n"/>
      <c r="J683" s="221">
        <f>IF(COUNTA(A683:F683)=0,"",IF(OR(C683&lt;0,D683&lt;0,E683&lt;0,F683&lt;0),"ERRO: valor negativo",IF(C683&lt;&gt;SUM(D683:F683),"ERRO: categorias diferem dos respondentes",IF(COUNTIFS($A$5:$A$1200,A683,$B$5:$B$1200,B683)&gt;1,"ERRO: período e curso duplicados","OK"))))</f>
        <v/>
      </c>
    </row>
    <row r="684" ht="15" customHeight="1" s="131">
      <c r="A684" s="220" t="n"/>
      <c r="B684" s="222" t="n"/>
      <c r="C684" s="220" t="n"/>
      <c r="D684" s="220" t="n"/>
      <c r="E684" s="220" t="n"/>
      <c r="F684" s="220" t="n"/>
      <c r="G684" s="169">
        <f>IFERROR((D684-F684)/C684*100,"")</f>
        <v/>
      </c>
      <c r="H684" s="219" t="n"/>
      <c r="I684" s="220" t="n"/>
      <c r="J684" s="221">
        <f>IF(COUNTA(A684:F684)=0,"",IF(OR(C684&lt;0,D684&lt;0,E684&lt;0,F684&lt;0),"ERRO: valor negativo",IF(C684&lt;&gt;SUM(D684:F684),"ERRO: categorias diferem dos respondentes",IF(COUNTIFS($A$5:$A$1200,A684,$B$5:$B$1200,B684)&gt;1,"ERRO: período e curso duplicados","OK"))))</f>
        <v/>
      </c>
    </row>
    <row r="685" ht="15" customHeight="1" s="131">
      <c r="A685" s="220" t="n"/>
      <c r="B685" s="222" t="n"/>
      <c r="C685" s="220" t="n"/>
      <c r="D685" s="220" t="n"/>
      <c r="E685" s="220" t="n"/>
      <c r="F685" s="220" t="n"/>
      <c r="G685" s="169">
        <f>IFERROR((D685-F685)/C685*100,"")</f>
        <v/>
      </c>
      <c r="H685" s="219" t="n"/>
      <c r="I685" s="220" t="n"/>
      <c r="J685" s="221">
        <f>IF(COUNTA(A685:F685)=0,"",IF(OR(C685&lt;0,D685&lt;0,E685&lt;0,F685&lt;0),"ERRO: valor negativo",IF(C685&lt;&gt;SUM(D685:F685),"ERRO: categorias diferem dos respondentes",IF(COUNTIFS($A$5:$A$1200,A685,$B$5:$B$1200,B685)&gt;1,"ERRO: período e curso duplicados","OK"))))</f>
        <v/>
      </c>
    </row>
    <row r="686" ht="15" customHeight="1" s="131">
      <c r="A686" s="220" t="n"/>
      <c r="B686" s="222" t="n"/>
      <c r="C686" s="220" t="n"/>
      <c r="D686" s="220" t="n"/>
      <c r="E686" s="220" t="n"/>
      <c r="F686" s="220" t="n"/>
      <c r="G686" s="169">
        <f>IFERROR((D686-F686)/C686*100,"")</f>
        <v/>
      </c>
      <c r="H686" s="219" t="n"/>
      <c r="I686" s="220" t="n"/>
      <c r="J686" s="221">
        <f>IF(COUNTA(A686:F686)=0,"",IF(OR(C686&lt;0,D686&lt;0,E686&lt;0,F686&lt;0),"ERRO: valor negativo",IF(C686&lt;&gt;SUM(D686:F686),"ERRO: categorias diferem dos respondentes",IF(COUNTIFS($A$5:$A$1200,A686,$B$5:$B$1200,B686)&gt;1,"ERRO: período e curso duplicados","OK"))))</f>
        <v/>
      </c>
    </row>
    <row r="687" ht="15" customHeight="1" s="131">
      <c r="A687" s="220" t="n"/>
      <c r="B687" s="222" t="n"/>
      <c r="C687" s="220" t="n"/>
      <c r="D687" s="220" t="n"/>
      <c r="E687" s="220" t="n"/>
      <c r="F687" s="220" t="n"/>
      <c r="G687" s="169">
        <f>IFERROR((D687-F687)/C687*100,"")</f>
        <v/>
      </c>
      <c r="H687" s="219" t="n"/>
      <c r="I687" s="220" t="n"/>
      <c r="J687" s="221">
        <f>IF(COUNTA(A687:F687)=0,"",IF(OR(C687&lt;0,D687&lt;0,E687&lt;0,F687&lt;0),"ERRO: valor negativo",IF(C687&lt;&gt;SUM(D687:F687),"ERRO: categorias diferem dos respondentes",IF(COUNTIFS($A$5:$A$1200,A687,$B$5:$B$1200,B687)&gt;1,"ERRO: período e curso duplicados","OK"))))</f>
        <v/>
      </c>
    </row>
    <row r="688" ht="15" customHeight="1" s="131">
      <c r="A688" s="220" t="n"/>
      <c r="B688" s="222" t="n"/>
      <c r="C688" s="220" t="n"/>
      <c r="D688" s="220" t="n"/>
      <c r="E688" s="220" t="n"/>
      <c r="F688" s="220" t="n"/>
      <c r="G688" s="169">
        <f>IFERROR((D688-F688)/C688*100,"")</f>
        <v/>
      </c>
      <c r="H688" s="219" t="n"/>
      <c r="I688" s="220" t="n"/>
      <c r="J688" s="221">
        <f>IF(COUNTA(A688:F688)=0,"",IF(OR(C688&lt;0,D688&lt;0,E688&lt;0,F688&lt;0),"ERRO: valor negativo",IF(C688&lt;&gt;SUM(D688:F688),"ERRO: categorias diferem dos respondentes",IF(COUNTIFS($A$5:$A$1200,A688,$B$5:$B$1200,B688)&gt;1,"ERRO: período e curso duplicados","OK"))))</f>
        <v/>
      </c>
    </row>
    <row r="689" ht="15" customHeight="1" s="131">
      <c r="A689" s="220" t="n"/>
      <c r="B689" s="222" t="n"/>
      <c r="C689" s="220" t="n"/>
      <c r="D689" s="220" t="n"/>
      <c r="E689" s="220" t="n"/>
      <c r="F689" s="220" t="n"/>
      <c r="G689" s="169">
        <f>IFERROR((D689-F689)/C689*100,"")</f>
        <v/>
      </c>
      <c r="H689" s="219" t="n"/>
      <c r="I689" s="220" t="n"/>
      <c r="J689" s="221">
        <f>IF(COUNTA(A689:F689)=0,"",IF(OR(C689&lt;0,D689&lt;0,E689&lt;0,F689&lt;0),"ERRO: valor negativo",IF(C689&lt;&gt;SUM(D689:F689),"ERRO: categorias diferem dos respondentes",IF(COUNTIFS($A$5:$A$1200,A689,$B$5:$B$1200,B689)&gt;1,"ERRO: período e curso duplicados","OK"))))</f>
        <v/>
      </c>
    </row>
    <row r="690" ht="15" customHeight="1" s="131">
      <c r="A690" s="220" t="n"/>
      <c r="B690" s="222" t="n"/>
      <c r="C690" s="220" t="n"/>
      <c r="D690" s="220" t="n"/>
      <c r="E690" s="220" t="n"/>
      <c r="F690" s="220" t="n"/>
      <c r="G690" s="169">
        <f>IFERROR((D690-F690)/C690*100,"")</f>
        <v/>
      </c>
      <c r="H690" s="219" t="n"/>
      <c r="I690" s="220" t="n"/>
      <c r="J690" s="221">
        <f>IF(COUNTA(A690:F690)=0,"",IF(OR(C690&lt;0,D690&lt;0,E690&lt;0,F690&lt;0),"ERRO: valor negativo",IF(C690&lt;&gt;SUM(D690:F690),"ERRO: categorias diferem dos respondentes",IF(COUNTIFS($A$5:$A$1200,A690,$B$5:$B$1200,B690)&gt;1,"ERRO: período e curso duplicados","OK"))))</f>
        <v/>
      </c>
    </row>
    <row r="691" ht="15" customHeight="1" s="131">
      <c r="A691" s="220" t="n"/>
      <c r="B691" s="222" t="n"/>
      <c r="C691" s="220" t="n"/>
      <c r="D691" s="220" t="n"/>
      <c r="E691" s="220" t="n"/>
      <c r="F691" s="220" t="n"/>
      <c r="G691" s="169">
        <f>IFERROR((D691-F691)/C691*100,"")</f>
        <v/>
      </c>
      <c r="H691" s="219" t="n"/>
      <c r="I691" s="220" t="n"/>
      <c r="J691" s="221">
        <f>IF(COUNTA(A691:F691)=0,"",IF(OR(C691&lt;0,D691&lt;0,E691&lt;0,F691&lt;0),"ERRO: valor negativo",IF(C691&lt;&gt;SUM(D691:F691),"ERRO: categorias diferem dos respondentes",IF(COUNTIFS($A$5:$A$1200,A691,$B$5:$B$1200,B691)&gt;1,"ERRO: período e curso duplicados","OK"))))</f>
        <v/>
      </c>
    </row>
    <row r="692" ht="15" customHeight="1" s="131">
      <c r="A692" s="220" t="n"/>
      <c r="B692" s="222" t="n"/>
      <c r="C692" s="220" t="n"/>
      <c r="D692" s="220" t="n"/>
      <c r="E692" s="220" t="n"/>
      <c r="F692" s="220" t="n"/>
      <c r="G692" s="169">
        <f>IFERROR((D692-F692)/C692*100,"")</f>
        <v/>
      </c>
      <c r="H692" s="219" t="n"/>
      <c r="I692" s="220" t="n"/>
      <c r="J692" s="221">
        <f>IF(COUNTA(A692:F692)=0,"",IF(OR(C692&lt;0,D692&lt;0,E692&lt;0,F692&lt;0),"ERRO: valor negativo",IF(C692&lt;&gt;SUM(D692:F692),"ERRO: categorias diferem dos respondentes",IF(COUNTIFS($A$5:$A$1200,A692,$B$5:$B$1200,B692)&gt;1,"ERRO: período e curso duplicados","OK"))))</f>
        <v/>
      </c>
    </row>
    <row r="693" ht="15" customHeight="1" s="131">
      <c r="A693" s="220" t="n"/>
      <c r="B693" s="222" t="n"/>
      <c r="C693" s="220" t="n"/>
      <c r="D693" s="220" t="n"/>
      <c r="E693" s="220" t="n"/>
      <c r="F693" s="220" t="n"/>
      <c r="G693" s="169">
        <f>IFERROR((D693-F693)/C693*100,"")</f>
        <v/>
      </c>
      <c r="H693" s="219" t="n"/>
      <c r="I693" s="220" t="n"/>
      <c r="J693" s="221">
        <f>IF(COUNTA(A693:F693)=0,"",IF(OR(C693&lt;0,D693&lt;0,E693&lt;0,F693&lt;0),"ERRO: valor negativo",IF(C693&lt;&gt;SUM(D693:F693),"ERRO: categorias diferem dos respondentes",IF(COUNTIFS($A$5:$A$1200,A693,$B$5:$B$1200,B693)&gt;1,"ERRO: período e curso duplicados","OK"))))</f>
        <v/>
      </c>
    </row>
    <row r="694" ht="15" customHeight="1" s="131">
      <c r="A694" s="220" t="n"/>
      <c r="B694" s="222" t="n"/>
      <c r="C694" s="220" t="n"/>
      <c r="D694" s="220" t="n"/>
      <c r="E694" s="220" t="n"/>
      <c r="F694" s="220" t="n"/>
      <c r="G694" s="169">
        <f>IFERROR((D694-F694)/C694*100,"")</f>
        <v/>
      </c>
      <c r="H694" s="219" t="n"/>
      <c r="I694" s="220" t="n"/>
      <c r="J694" s="221">
        <f>IF(COUNTA(A694:F694)=0,"",IF(OR(C694&lt;0,D694&lt;0,E694&lt;0,F694&lt;0),"ERRO: valor negativo",IF(C694&lt;&gt;SUM(D694:F694),"ERRO: categorias diferem dos respondentes",IF(COUNTIFS($A$5:$A$1200,A694,$B$5:$B$1200,B694)&gt;1,"ERRO: período e curso duplicados","OK"))))</f>
        <v/>
      </c>
    </row>
    <row r="695" ht="15" customHeight="1" s="131">
      <c r="A695" s="220" t="n"/>
      <c r="B695" s="222" t="n"/>
      <c r="C695" s="220" t="n"/>
      <c r="D695" s="220" t="n"/>
      <c r="E695" s="220" t="n"/>
      <c r="F695" s="220" t="n"/>
      <c r="G695" s="169">
        <f>IFERROR((D695-F695)/C695*100,"")</f>
        <v/>
      </c>
      <c r="H695" s="219" t="n"/>
      <c r="I695" s="220" t="n"/>
      <c r="J695" s="221">
        <f>IF(COUNTA(A695:F695)=0,"",IF(OR(C695&lt;0,D695&lt;0,E695&lt;0,F695&lt;0),"ERRO: valor negativo",IF(C695&lt;&gt;SUM(D695:F695),"ERRO: categorias diferem dos respondentes",IF(COUNTIFS($A$5:$A$1200,A695,$B$5:$B$1200,B695)&gt;1,"ERRO: período e curso duplicados","OK"))))</f>
        <v/>
      </c>
    </row>
    <row r="696" ht="15" customHeight="1" s="131">
      <c r="A696" s="220" t="n"/>
      <c r="B696" s="222" t="n"/>
      <c r="C696" s="220" t="n"/>
      <c r="D696" s="220" t="n"/>
      <c r="E696" s="220" t="n"/>
      <c r="F696" s="220" t="n"/>
      <c r="G696" s="169">
        <f>IFERROR((D696-F696)/C696*100,"")</f>
        <v/>
      </c>
      <c r="H696" s="219" t="n"/>
      <c r="I696" s="220" t="n"/>
      <c r="J696" s="221">
        <f>IF(COUNTA(A696:F696)=0,"",IF(OR(C696&lt;0,D696&lt;0,E696&lt;0,F696&lt;0),"ERRO: valor negativo",IF(C696&lt;&gt;SUM(D696:F696),"ERRO: categorias diferem dos respondentes",IF(COUNTIFS($A$5:$A$1200,A696,$B$5:$B$1200,B696)&gt;1,"ERRO: período e curso duplicados","OK"))))</f>
        <v/>
      </c>
    </row>
    <row r="697" ht="15" customHeight="1" s="131">
      <c r="A697" s="220" t="n"/>
      <c r="B697" s="222" t="n"/>
      <c r="C697" s="220" t="n"/>
      <c r="D697" s="220" t="n"/>
      <c r="E697" s="220" t="n"/>
      <c r="F697" s="220" t="n"/>
      <c r="G697" s="169">
        <f>IFERROR((D697-F697)/C697*100,"")</f>
        <v/>
      </c>
      <c r="H697" s="219" t="n"/>
      <c r="I697" s="220" t="n"/>
      <c r="J697" s="221">
        <f>IF(COUNTA(A697:F697)=0,"",IF(OR(C697&lt;0,D697&lt;0,E697&lt;0,F697&lt;0),"ERRO: valor negativo",IF(C697&lt;&gt;SUM(D697:F697),"ERRO: categorias diferem dos respondentes",IF(COUNTIFS($A$5:$A$1200,A697,$B$5:$B$1200,B697)&gt;1,"ERRO: período e curso duplicados","OK"))))</f>
        <v/>
      </c>
    </row>
    <row r="698" ht="15" customHeight="1" s="131">
      <c r="A698" s="220" t="n"/>
      <c r="B698" s="222" t="n"/>
      <c r="C698" s="220" t="n"/>
      <c r="D698" s="220" t="n"/>
      <c r="E698" s="220" t="n"/>
      <c r="F698" s="220" t="n"/>
      <c r="G698" s="169">
        <f>IFERROR((D698-F698)/C698*100,"")</f>
        <v/>
      </c>
      <c r="H698" s="219" t="n"/>
      <c r="I698" s="220" t="n"/>
      <c r="J698" s="221">
        <f>IF(COUNTA(A698:F698)=0,"",IF(OR(C698&lt;0,D698&lt;0,E698&lt;0,F698&lt;0),"ERRO: valor negativo",IF(C698&lt;&gt;SUM(D698:F698),"ERRO: categorias diferem dos respondentes",IF(COUNTIFS($A$5:$A$1200,A698,$B$5:$B$1200,B698)&gt;1,"ERRO: período e curso duplicados","OK"))))</f>
        <v/>
      </c>
    </row>
    <row r="699" ht="15" customHeight="1" s="131">
      <c r="A699" s="220" t="n"/>
      <c r="B699" s="222" t="n"/>
      <c r="C699" s="220" t="n"/>
      <c r="D699" s="220" t="n"/>
      <c r="E699" s="220" t="n"/>
      <c r="F699" s="220" t="n"/>
      <c r="G699" s="169">
        <f>IFERROR((D699-F699)/C699*100,"")</f>
        <v/>
      </c>
      <c r="H699" s="219" t="n"/>
      <c r="I699" s="220" t="n"/>
      <c r="J699" s="221">
        <f>IF(COUNTA(A699:F699)=0,"",IF(OR(C699&lt;0,D699&lt;0,E699&lt;0,F699&lt;0),"ERRO: valor negativo",IF(C699&lt;&gt;SUM(D699:F699),"ERRO: categorias diferem dos respondentes",IF(COUNTIFS($A$5:$A$1200,A699,$B$5:$B$1200,B699)&gt;1,"ERRO: período e curso duplicados","OK"))))</f>
        <v/>
      </c>
    </row>
    <row r="700" ht="15" customHeight="1" s="131">
      <c r="A700" s="220" t="n"/>
      <c r="B700" s="222" t="n"/>
      <c r="C700" s="220" t="n"/>
      <c r="D700" s="220" t="n"/>
      <c r="E700" s="220" t="n"/>
      <c r="F700" s="220" t="n"/>
      <c r="G700" s="169">
        <f>IFERROR((D700-F700)/C700*100,"")</f>
        <v/>
      </c>
      <c r="H700" s="219" t="n"/>
      <c r="I700" s="220" t="n"/>
      <c r="J700" s="221">
        <f>IF(COUNTA(A700:F700)=0,"",IF(OR(C700&lt;0,D700&lt;0,E700&lt;0,F700&lt;0),"ERRO: valor negativo",IF(C700&lt;&gt;SUM(D700:F700),"ERRO: categorias diferem dos respondentes",IF(COUNTIFS($A$5:$A$1200,A700,$B$5:$B$1200,B700)&gt;1,"ERRO: período e curso duplicados","OK"))))</f>
        <v/>
      </c>
    </row>
    <row r="701" ht="15" customHeight="1" s="131">
      <c r="A701" s="220" t="n"/>
      <c r="B701" s="222" t="n"/>
      <c r="C701" s="220" t="n"/>
      <c r="D701" s="220" t="n"/>
      <c r="E701" s="220" t="n"/>
      <c r="F701" s="220" t="n"/>
      <c r="G701" s="169">
        <f>IFERROR((D701-F701)/C701*100,"")</f>
        <v/>
      </c>
      <c r="H701" s="219" t="n"/>
      <c r="I701" s="220" t="n"/>
      <c r="J701" s="221">
        <f>IF(COUNTA(A701:F701)=0,"",IF(OR(C701&lt;0,D701&lt;0,E701&lt;0,F701&lt;0),"ERRO: valor negativo",IF(C701&lt;&gt;SUM(D701:F701),"ERRO: categorias diferem dos respondentes",IF(COUNTIFS($A$5:$A$1200,A701,$B$5:$B$1200,B701)&gt;1,"ERRO: período e curso duplicados","OK"))))</f>
        <v/>
      </c>
    </row>
    <row r="702" ht="15" customHeight="1" s="131">
      <c r="A702" s="220" t="n"/>
      <c r="B702" s="222" t="n"/>
      <c r="C702" s="220" t="n"/>
      <c r="D702" s="220" t="n"/>
      <c r="E702" s="220" t="n"/>
      <c r="F702" s="220" t="n"/>
      <c r="G702" s="169">
        <f>IFERROR((D702-F702)/C702*100,"")</f>
        <v/>
      </c>
      <c r="H702" s="219" t="n"/>
      <c r="I702" s="220" t="n"/>
      <c r="J702" s="221">
        <f>IF(COUNTA(A702:F702)=0,"",IF(OR(C702&lt;0,D702&lt;0,E702&lt;0,F702&lt;0),"ERRO: valor negativo",IF(C702&lt;&gt;SUM(D702:F702),"ERRO: categorias diferem dos respondentes",IF(COUNTIFS($A$5:$A$1200,A702,$B$5:$B$1200,B702)&gt;1,"ERRO: período e curso duplicados","OK"))))</f>
        <v/>
      </c>
    </row>
    <row r="703" ht="15" customHeight="1" s="131">
      <c r="A703" s="220" t="n"/>
      <c r="B703" s="222" t="n"/>
      <c r="C703" s="220" t="n"/>
      <c r="D703" s="220" t="n"/>
      <c r="E703" s="220" t="n"/>
      <c r="F703" s="220" t="n"/>
      <c r="G703" s="169">
        <f>IFERROR((D703-F703)/C703*100,"")</f>
        <v/>
      </c>
      <c r="H703" s="219" t="n"/>
      <c r="I703" s="220" t="n"/>
      <c r="J703" s="221">
        <f>IF(COUNTA(A703:F703)=0,"",IF(OR(C703&lt;0,D703&lt;0,E703&lt;0,F703&lt;0),"ERRO: valor negativo",IF(C703&lt;&gt;SUM(D703:F703),"ERRO: categorias diferem dos respondentes",IF(COUNTIFS($A$5:$A$1200,A703,$B$5:$B$1200,B703)&gt;1,"ERRO: período e curso duplicados","OK"))))</f>
        <v/>
      </c>
    </row>
    <row r="704" ht="15" customHeight="1" s="131">
      <c r="A704" s="220" t="n"/>
      <c r="B704" s="222" t="n"/>
      <c r="C704" s="220" t="n"/>
      <c r="D704" s="220" t="n"/>
      <c r="E704" s="220" t="n"/>
      <c r="F704" s="220" t="n"/>
      <c r="G704" s="169">
        <f>IFERROR((D704-F704)/C704*100,"")</f>
        <v/>
      </c>
      <c r="H704" s="219" t="n"/>
      <c r="I704" s="220" t="n"/>
      <c r="J704" s="221">
        <f>IF(COUNTA(A704:F704)=0,"",IF(OR(C704&lt;0,D704&lt;0,E704&lt;0,F704&lt;0),"ERRO: valor negativo",IF(C704&lt;&gt;SUM(D704:F704),"ERRO: categorias diferem dos respondentes",IF(COUNTIFS($A$5:$A$1200,A704,$B$5:$B$1200,B704)&gt;1,"ERRO: período e curso duplicados","OK"))))</f>
        <v/>
      </c>
    </row>
    <row r="705" ht="15" customHeight="1" s="131">
      <c r="A705" s="220" t="n"/>
      <c r="B705" s="222" t="n"/>
      <c r="C705" s="220" t="n"/>
      <c r="D705" s="220" t="n"/>
      <c r="E705" s="220" t="n"/>
      <c r="F705" s="220" t="n"/>
      <c r="G705" s="169">
        <f>IFERROR((D705-F705)/C705*100,"")</f>
        <v/>
      </c>
      <c r="H705" s="219" t="n"/>
      <c r="I705" s="220" t="n"/>
      <c r="J705" s="221">
        <f>IF(COUNTA(A705:F705)=0,"",IF(OR(C705&lt;0,D705&lt;0,E705&lt;0,F705&lt;0),"ERRO: valor negativo",IF(C705&lt;&gt;SUM(D705:F705),"ERRO: categorias diferem dos respondentes",IF(COUNTIFS($A$5:$A$1200,A705,$B$5:$B$1200,B705)&gt;1,"ERRO: período e curso duplicados","OK"))))</f>
        <v/>
      </c>
    </row>
    <row r="706" ht="15" customHeight="1" s="131">
      <c r="A706" s="220" t="n"/>
      <c r="B706" s="222" t="n"/>
      <c r="C706" s="220" t="n"/>
      <c r="D706" s="220" t="n"/>
      <c r="E706" s="220" t="n"/>
      <c r="F706" s="220" t="n"/>
      <c r="G706" s="169">
        <f>IFERROR((D706-F706)/C706*100,"")</f>
        <v/>
      </c>
      <c r="H706" s="219" t="n"/>
      <c r="I706" s="220" t="n"/>
      <c r="J706" s="221">
        <f>IF(COUNTA(A706:F706)=0,"",IF(OR(C706&lt;0,D706&lt;0,E706&lt;0,F706&lt;0),"ERRO: valor negativo",IF(C706&lt;&gt;SUM(D706:F706),"ERRO: categorias diferem dos respondentes",IF(COUNTIFS($A$5:$A$1200,A706,$B$5:$B$1200,B706)&gt;1,"ERRO: período e curso duplicados","OK"))))</f>
        <v/>
      </c>
    </row>
    <row r="707" ht="15" customHeight="1" s="131">
      <c r="A707" s="220" t="n"/>
      <c r="B707" s="222" t="n"/>
      <c r="C707" s="220" t="n"/>
      <c r="D707" s="220" t="n"/>
      <c r="E707" s="220" t="n"/>
      <c r="F707" s="220" t="n"/>
      <c r="G707" s="169">
        <f>IFERROR((D707-F707)/C707*100,"")</f>
        <v/>
      </c>
      <c r="H707" s="219" t="n"/>
      <c r="I707" s="220" t="n"/>
      <c r="J707" s="221">
        <f>IF(COUNTA(A707:F707)=0,"",IF(OR(C707&lt;0,D707&lt;0,E707&lt;0,F707&lt;0),"ERRO: valor negativo",IF(C707&lt;&gt;SUM(D707:F707),"ERRO: categorias diferem dos respondentes",IF(COUNTIFS($A$5:$A$1200,A707,$B$5:$B$1200,B707)&gt;1,"ERRO: período e curso duplicados","OK"))))</f>
        <v/>
      </c>
    </row>
    <row r="708" ht="15" customHeight="1" s="131">
      <c r="A708" s="220" t="n"/>
      <c r="B708" s="222" t="n"/>
      <c r="C708" s="220" t="n"/>
      <c r="D708" s="220" t="n"/>
      <c r="E708" s="220" t="n"/>
      <c r="F708" s="220" t="n"/>
      <c r="G708" s="169">
        <f>IFERROR((D708-F708)/C708*100,"")</f>
        <v/>
      </c>
      <c r="H708" s="219" t="n"/>
      <c r="I708" s="220" t="n"/>
      <c r="J708" s="221">
        <f>IF(COUNTA(A708:F708)=0,"",IF(OR(C708&lt;0,D708&lt;0,E708&lt;0,F708&lt;0),"ERRO: valor negativo",IF(C708&lt;&gt;SUM(D708:F708),"ERRO: categorias diferem dos respondentes",IF(COUNTIFS($A$5:$A$1200,A708,$B$5:$B$1200,B708)&gt;1,"ERRO: período e curso duplicados","OK"))))</f>
        <v/>
      </c>
    </row>
    <row r="709" ht="15" customHeight="1" s="131">
      <c r="A709" s="220" t="n"/>
      <c r="B709" s="222" t="n"/>
      <c r="C709" s="220" t="n"/>
      <c r="D709" s="220" t="n"/>
      <c r="E709" s="220" t="n"/>
      <c r="F709" s="220" t="n"/>
      <c r="G709" s="169">
        <f>IFERROR((D709-F709)/C709*100,"")</f>
        <v/>
      </c>
      <c r="H709" s="219" t="n"/>
      <c r="I709" s="220" t="n"/>
      <c r="J709" s="221">
        <f>IF(COUNTA(A709:F709)=0,"",IF(OR(C709&lt;0,D709&lt;0,E709&lt;0,F709&lt;0),"ERRO: valor negativo",IF(C709&lt;&gt;SUM(D709:F709),"ERRO: categorias diferem dos respondentes",IF(COUNTIFS($A$5:$A$1200,A709,$B$5:$B$1200,B709)&gt;1,"ERRO: período e curso duplicados","OK"))))</f>
        <v/>
      </c>
    </row>
    <row r="710" ht="15" customHeight="1" s="131">
      <c r="A710" s="220" t="n"/>
      <c r="B710" s="222" t="n"/>
      <c r="C710" s="220" t="n"/>
      <c r="D710" s="220" t="n"/>
      <c r="E710" s="220" t="n"/>
      <c r="F710" s="220" t="n"/>
      <c r="G710" s="169">
        <f>IFERROR((D710-F710)/C710*100,"")</f>
        <v/>
      </c>
      <c r="H710" s="219" t="n"/>
      <c r="I710" s="220" t="n"/>
      <c r="J710" s="221">
        <f>IF(COUNTA(A710:F710)=0,"",IF(OR(C710&lt;0,D710&lt;0,E710&lt;0,F710&lt;0),"ERRO: valor negativo",IF(C710&lt;&gt;SUM(D710:F710),"ERRO: categorias diferem dos respondentes",IF(COUNTIFS($A$5:$A$1200,A710,$B$5:$B$1200,B710)&gt;1,"ERRO: período e curso duplicados","OK"))))</f>
        <v/>
      </c>
    </row>
    <row r="711" ht="15" customHeight="1" s="131">
      <c r="A711" s="220" t="n"/>
      <c r="B711" s="222" t="n"/>
      <c r="C711" s="220" t="n"/>
      <c r="D711" s="220" t="n"/>
      <c r="E711" s="220" t="n"/>
      <c r="F711" s="220" t="n"/>
      <c r="G711" s="169">
        <f>IFERROR((D711-F711)/C711*100,"")</f>
        <v/>
      </c>
      <c r="H711" s="219" t="n"/>
      <c r="I711" s="220" t="n"/>
      <c r="J711" s="221">
        <f>IF(COUNTA(A711:F711)=0,"",IF(OR(C711&lt;0,D711&lt;0,E711&lt;0,F711&lt;0),"ERRO: valor negativo",IF(C711&lt;&gt;SUM(D711:F711),"ERRO: categorias diferem dos respondentes",IF(COUNTIFS($A$5:$A$1200,A711,$B$5:$B$1200,B711)&gt;1,"ERRO: período e curso duplicados","OK"))))</f>
        <v/>
      </c>
    </row>
    <row r="712" ht="15" customHeight="1" s="131">
      <c r="A712" s="220" t="n"/>
      <c r="B712" s="222" t="n"/>
      <c r="C712" s="220" t="n"/>
      <c r="D712" s="220" t="n"/>
      <c r="E712" s="220" t="n"/>
      <c r="F712" s="220" t="n"/>
      <c r="G712" s="169">
        <f>IFERROR((D712-F712)/C712*100,"")</f>
        <v/>
      </c>
      <c r="H712" s="219" t="n"/>
      <c r="I712" s="220" t="n"/>
      <c r="J712" s="221">
        <f>IF(COUNTA(A712:F712)=0,"",IF(OR(C712&lt;0,D712&lt;0,E712&lt;0,F712&lt;0),"ERRO: valor negativo",IF(C712&lt;&gt;SUM(D712:F712),"ERRO: categorias diferem dos respondentes",IF(COUNTIFS($A$5:$A$1200,A712,$B$5:$B$1200,B712)&gt;1,"ERRO: período e curso duplicados","OK"))))</f>
        <v/>
      </c>
    </row>
    <row r="713" ht="15" customHeight="1" s="131">
      <c r="A713" s="220" t="n"/>
      <c r="B713" s="222" t="n"/>
      <c r="C713" s="220" t="n"/>
      <c r="D713" s="220" t="n"/>
      <c r="E713" s="220" t="n"/>
      <c r="F713" s="220" t="n"/>
      <c r="G713" s="169">
        <f>IFERROR((D713-F713)/C713*100,"")</f>
        <v/>
      </c>
      <c r="H713" s="219" t="n"/>
      <c r="I713" s="220" t="n"/>
      <c r="J713" s="221">
        <f>IF(COUNTA(A713:F713)=0,"",IF(OR(C713&lt;0,D713&lt;0,E713&lt;0,F713&lt;0),"ERRO: valor negativo",IF(C713&lt;&gt;SUM(D713:F713),"ERRO: categorias diferem dos respondentes",IF(COUNTIFS($A$5:$A$1200,A713,$B$5:$B$1200,B713)&gt;1,"ERRO: período e curso duplicados","OK"))))</f>
        <v/>
      </c>
    </row>
    <row r="714" ht="15" customHeight="1" s="131">
      <c r="A714" s="220" t="n"/>
      <c r="B714" s="222" t="n"/>
      <c r="C714" s="220" t="n"/>
      <c r="D714" s="220" t="n"/>
      <c r="E714" s="220" t="n"/>
      <c r="F714" s="220" t="n"/>
      <c r="G714" s="169">
        <f>IFERROR((D714-F714)/C714*100,"")</f>
        <v/>
      </c>
      <c r="H714" s="219" t="n"/>
      <c r="I714" s="220" t="n"/>
      <c r="J714" s="221">
        <f>IF(COUNTA(A714:F714)=0,"",IF(OR(C714&lt;0,D714&lt;0,E714&lt;0,F714&lt;0),"ERRO: valor negativo",IF(C714&lt;&gt;SUM(D714:F714),"ERRO: categorias diferem dos respondentes",IF(COUNTIFS($A$5:$A$1200,A714,$B$5:$B$1200,B714)&gt;1,"ERRO: período e curso duplicados","OK"))))</f>
        <v/>
      </c>
    </row>
    <row r="715" ht="15" customHeight="1" s="131">
      <c r="A715" s="220" t="n"/>
      <c r="B715" s="222" t="n"/>
      <c r="C715" s="220" t="n"/>
      <c r="D715" s="220" t="n"/>
      <c r="E715" s="220" t="n"/>
      <c r="F715" s="220" t="n"/>
      <c r="G715" s="169">
        <f>IFERROR((D715-F715)/C715*100,"")</f>
        <v/>
      </c>
      <c r="H715" s="219" t="n"/>
      <c r="I715" s="220" t="n"/>
      <c r="J715" s="221">
        <f>IF(COUNTA(A715:F715)=0,"",IF(OR(C715&lt;0,D715&lt;0,E715&lt;0,F715&lt;0),"ERRO: valor negativo",IF(C715&lt;&gt;SUM(D715:F715),"ERRO: categorias diferem dos respondentes",IF(COUNTIFS($A$5:$A$1200,A715,$B$5:$B$1200,B715)&gt;1,"ERRO: período e curso duplicados","OK"))))</f>
        <v/>
      </c>
    </row>
    <row r="716" ht="15" customHeight="1" s="131">
      <c r="A716" s="220" t="n"/>
      <c r="B716" s="222" t="n"/>
      <c r="C716" s="220" t="n"/>
      <c r="D716" s="220" t="n"/>
      <c r="E716" s="220" t="n"/>
      <c r="F716" s="220" t="n"/>
      <c r="G716" s="169">
        <f>IFERROR((D716-F716)/C716*100,"")</f>
        <v/>
      </c>
      <c r="H716" s="219" t="n"/>
      <c r="I716" s="220" t="n"/>
      <c r="J716" s="221">
        <f>IF(COUNTA(A716:F716)=0,"",IF(OR(C716&lt;0,D716&lt;0,E716&lt;0,F716&lt;0),"ERRO: valor negativo",IF(C716&lt;&gt;SUM(D716:F716),"ERRO: categorias diferem dos respondentes",IF(COUNTIFS($A$5:$A$1200,A716,$B$5:$B$1200,B716)&gt;1,"ERRO: período e curso duplicados","OK"))))</f>
        <v/>
      </c>
    </row>
    <row r="717" ht="15" customHeight="1" s="131">
      <c r="A717" s="220" t="n"/>
      <c r="B717" s="222" t="n"/>
      <c r="C717" s="220" t="n"/>
      <c r="D717" s="220" t="n"/>
      <c r="E717" s="220" t="n"/>
      <c r="F717" s="220" t="n"/>
      <c r="G717" s="169">
        <f>IFERROR((D717-F717)/C717*100,"")</f>
        <v/>
      </c>
      <c r="H717" s="219" t="n"/>
      <c r="I717" s="220" t="n"/>
      <c r="J717" s="221">
        <f>IF(COUNTA(A717:F717)=0,"",IF(OR(C717&lt;0,D717&lt;0,E717&lt;0,F717&lt;0),"ERRO: valor negativo",IF(C717&lt;&gt;SUM(D717:F717),"ERRO: categorias diferem dos respondentes",IF(COUNTIFS($A$5:$A$1200,A717,$B$5:$B$1200,B717)&gt;1,"ERRO: período e curso duplicados","OK"))))</f>
        <v/>
      </c>
    </row>
    <row r="718" ht="15" customHeight="1" s="131">
      <c r="A718" s="220" t="n"/>
      <c r="B718" s="222" t="n"/>
      <c r="C718" s="220" t="n"/>
      <c r="D718" s="220" t="n"/>
      <c r="E718" s="220" t="n"/>
      <c r="F718" s="220" t="n"/>
      <c r="G718" s="169">
        <f>IFERROR((D718-F718)/C718*100,"")</f>
        <v/>
      </c>
      <c r="H718" s="219" t="n"/>
      <c r="I718" s="220" t="n"/>
      <c r="J718" s="221">
        <f>IF(COUNTA(A718:F718)=0,"",IF(OR(C718&lt;0,D718&lt;0,E718&lt;0,F718&lt;0),"ERRO: valor negativo",IF(C718&lt;&gt;SUM(D718:F718),"ERRO: categorias diferem dos respondentes",IF(COUNTIFS($A$5:$A$1200,A718,$B$5:$B$1200,B718)&gt;1,"ERRO: período e curso duplicados","OK"))))</f>
        <v/>
      </c>
    </row>
    <row r="719" ht="15" customHeight="1" s="131">
      <c r="A719" s="220" t="n"/>
      <c r="B719" s="222" t="n"/>
      <c r="C719" s="220" t="n"/>
      <c r="D719" s="220" t="n"/>
      <c r="E719" s="220" t="n"/>
      <c r="F719" s="220" t="n"/>
      <c r="G719" s="169">
        <f>IFERROR((D719-F719)/C719*100,"")</f>
        <v/>
      </c>
      <c r="H719" s="219" t="n"/>
      <c r="I719" s="220" t="n"/>
      <c r="J719" s="221">
        <f>IF(COUNTA(A719:F719)=0,"",IF(OR(C719&lt;0,D719&lt;0,E719&lt;0,F719&lt;0),"ERRO: valor negativo",IF(C719&lt;&gt;SUM(D719:F719),"ERRO: categorias diferem dos respondentes",IF(COUNTIFS($A$5:$A$1200,A719,$B$5:$B$1200,B719)&gt;1,"ERRO: período e curso duplicados","OK"))))</f>
        <v/>
      </c>
    </row>
    <row r="720" ht="15" customHeight="1" s="131">
      <c r="A720" s="220" t="n"/>
      <c r="B720" s="222" t="n"/>
      <c r="C720" s="220" t="n"/>
      <c r="D720" s="220" t="n"/>
      <c r="E720" s="220" t="n"/>
      <c r="F720" s="220" t="n"/>
      <c r="G720" s="169">
        <f>IFERROR((D720-F720)/C720*100,"")</f>
        <v/>
      </c>
      <c r="H720" s="219" t="n"/>
      <c r="I720" s="220" t="n"/>
      <c r="J720" s="221">
        <f>IF(COUNTA(A720:F720)=0,"",IF(OR(C720&lt;0,D720&lt;0,E720&lt;0,F720&lt;0),"ERRO: valor negativo",IF(C720&lt;&gt;SUM(D720:F720),"ERRO: categorias diferem dos respondentes",IF(COUNTIFS($A$5:$A$1200,A720,$B$5:$B$1200,B720)&gt;1,"ERRO: período e curso duplicados","OK"))))</f>
        <v/>
      </c>
    </row>
    <row r="721" ht="15" customHeight="1" s="131">
      <c r="A721" s="220" t="n"/>
      <c r="B721" s="222" t="n"/>
      <c r="C721" s="220" t="n"/>
      <c r="D721" s="220" t="n"/>
      <c r="E721" s="220" t="n"/>
      <c r="F721" s="220" t="n"/>
      <c r="G721" s="169">
        <f>IFERROR((D721-F721)/C721*100,"")</f>
        <v/>
      </c>
      <c r="H721" s="219" t="n"/>
      <c r="I721" s="220" t="n"/>
      <c r="J721" s="221">
        <f>IF(COUNTA(A721:F721)=0,"",IF(OR(C721&lt;0,D721&lt;0,E721&lt;0,F721&lt;0),"ERRO: valor negativo",IF(C721&lt;&gt;SUM(D721:F721),"ERRO: categorias diferem dos respondentes",IF(COUNTIFS($A$5:$A$1200,A721,$B$5:$B$1200,B721)&gt;1,"ERRO: período e curso duplicados","OK"))))</f>
        <v/>
      </c>
    </row>
    <row r="722" ht="15" customHeight="1" s="131">
      <c r="A722" s="220" t="n"/>
      <c r="B722" s="222" t="n"/>
      <c r="C722" s="220" t="n"/>
      <c r="D722" s="220" t="n"/>
      <c r="E722" s="220" t="n"/>
      <c r="F722" s="220" t="n"/>
      <c r="G722" s="169">
        <f>IFERROR((D722-F722)/C722*100,"")</f>
        <v/>
      </c>
      <c r="H722" s="219" t="n"/>
      <c r="I722" s="220" t="n"/>
      <c r="J722" s="221">
        <f>IF(COUNTA(A722:F722)=0,"",IF(OR(C722&lt;0,D722&lt;0,E722&lt;0,F722&lt;0),"ERRO: valor negativo",IF(C722&lt;&gt;SUM(D722:F722),"ERRO: categorias diferem dos respondentes",IF(COUNTIFS($A$5:$A$1200,A722,$B$5:$B$1200,B722)&gt;1,"ERRO: período e curso duplicados","OK"))))</f>
        <v/>
      </c>
    </row>
    <row r="723" ht="15" customHeight="1" s="131">
      <c r="A723" s="220" t="n"/>
      <c r="B723" s="222" t="n"/>
      <c r="C723" s="220" t="n"/>
      <c r="D723" s="220" t="n"/>
      <c r="E723" s="220" t="n"/>
      <c r="F723" s="220" t="n"/>
      <c r="G723" s="169">
        <f>IFERROR((D723-F723)/C723*100,"")</f>
        <v/>
      </c>
      <c r="H723" s="219" t="n"/>
      <c r="I723" s="220" t="n"/>
      <c r="J723" s="221">
        <f>IF(COUNTA(A723:F723)=0,"",IF(OR(C723&lt;0,D723&lt;0,E723&lt;0,F723&lt;0),"ERRO: valor negativo",IF(C723&lt;&gt;SUM(D723:F723),"ERRO: categorias diferem dos respondentes",IF(COUNTIFS($A$5:$A$1200,A723,$B$5:$B$1200,B723)&gt;1,"ERRO: período e curso duplicados","OK"))))</f>
        <v/>
      </c>
    </row>
    <row r="724" ht="15" customHeight="1" s="131">
      <c r="A724" s="220" t="n"/>
      <c r="B724" s="222" t="n"/>
      <c r="C724" s="220" t="n"/>
      <c r="D724" s="220" t="n"/>
      <c r="E724" s="220" t="n"/>
      <c r="F724" s="220" t="n"/>
      <c r="G724" s="169">
        <f>IFERROR((D724-F724)/C724*100,"")</f>
        <v/>
      </c>
      <c r="H724" s="219" t="n"/>
      <c r="I724" s="220" t="n"/>
      <c r="J724" s="221">
        <f>IF(COUNTA(A724:F724)=0,"",IF(OR(C724&lt;0,D724&lt;0,E724&lt;0,F724&lt;0),"ERRO: valor negativo",IF(C724&lt;&gt;SUM(D724:F724),"ERRO: categorias diferem dos respondentes",IF(COUNTIFS($A$5:$A$1200,A724,$B$5:$B$1200,B724)&gt;1,"ERRO: período e curso duplicados","OK"))))</f>
        <v/>
      </c>
    </row>
    <row r="725" ht="15" customHeight="1" s="131">
      <c r="A725" s="220" t="n"/>
      <c r="B725" s="222" t="n"/>
      <c r="C725" s="220" t="n"/>
      <c r="D725" s="220" t="n"/>
      <c r="E725" s="220" t="n"/>
      <c r="F725" s="220" t="n"/>
      <c r="G725" s="169">
        <f>IFERROR((D725-F725)/C725*100,"")</f>
        <v/>
      </c>
      <c r="H725" s="219" t="n"/>
      <c r="I725" s="220" t="n"/>
      <c r="J725" s="221">
        <f>IF(COUNTA(A725:F725)=0,"",IF(OR(C725&lt;0,D725&lt;0,E725&lt;0,F725&lt;0),"ERRO: valor negativo",IF(C725&lt;&gt;SUM(D725:F725),"ERRO: categorias diferem dos respondentes",IF(COUNTIFS($A$5:$A$1200,A725,$B$5:$B$1200,B725)&gt;1,"ERRO: período e curso duplicados","OK"))))</f>
        <v/>
      </c>
    </row>
    <row r="726" ht="15" customHeight="1" s="131">
      <c r="A726" s="220" t="n"/>
      <c r="B726" s="222" t="n"/>
      <c r="C726" s="220" t="n"/>
      <c r="D726" s="220" t="n"/>
      <c r="E726" s="220" t="n"/>
      <c r="F726" s="220" t="n"/>
      <c r="G726" s="169">
        <f>IFERROR((D726-F726)/C726*100,"")</f>
        <v/>
      </c>
      <c r="H726" s="219" t="n"/>
      <c r="I726" s="220" t="n"/>
      <c r="J726" s="221">
        <f>IF(COUNTA(A726:F726)=0,"",IF(OR(C726&lt;0,D726&lt;0,E726&lt;0,F726&lt;0),"ERRO: valor negativo",IF(C726&lt;&gt;SUM(D726:F726),"ERRO: categorias diferem dos respondentes",IF(COUNTIFS($A$5:$A$1200,A726,$B$5:$B$1200,B726)&gt;1,"ERRO: período e curso duplicados","OK"))))</f>
        <v/>
      </c>
    </row>
    <row r="727" ht="15" customHeight="1" s="131">
      <c r="A727" s="220" t="n"/>
      <c r="B727" s="222" t="n"/>
      <c r="C727" s="220" t="n"/>
      <c r="D727" s="220" t="n"/>
      <c r="E727" s="220" t="n"/>
      <c r="F727" s="220" t="n"/>
      <c r="G727" s="169">
        <f>IFERROR((D727-F727)/C727*100,"")</f>
        <v/>
      </c>
      <c r="H727" s="219" t="n"/>
      <c r="I727" s="220" t="n"/>
      <c r="J727" s="221">
        <f>IF(COUNTA(A727:F727)=0,"",IF(OR(C727&lt;0,D727&lt;0,E727&lt;0,F727&lt;0),"ERRO: valor negativo",IF(C727&lt;&gt;SUM(D727:F727),"ERRO: categorias diferem dos respondentes",IF(COUNTIFS($A$5:$A$1200,A727,$B$5:$B$1200,B727)&gt;1,"ERRO: período e curso duplicados","OK"))))</f>
        <v/>
      </c>
    </row>
    <row r="728" ht="15" customHeight="1" s="131">
      <c r="A728" s="220" t="n"/>
      <c r="B728" s="222" t="n"/>
      <c r="C728" s="220" t="n"/>
      <c r="D728" s="220" t="n"/>
      <c r="E728" s="220" t="n"/>
      <c r="F728" s="220" t="n"/>
      <c r="G728" s="169">
        <f>IFERROR((D728-F728)/C728*100,"")</f>
        <v/>
      </c>
      <c r="H728" s="219" t="n"/>
      <c r="I728" s="220" t="n"/>
      <c r="J728" s="221">
        <f>IF(COUNTA(A728:F728)=0,"",IF(OR(C728&lt;0,D728&lt;0,E728&lt;0,F728&lt;0),"ERRO: valor negativo",IF(C728&lt;&gt;SUM(D728:F728),"ERRO: categorias diferem dos respondentes",IF(COUNTIFS($A$5:$A$1200,A728,$B$5:$B$1200,B728)&gt;1,"ERRO: período e curso duplicados","OK"))))</f>
        <v/>
      </c>
    </row>
    <row r="729" ht="15" customHeight="1" s="131">
      <c r="A729" s="220" t="n"/>
      <c r="B729" s="222" t="n"/>
      <c r="C729" s="220" t="n"/>
      <c r="D729" s="220" t="n"/>
      <c r="E729" s="220" t="n"/>
      <c r="F729" s="220" t="n"/>
      <c r="G729" s="169">
        <f>IFERROR((D729-F729)/C729*100,"")</f>
        <v/>
      </c>
      <c r="H729" s="219" t="n"/>
      <c r="I729" s="220" t="n"/>
      <c r="J729" s="221">
        <f>IF(COUNTA(A729:F729)=0,"",IF(OR(C729&lt;0,D729&lt;0,E729&lt;0,F729&lt;0),"ERRO: valor negativo",IF(C729&lt;&gt;SUM(D729:F729),"ERRO: categorias diferem dos respondentes",IF(COUNTIFS($A$5:$A$1200,A729,$B$5:$B$1200,B729)&gt;1,"ERRO: período e curso duplicados","OK"))))</f>
        <v/>
      </c>
    </row>
    <row r="730" ht="15" customHeight="1" s="131">
      <c r="A730" s="220" t="n"/>
      <c r="B730" s="222" t="n"/>
      <c r="C730" s="220" t="n"/>
      <c r="D730" s="220" t="n"/>
      <c r="E730" s="220" t="n"/>
      <c r="F730" s="220" t="n"/>
      <c r="G730" s="169">
        <f>IFERROR((D730-F730)/C730*100,"")</f>
        <v/>
      </c>
      <c r="H730" s="219" t="n"/>
      <c r="I730" s="220" t="n"/>
      <c r="J730" s="221">
        <f>IF(COUNTA(A730:F730)=0,"",IF(OR(C730&lt;0,D730&lt;0,E730&lt;0,F730&lt;0),"ERRO: valor negativo",IF(C730&lt;&gt;SUM(D730:F730),"ERRO: categorias diferem dos respondentes",IF(COUNTIFS($A$5:$A$1200,A730,$B$5:$B$1200,B730)&gt;1,"ERRO: período e curso duplicados","OK"))))</f>
        <v/>
      </c>
    </row>
    <row r="731" ht="15" customHeight="1" s="131">
      <c r="A731" s="220" t="n"/>
      <c r="B731" s="222" t="n"/>
      <c r="C731" s="220" t="n"/>
      <c r="D731" s="220" t="n"/>
      <c r="E731" s="220" t="n"/>
      <c r="F731" s="220" t="n"/>
      <c r="G731" s="169">
        <f>IFERROR((D731-F731)/C731*100,"")</f>
        <v/>
      </c>
      <c r="H731" s="219" t="n"/>
      <c r="I731" s="220" t="n"/>
      <c r="J731" s="221">
        <f>IF(COUNTA(A731:F731)=0,"",IF(OR(C731&lt;0,D731&lt;0,E731&lt;0,F731&lt;0),"ERRO: valor negativo",IF(C731&lt;&gt;SUM(D731:F731),"ERRO: categorias diferem dos respondentes",IF(COUNTIFS($A$5:$A$1200,A731,$B$5:$B$1200,B731)&gt;1,"ERRO: período e curso duplicados","OK"))))</f>
        <v/>
      </c>
    </row>
    <row r="732" ht="15" customHeight="1" s="131">
      <c r="A732" s="220" t="n"/>
      <c r="B732" s="222" t="n"/>
      <c r="C732" s="220" t="n"/>
      <c r="D732" s="220" t="n"/>
      <c r="E732" s="220" t="n"/>
      <c r="F732" s="220" t="n"/>
      <c r="G732" s="169">
        <f>IFERROR((D732-F732)/C732*100,"")</f>
        <v/>
      </c>
      <c r="H732" s="219" t="n"/>
      <c r="I732" s="220" t="n"/>
      <c r="J732" s="221">
        <f>IF(COUNTA(A732:F732)=0,"",IF(OR(C732&lt;0,D732&lt;0,E732&lt;0,F732&lt;0),"ERRO: valor negativo",IF(C732&lt;&gt;SUM(D732:F732),"ERRO: categorias diferem dos respondentes",IF(COUNTIFS($A$5:$A$1200,A732,$B$5:$B$1200,B732)&gt;1,"ERRO: período e curso duplicados","OK"))))</f>
        <v/>
      </c>
    </row>
    <row r="733" ht="15" customHeight="1" s="131">
      <c r="A733" s="220" t="n"/>
      <c r="B733" s="222" t="n"/>
      <c r="C733" s="220" t="n"/>
      <c r="D733" s="220" t="n"/>
      <c r="E733" s="220" t="n"/>
      <c r="F733" s="220" t="n"/>
      <c r="G733" s="169">
        <f>IFERROR((D733-F733)/C733*100,"")</f>
        <v/>
      </c>
      <c r="H733" s="219" t="n"/>
      <c r="I733" s="220" t="n"/>
      <c r="J733" s="221">
        <f>IF(COUNTA(A733:F733)=0,"",IF(OR(C733&lt;0,D733&lt;0,E733&lt;0,F733&lt;0),"ERRO: valor negativo",IF(C733&lt;&gt;SUM(D733:F733),"ERRO: categorias diferem dos respondentes",IF(COUNTIFS($A$5:$A$1200,A733,$B$5:$B$1200,B733)&gt;1,"ERRO: período e curso duplicados","OK"))))</f>
        <v/>
      </c>
    </row>
    <row r="734" ht="15" customHeight="1" s="131">
      <c r="A734" s="220" t="n"/>
      <c r="B734" s="222" t="n"/>
      <c r="C734" s="220" t="n"/>
      <c r="D734" s="220" t="n"/>
      <c r="E734" s="220" t="n"/>
      <c r="F734" s="220" t="n"/>
      <c r="G734" s="169">
        <f>IFERROR((D734-F734)/C734*100,"")</f>
        <v/>
      </c>
      <c r="H734" s="219" t="n"/>
      <c r="I734" s="220" t="n"/>
      <c r="J734" s="221">
        <f>IF(COUNTA(A734:F734)=0,"",IF(OR(C734&lt;0,D734&lt;0,E734&lt;0,F734&lt;0),"ERRO: valor negativo",IF(C734&lt;&gt;SUM(D734:F734),"ERRO: categorias diferem dos respondentes",IF(COUNTIFS($A$5:$A$1200,A734,$B$5:$B$1200,B734)&gt;1,"ERRO: período e curso duplicados","OK"))))</f>
        <v/>
      </c>
    </row>
    <row r="735" ht="15" customHeight="1" s="131">
      <c r="A735" s="220" t="n"/>
      <c r="B735" s="222" t="n"/>
      <c r="C735" s="220" t="n"/>
      <c r="D735" s="220" t="n"/>
      <c r="E735" s="220" t="n"/>
      <c r="F735" s="220" t="n"/>
      <c r="G735" s="169">
        <f>IFERROR((D735-F735)/C735*100,"")</f>
        <v/>
      </c>
      <c r="H735" s="219" t="n"/>
      <c r="I735" s="220" t="n"/>
      <c r="J735" s="221">
        <f>IF(COUNTA(A735:F735)=0,"",IF(OR(C735&lt;0,D735&lt;0,E735&lt;0,F735&lt;0),"ERRO: valor negativo",IF(C735&lt;&gt;SUM(D735:F735),"ERRO: categorias diferem dos respondentes",IF(COUNTIFS($A$5:$A$1200,A735,$B$5:$B$1200,B735)&gt;1,"ERRO: período e curso duplicados","OK"))))</f>
        <v/>
      </c>
    </row>
    <row r="736" ht="15" customHeight="1" s="131">
      <c r="A736" s="220" t="n"/>
      <c r="B736" s="222" t="n"/>
      <c r="C736" s="220" t="n"/>
      <c r="D736" s="220" t="n"/>
      <c r="E736" s="220" t="n"/>
      <c r="F736" s="220" t="n"/>
      <c r="G736" s="169">
        <f>IFERROR((D736-F736)/C736*100,"")</f>
        <v/>
      </c>
      <c r="H736" s="219" t="n"/>
      <c r="I736" s="220" t="n"/>
      <c r="J736" s="221">
        <f>IF(COUNTA(A736:F736)=0,"",IF(OR(C736&lt;0,D736&lt;0,E736&lt;0,F736&lt;0),"ERRO: valor negativo",IF(C736&lt;&gt;SUM(D736:F736),"ERRO: categorias diferem dos respondentes",IF(COUNTIFS($A$5:$A$1200,A736,$B$5:$B$1200,B736)&gt;1,"ERRO: período e curso duplicados","OK"))))</f>
        <v/>
      </c>
    </row>
    <row r="737" ht="15" customHeight="1" s="131">
      <c r="A737" s="220" t="n"/>
      <c r="B737" s="222" t="n"/>
      <c r="C737" s="220" t="n"/>
      <c r="D737" s="220" t="n"/>
      <c r="E737" s="220" t="n"/>
      <c r="F737" s="220" t="n"/>
      <c r="G737" s="169">
        <f>IFERROR((D737-F737)/C737*100,"")</f>
        <v/>
      </c>
      <c r="H737" s="219" t="n"/>
      <c r="I737" s="220" t="n"/>
      <c r="J737" s="221">
        <f>IF(COUNTA(A737:F737)=0,"",IF(OR(C737&lt;0,D737&lt;0,E737&lt;0,F737&lt;0),"ERRO: valor negativo",IF(C737&lt;&gt;SUM(D737:F737),"ERRO: categorias diferem dos respondentes",IF(COUNTIFS($A$5:$A$1200,A737,$B$5:$B$1200,B737)&gt;1,"ERRO: período e curso duplicados","OK"))))</f>
        <v/>
      </c>
    </row>
    <row r="738" ht="15" customHeight="1" s="131">
      <c r="A738" s="220" t="n"/>
      <c r="B738" s="222" t="n"/>
      <c r="C738" s="220" t="n"/>
      <c r="D738" s="220" t="n"/>
      <c r="E738" s="220" t="n"/>
      <c r="F738" s="220" t="n"/>
      <c r="G738" s="169">
        <f>IFERROR((D738-F738)/C738*100,"")</f>
        <v/>
      </c>
      <c r="H738" s="219" t="n"/>
      <c r="I738" s="220" t="n"/>
      <c r="J738" s="221">
        <f>IF(COUNTA(A738:F738)=0,"",IF(OR(C738&lt;0,D738&lt;0,E738&lt;0,F738&lt;0),"ERRO: valor negativo",IF(C738&lt;&gt;SUM(D738:F738),"ERRO: categorias diferem dos respondentes",IF(COUNTIFS($A$5:$A$1200,A738,$B$5:$B$1200,B738)&gt;1,"ERRO: período e curso duplicados","OK"))))</f>
        <v/>
      </c>
    </row>
    <row r="739" ht="15" customHeight="1" s="131">
      <c r="A739" s="220" t="n"/>
      <c r="B739" s="222" t="n"/>
      <c r="C739" s="220" t="n"/>
      <c r="D739" s="220" t="n"/>
      <c r="E739" s="220" t="n"/>
      <c r="F739" s="220" t="n"/>
      <c r="G739" s="169">
        <f>IFERROR((D739-F739)/C739*100,"")</f>
        <v/>
      </c>
      <c r="H739" s="219" t="n"/>
      <c r="I739" s="220" t="n"/>
      <c r="J739" s="221">
        <f>IF(COUNTA(A739:F739)=0,"",IF(OR(C739&lt;0,D739&lt;0,E739&lt;0,F739&lt;0),"ERRO: valor negativo",IF(C739&lt;&gt;SUM(D739:F739),"ERRO: categorias diferem dos respondentes",IF(COUNTIFS($A$5:$A$1200,A739,$B$5:$B$1200,B739)&gt;1,"ERRO: período e curso duplicados","OK"))))</f>
        <v/>
      </c>
    </row>
    <row r="740" ht="15" customHeight="1" s="131">
      <c r="A740" s="220" t="n"/>
      <c r="B740" s="222" t="n"/>
      <c r="C740" s="220" t="n"/>
      <c r="D740" s="220" t="n"/>
      <c r="E740" s="220" t="n"/>
      <c r="F740" s="220" t="n"/>
      <c r="G740" s="169">
        <f>IFERROR((D740-F740)/C740*100,"")</f>
        <v/>
      </c>
      <c r="H740" s="219" t="n"/>
      <c r="I740" s="220" t="n"/>
      <c r="J740" s="221">
        <f>IF(COUNTA(A740:F740)=0,"",IF(OR(C740&lt;0,D740&lt;0,E740&lt;0,F740&lt;0),"ERRO: valor negativo",IF(C740&lt;&gt;SUM(D740:F740),"ERRO: categorias diferem dos respondentes",IF(COUNTIFS($A$5:$A$1200,A740,$B$5:$B$1200,B740)&gt;1,"ERRO: período e curso duplicados","OK"))))</f>
        <v/>
      </c>
    </row>
    <row r="741" ht="15" customHeight="1" s="131">
      <c r="A741" s="220" t="n"/>
      <c r="B741" s="222" t="n"/>
      <c r="C741" s="220" t="n"/>
      <c r="D741" s="220" t="n"/>
      <c r="E741" s="220" t="n"/>
      <c r="F741" s="220" t="n"/>
      <c r="G741" s="169">
        <f>IFERROR((D741-F741)/C741*100,"")</f>
        <v/>
      </c>
      <c r="H741" s="219" t="n"/>
      <c r="I741" s="220" t="n"/>
      <c r="J741" s="221">
        <f>IF(COUNTA(A741:F741)=0,"",IF(OR(C741&lt;0,D741&lt;0,E741&lt;0,F741&lt;0),"ERRO: valor negativo",IF(C741&lt;&gt;SUM(D741:F741),"ERRO: categorias diferem dos respondentes",IF(COUNTIFS($A$5:$A$1200,A741,$B$5:$B$1200,B741)&gt;1,"ERRO: período e curso duplicados","OK"))))</f>
        <v/>
      </c>
    </row>
    <row r="742" ht="15" customHeight="1" s="131">
      <c r="A742" s="220" t="n"/>
      <c r="B742" s="222" t="n"/>
      <c r="C742" s="220" t="n"/>
      <c r="D742" s="220" t="n"/>
      <c r="E742" s="220" t="n"/>
      <c r="F742" s="220" t="n"/>
      <c r="G742" s="169">
        <f>IFERROR((D742-F742)/C742*100,"")</f>
        <v/>
      </c>
      <c r="H742" s="219" t="n"/>
      <c r="I742" s="220" t="n"/>
      <c r="J742" s="221">
        <f>IF(COUNTA(A742:F742)=0,"",IF(OR(C742&lt;0,D742&lt;0,E742&lt;0,F742&lt;0),"ERRO: valor negativo",IF(C742&lt;&gt;SUM(D742:F742),"ERRO: categorias diferem dos respondentes",IF(COUNTIFS($A$5:$A$1200,A742,$B$5:$B$1200,B742)&gt;1,"ERRO: período e curso duplicados","OK"))))</f>
        <v/>
      </c>
    </row>
    <row r="743" ht="15" customHeight="1" s="131">
      <c r="A743" s="220" t="n"/>
      <c r="B743" s="222" t="n"/>
      <c r="C743" s="220" t="n"/>
      <c r="D743" s="220" t="n"/>
      <c r="E743" s="220" t="n"/>
      <c r="F743" s="220" t="n"/>
      <c r="G743" s="169">
        <f>IFERROR((D743-F743)/C743*100,"")</f>
        <v/>
      </c>
      <c r="H743" s="219" t="n"/>
      <c r="I743" s="220" t="n"/>
      <c r="J743" s="221">
        <f>IF(COUNTA(A743:F743)=0,"",IF(OR(C743&lt;0,D743&lt;0,E743&lt;0,F743&lt;0),"ERRO: valor negativo",IF(C743&lt;&gt;SUM(D743:F743),"ERRO: categorias diferem dos respondentes",IF(COUNTIFS($A$5:$A$1200,A743,$B$5:$B$1200,B743)&gt;1,"ERRO: período e curso duplicados","OK"))))</f>
        <v/>
      </c>
    </row>
    <row r="744" ht="15" customHeight="1" s="131">
      <c r="A744" s="220" t="n"/>
      <c r="B744" s="222" t="n"/>
      <c r="C744" s="220" t="n"/>
      <c r="D744" s="220" t="n"/>
      <c r="E744" s="220" t="n"/>
      <c r="F744" s="220" t="n"/>
      <c r="G744" s="169">
        <f>IFERROR((D744-F744)/C744*100,"")</f>
        <v/>
      </c>
      <c r="H744" s="219" t="n"/>
      <c r="I744" s="220" t="n"/>
      <c r="J744" s="221">
        <f>IF(COUNTA(A744:F744)=0,"",IF(OR(C744&lt;0,D744&lt;0,E744&lt;0,F744&lt;0),"ERRO: valor negativo",IF(C744&lt;&gt;SUM(D744:F744),"ERRO: categorias diferem dos respondentes",IF(COUNTIFS($A$5:$A$1200,A744,$B$5:$B$1200,B744)&gt;1,"ERRO: período e curso duplicados","OK"))))</f>
        <v/>
      </c>
    </row>
    <row r="745" ht="15" customHeight="1" s="131">
      <c r="A745" s="220" t="n"/>
      <c r="B745" s="222" t="n"/>
      <c r="C745" s="220" t="n"/>
      <c r="D745" s="220" t="n"/>
      <c r="E745" s="220" t="n"/>
      <c r="F745" s="220" t="n"/>
      <c r="G745" s="169">
        <f>IFERROR((D745-F745)/C745*100,"")</f>
        <v/>
      </c>
      <c r="H745" s="219" t="n"/>
      <c r="I745" s="220" t="n"/>
      <c r="J745" s="221">
        <f>IF(COUNTA(A745:F745)=0,"",IF(OR(C745&lt;0,D745&lt;0,E745&lt;0,F745&lt;0),"ERRO: valor negativo",IF(C745&lt;&gt;SUM(D745:F745),"ERRO: categorias diferem dos respondentes",IF(COUNTIFS($A$5:$A$1200,A745,$B$5:$B$1200,B745)&gt;1,"ERRO: período e curso duplicados","OK"))))</f>
        <v/>
      </c>
    </row>
    <row r="746" ht="15" customHeight="1" s="131">
      <c r="A746" s="220" t="n"/>
      <c r="B746" s="222" t="n"/>
      <c r="C746" s="220" t="n"/>
      <c r="D746" s="220" t="n"/>
      <c r="E746" s="220" t="n"/>
      <c r="F746" s="220" t="n"/>
      <c r="G746" s="169">
        <f>IFERROR((D746-F746)/C746*100,"")</f>
        <v/>
      </c>
      <c r="H746" s="219" t="n"/>
      <c r="I746" s="220" t="n"/>
      <c r="J746" s="221">
        <f>IF(COUNTA(A746:F746)=0,"",IF(OR(C746&lt;0,D746&lt;0,E746&lt;0,F746&lt;0),"ERRO: valor negativo",IF(C746&lt;&gt;SUM(D746:F746),"ERRO: categorias diferem dos respondentes",IF(COUNTIFS($A$5:$A$1200,A746,$B$5:$B$1200,B746)&gt;1,"ERRO: período e curso duplicados","OK"))))</f>
        <v/>
      </c>
    </row>
    <row r="747" ht="15" customHeight="1" s="131">
      <c r="A747" s="220" t="n"/>
      <c r="B747" s="222" t="n"/>
      <c r="C747" s="220" t="n"/>
      <c r="D747" s="220" t="n"/>
      <c r="E747" s="220" t="n"/>
      <c r="F747" s="220" t="n"/>
      <c r="G747" s="169">
        <f>IFERROR((D747-F747)/C747*100,"")</f>
        <v/>
      </c>
      <c r="H747" s="219" t="n"/>
      <c r="I747" s="220" t="n"/>
      <c r="J747" s="221">
        <f>IF(COUNTA(A747:F747)=0,"",IF(OR(C747&lt;0,D747&lt;0,E747&lt;0,F747&lt;0),"ERRO: valor negativo",IF(C747&lt;&gt;SUM(D747:F747),"ERRO: categorias diferem dos respondentes",IF(COUNTIFS($A$5:$A$1200,A747,$B$5:$B$1200,B747)&gt;1,"ERRO: período e curso duplicados","OK"))))</f>
        <v/>
      </c>
    </row>
    <row r="748" ht="15" customHeight="1" s="131">
      <c r="A748" s="220" t="n"/>
      <c r="B748" s="222" t="n"/>
      <c r="C748" s="220" t="n"/>
      <c r="D748" s="220" t="n"/>
      <c r="E748" s="220" t="n"/>
      <c r="F748" s="220" t="n"/>
      <c r="G748" s="169">
        <f>IFERROR((D748-F748)/C748*100,"")</f>
        <v/>
      </c>
      <c r="H748" s="219" t="n"/>
      <c r="I748" s="220" t="n"/>
      <c r="J748" s="221">
        <f>IF(COUNTA(A748:F748)=0,"",IF(OR(C748&lt;0,D748&lt;0,E748&lt;0,F748&lt;0),"ERRO: valor negativo",IF(C748&lt;&gt;SUM(D748:F748),"ERRO: categorias diferem dos respondentes",IF(COUNTIFS($A$5:$A$1200,A748,$B$5:$B$1200,B748)&gt;1,"ERRO: período e curso duplicados","OK"))))</f>
        <v/>
      </c>
    </row>
    <row r="749" ht="15" customHeight="1" s="131">
      <c r="A749" s="220" t="n"/>
      <c r="B749" s="222" t="n"/>
      <c r="C749" s="220" t="n"/>
      <c r="D749" s="220" t="n"/>
      <c r="E749" s="220" t="n"/>
      <c r="F749" s="220" t="n"/>
      <c r="G749" s="169">
        <f>IFERROR((D749-F749)/C749*100,"")</f>
        <v/>
      </c>
      <c r="H749" s="219" t="n"/>
      <c r="I749" s="220" t="n"/>
      <c r="J749" s="221">
        <f>IF(COUNTA(A749:F749)=0,"",IF(OR(C749&lt;0,D749&lt;0,E749&lt;0,F749&lt;0),"ERRO: valor negativo",IF(C749&lt;&gt;SUM(D749:F749),"ERRO: categorias diferem dos respondentes",IF(COUNTIFS($A$5:$A$1200,A749,$B$5:$B$1200,B749)&gt;1,"ERRO: período e curso duplicados","OK"))))</f>
        <v/>
      </c>
    </row>
    <row r="750" ht="15" customHeight="1" s="131">
      <c r="A750" s="220" t="n"/>
      <c r="B750" s="222" t="n"/>
      <c r="C750" s="220" t="n"/>
      <c r="D750" s="220" t="n"/>
      <c r="E750" s="220" t="n"/>
      <c r="F750" s="220" t="n"/>
      <c r="G750" s="169">
        <f>IFERROR((D750-F750)/C750*100,"")</f>
        <v/>
      </c>
      <c r="H750" s="219" t="n"/>
      <c r="I750" s="220" t="n"/>
      <c r="J750" s="221">
        <f>IF(COUNTA(A750:F750)=0,"",IF(OR(C750&lt;0,D750&lt;0,E750&lt;0,F750&lt;0),"ERRO: valor negativo",IF(C750&lt;&gt;SUM(D750:F750),"ERRO: categorias diferem dos respondentes",IF(COUNTIFS($A$5:$A$1200,A750,$B$5:$B$1200,B750)&gt;1,"ERRO: período e curso duplicados","OK"))))</f>
        <v/>
      </c>
    </row>
    <row r="751" ht="15" customHeight="1" s="131">
      <c r="A751" s="220" t="n"/>
      <c r="B751" s="222" t="n"/>
      <c r="C751" s="220" t="n"/>
      <c r="D751" s="220" t="n"/>
      <c r="E751" s="220" t="n"/>
      <c r="F751" s="220" t="n"/>
      <c r="G751" s="169">
        <f>IFERROR((D751-F751)/C751*100,"")</f>
        <v/>
      </c>
      <c r="H751" s="219" t="n"/>
      <c r="I751" s="220" t="n"/>
      <c r="J751" s="221">
        <f>IF(COUNTA(A751:F751)=0,"",IF(OR(C751&lt;0,D751&lt;0,E751&lt;0,F751&lt;0),"ERRO: valor negativo",IF(C751&lt;&gt;SUM(D751:F751),"ERRO: categorias diferem dos respondentes",IF(COUNTIFS($A$5:$A$1200,A751,$B$5:$B$1200,B751)&gt;1,"ERRO: período e curso duplicados","OK"))))</f>
        <v/>
      </c>
    </row>
    <row r="752" ht="15" customHeight="1" s="131">
      <c r="A752" s="220" t="n"/>
      <c r="B752" s="222" t="n"/>
      <c r="C752" s="220" t="n"/>
      <c r="D752" s="220" t="n"/>
      <c r="E752" s="220" t="n"/>
      <c r="F752" s="220" t="n"/>
      <c r="G752" s="169">
        <f>IFERROR((D752-F752)/C752*100,"")</f>
        <v/>
      </c>
      <c r="H752" s="219" t="n"/>
      <c r="I752" s="220" t="n"/>
      <c r="J752" s="221">
        <f>IF(COUNTA(A752:F752)=0,"",IF(OR(C752&lt;0,D752&lt;0,E752&lt;0,F752&lt;0),"ERRO: valor negativo",IF(C752&lt;&gt;SUM(D752:F752),"ERRO: categorias diferem dos respondentes",IF(COUNTIFS($A$5:$A$1200,A752,$B$5:$B$1200,B752)&gt;1,"ERRO: período e curso duplicados","OK"))))</f>
        <v/>
      </c>
    </row>
    <row r="753" ht="15" customHeight="1" s="131">
      <c r="A753" s="220" t="n"/>
      <c r="B753" s="222" t="n"/>
      <c r="C753" s="220" t="n"/>
      <c r="D753" s="220" t="n"/>
      <c r="E753" s="220" t="n"/>
      <c r="F753" s="220" t="n"/>
      <c r="G753" s="169">
        <f>IFERROR((D753-F753)/C753*100,"")</f>
        <v/>
      </c>
      <c r="H753" s="219" t="n"/>
      <c r="I753" s="220" t="n"/>
      <c r="J753" s="221">
        <f>IF(COUNTA(A753:F753)=0,"",IF(OR(C753&lt;0,D753&lt;0,E753&lt;0,F753&lt;0),"ERRO: valor negativo",IF(C753&lt;&gt;SUM(D753:F753),"ERRO: categorias diferem dos respondentes",IF(COUNTIFS($A$5:$A$1200,A753,$B$5:$B$1200,B753)&gt;1,"ERRO: período e curso duplicados","OK"))))</f>
        <v/>
      </c>
    </row>
    <row r="754" ht="15" customHeight="1" s="131">
      <c r="A754" s="220" t="n"/>
      <c r="B754" s="222" t="n"/>
      <c r="C754" s="220" t="n"/>
      <c r="D754" s="220" t="n"/>
      <c r="E754" s="220" t="n"/>
      <c r="F754" s="220" t="n"/>
      <c r="G754" s="169">
        <f>IFERROR((D754-F754)/C754*100,"")</f>
        <v/>
      </c>
      <c r="H754" s="219" t="n"/>
      <c r="I754" s="220" t="n"/>
      <c r="J754" s="221">
        <f>IF(COUNTA(A754:F754)=0,"",IF(OR(C754&lt;0,D754&lt;0,E754&lt;0,F754&lt;0),"ERRO: valor negativo",IF(C754&lt;&gt;SUM(D754:F754),"ERRO: categorias diferem dos respondentes",IF(COUNTIFS($A$5:$A$1200,A754,$B$5:$B$1200,B754)&gt;1,"ERRO: período e curso duplicados","OK"))))</f>
        <v/>
      </c>
    </row>
    <row r="755" ht="15" customHeight="1" s="131">
      <c r="A755" s="220" t="n"/>
      <c r="B755" s="222" t="n"/>
      <c r="C755" s="220" t="n"/>
      <c r="D755" s="220" t="n"/>
      <c r="E755" s="220" t="n"/>
      <c r="F755" s="220" t="n"/>
      <c r="G755" s="169">
        <f>IFERROR((D755-F755)/C755*100,"")</f>
        <v/>
      </c>
      <c r="H755" s="219" t="n"/>
      <c r="I755" s="220" t="n"/>
      <c r="J755" s="221">
        <f>IF(COUNTA(A755:F755)=0,"",IF(OR(C755&lt;0,D755&lt;0,E755&lt;0,F755&lt;0),"ERRO: valor negativo",IF(C755&lt;&gt;SUM(D755:F755),"ERRO: categorias diferem dos respondentes",IF(COUNTIFS($A$5:$A$1200,A755,$B$5:$B$1200,B755)&gt;1,"ERRO: período e curso duplicados","OK"))))</f>
        <v/>
      </c>
    </row>
    <row r="756" ht="15" customHeight="1" s="131">
      <c r="A756" s="220" t="n"/>
      <c r="B756" s="222" t="n"/>
      <c r="C756" s="220" t="n"/>
      <c r="D756" s="220" t="n"/>
      <c r="E756" s="220" t="n"/>
      <c r="F756" s="220" t="n"/>
      <c r="G756" s="169">
        <f>IFERROR((D756-F756)/C756*100,"")</f>
        <v/>
      </c>
      <c r="H756" s="219" t="n"/>
      <c r="I756" s="220" t="n"/>
      <c r="J756" s="221">
        <f>IF(COUNTA(A756:F756)=0,"",IF(OR(C756&lt;0,D756&lt;0,E756&lt;0,F756&lt;0),"ERRO: valor negativo",IF(C756&lt;&gt;SUM(D756:F756),"ERRO: categorias diferem dos respondentes",IF(COUNTIFS($A$5:$A$1200,A756,$B$5:$B$1200,B756)&gt;1,"ERRO: período e curso duplicados","OK"))))</f>
        <v/>
      </c>
    </row>
    <row r="757" ht="15" customHeight="1" s="131">
      <c r="A757" s="220" t="n"/>
      <c r="B757" s="222" t="n"/>
      <c r="C757" s="220" t="n"/>
      <c r="D757" s="220" t="n"/>
      <c r="E757" s="220" t="n"/>
      <c r="F757" s="220" t="n"/>
      <c r="G757" s="169">
        <f>IFERROR((D757-F757)/C757*100,"")</f>
        <v/>
      </c>
      <c r="H757" s="219" t="n"/>
      <c r="I757" s="220" t="n"/>
      <c r="J757" s="221">
        <f>IF(COUNTA(A757:F757)=0,"",IF(OR(C757&lt;0,D757&lt;0,E757&lt;0,F757&lt;0),"ERRO: valor negativo",IF(C757&lt;&gt;SUM(D757:F757),"ERRO: categorias diferem dos respondentes",IF(COUNTIFS($A$5:$A$1200,A757,$B$5:$B$1200,B757)&gt;1,"ERRO: período e curso duplicados","OK"))))</f>
        <v/>
      </c>
    </row>
    <row r="758" ht="15" customHeight="1" s="131">
      <c r="A758" s="220" t="n"/>
      <c r="B758" s="222" t="n"/>
      <c r="C758" s="220" t="n"/>
      <c r="D758" s="220" t="n"/>
      <c r="E758" s="220" t="n"/>
      <c r="F758" s="220" t="n"/>
      <c r="G758" s="169">
        <f>IFERROR((D758-F758)/C758*100,"")</f>
        <v/>
      </c>
      <c r="H758" s="219" t="n"/>
      <c r="I758" s="220" t="n"/>
      <c r="J758" s="221">
        <f>IF(COUNTA(A758:F758)=0,"",IF(OR(C758&lt;0,D758&lt;0,E758&lt;0,F758&lt;0),"ERRO: valor negativo",IF(C758&lt;&gt;SUM(D758:F758),"ERRO: categorias diferem dos respondentes",IF(COUNTIFS($A$5:$A$1200,A758,$B$5:$B$1200,B758)&gt;1,"ERRO: período e curso duplicados","OK"))))</f>
        <v/>
      </c>
    </row>
    <row r="759" ht="15" customHeight="1" s="131">
      <c r="A759" s="220" t="n"/>
      <c r="B759" s="222" t="n"/>
      <c r="C759" s="220" t="n"/>
      <c r="D759" s="220" t="n"/>
      <c r="E759" s="220" t="n"/>
      <c r="F759" s="220" t="n"/>
      <c r="G759" s="169">
        <f>IFERROR((D759-F759)/C759*100,"")</f>
        <v/>
      </c>
      <c r="H759" s="219" t="n"/>
      <c r="I759" s="220" t="n"/>
      <c r="J759" s="221">
        <f>IF(COUNTA(A759:F759)=0,"",IF(OR(C759&lt;0,D759&lt;0,E759&lt;0,F759&lt;0),"ERRO: valor negativo",IF(C759&lt;&gt;SUM(D759:F759),"ERRO: categorias diferem dos respondentes",IF(COUNTIFS($A$5:$A$1200,A759,$B$5:$B$1200,B759)&gt;1,"ERRO: período e curso duplicados","OK"))))</f>
        <v/>
      </c>
    </row>
    <row r="760" ht="15" customHeight="1" s="131">
      <c r="A760" s="220" t="n"/>
      <c r="B760" s="222" t="n"/>
      <c r="C760" s="220" t="n"/>
      <c r="D760" s="220" t="n"/>
      <c r="E760" s="220" t="n"/>
      <c r="F760" s="220" t="n"/>
      <c r="G760" s="169">
        <f>IFERROR((D760-F760)/C760*100,"")</f>
        <v/>
      </c>
      <c r="H760" s="219" t="n"/>
      <c r="I760" s="220" t="n"/>
      <c r="J760" s="221">
        <f>IF(COUNTA(A760:F760)=0,"",IF(OR(C760&lt;0,D760&lt;0,E760&lt;0,F760&lt;0),"ERRO: valor negativo",IF(C760&lt;&gt;SUM(D760:F760),"ERRO: categorias diferem dos respondentes",IF(COUNTIFS($A$5:$A$1200,A760,$B$5:$B$1200,B760)&gt;1,"ERRO: período e curso duplicados","OK"))))</f>
        <v/>
      </c>
    </row>
    <row r="761" ht="15" customHeight="1" s="131">
      <c r="A761" s="220" t="n"/>
      <c r="B761" s="222" t="n"/>
      <c r="C761" s="220" t="n"/>
      <c r="D761" s="220" t="n"/>
      <c r="E761" s="220" t="n"/>
      <c r="F761" s="220" t="n"/>
      <c r="G761" s="169">
        <f>IFERROR((D761-F761)/C761*100,"")</f>
        <v/>
      </c>
      <c r="H761" s="219" t="n"/>
      <c r="I761" s="220" t="n"/>
      <c r="J761" s="221">
        <f>IF(COUNTA(A761:F761)=0,"",IF(OR(C761&lt;0,D761&lt;0,E761&lt;0,F761&lt;0),"ERRO: valor negativo",IF(C761&lt;&gt;SUM(D761:F761),"ERRO: categorias diferem dos respondentes",IF(COUNTIFS($A$5:$A$1200,A761,$B$5:$B$1200,B761)&gt;1,"ERRO: período e curso duplicados","OK"))))</f>
        <v/>
      </c>
    </row>
    <row r="762" ht="15" customHeight="1" s="131">
      <c r="A762" s="220" t="n"/>
      <c r="B762" s="222" t="n"/>
      <c r="C762" s="220" t="n"/>
      <c r="D762" s="220" t="n"/>
      <c r="E762" s="220" t="n"/>
      <c r="F762" s="220" t="n"/>
      <c r="G762" s="169">
        <f>IFERROR((D762-F762)/C762*100,"")</f>
        <v/>
      </c>
      <c r="H762" s="219" t="n"/>
      <c r="I762" s="220" t="n"/>
      <c r="J762" s="221">
        <f>IF(COUNTA(A762:F762)=0,"",IF(OR(C762&lt;0,D762&lt;0,E762&lt;0,F762&lt;0),"ERRO: valor negativo",IF(C762&lt;&gt;SUM(D762:F762),"ERRO: categorias diferem dos respondentes",IF(COUNTIFS($A$5:$A$1200,A762,$B$5:$B$1200,B762)&gt;1,"ERRO: período e curso duplicados","OK"))))</f>
        <v/>
      </c>
    </row>
    <row r="763" ht="15" customHeight="1" s="131">
      <c r="A763" s="220" t="n"/>
      <c r="B763" s="222" t="n"/>
      <c r="C763" s="220" t="n"/>
      <c r="D763" s="220" t="n"/>
      <c r="E763" s="220" t="n"/>
      <c r="F763" s="220" t="n"/>
      <c r="G763" s="169">
        <f>IFERROR((D763-F763)/C763*100,"")</f>
        <v/>
      </c>
      <c r="H763" s="219" t="n"/>
      <c r="I763" s="220" t="n"/>
      <c r="J763" s="221">
        <f>IF(COUNTA(A763:F763)=0,"",IF(OR(C763&lt;0,D763&lt;0,E763&lt;0,F763&lt;0),"ERRO: valor negativo",IF(C763&lt;&gt;SUM(D763:F763),"ERRO: categorias diferem dos respondentes",IF(COUNTIFS($A$5:$A$1200,A763,$B$5:$B$1200,B763)&gt;1,"ERRO: período e curso duplicados","OK"))))</f>
        <v/>
      </c>
    </row>
    <row r="764" ht="15" customHeight="1" s="131">
      <c r="A764" s="220" t="n"/>
      <c r="B764" s="222" t="n"/>
      <c r="C764" s="220" t="n"/>
      <c r="D764" s="220" t="n"/>
      <c r="E764" s="220" t="n"/>
      <c r="F764" s="220" t="n"/>
      <c r="G764" s="169">
        <f>IFERROR((D764-F764)/C764*100,"")</f>
        <v/>
      </c>
      <c r="H764" s="219" t="n"/>
      <c r="I764" s="220" t="n"/>
      <c r="J764" s="221">
        <f>IF(COUNTA(A764:F764)=0,"",IF(OR(C764&lt;0,D764&lt;0,E764&lt;0,F764&lt;0),"ERRO: valor negativo",IF(C764&lt;&gt;SUM(D764:F764),"ERRO: categorias diferem dos respondentes",IF(COUNTIFS($A$5:$A$1200,A764,$B$5:$B$1200,B764)&gt;1,"ERRO: período e curso duplicados","OK"))))</f>
        <v/>
      </c>
    </row>
    <row r="765" ht="15" customHeight="1" s="131">
      <c r="A765" s="220" t="n"/>
      <c r="B765" s="222" t="n"/>
      <c r="C765" s="220" t="n"/>
      <c r="D765" s="220" t="n"/>
      <c r="E765" s="220" t="n"/>
      <c r="F765" s="220" t="n"/>
      <c r="G765" s="169">
        <f>IFERROR((D765-F765)/C765*100,"")</f>
        <v/>
      </c>
      <c r="H765" s="219" t="n"/>
      <c r="I765" s="220" t="n"/>
      <c r="J765" s="221">
        <f>IF(COUNTA(A765:F765)=0,"",IF(OR(C765&lt;0,D765&lt;0,E765&lt;0,F765&lt;0),"ERRO: valor negativo",IF(C765&lt;&gt;SUM(D765:F765),"ERRO: categorias diferem dos respondentes",IF(COUNTIFS($A$5:$A$1200,A765,$B$5:$B$1200,B765)&gt;1,"ERRO: período e curso duplicados","OK"))))</f>
        <v/>
      </c>
    </row>
    <row r="766" ht="15" customHeight="1" s="131">
      <c r="A766" s="220" t="n"/>
      <c r="B766" s="222" t="n"/>
      <c r="C766" s="220" t="n"/>
      <c r="D766" s="220" t="n"/>
      <c r="E766" s="220" t="n"/>
      <c r="F766" s="220" t="n"/>
      <c r="G766" s="169">
        <f>IFERROR((D766-F766)/C766*100,"")</f>
        <v/>
      </c>
      <c r="H766" s="219" t="n"/>
      <c r="I766" s="220" t="n"/>
      <c r="J766" s="221">
        <f>IF(COUNTA(A766:F766)=0,"",IF(OR(C766&lt;0,D766&lt;0,E766&lt;0,F766&lt;0),"ERRO: valor negativo",IF(C766&lt;&gt;SUM(D766:F766),"ERRO: categorias diferem dos respondentes",IF(COUNTIFS($A$5:$A$1200,A766,$B$5:$B$1200,B766)&gt;1,"ERRO: período e curso duplicados","OK"))))</f>
        <v/>
      </c>
    </row>
    <row r="767" ht="15" customHeight="1" s="131">
      <c r="A767" s="220" t="n"/>
      <c r="B767" s="222" t="n"/>
      <c r="C767" s="220" t="n"/>
      <c r="D767" s="220" t="n"/>
      <c r="E767" s="220" t="n"/>
      <c r="F767" s="220" t="n"/>
      <c r="G767" s="169">
        <f>IFERROR((D767-F767)/C767*100,"")</f>
        <v/>
      </c>
      <c r="H767" s="219" t="n"/>
      <c r="I767" s="220" t="n"/>
      <c r="J767" s="221">
        <f>IF(COUNTA(A767:F767)=0,"",IF(OR(C767&lt;0,D767&lt;0,E767&lt;0,F767&lt;0),"ERRO: valor negativo",IF(C767&lt;&gt;SUM(D767:F767),"ERRO: categorias diferem dos respondentes",IF(COUNTIFS($A$5:$A$1200,A767,$B$5:$B$1200,B767)&gt;1,"ERRO: período e curso duplicados","OK"))))</f>
        <v/>
      </c>
    </row>
    <row r="768" ht="15" customHeight="1" s="131">
      <c r="A768" s="220" t="n"/>
      <c r="B768" s="222" t="n"/>
      <c r="C768" s="220" t="n"/>
      <c r="D768" s="220" t="n"/>
      <c r="E768" s="220" t="n"/>
      <c r="F768" s="220" t="n"/>
      <c r="G768" s="169">
        <f>IFERROR((D768-F768)/C768*100,"")</f>
        <v/>
      </c>
      <c r="H768" s="219" t="n"/>
      <c r="I768" s="220" t="n"/>
      <c r="J768" s="221">
        <f>IF(COUNTA(A768:F768)=0,"",IF(OR(C768&lt;0,D768&lt;0,E768&lt;0,F768&lt;0),"ERRO: valor negativo",IF(C768&lt;&gt;SUM(D768:F768),"ERRO: categorias diferem dos respondentes",IF(COUNTIFS($A$5:$A$1200,A768,$B$5:$B$1200,B768)&gt;1,"ERRO: período e curso duplicados","OK"))))</f>
        <v/>
      </c>
    </row>
    <row r="769" ht="15" customHeight="1" s="131">
      <c r="A769" s="220" t="n"/>
      <c r="B769" s="222" t="n"/>
      <c r="C769" s="220" t="n"/>
      <c r="D769" s="220" t="n"/>
      <c r="E769" s="220" t="n"/>
      <c r="F769" s="220" t="n"/>
      <c r="G769" s="169">
        <f>IFERROR((D769-F769)/C769*100,"")</f>
        <v/>
      </c>
      <c r="H769" s="219" t="n"/>
      <c r="I769" s="220" t="n"/>
      <c r="J769" s="221">
        <f>IF(COUNTA(A769:F769)=0,"",IF(OR(C769&lt;0,D769&lt;0,E769&lt;0,F769&lt;0),"ERRO: valor negativo",IF(C769&lt;&gt;SUM(D769:F769),"ERRO: categorias diferem dos respondentes",IF(COUNTIFS($A$5:$A$1200,A769,$B$5:$B$1200,B769)&gt;1,"ERRO: período e curso duplicados","OK"))))</f>
        <v/>
      </c>
    </row>
    <row r="770" ht="15" customHeight="1" s="131">
      <c r="A770" s="220" t="n"/>
      <c r="B770" s="222" t="n"/>
      <c r="C770" s="220" t="n"/>
      <c r="D770" s="220" t="n"/>
      <c r="E770" s="220" t="n"/>
      <c r="F770" s="220" t="n"/>
      <c r="G770" s="169">
        <f>IFERROR((D770-F770)/C770*100,"")</f>
        <v/>
      </c>
      <c r="H770" s="219" t="n"/>
      <c r="I770" s="220" t="n"/>
      <c r="J770" s="221">
        <f>IF(COUNTA(A770:F770)=0,"",IF(OR(C770&lt;0,D770&lt;0,E770&lt;0,F770&lt;0),"ERRO: valor negativo",IF(C770&lt;&gt;SUM(D770:F770),"ERRO: categorias diferem dos respondentes",IF(COUNTIFS($A$5:$A$1200,A770,$B$5:$B$1200,B770)&gt;1,"ERRO: período e curso duplicados","OK"))))</f>
        <v/>
      </c>
    </row>
    <row r="771" ht="15" customHeight="1" s="131">
      <c r="A771" s="220" t="n"/>
      <c r="B771" s="222" t="n"/>
      <c r="C771" s="220" t="n"/>
      <c r="D771" s="220" t="n"/>
      <c r="E771" s="220" t="n"/>
      <c r="F771" s="220" t="n"/>
      <c r="G771" s="169">
        <f>IFERROR((D771-F771)/C771*100,"")</f>
        <v/>
      </c>
      <c r="H771" s="219" t="n"/>
      <c r="I771" s="220" t="n"/>
      <c r="J771" s="221">
        <f>IF(COUNTA(A771:F771)=0,"",IF(OR(C771&lt;0,D771&lt;0,E771&lt;0,F771&lt;0),"ERRO: valor negativo",IF(C771&lt;&gt;SUM(D771:F771),"ERRO: categorias diferem dos respondentes",IF(COUNTIFS($A$5:$A$1200,A771,$B$5:$B$1200,B771)&gt;1,"ERRO: período e curso duplicados","OK"))))</f>
        <v/>
      </c>
    </row>
    <row r="772" ht="15" customHeight="1" s="131">
      <c r="A772" s="220" t="n"/>
      <c r="B772" s="222" t="n"/>
      <c r="C772" s="220" t="n"/>
      <c r="D772" s="220" t="n"/>
      <c r="E772" s="220" t="n"/>
      <c r="F772" s="220" t="n"/>
      <c r="G772" s="169">
        <f>IFERROR((D772-F772)/C772*100,"")</f>
        <v/>
      </c>
      <c r="H772" s="219" t="n"/>
      <c r="I772" s="220" t="n"/>
      <c r="J772" s="221">
        <f>IF(COUNTA(A772:F772)=0,"",IF(OR(C772&lt;0,D772&lt;0,E772&lt;0,F772&lt;0),"ERRO: valor negativo",IF(C772&lt;&gt;SUM(D772:F772),"ERRO: categorias diferem dos respondentes",IF(COUNTIFS($A$5:$A$1200,A772,$B$5:$B$1200,B772)&gt;1,"ERRO: período e curso duplicados","OK"))))</f>
        <v/>
      </c>
    </row>
    <row r="773" ht="15" customHeight="1" s="131">
      <c r="A773" s="220" t="n"/>
      <c r="B773" s="222" t="n"/>
      <c r="C773" s="220" t="n"/>
      <c r="D773" s="220" t="n"/>
      <c r="E773" s="220" t="n"/>
      <c r="F773" s="220" t="n"/>
      <c r="G773" s="169">
        <f>IFERROR((D773-F773)/C773*100,"")</f>
        <v/>
      </c>
      <c r="H773" s="219" t="n"/>
      <c r="I773" s="220" t="n"/>
      <c r="J773" s="221">
        <f>IF(COUNTA(A773:F773)=0,"",IF(OR(C773&lt;0,D773&lt;0,E773&lt;0,F773&lt;0),"ERRO: valor negativo",IF(C773&lt;&gt;SUM(D773:F773),"ERRO: categorias diferem dos respondentes",IF(COUNTIFS($A$5:$A$1200,A773,$B$5:$B$1200,B773)&gt;1,"ERRO: período e curso duplicados","OK"))))</f>
        <v/>
      </c>
    </row>
    <row r="774" ht="15" customHeight="1" s="131">
      <c r="A774" s="220" t="n"/>
      <c r="B774" s="222" t="n"/>
      <c r="C774" s="220" t="n"/>
      <c r="D774" s="220" t="n"/>
      <c r="E774" s="220" t="n"/>
      <c r="F774" s="220" t="n"/>
      <c r="G774" s="169">
        <f>IFERROR((D774-F774)/C774*100,"")</f>
        <v/>
      </c>
      <c r="H774" s="219" t="n"/>
      <c r="I774" s="220" t="n"/>
      <c r="J774" s="221">
        <f>IF(COUNTA(A774:F774)=0,"",IF(OR(C774&lt;0,D774&lt;0,E774&lt;0,F774&lt;0),"ERRO: valor negativo",IF(C774&lt;&gt;SUM(D774:F774),"ERRO: categorias diferem dos respondentes",IF(COUNTIFS($A$5:$A$1200,A774,$B$5:$B$1200,B774)&gt;1,"ERRO: período e curso duplicados","OK"))))</f>
        <v/>
      </c>
    </row>
    <row r="775" ht="15" customHeight="1" s="131">
      <c r="A775" s="220" t="n"/>
      <c r="B775" s="222" t="n"/>
      <c r="C775" s="220" t="n"/>
      <c r="D775" s="220" t="n"/>
      <c r="E775" s="220" t="n"/>
      <c r="F775" s="220" t="n"/>
      <c r="G775" s="169">
        <f>IFERROR((D775-F775)/C775*100,"")</f>
        <v/>
      </c>
      <c r="H775" s="219" t="n"/>
      <c r="I775" s="220" t="n"/>
      <c r="J775" s="221">
        <f>IF(COUNTA(A775:F775)=0,"",IF(OR(C775&lt;0,D775&lt;0,E775&lt;0,F775&lt;0),"ERRO: valor negativo",IF(C775&lt;&gt;SUM(D775:F775),"ERRO: categorias diferem dos respondentes",IF(COUNTIFS($A$5:$A$1200,A775,$B$5:$B$1200,B775)&gt;1,"ERRO: período e curso duplicados","OK"))))</f>
        <v/>
      </c>
    </row>
    <row r="776" ht="15" customHeight="1" s="131">
      <c r="A776" s="220" t="n"/>
      <c r="B776" s="222" t="n"/>
      <c r="C776" s="220" t="n"/>
      <c r="D776" s="220" t="n"/>
      <c r="E776" s="220" t="n"/>
      <c r="F776" s="220" t="n"/>
      <c r="G776" s="169">
        <f>IFERROR((D776-F776)/C776*100,"")</f>
        <v/>
      </c>
      <c r="H776" s="219" t="n"/>
      <c r="I776" s="220" t="n"/>
      <c r="J776" s="221">
        <f>IF(COUNTA(A776:F776)=0,"",IF(OR(C776&lt;0,D776&lt;0,E776&lt;0,F776&lt;0),"ERRO: valor negativo",IF(C776&lt;&gt;SUM(D776:F776),"ERRO: categorias diferem dos respondentes",IF(COUNTIFS($A$5:$A$1200,A776,$B$5:$B$1200,B776)&gt;1,"ERRO: período e curso duplicados","OK"))))</f>
        <v/>
      </c>
    </row>
    <row r="777" ht="15" customHeight="1" s="131">
      <c r="A777" s="220" t="n"/>
      <c r="B777" s="222" t="n"/>
      <c r="C777" s="220" t="n"/>
      <c r="D777" s="220" t="n"/>
      <c r="E777" s="220" t="n"/>
      <c r="F777" s="220" t="n"/>
      <c r="G777" s="169">
        <f>IFERROR((D777-F777)/C777*100,"")</f>
        <v/>
      </c>
      <c r="H777" s="219" t="n"/>
      <c r="I777" s="220" t="n"/>
      <c r="J777" s="221">
        <f>IF(COUNTA(A777:F777)=0,"",IF(OR(C777&lt;0,D777&lt;0,E777&lt;0,F777&lt;0),"ERRO: valor negativo",IF(C777&lt;&gt;SUM(D777:F777),"ERRO: categorias diferem dos respondentes",IF(COUNTIFS($A$5:$A$1200,A777,$B$5:$B$1200,B777)&gt;1,"ERRO: período e curso duplicados","OK"))))</f>
        <v/>
      </c>
    </row>
    <row r="778" ht="15" customHeight="1" s="131">
      <c r="A778" s="220" t="n"/>
      <c r="B778" s="222" t="n"/>
      <c r="C778" s="220" t="n"/>
      <c r="D778" s="220" t="n"/>
      <c r="E778" s="220" t="n"/>
      <c r="F778" s="220" t="n"/>
      <c r="G778" s="169">
        <f>IFERROR((D778-F778)/C778*100,"")</f>
        <v/>
      </c>
      <c r="H778" s="219" t="n"/>
      <c r="I778" s="220" t="n"/>
      <c r="J778" s="221">
        <f>IF(COUNTA(A778:F778)=0,"",IF(OR(C778&lt;0,D778&lt;0,E778&lt;0,F778&lt;0),"ERRO: valor negativo",IF(C778&lt;&gt;SUM(D778:F778),"ERRO: categorias diferem dos respondentes",IF(COUNTIFS($A$5:$A$1200,A778,$B$5:$B$1200,B778)&gt;1,"ERRO: período e curso duplicados","OK"))))</f>
        <v/>
      </c>
    </row>
    <row r="779" ht="15" customHeight="1" s="131">
      <c r="A779" s="220" t="n"/>
      <c r="B779" s="222" t="n"/>
      <c r="C779" s="220" t="n"/>
      <c r="D779" s="220" t="n"/>
      <c r="E779" s="220" t="n"/>
      <c r="F779" s="220" t="n"/>
      <c r="G779" s="169">
        <f>IFERROR((D779-F779)/C779*100,"")</f>
        <v/>
      </c>
      <c r="H779" s="219" t="n"/>
      <c r="I779" s="220" t="n"/>
      <c r="J779" s="221">
        <f>IF(COUNTA(A779:F779)=0,"",IF(OR(C779&lt;0,D779&lt;0,E779&lt;0,F779&lt;0),"ERRO: valor negativo",IF(C779&lt;&gt;SUM(D779:F779),"ERRO: categorias diferem dos respondentes",IF(COUNTIFS($A$5:$A$1200,A779,$B$5:$B$1200,B779)&gt;1,"ERRO: período e curso duplicados","OK"))))</f>
        <v/>
      </c>
    </row>
    <row r="780" ht="15" customHeight="1" s="131">
      <c r="A780" s="220" t="n"/>
      <c r="B780" s="222" t="n"/>
      <c r="C780" s="220" t="n"/>
      <c r="D780" s="220" t="n"/>
      <c r="E780" s="220" t="n"/>
      <c r="F780" s="220" t="n"/>
      <c r="G780" s="169">
        <f>IFERROR((D780-F780)/C780*100,"")</f>
        <v/>
      </c>
      <c r="H780" s="219" t="n"/>
      <c r="I780" s="220" t="n"/>
      <c r="J780" s="221">
        <f>IF(COUNTA(A780:F780)=0,"",IF(OR(C780&lt;0,D780&lt;0,E780&lt;0,F780&lt;0),"ERRO: valor negativo",IF(C780&lt;&gt;SUM(D780:F780),"ERRO: categorias diferem dos respondentes",IF(COUNTIFS($A$5:$A$1200,A780,$B$5:$B$1200,B780)&gt;1,"ERRO: período e curso duplicados","OK"))))</f>
        <v/>
      </c>
    </row>
    <row r="781" ht="15" customHeight="1" s="131">
      <c r="A781" s="220" t="n"/>
      <c r="B781" s="222" t="n"/>
      <c r="C781" s="220" t="n"/>
      <c r="D781" s="220" t="n"/>
      <c r="E781" s="220" t="n"/>
      <c r="F781" s="220" t="n"/>
      <c r="G781" s="169">
        <f>IFERROR((D781-F781)/C781*100,"")</f>
        <v/>
      </c>
      <c r="H781" s="219" t="n"/>
      <c r="I781" s="220" t="n"/>
      <c r="J781" s="221">
        <f>IF(COUNTA(A781:F781)=0,"",IF(OR(C781&lt;0,D781&lt;0,E781&lt;0,F781&lt;0),"ERRO: valor negativo",IF(C781&lt;&gt;SUM(D781:F781),"ERRO: categorias diferem dos respondentes",IF(COUNTIFS($A$5:$A$1200,A781,$B$5:$B$1200,B781)&gt;1,"ERRO: período e curso duplicados","OK"))))</f>
        <v/>
      </c>
    </row>
    <row r="782" ht="15" customHeight="1" s="131">
      <c r="A782" s="220" t="n"/>
      <c r="B782" s="222" t="n"/>
      <c r="C782" s="220" t="n"/>
      <c r="D782" s="220" t="n"/>
      <c r="E782" s="220" t="n"/>
      <c r="F782" s="220" t="n"/>
      <c r="G782" s="169">
        <f>IFERROR((D782-F782)/C782*100,"")</f>
        <v/>
      </c>
      <c r="H782" s="219" t="n"/>
      <c r="I782" s="220" t="n"/>
      <c r="J782" s="221">
        <f>IF(COUNTA(A782:F782)=0,"",IF(OR(C782&lt;0,D782&lt;0,E782&lt;0,F782&lt;0),"ERRO: valor negativo",IF(C782&lt;&gt;SUM(D782:F782),"ERRO: categorias diferem dos respondentes",IF(COUNTIFS($A$5:$A$1200,A782,$B$5:$B$1200,B782)&gt;1,"ERRO: período e curso duplicados","OK"))))</f>
        <v/>
      </c>
    </row>
    <row r="783" ht="15" customHeight="1" s="131">
      <c r="A783" s="220" t="n"/>
      <c r="B783" s="222" t="n"/>
      <c r="C783" s="220" t="n"/>
      <c r="D783" s="220" t="n"/>
      <c r="E783" s="220" t="n"/>
      <c r="F783" s="220" t="n"/>
      <c r="G783" s="169">
        <f>IFERROR((D783-F783)/C783*100,"")</f>
        <v/>
      </c>
      <c r="H783" s="219" t="n"/>
      <c r="I783" s="220" t="n"/>
      <c r="J783" s="221">
        <f>IF(COUNTA(A783:F783)=0,"",IF(OR(C783&lt;0,D783&lt;0,E783&lt;0,F783&lt;0),"ERRO: valor negativo",IF(C783&lt;&gt;SUM(D783:F783),"ERRO: categorias diferem dos respondentes",IF(COUNTIFS($A$5:$A$1200,A783,$B$5:$B$1200,B783)&gt;1,"ERRO: período e curso duplicados","OK"))))</f>
        <v/>
      </c>
    </row>
    <row r="784" ht="15" customHeight="1" s="131">
      <c r="A784" s="220" t="n"/>
      <c r="B784" s="222" t="n"/>
      <c r="C784" s="220" t="n"/>
      <c r="D784" s="220" t="n"/>
      <c r="E784" s="220" t="n"/>
      <c r="F784" s="220" t="n"/>
      <c r="G784" s="169">
        <f>IFERROR((D784-F784)/C784*100,"")</f>
        <v/>
      </c>
      <c r="H784" s="219" t="n"/>
      <c r="I784" s="220" t="n"/>
      <c r="J784" s="221">
        <f>IF(COUNTA(A784:F784)=0,"",IF(OR(C784&lt;0,D784&lt;0,E784&lt;0,F784&lt;0),"ERRO: valor negativo",IF(C784&lt;&gt;SUM(D784:F784),"ERRO: categorias diferem dos respondentes",IF(COUNTIFS($A$5:$A$1200,A784,$B$5:$B$1200,B784)&gt;1,"ERRO: período e curso duplicados","OK"))))</f>
        <v/>
      </c>
    </row>
    <row r="785" ht="15" customHeight="1" s="131">
      <c r="A785" s="220" t="n"/>
      <c r="B785" s="222" t="n"/>
      <c r="C785" s="220" t="n"/>
      <c r="D785" s="220" t="n"/>
      <c r="E785" s="220" t="n"/>
      <c r="F785" s="220" t="n"/>
      <c r="G785" s="169">
        <f>IFERROR((D785-F785)/C785*100,"")</f>
        <v/>
      </c>
      <c r="H785" s="219" t="n"/>
      <c r="I785" s="220" t="n"/>
      <c r="J785" s="221">
        <f>IF(COUNTA(A785:F785)=0,"",IF(OR(C785&lt;0,D785&lt;0,E785&lt;0,F785&lt;0),"ERRO: valor negativo",IF(C785&lt;&gt;SUM(D785:F785),"ERRO: categorias diferem dos respondentes",IF(COUNTIFS($A$5:$A$1200,A785,$B$5:$B$1200,B785)&gt;1,"ERRO: período e curso duplicados","OK"))))</f>
        <v/>
      </c>
    </row>
    <row r="786" ht="15" customHeight="1" s="131">
      <c r="A786" s="220" t="n"/>
      <c r="B786" s="222" t="n"/>
      <c r="C786" s="220" t="n"/>
      <c r="D786" s="220" t="n"/>
      <c r="E786" s="220" t="n"/>
      <c r="F786" s="220" t="n"/>
      <c r="G786" s="169">
        <f>IFERROR((D786-F786)/C786*100,"")</f>
        <v/>
      </c>
      <c r="H786" s="219" t="n"/>
      <c r="I786" s="220" t="n"/>
      <c r="J786" s="221">
        <f>IF(COUNTA(A786:F786)=0,"",IF(OR(C786&lt;0,D786&lt;0,E786&lt;0,F786&lt;0),"ERRO: valor negativo",IF(C786&lt;&gt;SUM(D786:F786),"ERRO: categorias diferem dos respondentes",IF(COUNTIFS($A$5:$A$1200,A786,$B$5:$B$1200,B786)&gt;1,"ERRO: período e curso duplicados","OK"))))</f>
        <v/>
      </c>
    </row>
    <row r="787" ht="15" customHeight="1" s="131">
      <c r="A787" s="220" t="n"/>
      <c r="B787" s="222" t="n"/>
      <c r="C787" s="220" t="n"/>
      <c r="D787" s="220" t="n"/>
      <c r="E787" s="220" t="n"/>
      <c r="F787" s="220" t="n"/>
      <c r="G787" s="169">
        <f>IFERROR((D787-F787)/C787*100,"")</f>
        <v/>
      </c>
      <c r="H787" s="219" t="n"/>
      <c r="I787" s="220" t="n"/>
      <c r="J787" s="221">
        <f>IF(COUNTA(A787:F787)=0,"",IF(OR(C787&lt;0,D787&lt;0,E787&lt;0,F787&lt;0),"ERRO: valor negativo",IF(C787&lt;&gt;SUM(D787:F787),"ERRO: categorias diferem dos respondentes",IF(COUNTIFS($A$5:$A$1200,A787,$B$5:$B$1200,B787)&gt;1,"ERRO: período e curso duplicados","OK"))))</f>
        <v/>
      </c>
    </row>
    <row r="788" ht="15" customHeight="1" s="131">
      <c r="A788" s="220" t="n"/>
      <c r="B788" s="222" t="n"/>
      <c r="C788" s="220" t="n"/>
      <c r="D788" s="220" t="n"/>
      <c r="E788" s="220" t="n"/>
      <c r="F788" s="220" t="n"/>
      <c r="G788" s="169">
        <f>IFERROR((D788-F788)/C788*100,"")</f>
        <v/>
      </c>
      <c r="H788" s="219" t="n"/>
      <c r="I788" s="220" t="n"/>
      <c r="J788" s="221">
        <f>IF(COUNTA(A788:F788)=0,"",IF(OR(C788&lt;0,D788&lt;0,E788&lt;0,F788&lt;0),"ERRO: valor negativo",IF(C788&lt;&gt;SUM(D788:F788),"ERRO: categorias diferem dos respondentes",IF(COUNTIFS($A$5:$A$1200,A788,$B$5:$B$1200,B788)&gt;1,"ERRO: período e curso duplicados","OK"))))</f>
        <v/>
      </c>
    </row>
    <row r="789" ht="15" customHeight="1" s="131">
      <c r="A789" s="220" t="n"/>
      <c r="B789" s="222" t="n"/>
      <c r="C789" s="220" t="n"/>
      <c r="D789" s="220" t="n"/>
      <c r="E789" s="220" t="n"/>
      <c r="F789" s="220" t="n"/>
      <c r="G789" s="169">
        <f>IFERROR((D789-F789)/C789*100,"")</f>
        <v/>
      </c>
      <c r="H789" s="219" t="n"/>
      <c r="I789" s="220" t="n"/>
      <c r="J789" s="221">
        <f>IF(COUNTA(A789:F789)=0,"",IF(OR(C789&lt;0,D789&lt;0,E789&lt;0,F789&lt;0),"ERRO: valor negativo",IF(C789&lt;&gt;SUM(D789:F789),"ERRO: categorias diferem dos respondentes",IF(COUNTIFS($A$5:$A$1200,A789,$B$5:$B$1200,B789)&gt;1,"ERRO: período e curso duplicados","OK"))))</f>
        <v/>
      </c>
    </row>
    <row r="790" ht="15" customHeight="1" s="131">
      <c r="A790" s="220" t="n"/>
      <c r="B790" s="222" t="n"/>
      <c r="C790" s="220" t="n"/>
      <c r="D790" s="220" t="n"/>
      <c r="E790" s="220" t="n"/>
      <c r="F790" s="220" t="n"/>
      <c r="G790" s="169">
        <f>IFERROR((D790-F790)/C790*100,"")</f>
        <v/>
      </c>
      <c r="H790" s="219" t="n"/>
      <c r="I790" s="220" t="n"/>
      <c r="J790" s="221">
        <f>IF(COUNTA(A790:F790)=0,"",IF(OR(C790&lt;0,D790&lt;0,E790&lt;0,F790&lt;0),"ERRO: valor negativo",IF(C790&lt;&gt;SUM(D790:F790),"ERRO: categorias diferem dos respondentes",IF(COUNTIFS($A$5:$A$1200,A790,$B$5:$B$1200,B790)&gt;1,"ERRO: período e curso duplicados","OK"))))</f>
        <v/>
      </c>
    </row>
    <row r="791" ht="15" customHeight="1" s="131">
      <c r="A791" s="220" t="n"/>
      <c r="B791" s="222" t="n"/>
      <c r="C791" s="220" t="n"/>
      <c r="D791" s="220" t="n"/>
      <c r="E791" s="220" t="n"/>
      <c r="F791" s="220" t="n"/>
      <c r="G791" s="169">
        <f>IFERROR((D791-F791)/C791*100,"")</f>
        <v/>
      </c>
      <c r="H791" s="219" t="n"/>
      <c r="I791" s="220" t="n"/>
      <c r="J791" s="221">
        <f>IF(COUNTA(A791:F791)=0,"",IF(OR(C791&lt;0,D791&lt;0,E791&lt;0,F791&lt;0),"ERRO: valor negativo",IF(C791&lt;&gt;SUM(D791:F791),"ERRO: categorias diferem dos respondentes",IF(COUNTIFS($A$5:$A$1200,A791,$B$5:$B$1200,B791)&gt;1,"ERRO: período e curso duplicados","OK"))))</f>
        <v/>
      </c>
    </row>
    <row r="792" ht="15" customHeight="1" s="131">
      <c r="A792" s="220" t="n"/>
      <c r="B792" s="222" t="n"/>
      <c r="C792" s="220" t="n"/>
      <c r="D792" s="220" t="n"/>
      <c r="E792" s="220" t="n"/>
      <c r="F792" s="220" t="n"/>
      <c r="G792" s="169">
        <f>IFERROR((D792-F792)/C792*100,"")</f>
        <v/>
      </c>
      <c r="H792" s="219" t="n"/>
      <c r="I792" s="220" t="n"/>
      <c r="J792" s="221">
        <f>IF(COUNTA(A792:F792)=0,"",IF(OR(C792&lt;0,D792&lt;0,E792&lt;0,F792&lt;0),"ERRO: valor negativo",IF(C792&lt;&gt;SUM(D792:F792),"ERRO: categorias diferem dos respondentes",IF(COUNTIFS($A$5:$A$1200,A792,$B$5:$B$1200,B792)&gt;1,"ERRO: período e curso duplicados","OK"))))</f>
        <v/>
      </c>
    </row>
    <row r="793" ht="15" customHeight="1" s="131">
      <c r="A793" s="220" t="n"/>
      <c r="B793" s="222" t="n"/>
      <c r="C793" s="220" t="n"/>
      <c r="D793" s="220" t="n"/>
      <c r="E793" s="220" t="n"/>
      <c r="F793" s="220" t="n"/>
      <c r="G793" s="169">
        <f>IFERROR((D793-F793)/C793*100,"")</f>
        <v/>
      </c>
      <c r="H793" s="219" t="n"/>
      <c r="I793" s="220" t="n"/>
      <c r="J793" s="221">
        <f>IF(COUNTA(A793:F793)=0,"",IF(OR(C793&lt;0,D793&lt;0,E793&lt;0,F793&lt;0),"ERRO: valor negativo",IF(C793&lt;&gt;SUM(D793:F793),"ERRO: categorias diferem dos respondentes",IF(COUNTIFS($A$5:$A$1200,A793,$B$5:$B$1200,B793)&gt;1,"ERRO: período e curso duplicados","OK"))))</f>
        <v/>
      </c>
    </row>
    <row r="794" ht="15" customHeight="1" s="131">
      <c r="A794" s="220" t="n"/>
      <c r="B794" s="222" t="n"/>
      <c r="C794" s="220" t="n"/>
      <c r="D794" s="220" t="n"/>
      <c r="E794" s="220" t="n"/>
      <c r="F794" s="220" t="n"/>
      <c r="G794" s="169">
        <f>IFERROR((D794-F794)/C794*100,"")</f>
        <v/>
      </c>
      <c r="H794" s="219" t="n"/>
      <c r="I794" s="220" t="n"/>
      <c r="J794" s="221">
        <f>IF(COUNTA(A794:F794)=0,"",IF(OR(C794&lt;0,D794&lt;0,E794&lt;0,F794&lt;0),"ERRO: valor negativo",IF(C794&lt;&gt;SUM(D794:F794),"ERRO: categorias diferem dos respondentes",IF(COUNTIFS($A$5:$A$1200,A794,$B$5:$B$1200,B794)&gt;1,"ERRO: período e curso duplicados","OK"))))</f>
        <v/>
      </c>
    </row>
    <row r="795" ht="15" customHeight="1" s="131">
      <c r="A795" s="220" t="n"/>
      <c r="B795" s="222" t="n"/>
      <c r="C795" s="220" t="n"/>
      <c r="D795" s="220" t="n"/>
      <c r="E795" s="220" t="n"/>
      <c r="F795" s="220" t="n"/>
      <c r="G795" s="169">
        <f>IFERROR((D795-F795)/C795*100,"")</f>
        <v/>
      </c>
      <c r="H795" s="219" t="n"/>
      <c r="I795" s="220" t="n"/>
      <c r="J795" s="221">
        <f>IF(COUNTA(A795:F795)=0,"",IF(OR(C795&lt;0,D795&lt;0,E795&lt;0,F795&lt;0),"ERRO: valor negativo",IF(C795&lt;&gt;SUM(D795:F795),"ERRO: categorias diferem dos respondentes",IF(COUNTIFS($A$5:$A$1200,A795,$B$5:$B$1200,B795)&gt;1,"ERRO: período e curso duplicados","OK"))))</f>
        <v/>
      </c>
    </row>
    <row r="796" ht="15" customHeight="1" s="131">
      <c r="A796" s="220" t="n"/>
      <c r="B796" s="222" t="n"/>
      <c r="C796" s="220" t="n"/>
      <c r="D796" s="220" t="n"/>
      <c r="E796" s="220" t="n"/>
      <c r="F796" s="220" t="n"/>
      <c r="G796" s="169">
        <f>IFERROR((D796-F796)/C796*100,"")</f>
        <v/>
      </c>
      <c r="H796" s="219" t="n"/>
      <c r="I796" s="220" t="n"/>
      <c r="J796" s="221">
        <f>IF(COUNTA(A796:F796)=0,"",IF(OR(C796&lt;0,D796&lt;0,E796&lt;0,F796&lt;0),"ERRO: valor negativo",IF(C796&lt;&gt;SUM(D796:F796),"ERRO: categorias diferem dos respondentes",IF(COUNTIFS($A$5:$A$1200,A796,$B$5:$B$1200,B796)&gt;1,"ERRO: período e curso duplicados","OK"))))</f>
        <v/>
      </c>
    </row>
    <row r="797" ht="15" customHeight="1" s="131">
      <c r="A797" s="220" t="n"/>
      <c r="B797" s="222" t="n"/>
      <c r="C797" s="220" t="n"/>
      <c r="D797" s="220" t="n"/>
      <c r="E797" s="220" t="n"/>
      <c r="F797" s="220" t="n"/>
      <c r="G797" s="169">
        <f>IFERROR((D797-F797)/C797*100,"")</f>
        <v/>
      </c>
      <c r="H797" s="219" t="n"/>
      <c r="I797" s="220" t="n"/>
      <c r="J797" s="221">
        <f>IF(COUNTA(A797:F797)=0,"",IF(OR(C797&lt;0,D797&lt;0,E797&lt;0,F797&lt;0),"ERRO: valor negativo",IF(C797&lt;&gt;SUM(D797:F797),"ERRO: categorias diferem dos respondentes",IF(COUNTIFS($A$5:$A$1200,A797,$B$5:$B$1200,B797)&gt;1,"ERRO: período e curso duplicados","OK"))))</f>
        <v/>
      </c>
    </row>
    <row r="798" ht="15" customHeight="1" s="131">
      <c r="A798" s="220" t="n"/>
      <c r="B798" s="222" t="n"/>
      <c r="C798" s="220" t="n"/>
      <c r="D798" s="220" t="n"/>
      <c r="E798" s="220" t="n"/>
      <c r="F798" s="220" t="n"/>
      <c r="G798" s="169">
        <f>IFERROR((D798-F798)/C798*100,"")</f>
        <v/>
      </c>
      <c r="H798" s="219" t="n"/>
      <c r="I798" s="220" t="n"/>
      <c r="J798" s="221">
        <f>IF(COUNTA(A798:F798)=0,"",IF(OR(C798&lt;0,D798&lt;0,E798&lt;0,F798&lt;0),"ERRO: valor negativo",IF(C798&lt;&gt;SUM(D798:F798),"ERRO: categorias diferem dos respondentes",IF(COUNTIFS($A$5:$A$1200,A798,$B$5:$B$1200,B798)&gt;1,"ERRO: período e curso duplicados","OK"))))</f>
        <v/>
      </c>
    </row>
    <row r="799" ht="15" customHeight="1" s="131">
      <c r="A799" s="220" t="n"/>
      <c r="B799" s="222" t="n"/>
      <c r="C799" s="220" t="n"/>
      <c r="D799" s="220" t="n"/>
      <c r="E799" s="220" t="n"/>
      <c r="F799" s="220" t="n"/>
      <c r="G799" s="169">
        <f>IFERROR((D799-F799)/C799*100,"")</f>
        <v/>
      </c>
      <c r="H799" s="219" t="n"/>
      <c r="I799" s="220" t="n"/>
      <c r="J799" s="221">
        <f>IF(COUNTA(A799:F799)=0,"",IF(OR(C799&lt;0,D799&lt;0,E799&lt;0,F799&lt;0),"ERRO: valor negativo",IF(C799&lt;&gt;SUM(D799:F799),"ERRO: categorias diferem dos respondentes",IF(COUNTIFS($A$5:$A$1200,A799,$B$5:$B$1200,B799)&gt;1,"ERRO: período e curso duplicados","OK"))))</f>
        <v/>
      </c>
    </row>
    <row r="800" ht="15" customHeight="1" s="131">
      <c r="A800" s="220" t="n"/>
      <c r="B800" s="222" t="n"/>
      <c r="C800" s="220" t="n"/>
      <c r="D800" s="220" t="n"/>
      <c r="E800" s="220" t="n"/>
      <c r="F800" s="220" t="n"/>
      <c r="G800" s="169">
        <f>IFERROR((D800-F800)/C800*100,"")</f>
        <v/>
      </c>
      <c r="H800" s="219" t="n"/>
      <c r="I800" s="220" t="n"/>
      <c r="J800" s="221">
        <f>IF(COUNTA(A800:F800)=0,"",IF(OR(C800&lt;0,D800&lt;0,E800&lt;0,F800&lt;0),"ERRO: valor negativo",IF(C800&lt;&gt;SUM(D800:F800),"ERRO: categorias diferem dos respondentes",IF(COUNTIFS($A$5:$A$1200,A800,$B$5:$B$1200,B800)&gt;1,"ERRO: período e curso duplicados","OK"))))</f>
        <v/>
      </c>
    </row>
    <row r="801" ht="15" customHeight="1" s="131">
      <c r="A801" s="220" t="n"/>
      <c r="B801" s="222" t="n"/>
      <c r="C801" s="220" t="n"/>
      <c r="D801" s="220" t="n"/>
      <c r="E801" s="220" t="n"/>
      <c r="F801" s="220" t="n"/>
      <c r="G801" s="169">
        <f>IFERROR((D801-F801)/C801*100,"")</f>
        <v/>
      </c>
      <c r="H801" s="219" t="n"/>
      <c r="I801" s="220" t="n"/>
      <c r="J801" s="221">
        <f>IF(COUNTA(A801:F801)=0,"",IF(OR(C801&lt;0,D801&lt;0,E801&lt;0,F801&lt;0),"ERRO: valor negativo",IF(C801&lt;&gt;SUM(D801:F801),"ERRO: categorias diferem dos respondentes",IF(COUNTIFS($A$5:$A$1200,A801,$B$5:$B$1200,B801)&gt;1,"ERRO: período e curso duplicados","OK"))))</f>
        <v/>
      </c>
    </row>
    <row r="802" ht="15" customHeight="1" s="131">
      <c r="A802" s="220" t="n"/>
      <c r="B802" s="222" t="n"/>
      <c r="C802" s="220" t="n"/>
      <c r="D802" s="220" t="n"/>
      <c r="E802" s="220" t="n"/>
      <c r="F802" s="220" t="n"/>
      <c r="G802" s="169">
        <f>IFERROR((D802-F802)/C802*100,"")</f>
        <v/>
      </c>
      <c r="H802" s="219" t="n"/>
      <c r="I802" s="220" t="n"/>
      <c r="J802" s="221">
        <f>IF(COUNTA(A802:F802)=0,"",IF(OR(C802&lt;0,D802&lt;0,E802&lt;0,F802&lt;0),"ERRO: valor negativo",IF(C802&lt;&gt;SUM(D802:F802),"ERRO: categorias diferem dos respondentes",IF(COUNTIFS($A$5:$A$1200,A802,$B$5:$B$1200,B802)&gt;1,"ERRO: período e curso duplicados","OK"))))</f>
        <v/>
      </c>
    </row>
    <row r="803" ht="15" customHeight="1" s="131">
      <c r="A803" s="220" t="n"/>
      <c r="B803" s="222" t="n"/>
      <c r="C803" s="220" t="n"/>
      <c r="D803" s="220" t="n"/>
      <c r="E803" s="220" t="n"/>
      <c r="F803" s="220" t="n"/>
      <c r="G803" s="169">
        <f>IFERROR((D803-F803)/C803*100,"")</f>
        <v/>
      </c>
      <c r="H803" s="219" t="n"/>
      <c r="I803" s="220" t="n"/>
      <c r="J803" s="221">
        <f>IF(COUNTA(A803:F803)=0,"",IF(OR(C803&lt;0,D803&lt;0,E803&lt;0,F803&lt;0),"ERRO: valor negativo",IF(C803&lt;&gt;SUM(D803:F803),"ERRO: categorias diferem dos respondentes",IF(COUNTIFS($A$5:$A$1200,A803,$B$5:$B$1200,B803)&gt;1,"ERRO: período e curso duplicados","OK"))))</f>
        <v/>
      </c>
    </row>
    <row r="804" ht="15" customHeight="1" s="131">
      <c r="A804" s="220" t="n"/>
      <c r="B804" s="222" t="n"/>
      <c r="C804" s="220" t="n"/>
      <c r="D804" s="220" t="n"/>
      <c r="E804" s="220" t="n"/>
      <c r="F804" s="220" t="n"/>
      <c r="G804" s="169">
        <f>IFERROR((D804-F804)/C804*100,"")</f>
        <v/>
      </c>
      <c r="H804" s="219" t="n"/>
      <c r="I804" s="220" t="n"/>
      <c r="J804" s="221">
        <f>IF(COUNTA(A804:F804)=0,"",IF(OR(C804&lt;0,D804&lt;0,E804&lt;0,F804&lt;0),"ERRO: valor negativo",IF(C804&lt;&gt;SUM(D804:F804),"ERRO: categorias diferem dos respondentes",IF(COUNTIFS($A$5:$A$1200,A804,$B$5:$B$1200,B804)&gt;1,"ERRO: período e curso duplicados","OK"))))</f>
        <v/>
      </c>
    </row>
    <row r="805" ht="15" customHeight="1" s="131">
      <c r="A805" s="220" t="n"/>
      <c r="B805" s="222" t="n"/>
      <c r="C805" s="220" t="n"/>
      <c r="D805" s="220" t="n"/>
      <c r="E805" s="220" t="n"/>
      <c r="F805" s="220" t="n"/>
      <c r="G805" s="169">
        <f>IFERROR((D805-F805)/C805*100,"")</f>
        <v/>
      </c>
      <c r="H805" s="219" t="n"/>
      <c r="I805" s="220" t="n"/>
      <c r="J805" s="221">
        <f>IF(COUNTA(A805:F805)=0,"",IF(OR(C805&lt;0,D805&lt;0,E805&lt;0,F805&lt;0),"ERRO: valor negativo",IF(C805&lt;&gt;SUM(D805:F805),"ERRO: categorias diferem dos respondentes",IF(COUNTIFS($A$5:$A$1200,A805,$B$5:$B$1200,B805)&gt;1,"ERRO: período e curso duplicados","OK"))))</f>
        <v/>
      </c>
    </row>
    <row r="806" ht="15" customHeight="1" s="131">
      <c r="A806" s="220" t="n"/>
      <c r="B806" s="222" t="n"/>
      <c r="C806" s="220" t="n"/>
      <c r="D806" s="220" t="n"/>
      <c r="E806" s="220" t="n"/>
      <c r="F806" s="220" t="n"/>
      <c r="G806" s="169">
        <f>IFERROR((D806-F806)/C806*100,"")</f>
        <v/>
      </c>
      <c r="H806" s="219" t="n"/>
      <c r="I806" s="220" t="n"/>
      <c r="J806" s="221">
        <f>IF(COUNTA(A806:F806)=0,"",IF(OR(C806&lt;0,D806&lt;0,E806&lt;0,F806&lt;0),"ERRO: valor negativo",IF(C806&lt;&gt;SUM(D806:F806),"ERRO: categorias diferem dos respondentes",IF(COUNTIFS($A$5:$A$1200,A806,$B$5:$B$1200,B806)&gt;1,"ERRO: período e curso duplicados","OK"))))</f>
        <v/>
      </c>
    </row>
    <row r="807" ht="15" customHeight="1" s="131">
      <c r="A807" s="220" t="n"/>
      <c r="B807" s="222" t="n"/>
      <c r="C807" s="220" t="n"/>
      <c r="D807" s="220" t="n"/>
      <c r="E807" s="220" t="n"/>
      <c r="F807" s="220" t="n"/>
      <c r="G807" s="169">
        <f>IFERROR((D807-F807)/C807*100,"")</f>
        <v/>
      </c>
      <c r="H807" s="219" t="n"/>
      <c r="I807" s="220" t="n"/>
      <c r="J807" s="221">
        <f>IF(COUNTA(A807:F807)=0,"",IF(OR(C807&lt;0,D807&lt;0,E807&lt;0,F807&lt;0),"ERRO: valor negativo",IF(C807&lt;&gt;SUM(D807:F807),"ERRO: categorias diferem dos respondentes",IF(COUNTIFS($A$5:$A$1200,A807,$B$5:$B$1200,B807)&gt;1,"ERRO: período e curso duplicados","OK"))))</f>
        <v/>
      </c>
    </row>
    <row r="808" ht="15" customHeight="1" s="131">
      <c r="A808" s="220" t="n"/>
      <c r="B808" s="222" t="n"/>
      <c r="C808" s="220" t="n"/>
      <c r="D808" s="220" t="n"/>
      <c r="E808" s="220" t="n"/>
      <c r="F808" s="220" t="n"/>
      <c r="G808" s="169">
        <f>IFERROR((D808-F808)/C808*100,"")</f>
        <v/>
      </c>
      <c r="H808" s="219" t="n"/>
      <c r="I808" s="220" t="n"/>
      <c r="J808" s="221">
        <f>IF(COUNTA(A808:F808)=0,"",IF(OR(C808&lt;0,D808&lt;0,E808&lt;0,F808&lt;0),"ERRO: valor negativo",IF(C808&lt;&gt;SUM(D808:F808),"ERRO: categorias diferem dos respondentes",IF(COUNTIFS($A$5:$A$1200,A808,$B$5:$B$1200,B808)&gt;1,"ERRO: período e curso duplicados","OK"))))</f>
        <v/>
      </c>
    </row>
    <row r="809" ht="15" customHeight="1" s="131">
      <c r="A809" s="220" t="n"/>
      <c r="B809" s="222" t="n"/>
      <c r="C809" s="220" t="n"/>
      <c r="D809" s="220" t="n"/>
      <c r="E809" s="220" t="n"/>
      <c r="F809" s="220" t="n"/>
      <c r="G809" s="169">
        <f>IFERROR((D809-F809)/C809*100,"")</f>
        <v/>
      </c>
      <c r="H809" s="219" t="n"/>
      <c r="I809" s="220" t="n"/>
      <c r="J809" s="221">
        <f>IF(COUNTA(A809:F809)=0,"",IF(OR(C809&lt;0,D809&lt;0,E809&lt;0,F809&lt;0),"ERRO: valor negativo",IF(C809&lt;&gt;SUM(D809:F809),"ERRO: categorias diferem dos respondentes",IF(COUNTIFS($A$5:$A$1200,A809,$B$5:$B$1200,B809)&gt;1,"ERRO: período e curso duplicados","OK"))))</f>
        <v/>
      </c>
    </row>
    <row r="810" ht="15" customHeight="1" s="131">
      <c r="A810" s="220" t="n"/>
      <c r="B810" s="222" t="n"/>
      <c r="C810" s="220" t="n"/>
      <c r="D810" s="220" t="n"/>
      <c r="E810" s="220" t="n"/>
      <c r="F810" s="220" t="n"/>
      <c r="G810" s="169">
        <f>IFERROR((D810-F810)/C810*100,"")</f>
        <v/>
      </c>
      <c r="H810" s="219" t="n"/>
      <c r="I810" s="220" t="n"/>
      <c r="J810" s="221">
        <f>IF(COUNTA(A810:F810)=0,"",IF(OR(C810&lt;0,D810&lt;0,E810&lt;0,F810&lt;0),"ERRO: valor negativo",IF(C810&lt;&gt;SUM(D810:F810),"ERRO: categorias diferem dos respondentes",IF(COUNTIFS($A$5:$A$1200,A810,$B$5:$B$1200,B810)&gt;1,"ERRO: período e curso duplicados","OK"))))</f>
        <v/>
      </c>
    </row>
    <row r="811" ht="15" customHeight="1" s="131">
      <c r="A811" s="220" t="n"/>
      <c r="B811" s="222" t="n"/>
      <c r="C811" s="220" t="n"/>
      <c r="D811" s="220" t="n"/>
      <c r="E811" s="220" t="n"/>
      <c r="F811" s="220" t="n"/>
      <c r="G811" s="169">
        <f>IFERROR((D811-F811)/C811*100,"")</f>
        <v/>
      </c>
      <c r="H811" s="219" t="n"/>
      <c r="I811" s="220" t="n"/>
      <c r="J811" s="221">
        <f>IF(COUNTA(A811:F811)=0,"",IF(OR(C811&lt;0,D811&lt;0,E811&lt;0,F811&lt;0),"ERRO: valor negativo",IF(C811&lt;&gt;SUM(D811:F811),"ERRO: categorias diferem dos respondentes",IF(COUNTIFS($A$5:$A$1200,A811,$B$5:$B$1200,B811)&gt;1,"ERRO: período e curso duplicados","OK"))))</f>
        <v/>
      </c>
    </row>
    <row r="812" ht="15" customHeight="1" s="131">
      <c r="A812" s="220" t="n"/>
      <c r="B812" s="222" t="n"/>
      <c r="C812" s="220" t="n"/>
      <c r="D812" s="220" t="n"/>
      <c r="E812" s="220" t="n"/>
      <c r="F812" s="220" t="n"/>
      <c r="G812" s="169">
        <f>IFERROR((D812-F812)/C812*100,"")</f>
        <v/>
      </c>
      <c r="H812" s="219" t="n"/>
      <c r="I812" s="220" t="n"/>
      <c r="J812" s="221">
        <f>IF(COUNTA(A812:F812)=0,"",IF(OR(C812&lt;0,D812&lt;0,E812&lt;0,F812&lt;0),"ERRO: valor negativo",IF(C812&lt;&gt;SUM(D812:F812),"ERRO: categorias diferem dos respondentes",IF(COUNTIFS($A$5:$A$1200,A812,$B$5:$B$1200,B812)&gt;1,"ERRO: período e curso duplicados","OK"))))</f>
        <v/>
      </c>
    </row>
    <row r="813" ht="15" customHeight="1" s="131">
      <c r="A813" s="220" t="n"/>
      <c r="B813" s="222" t="n"/>
      <c r="C813" s="220" t="n"/>
      <c r="D813" s="220" t="n"/>
      <c r="E813" s="220" t="n"/>
      <c r="F813" s="220" t="n"/>
      <c r="G813" s="169">
        <f>IFERROR((D813-F813)/C813*100,"")</f>
        <v/>
      </c>
      <c r="H813" s="219" t="n"/>
      <c r="I813" s="220" t="n"/>
      <c r="J813" s="221">
        <f>IF(COUNTA(A813:F813)=0,"",IF(OR(C813&lt;0,D813&lt;0,E813&lt;0,F813&lt;0),"ERRO: valor negativo",IF(C813&lt;&gt;SUM(D813:F813),"ERRO: categorias diferem dos respondentes",IF(COUNTIFS($A$5:$A$1200,A813,$B$5:$B$1200,B813)&gt;1,"ERRO: período e curso duplicados","OK"))))</f>
        <v/>
      </c>
    </row>
    <row r="814" ht="15" customHeight="1" s="131">
      <c r="A814" s="220" t="n"/>
      <c r="B814" s="222" t="n"/>
      <c r="C814" s="220" t="n"/>
      <c r="D814" s="220" t="n"/>
      <c r="E814" s="220" t="n"/>
      <c r="F814" s="220" t="n"/>
      <c r="G814" s="169">
        <f>IFERROR((D814-F814)/C814*100,"")</f>
        <v/>
      </c>
      <c r="H814" s="219" t="n"/>
      <c r="I814" s="220" t="n"/>
      <c r="J814" s="221">
        <f>IF(COUNTA(A814:F814)=0,"",IF(OR(C814&lt;0,D814&lt;0,E814&lt;0,F814&lt;0),"ERRO: valor negativo",IF(C814&lt;&gt;SUM(D814:F814),"ERRO: categorias diferem dos respondentes",IF(COUNTIFS($A$5:$A$1200,A814,$B$5:$B$1200,B814)&gt;1,"ERRO: período e curso duplicados","OK"))))</f>
        <v/>
      </c>
    </row>
    <row r="815" ht="15" customHeight="1" s="131">
      <c r="A815" s="220" t="n"/>
      <c r="B815" s="222" t="n"/>
      <c r="C815" s="220" t="n"/>
      <c r="D815" s="220" t="n"/>
      <c r="E815" s="220" t="n"/>
      <c r="F815" s="220" t="n"/>
      <c r="G815" s="169">
        <f>IFERROR((D815-F815)/C815*100,"")</f>
        <v/>
      </c>
      <c r="H815" s="219" t="n"/>
      <c r="I815" s="220" t="n"/>
      <c r="J815" s="221">
        <f>IF(COUNTA(A815:F815)=0,"",IF(OR(C815&lt;0,D815&lt;0,E815&lt;0,F815&lt;0),"ERRO: valor negativo",IF(C815&lt;&gt;SUM(D815:F815),"ERRO: categorias diferem dos respondentes",IF(COUNTIFS($A$5:$A$1200,A815,$B$5:$B$1200,B815)&gt;1,"ERRO: período e curso duplicados","OK"))))</f>
        <v/>
      </c>
    </row>
    <row r="816" ht="15" customHeight="1" s="131">
      <c r="A816" s="220" t="n"/>
      <c r="B816" s="222" t="n"/>
      <c r="C816" s="220" t="n"/>
      <c r="D816" s="220" t="n"/>
      <c r="E816" s="220" t="n"/>
      <c r="F816" s="220" t="n"/>
      <c r="G816" s="169">
        <f>IFERROR((D816-F816)/C816*100,"")</f>
        <v/>
      </c>
      <c r="H816" s="219" t="n"/>
      <c r="I816" s="220" t="n"/>
      <c r="J816" s="221">
        <f>IF(COUNTA(A816:F816)=0,"",IF(OR(C816&lt;0,D816&lt;0,E816&lt;0,F816&lt;0),"ERRO: valor negativo",IF(C816&lt;&gt;SUM(D816:F816),"ERRO: categorias diferem dos respondentes",IF(COUNTIFS($A$5:$A$1200,A816,$B$5:$B$1200,B816)&gt;1,"ERRO: período e curso duplicados","OK"))))</f>
        <v/>
      </c>
    </row>
    <row r="817" ht="15" customHeight="1" s="131">
      <c r="A817" s="220" t="n"/>
      <c r="B817" s="222" t="n"/>
      <c r="C817" s="220" t="n"/>
      <c r="D817" s="220" t="n"/>
      <c r="E817" s="220" t="n"/>
      <c r="F817" s="220" t="n"/>
      <c r="G817" s="169">
        <f>IFERROR((D817-F817)/C817*100,"")</f>
        <v/>
      </c>
      <c r="H817" s="219" t="n"/>
      <c r="I817" s="220" t="n"/>
      <c r="J817" s="221">
        <f>IF(COUNTA(A817:F817)=0,"",IF(OR(C817&lt;0,D817&lt;0,E817&lt;0,F817&lt;0),"ERRO: valor negativo",IF(C817&lt;&gt;SUM(D817:F817),"ERRO: categorias diferem dos respondentes",IF(COUNTIFS($A$5:$A$1200,A817,$B$5:$B$1200,B817)&gt;1,"ERRO: período e curso duplicados","OK"))))</f>
        <v/>
      </c>
    </row>
    <row r="818" ht="15" customHeight="1" s="131">
      <c r="A818" s="220" t="n"/>
      <c r="B818" s="222" t="n"/>
      <c r="C818" s="220" t="n"/>
      <c r="D818" s="220" t="n"/>
      <c r="E818" s="220" t="n"/>
      <c r="F818" s="220" t="n"/>
      <c r="G818" s="169">
        <f>IFERROR((D818-F818)/C818*100,"")</f>
        <v/>
      </c>
      <c r="H818" s="219" t="n"/>
      <c r="I818" s="220" t="n"/>
      <c r="J818" s="221">
        <f>IF(COUNTA(A818:F818)=0,"",IF(OR(C818&lt;0,D818&lt;0,E818&lt;0,F818&lt;0),"ERRO: valor negativo",IF(C818&lt;&gt;SUM(D818:F818),"ERRO: categorias diferem dos respondentes",IF(COUNTIFS($A$5:$A$1200,A818,$B$5:$B$1200,B818)&gt;1,"ERRO: período e curso duplicados","OK"))))</f>
        <v/>
      </c>
    </row>
    <row r="819" ht="15" customHeight="1" s="131">
      <c r="A819" s="220" t="n"/>
      <c r="B819" s="222" t="n"/>
      <c r="C819" s="220" t="n"/>
      <c r="D819" s="220" t="n"/>
      <c r="E819" s="220" t="n"/>
      <c r="F819" s="220" t="n"/>
      <c r="G819" s="169">
        <f>IFERROR((D819-F819)/C819*100,"")</f>
        <v/>
      </c>
      <c r="H819" s="219" t="n"/>
      <c r="I819" s="220" t="n"/>
      <c r="J819" s="221">
        <f>IF(COUNTA(A819:F819)=0,"",IF(OR(C819&lt;0,D819&lt;0,E819&lt;0,F819&lt;0),"ERRO: valor negativo",IF(C819&lt;&gt;SUM(D819:F819),"ERRO: categorias diferem dos respondentes",IF(COUNTIFS($A$5:$A$1200,A819,$B$5:$B$1200,B819)&gt;1,"ERRO: período e curso duplicados","OK"))))</f>
        <v/>
      </c>
    </row>
    <row r="820" ht="15" customHeight="1" s="131">
      <c r="A820" s="220" t="n"/>
      <c r="B820" s="222" t="n"/>
      <c r="C820" s="220" t="n"/>
      <c r="D820" s="220" t="n"/>
      <c r="E820" s="220" t="n"/>
      <c r="F820" s="220" t="n"/>
      <c r="G820" s="169">
        <f>IFERROR((D820-F820)/C820*100,"")</f>
        <v/>
      </c>
      <c r="H820" s="219" t="n"/>
      <c r="I820" s="220" t="n"/>
      <c r="J820" s="221">
        <f>IF(COUNTA(A820:F820)=0,"",IF(OR(C820&lt;0,D820&lt;0,E820&lt;0,F820&lt;0),"ERRO: valor negativo",IF(C820&lt;&gt;SUM(D820:F820),"ERRO: categorias diferem dos respondentes",IF(COUNTIFS($A$5:$A$1200,A820,$B$5:$B$1200,B820)&gt;1,"ERRO: período e curso duplicados","OK"))))</f>
        <v/>
      </c>
    </row>
    <row r="821" ht="15" customHeight="1" s="131">
      <c r="A821" s="220" t="n"/>
      <c r="B821" s="222" t="n"/>
      <c r="C821" s="220" t="n"/>
      <c r="D821" s="220" t="n"/>
      <c r="E821" s="220" t="n"/>
      <c r="F821" s="220" t="n"/>
      <c r="G821" s="169">
        <f>IFERROR((D821-F821)/C821*100,"")</f>
        <v/>
      </c>
      <c r="H821" s="219" t="n"/>
      <c r="I821" s="220" t="n"/>
      <c r="J821" s="221">
        <f>IF(COUNTA(A821:F821)=0,"",IF(OR(C821&lt;0,D821&lt;0,E821&lt;0,F821&lt;0),"ERRO: valor negativo",IF(C821&lt;&gt;SUM(D821:F821),"ERRO: categorias diferem dos respondentes",IF(COUNTIFS($A$5:$A$1200,A821,$B$5:$B$1200,B821)&gt;1,"ERRO: período e curso duplicados","OK"))))</f>
        <v/>
      </c>
    </row>
    <row r="822" ht="15" customHeight="1" s="131">
      <c r="A822" s="220" t="n"/>
      <c r="B822" s="222" t="n"/>
      <c r="C822" s="220" t="n"/>
      <c r="D822" s="220" t="n"/>
      <c r="E822" s="220" t="n"/>
      <c r="F822" s="220" t="n"/>
      <c r="G822" s="169">
        <f>IFERROR((D822-F822)/C822*100,"")</f>
        <v/>
      </c>
      <c r="H822" s="219" t="n"/>
      <c r="I822" s="220" t="n"/>
      <c r="J822" s="221">
        <f>IF(COUNTA(A822:F822)=0,"",IF(OR(C822&lt;0,D822&lt;0,E822&lt;0,F822&lt;0),"ERRO: valor negativo",IF(C822&lt;&gt;SUM(D822:F822),"ERRO: categorias diferem dos respondentes",IF(COUNTIFS($A$5:$A$1200,A822,$B$5:$B$1200,B822)&gt;1,"ERRO: período e curso duplicados","OK"))))</f>
        <v/>
      </c>
    </row>
    <row r="823" ht="15" customHeight="1" s="131">
      <c r="A823" s="220" t="n"/>
      <c r="B823" s="222" t="n"/>
      <c r="C823" s="220" t="n"/>
      <c r="D823" s="220" t="n"/>
      <c r="E823" s="220" t="n"/>
      <c r="F823" s="220" t="n"/>
      <c r="G823" s="169">
        <f>IFERROR((D823-F823)/C823*100,"")</f>
        <v/>
      </c>
      <c r="H823" s="219" t="n"/>
      <c r="I823" s="220" t="n"/>
      <c r="J823" s="221">
        <f>IF(COUNTA(A823:F823)=0,"",IF(OR(C823&lt;0,D823&lt;0,E823&lt;0,F823&lt;0),"ERRO: valor negativo",IF(C823&lt;&gt;SUM(D823:F823),"ERRO: categorias diferem dos respondentes",IF(COUNTIFS($A$5:$A$1200,A823,$B$5:$B$1200,B823)&gt;1,"ERRO: período e curso duplicados","OK"))))</f>
        <v/>
      </c>
    </row>
    <row r="824" ht="15" customHeight="1" s="131">
      <c r="A824" s="220" t="n"/>
      <c r="B824" s="222" t="n"/>
      <c r="C824" s="220" t="n"/>
      <c r="D824" s="220" t="n"/>
      <c r="E824" s="220" t="n"/>
      <c r="F824" s="220" t="n"/>
      <c r="G824" s="169">
        <f>IFERROR((D824-F824)/C824*100,"")</f>
        <v/>
      </c>
      <c r="H824" s="219" t="n"/>
      <c r="I824" s="220" t="n"/>
      <c r="J824" s="221">
        <f>IF(COUNTA(A824:F824)=0,"",IF(OR(C824&lt;0,D824&lt;0,E824&lt;0,F824&lt;0),"ERRO: valor negativo",IF(C824&lt;&gt;SUM(D824:F824),"ERRO: categorias diferem dos respondentes",IF(COUNTIFS($A$5:$A$1200,A824,$B$5:$B$1200,B824)&gt;1,"ERRO: período e curso duplicados","OK"))))</f>
        <v/>
      </c>
    </row>
    <row r="825" ht="15" customHeight="1" s="131">
      <c r="A825" s="220" t="n"/>
      <c r="B825" s="222" t="n"/>
      <c r="C825" s="220" t="n"/>
      <c r="D825" s="220" t="n"/>
      <c r="E825" s="220" t="n"/>
      <c r="F825" s="220" t="n"/>
      <c r="G825" s="169">
        <f>IFERROR((D825-F825)/C825*100,"")</f>
        <v/>
      </c>
      <c r="H825" s="219" t="n"/>
      <c r="I825" s="220" t="n"/>
      <c r="J825" s="221">
        <f>IF(COUNTA(A825:F825)=0,"",IF(OR(C825&lt;0,D825&lt;0,E825&lt;0,F825&lt;0),"ERRO: valor negativo",IF(C825&lt;&gt;SUM(D825:F825),"ERRO: categorias diferem dos respondentes",IF(COUNTIFS($A$5:$A$1200,A825,$B$5:$B$1200,B825)&gt;1,"ERRO: período e curso duplicados","OK"))))</f>
        <v/>
      </c>
    </row>
    <row r="826" ht="15" customHeight="1" s="131">
      <c r="A826" s="220" t="n"/>
      <c r="B826" s="222" t="n"/>
      <c r="C826" s="220" t="n"/>
      <c r="D826" s="220" t="n"/>
      <c r="E826" s="220" t="n"/>
      <c r="F826" s="220" t="n"/>
      <c r="G826" s="169">
        <f>IFERROR((D826-F826)/C826*100,"")</f>
        <v/>
      </c>
      <c r="H826" s="219" t="n"/>
      <c r="I826" s="220" t="n"/>
      <c r="J826" s="221">
        <f>IF(COUNTA(A826:F826)=0,"",IF(OR(C826&lt;0,D826&lt;0,E826&lt;0,F826&lt;0),"ERRO: valor negativo",IF(C826&lt;&gt;SUM(D826:F826),"ERRO: categorias diferem dos respondentes",IF(COUNTIFS($A$5:$A$1200,A826,$B$5:$B$1200,B826)&gt;1,"ERRO: período e curso duplicados","OK"))))</f>
        <v/>
      </c>
    </row>
    <row r="827" ht="15" customHeight="1" s="131">
      <c r="A827" s="220" t="n"/>
      <c r="B827" s="222" t="n"/>
      <c r="C827" s="220" t="n"/>
      <c r="D827" s="220" t="n"/>
      <c r="E827" s="220" t="n"/>
      <c r="F827" s="220" t="n"/>
      <c r="G827" s="169">
        <f>IFERROR((D827-F827)/C827*100,"")</f>
        <v/>
      </c>
      <c r="H827" s="219" t="n"/>
      <c r="I827" s="220" t="n"/>
      <c r="J827" s="221">
        <f>IF(COUNTA(A827:F827)=0,"",IF(OR(C827&lt;0,D827&lt;0,E827&lt;0,F827&lt;0),"ERRO: valor negativo",IF(C827&lt;&gt;SUM(D827:F827),"ERRO: categorias diferem dos respondentes",IF(COUNTIFS($A$5:$A$1200,A827,$B$5:$B$1200,B827)&gt;1,"ERRO: período e curso duplicados","OK"))))</f>
        <v/>
      </c>
    </row>
    <row r="828" ht="15" customHeight="1" s="131">
      <c r="A828" s="220" t="n"/>
      <c r="B828" s="222" t="n"/>
      <c r="C828" s="220" t="n"/>
      <c r="D828" s="220" t="n"/>
      <c r="E828" s="220" t="n"/>
      <c r="F828" s="220" t="n"/>
      <c r="G828" s="169">
        <f>IFERROR((D828-F828)/C828*100,"")</f>
        <v/>
      </c>
      <c r="H828" s="219" t="n"/>
      <c r="I828" s="220" t="n"/>
      <c r="J828" s="221">
        <f>IF(COUNTA(A828:F828)=0,"",IF(OR(C828&lt;0,D828&lt;0,E828&lt;0,F828&lt;0),"ERRO: valor negativo",IF(C828&lt;&gt;SUM(D828:F828),"ERRO: categorias diferem dos respondentes",IF(COUNTIFS($A$5:$A$1200,A828,$B$5:$B$1200,B828)&gt;1,"ERRO: período e curso duplicados","OK"))))</f>
        <v/>
      </c>
    </row>
    <row r="829" ht="15" customHeight="1" s="131">
      <c r="A829" s="220" t="n"/>
      <c r="B829" s="222" t="n"/>
      <c r="C829" s="220" t="n"/>
      <c r="D829" s="220" t="n"/>
      <c r="E829" s="220" t="n"/>
      <c r="F829" s="220" t="n"/>
      <c r="G829" s="169">
        <f>IFERROR((D829-F829)/C829*100,"")</f>
        <v/>
      </c>
      <c r="H829" s="219" t="n"/>
      <c r="I829" s="220" t="n"/>
      <c r="J829" s="221">
        <f>IF(COUNTA(A829:F829)=0,"",IF(OR(C829&lt;0,D829&lt;0,E829&lt;0,F829&lt;0),"ERRO: valor negativo",IF(C829&lt;&gt;SUM(D829:F829),"ERRO: categorias diferem dos respondentes",IF(COUNTIFS($A$5:$A$1200,A829,$B$5:$B$1200,B829)&gt;1,"ERRO: período e curso duplicados","OK"))))</f>
        <v/>
      </c>
    </row>
    <row r="830" ht="15" customHeight="1" s="131">
      <c r="A830" s="220" t="n"/>
      <c r="B830" s="222" t="n"/>
      <c r="C830" s="220" t="n"/>
      <c r="D830" s="220" t="n"/>
      <c r="E830" s="220" t="n"/>
      <c r="F830" s="220" t="n"/>
      <c r="G830" s="169">
        <f>IFERROR((D830-F830)/C830*100,"")</f>
        <v/>
      </c>
      <c r="H830" s="219" t="n"/>
      <c r="I830" s="220" t="n"/>
      <c r="J830" s="221">
        <f>IF(COUNTA(A830:F830)=0,"",IF(OR(C830&lt;0,D830&lt;0,E830&lt;0,F830&lt;0),"ERRO: valor negativo",IF(C830&lt;&gt;SUM(D830:F830),"ERRO: categorias diferem dos respondentes",IF(COUNTIFS($A$5:$A$1200,A830,$B$5:$B$1200,B830)&gt;1,"ERRO: período e curso duplicados","OK"))))</f>
        <v/>
      </c>
    </row>
    <row r="831" ht="15" customHeight="1" s="131">
      <c r="A831" s="220" t="n"/>
      <c r="B831" s="222" t="n"/>
      <c r="C831" s="220" t="n"/>
      <c r="D831" s="220" t="n"/>
      <c r="E831" s="220" t="n"/>
      <c r="F831" s="220" t="n"/>
      <c r="G831" s="169">
        <f>IFERROR((D831-F831)/C831*100,"")</f>
        <v/>
      </c>
      <c r="H831" s="219" t="n"/>
      <c r="I831" s="220" t="n"/>
      <c r="J831" s="221">
        <f>IF(COUNTA(A831:F831)=0,"",IF(OR(C831&lt;0,D831&lt;0,E831&lt;0,F831&lt;0),"ERRO: valor negativo",IF(C831&lt;&gt;SUM(D831:F831),"ERRO: categorias diferem dos respondentes",IF(COUNTIFS($A$5:$A$1200,A831,$B$5:$B$1200,B831)&gt;1,"ERRO: período e curso duplicados","OK"))))</f>
        <v/>
      </c>
    </row>
    <row r="832" ht="15" customHeight="1" s="131">
      <c r="A832" s="220" t="n"/>
      <c r="B832" s="222" t="n"/>
      <c r="C832" s="220" t="n"/>
      <c r="D832" s="220" t="n"/>
      <c r="E832" s="220" t="n"/>
      <c r="F832" s="220" t="n"/>
      <c r="G832" s="169">
        <f>IFERROR((D832-F832)/C832*100,"")</f>
        <v/>
      </c>
      <c r="H832" s="219" t="n"/>
      <c r="I832" s="220" t="n"/>
      <c r="J832" s="221">
        <f>IF(COUNTA(A832:F832)=0,"",IF(OR(C832&lt;0,D832&lt;0,E832&lt;0,F832&lt;0),"ERRO: valor negativo",IF(C832&lt;&gt;SUM(D832:F832),"ERRO: categorias diferem dos respondentes",IF(COUNTIFS($A$5:$A$1200,A832,$B$5:$B$1200,B832)&gt;1,"ERRO: período e curso duplicados","OK"))))</f>
        <v/>
      </c>
    </row>
    <row r="833" ht="15" customHeight="1" s="131">
      <c r="A833" s="220" t="n"/>
      <c r="B833" s="222" t="n"/>
      <c r="C833" s="220" t="n"/>
      <c r="D833" s="220" t="n"/>
      <c r="E833" s="220" t="n"/>
      <c r="F833" s="220" t="n"/>
      <c r="G833" s="169">
        <f>IFERROR((D833-F833)/C833*100,"")</f>
        <v/>
      </c>
      <c r="H833" s="219" t="n"/>
      <c r="I833" s="220" t="n"/>
      <c r="J833" s="221">
        <f>IF(COUNTA(A833:F833)=0,"",IF(OR(C833&lt;0,D833&lt;0,E833&lt;0,F833&lt;0),"ERRO: valor negativo",IF(C833&lt;&gt;SUM(D833:F833),"ERRO: categorias diferem dos respondentes",IF(COUNTIFS($A$5:$A$1200,A833,$B$5:$B$1200,B833)&gt;1,"ERRO: período e curso duplicados","OK"))))</f>
        <v/>
      </c>
    </row>
    <row r="834" ht="15" customHeight="1" s="131">
      <c r="A834" s="220" t="n"/>
      <c r="B834" s="222" t="n"/>
      <c r="C834" s="220" t="n"/>
      <c r="D834" s="220" t="n"/>
      <c r="E834" s="220" t="n"/>
      <c r="F834" s="220" t="n"/>
      <c r="G834" s="169">
        <f>IFERROR((D834-F834)/C834*100,"")</f>
        <v/>
      </c>
      <c r="H834" s="219" t="n"/>
      <c r="I834" s="220" t="n"/>
      <c r="J834" s="221">
        <f>IF(COUNTA(A834:F834)=0,"",IF(OR(C834&lt;0,D834&lt;0,E834&lt;0,F834&lt;0),"ERRO: valor negativo",IF(C834&lt;&gt;SUM(D834:F834),"ERRO: categorias diferem dos respondentes",IF(COUNTIFS($A$5:$A$1200,A834,$B$5:$B$1200,B834)&gt;1,"ERRO: período e curso duplicados","OK"))))</f>
        <v/>
      </c>
    </row>
    <row r="835" ht="15" customHeight="1" s="131">
      <c r="A835" s="220" t="n"/>
      <c r="B835" s="222" t="n"/>
      <c r="C835" s="220" t="n"/>
      <c r="D835" s="220" t="n"/>
      <c r="E835" s="220" t="n"/>
      <c r="F835" s="220" t="n"/>
      <c r="G835" s="169">
        <f>IFERROR((D835-F835)/C835*100,"")</f>
        <v/>
      </c>
      <c r="H835" s="219" t="n"/>
      <c r="I835" s="220" t="n"/>
      <c r="J835" s="221">
        <f>IF(COUNTA(A835:F835)=0,"",IF(OR(C835&lt;0,D835&lt;0,E835&lt;0,F835&lt;0),"ERRO: valor negativo",IF(C835&lt;&gt;SUM(D835:F835),"ERRO: categorias diferem dos respondentes",IF(COUNTIFS($A$5:$A$1200,A835,$B$5:$B$1200,B835)&gt;1,"ERRO: período e curso duplicados","OK"))))</f>
        <v/>
      </c>
    </row>
    <row r="836" ht="15" customHeight="1" s="131">
      <c r="A836" s="220" t="n"/>
      <c r="B836" s="222" t="n"/>
      <c r="C836" s="220" t="n"/>
      <c r="D836" s="220" t="n"/>
      <c r="E836" s="220" t="n"/>
      <c r="F836" s="220" t="n"/>
      <c r="G836" s="169">
        <f>IFERROR((D836-F836)/C836*100,"")</f>
        <v/>
      </c>
      <c r="H836" s="219" t="n"/>
      <c r="I836" s="220" t="n"/>
      <c r="J836" s="221">
        <f>IF(COUNTA(A836:F836)=0,"",IF(OR(C836&lt;0,D836&lt;0,E836&lt;0,F836&lt;0),"ERRO: valor negativo",IF(C836&lt;&gt;SUM(D836:F836),"ERRO: categorias diferem dos respondentes",IF(COUNTIFS($A$5:$A$1200,A836,$B$5:$B$1200,B836)&gt;1,"ERRO: período e curso duplicados","OK"))))</f>
        <v/>
      </c>
    </row>
    <row r="837" ht="15" customHeight="1" s="131">
      <c r="A837" s="220" t="n"/>
      <c r="B837" s="222" t="n"/>
      <c r="C837" s="220" t="n"/>
      <c r="D837" s="220" t="n"/>
      <c r="E837" s="220" t="n"/>
      <c r="F837" s="220" t="n"/>
      <c r="G837" s="169">
        <f>IFERROR((D837-F837)/C837*100,"")</f>
        <v/>
      </c>
      <c r="H837" s="219" t="n"/>
      <c r="I837" s="220" t="n"/>
      <c r="J837" s="221">
        <f>IF(COUNTA(A837:F837)=0,"",IF(OR(C837&lt;0,D837&lt;0,E837&lt;0,F837&lt;0),"ERRO: valor negativo",IF(C837&lt;&gt;SUM(D837:F837),"ERRO: categorias diferem dos respondentes",IF(COUNTIFS($A$5:$A$1200,A837,$B$5:$B$1200,B837)&gt;1,"ERRO: período e curso duplicados","OK"))))</f>
        <v/>
      </c>
    </row>
    <row r="838" ht="15" customHeight="1" s="131">
      <c r="A838" s="220" t="n"/>
      <c r="B838" s="222" t="n"/>
      <c r="C838" s="220" t="n"/>
      <c r="D838" s="220" t="n"/>
      <c r="E838" s="220" t="n"/>
      <c r="F838" s="220" t="n"/>
      <c r="G838" s="169">
        <f>IFERROR((D838-F838)/C838*100,"")</f>
        <v/>
      </c>
      <c r="H838" s="219" t="n"/>
      <c r="I838" s="220" t="n"/>
      <c r="J838" s="221">
        <f>IF(COUNTA(A838:F838)=0,"",IF(OR(C838&lt;0,D838&lt;0,E838&lt;0,F838&lt;0),"ERRO: valor negativo",IF(C838&lt;&gt;SUM(D838:F838),"ERRO: categorias diferem dos respondentes",IF(COUNTIFS($A$5:$A$1200,A838,$B$5:$B$1200,B838)&gt;1,"ERRO: período e curso duplicados","OK"))))</f>
        <v/>
      </c>
    </row>
    <row r="839" ht="15" customHeight="1" s="131">
      <c r="A839" s="220" t="n"/>
      <c r="B839" s="222" t="n"/>
      <c r="C839" s="220" t="n"/>
      <c r="D839" s="220" t="n"/>
      <c r="E839" s="220" t="n"/>
      <c r="F839" s="220" t="n"/>
      <c r="G839" s="169">
        <f>IFERROR((D839-F839)/C839*100,"")</f>
        <v/>
      </c>
      <c r="H839" s="219" t="n"/>
      <c r="I839" s="220" t="n"/>
      <c r="J839" s="221">
        <f>IF(COUNTA(A839:F839)=0,"",IF(OR(C839&lt;0,D839&lt;0,E839&lt;0,F839&lt;0),"ERRO: valor negativo",IF(C839&lt;&gt;SUM(D839:F839),"ERRO: categorias diferem dos respondentes",IF(COUNTIFS($A$5:$A$1200,A839,$B$5:$B$1200,B839)&gt;1,"ERRO: período e curso duplicados","OK"))))</f>
        <v/>
      </c>
    </row>
    <row r="840" ht="15" customHeight="1" s="131">
      <c r="A840" s="220" t="n"/>
      <c r="B840" s="222" t="n"/>
      <c r="C840" s="220" t="n"/>
      <c r="D840" s="220" t="n"/>
      <c r="E840" s="220" t="n"/>
      <c r="F840" s="220" t="n"/>
      <c r="G840" s="169">
        <f>IFERROR((D840-F840)/C840*100,"")</f>
        <v/>
      </c>
      <c r="H840" s="219" t="n"/>
      <c r="I840" s="220" t="n"/>
      <c r="J840" s="221">
        <f>IF(COUNTA(A840:F840)=0,"",IF(OR(C840&lt;0,D840&lt;0,E840&lt;0,F840&lt;0),"ERRO: valor negativo",IF(C840&lt;&gt;SUM(D840:F840),"ERRO: categorias diferem dos respondentes",IF(COUNTIFS($A$5:$A$1200,A840,$B$5:$B$1200,B840)&gt;1,"ERRO: período e curso duplicados","OK"))))</f>
        <v/>
      </c>
    </row>
    <row r="841" ht="15" customHeight="1" s="131">
      <c r="A841" s="220" t="n"/>
      <c r="B841" s="222" t="n"/>
      <c r="C841" s="220" t="n"/>
      <c r="D841" s="220" t="n"/>
      <c r="E841" s="220" t="n"/>
      <c r="F841" s="220" t="n"/>
      <c r="G841" s="169">
        <f>IFERROR((D841-F841)/C841*100,"")</f>
        <v/>
      </c>
      <c r="H841" s="219" t="n"/>
      <c r="I841" s="220" t="n"/>
      <c r="J841" s="221">
        <f>IF(COUNTA(A841:F841)=0,"",IF(OR(C841&lt;0,D841&lt;0,E841&lt;0,F841&lt;0),"ERRO: valor negativo",IF(C841&lt;&gt;SUM(D841:F841),"ERRO: categorias diferem dos respondentes",IF(COUNTIFS($A$5:$A$1200,A841,$B$5:$B$1200,B841)&gt;1,"ERRO: período e curso duplicados","OK"))))</f>
        <v/>
      </c>
    </row>
    <row r="842" ht="15" customHeight="1" s="131">
      <c r="A842" s="220" t="n"/>
      <c r="B842" s="222" t="n"/>
      <c r="C842" s="220" t="n"/>
      <c r="D842" s="220" t="n"/>
      <c r="E842" s="220" t="n"/>
      <c r="F842" s="220" t="n"/>
      <c r="G842" s="169">
        <f>IFERROR((D842-F842)/C842*100,"")</f>
        <v/>
      </c>
      <c r="H842" s="219" t="n"/>
      <c r="I842" s="220" t="n"/>
      <c r="J842" s="221">
        <f>IF(COUNTA(A842:F842)=0,"",IF(OR(C842&lt;0,D842&lt;0,E842&lt;0,F842&lt;0),"ERRO: valor negativo",IF(C842&lt;&gt;SUM(D842:F842),"ERRO: categorias diferem dos respondentes",IF(COUNTIFS($A$5:$A$1200,A842,$B$5:$B$1200,B842)&gt;1,"ERRO: período e curso duplicados","OK"))))</f>
        <v/>
      </c>
    </row>
    <row r="843" ht="15" customHeight="1" s="131">
      <c r="A843" s="220" t="n"/>
      <c r="B843" s="222" t="n"/>
      <c r="C843" s="220" t="n"/>
      <c r="D843" s="220" t="n"/>
      <c r="E843" s="220" t="n"/>
      <c r="F843" s="220" t="n"/>
      <c r="G843" s="169">
        <f>IFERROR((D843-F843)/C843*100,"")</f>
        <v/>
      </c>
      <c r="H843" s="219" t="n"/>
      <c r="I843" s="220" t="n"/>
      <c r="J843" s="221">
        <f>IF(COUNTA(A843:F843)=0,"",IF(OR(C843&lt;0,D843&lt;0,E843&lt;0,F843&lt;0),"ERRO: valor negativo",IF(C843&lt;&gt;SUM(D843:F843),"ERRO: categorias diferem dos respondentes",IF(COUNTIFS($A$5:$A$1200,A843,$B$5:$B$1200,B843)&gt;1,"ERRO: período e curso duplicados","OK"))))</f>
        <v/>
      </c>
    </row>
    <row r="844" ht="15" customHeight="1" s="131">
      <c r="A844" s="220" t="n"/>
      <c r="B844" s="222" t="n"/>
      <c r="C844" s="220" t="n"/>
      <c r="D844" s="220" t="n"/>
      <c r="E844" s="220" t="n"/>
      <c r="F844" s="220" t="n"/>
      <c r="G844" s="169">
        <f>IFERROR((D844-F844)/C844*100,"")</f>
        <v/>
      </c>
      <c r="H844" s="219" t="n"/>
      <c r="I844" s="220" t="n"/>
      <c r="J844" s="221">
        <f>IF(COUNTA(A844:F844)=0,"",IF(OR(C844&lt;0,D844&lt;0,E844&lt;0,F844&lt;0),"ERRO: valor negativo",IF(C844&lt;&gt;SUM(D844:F844),"ERRO: categorias diferem dos respondentes",IF(COUNTIFS($A$5:$A$1200,A844,$B$5:$B$1200,B844)&gt;1,"ERRO: período e curso duplicados","OK"))))</f>
        <v/>
      </c>
    </row>
    <row r="845" ht="15" customHeight="1" s="131">
      <c r="A845" s="220" t="n"/>
      <c r="B845" s="222" t="n"/>
      <c r="C845" s="220" t="n"/>
      <c r="D845" s="220" t="n"/>
      <c r="E845" s="220" t="n"/>
      <c r="F845" s="220" t="n"/>
      <c r="G845" s="169">
        <f>IFERROR((D845-F845)/C845*100,"")</f>
        <v/>
      </c>
      <c r="H845" s="219" t="n"/>
      <c r="I845" s="220" t="n"/>
      <c r="J845" s="221">
        <f>IF(COUNTA(A845:F845)=0,"",IF(OR(C845&lt;0,D845&lt;0,E845&lt;0,F845&lt;0),"ERRO: valor negativo",IF(C845&lt;&gt;SUM(D845:F845),"ERRO: categorias diferem dos respondentes",IF(COUNTIFS($A$5:$A$1200,A845,$B$5:$B$1200,B845)&gt;1,"ERRO: período e curso duplicados","OK"))))</f>
        <v/>
      </c>
    </row>
    <row r="846" ht="15" customHeight="1" s="131">
      <c r="A846" s="220" t="n"/>
      <c r="B846" s="222" t="n"/>
      <c r="C846" s="220" t="n"/>
      <c r="D846" s="220" t="n"/>
      <c r="E846" s="220" t="n"/>
      <c r="F846" s="220" t="n"/>
      <c r="G846" s="169">
        <f>IFERROR((D846-F846)/C846*100,"")</f>
        <v/>
      </c>
      <c r="H846" s="219" t="n"/>
      <c r="I846" s="220" t="n"/>
      <c r="J846" s="221">
        <f>IF(COUNTA(A846:F846)=0,"",IF(OR(C846&lt;0,D846&lt;0,E846&lt;0,F846&lt;0),"ERRO: valor negativo",IF(C846&lt;&gt;SUM(D846:F846),"ERRO: categorias diferem dos respondentes",IF(COUNTIFS($A$5:$A$1200,A846,$B$5:$B$1200,B846)&gt;1,"ERRO: período e curso duplicados","OK"))))</f>
        <v/>
      </c>
    </row>
    <row r="847" ht="15" customHeight="1" s="131">
      <c r="A847" s="220" t="n"/>
      <c r="B847" s="222" t="n"/>
      <c r="C847" s="220" t="n"/>
      <c r="D847" s="220" t="n"/>
      <c r="E847" s="220" t="n"/>
      <c r="F847" s="220" t="n"/>
      <c r="G847" s="169">
        <f>IFERROR((D847-F847)/C847*100,"")</f>
        <v/>
      </c>
      <c r="H847" s="219" t="n"/>
      <c r="I847" s="220" t="n"/>
      <c r="J847" s="221">
        <f>IF(COUNTA(A847:F847)=0,"",IF(OR(C847&lt;0,D847&lt;0,E847&lt;0,F847&lt;0),"ERRO: valor negativo",IF(C847&lt;&gt;SUM(D847:F847),"ERRO: categorias diferem dos respondentes",IF(COUNTIFS($A$5:$A$1200,A847,$B$5:$B$1200,B847)&gt;1,"ERRO: período e curso duplicados","OK"))))</f>
        <v/>
      </c>
    </row>
    <row r="848" ht="15" customHeight="1" s="131">
      <c r="A848" s="220" t="n"/>
      <c r="B848" s="222" t="n"/>
      <c r="C848" s="220" t="n"/>
      <c r="D848" s="220" t="n"/>
      <c r="E848" s="220" t="n"/>
      <c r="F848" s="220" t="n"/>
      <c r="G848" s="169">
        <f>IFERROR((D848-F848)/C848*100,"")</f>
        <v/>
      </c>
      <c r="H848" s="219" t="n"/>
      <c r="I848" s="220" t="n"/>
      <c r="J848" s="221">
        <f>IF(COUNTA(A848:F848)=0,"",IF(OR(C848&lt;0,D848&lt;0,E848&lt;0,F848&lt;0),"ERRO: valor negativo",IF(C848&lt;&gt;SUM(D848:F848),"ERRO: categorias diferem dos respondentes",IF(COUNTIFS($A$5:$A$1200,A848,$B$5:$B$1200,B848)&gt;1,"ERRO: período e curso duplicados","OK"))))</f>
        <v/>
      </c>
    </row>
    <row r="849" ht="15" customHeight="1" s="131">
      <c r="A849" s="220" t="n"/>
      <c r="B849" s="222" t="n"/>
      <c r="C849" s="220" t="n"/>
      <c r="D849" s="220" t="n"/>
      <c r="E849" s="220" t="n"/>
      <c r="F849" s="220" t="n"/>
      <c r="G849" s="169">
        <f>IFERROR((D849-F849)/C849*100,"")</f>
        <v/>
      </c>
      <c r="H849" s="219" t="n"/>
      <c r="I849" s="220" t="n"/>
      <c r="J849" s="221">
        <f>IF(COUNTA(A849:F849)=0,"",IF(OR(C849&lt;0,D849&lt;0,E849&lt;0,F849&lt;0),"ERRO: valor negativo",IF(C849&lt;&gt;SUM(D849:F849),"ERRO: categorias diferem dos respondentes",IF(COUNTIFS($A$5:$A$1200,A849,$B$5:$B$1200,B849)&gt;1,"ERRO: período e curso duplicados","OK"))))</f>
        <v/>
      </c>
    </row>
    <row r="850" ht="15" customHeight="1" s="131">
      <c r="A850" s="220" t="n"/>
      <c r="B850" s="222" t="n"/>
      <c r="C850" s="220" t="n"/>
      <c r="D850" s="220" t="n"/>
      <c r="E850" s="220" t="n"/>
      <c r="F850" s="220" t="n"/>
      <c r="G850" s="169">
        <f>IFERROR((D850-F850)/C850*100,"")</f>
        <v/>
      </c>
      <c r="H850" s="219" t="n"/>
      <c r="I850" s="220" t="n"/>
      <c r="J850" s="221">
        <f>IF(COUNTA(A850:F850)=0,"",IF(OR(C850&lt;0,D850&lt;0,E850&lt;0,F850&lt;0),"ERRO: valor negativo",IF(C850&lt;&gt;SUM(D850:F850),"ERRO: categorias diferem dos respondentes",IF(COUNTIFS($A$5:$A$1200,A850,$B$5:$B$1200,B850)&gt;1,"ERRO: período e curso duplicados","OK"))))</f>
        <v/>
      </c>
    </row>
    <row r="851" ht="15" customHeight="1" s="131">
      <c r="A851" s="220" t="n"/>
      <c r="B851" s="222" t="n"/>
      <c r="C851" s="220" t="n"/>
      <c r="D851" s="220" t="n"/>
      <c r="E851" s="220" t="n"/>
      <c r="F851" s="220" t="n"/>
      <c r="G851" s="169">
        <f>IFERROR((D851-F851)/C851*100,"")</f>
        <v/>
      </c>
      <c r="H851" s="219" t="n"/>
      <c r="I851" s="220" t="n"/>
      <c r="J851" s="221">
        <f>IF(COUNTA(A851:F851)=0,"",IF(OR(C851&lt;0,D851&lt;0,E851&lt;0,F851&lt;0),"ERRO: valor negativo",IF(C851&lt;&gt;SUM(D851:F851),"ERRO: categorias diferem dos respondentes",IF(COUNTIFS($A$5:$A$1200,A851,$B$5:$B$1200,B851)&gt;1,"ERRO: período e curso duplicados","OK"))))</f>
        <v/>
      </c>
    </row>
    <row r="852" ht="15" customHeight="1" s="131">
      <c r="A852" s="220" t="n"/>
      <c r="B852" s="222" t="n"/>
      <c r="C852" s="220" t="n"/>
      <c r="D852" s="220" t="n"/>
      <c r="E852" s="220" t="n"/>
      <c r="F852" s="220" t="n"/>
      <c r="G852" s="169">
        <f>IFERROR((D852-F852)/C852*100,"")</f>
        <v/>
      </c>
      <c r="H852" s="219" t="n"/>
      <c r="I852" s="220" t="n"/>
      <c r="J852" s="221">
        <f>IF(COUNTA(A852:F852)=0,"",IF(OR(C852&lt;0,D852&lt;0,E852&lt;0,F852&lt;0),"ERRO: valor negativo",IF(C852&lt;&gt;SUM(D852:F852),"ERRO: categorias diferem dos respondentes",IF(COUNTIFS($A$5:$A$1200,A852,$B$5:$B$1200,B852)&gt;1,"ERRO: período e curso duplicados","OK"))))</f>
        <v/>
      </c>
    </row>
    <row r="853" ht="15" customHeight="1" s="131">
      <c r="A853" s="220" t="n"/>
      <c r="B853" s="222" t="n"/>
      <c r="C853" s="220" t="n"/>
      <c r="D853" s="220" t="n"/>
      <c r="E853" s="220" t="n"/>
      <c r="F853" s="220" t="n"/>
      <c r="G853" s="169">
        <f>IFERROR((D853-F853)/C853*100,"")</f>
        <v/>
      </c>
      <c r="H853" s="219" t="n"/>
      <c r="I853" s="220" t="n"/>
      <c r="J853" s="221">
        <f>IF(COUNTA(A853:F853)=0,"",IF(OR(C853&lt;0,D853&lt;0,E853&lt;0,F853&lt;0),"ERRO: valor negativo",IF(C853&lt;&gt;SUM(D853:F853),"ERRO: categorias diferem dos respondentes",IF(COUNTIFS($A$5:$A$1200,A853,$B$5:$B$1200,B853)&gt;1,"ERRO: período e curso duplicados","OK"))))</f>
        <v/>
      </c>
    </row>
    <row r="854" ht="15" customHeight="1" s="131">
      <c r="A854" s="220" t="n"/>
      <c r="B854" s="222" t="n"/>
      <c r="C854" s="220" t="n"/>
      <c r="D854" s="220" t="n"/>
      <c r="E854" s="220" t="n"/>
      <c r="F854" s="220" t="n"/>
      <c r="G854" s="169">
        <f>IFERROR((D854-F854)/C854*100,"")</f>
        <v/>
      </c>
      <c r="H854" s="219" t="n"/>
      <c r="I854" s="220" t="n"/>
      <c r="J854" s="221">
        <f>IF(COUNTA(A854:F854)=0,"",IF(OR(C854&lt;0,D854&lt;0,E854&lt;0,F854&lt;0),"ERRO: valor negativo",IF(C854&lt;&gt;SUM(D854:F854),"ERRO: categorias diferem dos respondentes",IF(COUNTIFS($A$5:$A$1200,A854,$B$5:$B$1200,B854)&gt;1,"ERRO: período e curso duplicados","OK"))))</f>
        <v/>
      </c>
    </row>
    <row r="855" ht="15" customHeight="1" s="131">
      <c r="A855" s="220" t="n"/>
      <c r="B855" s="222" t="n"/>
      <c r="C855" s="220" t="n"/>
      <c r="D855" s="220" t="n"/>
      <c r="E855" s="220" t="n"/>
      <c r="F855" s="220" t="n"/>
      <c r="G855" s="169">
        <f>IFERROR((D855-F855)/C855*100,"")</f>
        <v/>
      </c>
      <c r="H855" s="219" t="n"/>
      <c r="I855" s="220" t="n"/>
      <c r="J855" s="221">
        <f>IF(COUNTA(A855:F855)=0,"",IF(OR(C855&lt;0,D855&lt;0,E855&lt;0,F855&lt;0),"ERRO: valor negativo",IF(C855&lt;&gt;SUM(D855:F855),"ERRO: categorias diferem dos respondentes",IF(COUNTIFS($A$5:$A$1200,A855,$B$5:$B$1200,B855)&gt;1,"ERRO: período e curso duplicados","OK"))))</f>
        <v/>
      </c>
    </row>
    <row r="856" ht="15" customHeight="1" s="131">
      <c r="A856" s="220" t="n"/>
      <c r="B856" s="222" t="n"/>
      <c r="C856" s="220" t="n"/>
      <c r="D856" s="220" t="n"/>
      <c r="E856" s="220" t="n"/>
      <c r="F856" s="220" t="n"/>
      <c r="G856" s="169">
        <f>IFERROR((D856-F856)/C856*100,"")</f>
        <v/>
      </c>
      <c r="H856" s="219" t="n"/>
      <c r="I856" s="220" t="n"/>
      <c r="J856" s="221">
        <f>IF(COUNTA(A856:F856)=0,"",IF(OR(C856&lt;0,D856&lt;0,E856&lt;0,F856&lt;0),"ERRO: valor negativo",IF(C856&lt;&gt;SUM(D856:F856),"ERRO: categorias diferem dos respondentes",IF(COUNTIFS($A$5:$A$1200,A856,$B$5:$B$1200,B856)&gt;1,"ERRO: período e curso duplicados","OK"))))</f>
        <v/>
      </c>
    </row>
    <row r="857" ht="15" customHeight="1" s="131">
      <c r="A857" s="220" t="n"/>
      <c r="B857" s="222" t="n"/>
      <c r="C857" s="220" t="n"/>
      <c r="D857" s="220" t="n"/>
      <c r="E857" s="220" t="n"/>
      <c r="F857" s="220" t="n"/>
      <c r="G857" s="169">
        <f>IFERROR((D857-F857)/C857*100,"")</f>
        <v/>
      </c>
      <c r="H857" s="219" t="n"/>
      <c r="I857" s="220" t="n"/>
      <c r="J857" s="221">
        <f>IF(COUNTA(A857:F857)=0,"",IF(OR(C857&lt;0,D857&lt;0,E857&lt;0,F857&lt;0),"ERRO: valor negativo",IF(C857&lt;&gt;SUM(D857:F857),"ERRO: categorias diferem dos respondentes",IF(COUNTIFS($A$5:$A$1200,A857,$B$5:$B$1200,B857)&gt;1,"ERRO: período e curso duplicados","OK"))))</f>
        <v/>
      </c>
    </row>
    <row r="858" ht="15" customHeight="1" s="131">
      <c r="A858" s="220" t="n"/>
      <c r="B858" s="222" t="n"/>
      <c r="C858" s="220" t="n"/>
      <c r="D858" s="220" t="n"/>
      <c r="E858" s="220" t="n"/>
      <c r="F858" s="220" t="n"/>
      <c r="G858" s="169">
        <f>IFERROR((D858-F858)/C858*100,"")</f>
        <v/>
      </c>
      <c r="H858" s="219" t="n"/>
      <c r="I858" s="220" t="n"/>
      <c r="J858" s="221">
        <f>IF(COUNTA(A858:F858)=0,"",IF(OR(C858&lt;0,D858&lt;0,E858&lt;0,F858&lt;0),"ERRO: valor negativo",IF(C858&lt;&gt;SUM(D858:F858),"ERRO: categorias diferem dos respondentes",IF(COUNTIFS($A$5:$A$1200,A858,$B$5:$B$1200,B858)&gt;1,"ERRO: período e curso duplicados","OK"))))</f>
        <v/>
      </c>
    </row>
    <row r="859" ht="15" customHeight="1" s="131">
      <c r="A859" s="220" t="n"/>
      <c r="B859" s="222" t="n"/>
      <c r="C859" s="220" t="n"/>
      <c r="D859" s="220" t="n"/>
      <c r="E859" s="220" t="n"/>
      <c r="F859" s="220" t="n"/>
      <c r="G859" s="169">
        <f>IFERROR((D859-F859)/C859*100,"")</f>
        <v/>
      </c>
      <c r="H859" s="219" t="n"/>
      <c r="I859" s="220" t="n"/>
      <c r="J859" s="221">
        <f>IF(COUNTA(A859:F859)=0,"",IF(OR(C859&lt;0,D859&lt;0,E859&lt;0,F859&lt;0),"ERRO: valor negativo",IF(C859&lt;&gt;SUM(D859:F859),"ERRO: categorias diferem dos respondentes",IF(COUNTIFS($A$5:$A$1200,A859,$B$5:$B$1200,B859)&gt;1,"ERRO: período e curso duplicados","OK"))))</f>
        <v/>
      </c>
    </row>
    <row r="860" ht="15" customHeight="1" s="131">
      <c r="A860" s="220" t="n"/>
      <c r="B860" s="222" t="n"/>
      <c r="C860" s="220" t="n"/>
      <c r="D860" s="220" t="n"/>
      <c r="E860" s="220" t="n"/>
      <c r="F860" s="220" t="n"/>
      <c r="G860" s="169">
        <f>IFERROR((D860-F860)/C860*100,"")</f>
        <v/>
      </c>
      <c r="H860" s="219" t="n"/>
      <c r="I860" s="220" t="n"/>
      <c r="J860" s="221">
        <f>IF(COUNTA(A860:F860)=0,"",IF(OR(C860&lt;0,D860&lt;0,E860&lt;0,F860&lt;0),"ERRO: valor negativo",IF(C860&lt;&gt;SUM(D860:F860),"ERRO: categorias diferem dos respondentes",IF(COUNTIFS($A$5:$A$1200,A860,$B$5:$B$1200,B860)&gt;1,"ERRO: período e curso duplicados","OK"))))</f>
        <v/>
      </c>
    </row>
    <row r="861" ht="15" customHeight="1" s="131">
      <c r="A861" s="220" t="n"/>
      <c r="B861" s="222" t="n"/>
      <c r="C861" s="220" t="n"/>
      <c r="D861" s="220" t="n"/>
      <c r="E861" s="220" t="n"/>
      <c r="F861" s="220" t="n"/>
      <c r="G861" s="169">
        <f>IFERROR((D861-F861)/C861*100,"")</f>
        <v/>
      </c>
      <c r="H861" s="219" t="n"/>
      <c r="I861" s="220" t="n"/>
      <c r="J861" s="221">
        <f>IF(COUNTA(A861:F861)=0,"",IF(OR(C861&lt;0,D861&lt;0,E861&lt;0,F861&lt;0),"ERRO: valor negativo",IF(C861&lt;&gt;SUM(D861:F861),"ERRO: categorias diferem dos respondentes",IF(COUNTIFS($A$5:$A$1200,A861,$B$5:$B$1200,B861)&gt;1,"ERRO: período e curso duplicados","OK"))))</f>
        <v/>
      </c>
    </row>
    <row r="862" ht="15" customHeight="1" s="131">
      <c r="A862" s="220" t="n"/>
      <c r="B862" s="222" t="n"/>
      <c r="C862" s="220" t="n"/>
      <c r="D862" s="220" t="n"/>
      <c r="E862" s="220" t="n"/>
      <c r="F862" s="220" t="n"/>
      <c r="G862" s="169">
        <f>IFERROR((D862-F862)/C862*100,"")</f>
        <v/>
      </c>
      <c r="H862" s="219" t="n"/>
      <c r="I862" s="220" t="n"/>
      <c r="J862" s="221">
        <f>IF(COUNTA(A862:F862)=0,"",IF(OR(C862&lt;0,D862&lt;0,E862&lt;0,F862&lt;0),"ERRO: valor negativo",IF(C862&lt;&gt;SUM(D862:F862),"ERRO: categorias diferem dos respondentes",IF(COUNTIFS($A$5:$A$1200,A862,$B$5:$B$1200,B862)&gt;1,"ERRO: período e curso duplicados","OK"))))</f>
        <v/>
      </c>
    </row>
    <row r="863" ht="15" customHeight="1" s="131">
      <c r="A863" s="220" t="n"/>
      <c r="B863" s="222" t="n"/>
      <c r="C863" s="220" t="n"/>
      <c r="D863" s="220" t="n"/>
      <c r="E863" s="220" t="n"/>
      <c r="F863" s="220" t="n"/>
      <c r="G863" s="169">
        <f>IFERROR((D863-F863)/C863*100,"")</f>
        <v/>
      </c>
      <c r="H863" s="219" t="n"/>
      <c r="I863" s="220" t="n"/>
      <c r="J863" s="221">
        <f>IF(COUNTA(A863:F863)=0,"",IF(OR(C863&lt;0,D863&lt;0,E863&lt;0,F863&lt;0),"ERRO: valor negativo",IF(C863&lt;&gt;SUM(D863:F863),"ERRO: categorias diferem dos respondentes",IF(COUNTIFS($A$5:$A$1200,A863,$B$5:$B$1200,B863)&gt;1,"ERRO: período e curso duplicados","OK"))))</f>
        <v/>
      </c>
    </row>
    <row r="864" ht="15" customHeight="1" s="131">
      <c r="A864" s="220" t="n"/>
      <c r="B864" s="222" t="n"/>
      <c r="C864" s="220" t="n"/>
      <c r="D864" s="220" t="n"/>
      <c r="E864" s="220" t="n"/>
      <c r="F864" s="220" t="n"/>
      <c r="G864" s="169">
        <f>IFERROR((D864-F864)/C864*100,"")</f>
        <v/>
      </c>
      <c r="H864" s="219" t="n"/>
      <c r="I864" s="220" t="n"/>
      <c r="J864" s="221">
        <f>IF(COUNTA(A864:F864)=0,"",IF(OR(C864&lt;0,D864&lt;0,E864&lt;0,F864&lt;0),"ERRO: valor negativo",IF(C864&lt;&gt;SUM(D864:F864),"ERRO: categorias diferem dos respondentes",IF(COUNTIFS($A$5:$A$1200,A864,$B$5:$B$1200,B864)&gt;1,"ERRO: período e curso duplicados","OK"))))</f>
        <v/>
      </c>
    </row>
    <row r="865" ht="15" customHeight="1" s="131">
      <c r="A865" s="220" t="n"/>
      <c r="B865" s="222" t="n"/>
      <c r="C865" s="220" t="n"/>
      <c r="D865" s="220" t="n"/>
      <c r="E865" s="220" t="n"/>
      <c r="F865" s="220" t="n"/>
      <c r="G865" s="169">
        <f>IFERROR((D865-F865)/C865*100,"")</f>
        <v/>
      </c>
      <c r="H865" s="219" t="n"/>
      <c r="I865" s="220" t="n"/>
      <c r="J865" s="221">
        <f>IF(COUNTA(A865:F865)=0,"",IF(OR(C865&lt;0,D865&lt;0,E865&lt;0,F865&lt;0),"ERRO: valor negativo",IF(C865&lt;&gt;SUM(D865:F865),"ERRO: categorias diferem dos respondentes",IF(COUNTIFS($A$5:$A$1200,A865,$B$5:$B$1200,B865)&gt;1,"ERRO: período e curso duplicados","OK"))))</f>
        <v/>
      </c>
    </row>
    <row r="866" ht="15" customHeight="1" s="131">
      <c r="A866" s="220" t="n"/>
      <c r="B866" s="222" t="n"/>
      <c r="C866" s="220" t="n"/>
      <c r="D866" s="220" t="n"/>
      <c r="E866" s="220" t="n"/>
      <c r="F866" s="220" t="n"/>
      <c r="G866" s="169">
        <f>IFERROR((D866-F866)/C866*100,"")</f>
        <v/>
      </c>
      <c r="H866" s="219" t="n"/>
      <c r="I866" s="220" t="n"/>
      <c r="J866" s="221">
        <f>IF(COUNTA(A866:F866)=0,"",IF(OR(C866&lt;0,D866&lt;0,E866&lt;0,F866&lt;0),"ERRO: valor negativo",IF(C866&lt;&gt;SUM(D866:F866),"ERRO: categorias diferem dos respondentes",IF(COUNTIFS($A$5:$A$1200,A866,$B$5:$B$1200,B866)&gt;1,"ERRO: período e curso duplicados","OK"))))</f>
        <v/>
      </c>
    </row>
    <row r="867" ht="15" customHeight="1" s="131">
      <c r="A867" s="220" t="n"/>
      <c r="B867" s="222" t="n"/>
      <c r="C867" s="220" t="n"/>
      <c r="D867" s="220" t="n"/>
      <c r="E867" s="220" t="n"/>
      <c r="F867" s="220" t="n"/>
      <c r="G867" s="169">
        <f>IFERROR((D867-F867)/C867*100,"")</f>
        <v/>
      </c>
      <c r="H867" s="219" t="n"/>
      <c r="I867" s="220" t="n"/>
      <c r="J867" s="221">
        <f>IF(COUNTA(A867:F867)=0,"",IF(OR(C867&lt;0,D867&lt;0,E867&lt;0,F867&lt;0),"ERRO: valor negativo",IF(C867&lt;&gt;SUM(D867:F867),"ERRO: categorias diferem dos respondentes",IF(COUNTIFS($A$5:$A$1200,A867,$B$5:$B$1200,B867)&gt;1,"ERRO: período e curso duplicados","OK"))))</f>
        <v/>
      </c>
    </row>
    <row r="868" ht="15" customHeight="1" s="131">
      <c r="A868" s="220" t="n"/>
      <c r="B868" s="222" t="n"/>
      <c r="C868" s="220" t="n"/>
      <c r="D868" s="220" t="n"/>
      <c r="E868" s="220" t="n"/>
      <c r="F868" s="220" t="n"/>
      <c r="G868" s="169">
        <f>IFERROR((D868-F868)/C868*100,"")</f>
        <v/>
      </c>
      <c r="H868" s="219" t="n"/>
      <c r="I868" s="220" t="n"/>
      <c r="J868" s="221">
        <f>IF(COUNTA(A868:F868)=0,"",IF(OR(C868&lt;0,D868&lt;0,E868&lt;0,F868&lt;0),"ERRO: valor negativo",IF(C868&lt;&gt;SUM(D868:F868),"ERRO: categorias diferem dos respondentes",IF(COUNTIFS($A$5:$A$1200,A868,$B$5:$B$1200,B868)&gt;1,"ERRO: período e curso duplicados","OK"))))</f>
        <v/>
      </c>
    </row>
    <row r="869" ht="15" customHeight="1" s="131">
      <c r="A869" s="220" t="n"/>
      <c r="B869" s="222" t="n"/>
      <c r="C869" s="220" t="n"/>
      <c r="D869" s="220" t="n"/>
      <c r="E869" s="220" t="n"/>
      <c r="F869" s="220" t="n"/>
      <c r="G869" s="169">
        <f>IFERROR((D869-F869)/C869*100,"")</f>
        <v/>
      </c>
      <c r="H869" s="219" t="n"/>
      <c r="I869" s="220" t="n"/>
      <c r="J869" s="221">
        <f>IF(COUNTA(A869:F869)=0,"",IF(OR(C869&lt;0,D869&lt;0,E869&lt;0,F869&lt;0),"ERRO: valor negativo",IF(C869&lt;&gt;SUM(D869:F869),"ERRO: categorias diferem dos respondentes",IF(COUNTIFS($A$5:$A$1200,A869,$B$5:$B$1200,B869)&gt;1,"ERRO: período e curso duplicados","OK"))))</f>
        <v/>
      </c>
    </row>
    <row r="870" ht="15" customHeight="1" s="131">
      <c r="A870" s="220" t="n"/>
      <c r="B870" s="222" t="n"/>
      <c r="C870" s="220" t="n"/>
      <c r="D870" s="220" t="n"/>
      <c r="E870" s="220" t="n"/>
      <c r="F870" s="220" t="n"/>
      <c r="G870" s="169">
        <f>IFERROR((D870-F870)/C870*100,"")</f>
        <v/>
      </c>
      <c r="H870" s="219" t="n"/>
      <c r="I870" s="220" t="n"/>
      <c r="J870" s="221">
        <f>IF(COUNTA(A870:F870)=0,"",IF(OR(C870&lt;0,D870&lt;0,E870&lt;0,F870&lt;0),"ERRO: valor negativo",IF(C870&lt;&gt;SUM(D870:F870),"ERRO: categorias diferem dos respondentes",IF(COUNTIFS($A$5:$A$1200,A870,$B$5:$B$1200,B870)&gt;1,"ERRO: período e curso duplicados","OK"))))</f>
        <v/>
      </c>
    </row>
    <row r="871" ht="15" customHeight="1" s="131">
      <c r="A871" s="220" t="n"/>
      <c r="B871" s="222" t="n"/>
      <c r="C871" s="220" t="n"/>
      <c r="D871" s="220" t="n"/>
      <c r="E871" s="220" t="n"/>
      <c r="F871" s="220" t="n"/>
      <c r="G871" s="169">
        <f>IFERROR((D871-F871)/C871*100,"")</f>
        <v/>
      </c>
      <c r="H871" s="219" t="n"/>
      <c r="I871" s="220" t="n"/>
      <c r="J871" s="221">
        <f>IF(COUNTA(A871:F871)=0,"",IF(OR(C871&lt;0,D871&lt;0,E871&lt;0,F871&lt;0),"ERRO: valor negativo",IF(C871&lt;&gt;SUM(D871:F871),"ERRO: categorias diferem dos respondentes",IF(COUNTIFS($A$5:$A$1200,A871,$B$5:$B$1200,B871)&gt;1,"ERRO: período e curso duplicados","OK"))))</f>
        <v/>
      </c>
    </row>
    <row r="872" ht="15" customHeight="1" s="131">
      <c r="A872" s="220" t="n"/>
      <c r="B872" s="222" t="n"/>
      <c r="C872" s="220" t="n"/>
      <c r="D872" s="220" t="n"/>
      <c r="E872" s="220" t="n"/>
      <c r="F872" s="220" t="n"/>
      <c r="G872" s="169">
        <f>IFERROR((D872-F872)/C872*100,"")</f>
        <v/>
      </c>
      <c r="H872" s="219" t="n"/>
      <c r="I872" s="220" t="n"/>
      <c r="J872" s="221">
        <f>IF(COUNTA(A872:F872)=0,"",IF(OR(C872&lt;0,D872&lt;0,E872&lt;0,F872&lt;0),"ERRO: valor negativo",IF(C872&lt;&gt;SUM(D872:F872),"ERRO: categorias diferem dos respondentes",IF(COUNTIFS($A$5:$A$1200,A872,$B$5:$B$1200,B872)&gt;1,"ERRO: período e curso duplicados","OK"))))</f>
        <v/>
      </c>
    </row>
    <row r="873" ht="15" customHeight="1" s="131">
      <c r="A873" s="220" t="n"/>
      <c r="B873" s="222" t="n"/>
      <c r="C873" s="220" t="n"/>
      <c r="D873" s="220" t="n"/>
      <c r="E873" s="220" t="n"/>
      <c r="F873" s="220" t="n"/>
      <c r="G873" s="169">
        <f>IFERROR((D873-F873)/C873*100,"")</f>
        <v/>
      </c>
      <c r="H873" s="219" t="n"/>
      <c r="I873" s="220" t="n"/>
      <c r="J873" s="221">
        <f>IF(COUNTA(A873:F873)=0,"",IF(OR(C873&lt;0,D873&lt;0,E873&lt;0,F873&lt;0),"ERRO: valor negativo",IF(C873&lt;&gt;SUM(D873:F873),"ERRO: categorias diferem dos respondentes",IF(COUNTIFS($A$5:$A$1200,A873,$B$5:$B$1200,B873)&gt;1,"ERRO: período e curso duplicados","OK"))))</f>
        <v/>
      </c>
    </row>
    <row r="874" ht="15" customHeight="1" s="131">
      <c r="A874" s="220" t="n"/>
      <c r="B874" s="222" t="n"/>
      <c r="C874" s="220" t="n"/>
      <c r="D874" s="220" t="n"/>
      <c r="E874" s="220" t="n"/>
      <c r="F874" s="220" t="n"/>
      <c r="G874" s="169">
        <f>IFERROR((D874-F874)/C874*100,"")</f>
        <v/>
      </c>
      <c r="H874" s="219" t="n"/>
      <c r="I874" s="220" t="n"/>
      <c r="J874" s="221">
        <f>IF(COUNTA(A874:F874)=0,"",IF(OR(C874&lt;0,D874&lt;0,E874&lt;0,F874&lt;0),"ERRO: valor negativo",IF(C874&lt;&gt;SUM(D874:F874),"ERRO: categorias diferem dos respondentes",IF(COUNTIFS($A$5:$A$1200,A874,$B$5:$B$1200,B874)&gt;1,"ERRO: período e curso duplicados","OK"))))</f>
        <v/>
      </c>
    </row>
    <row r="875" ht="15" customHeight="1" s="131">
      <c r="A875" s="220" t="n"/>
      <c r="B875" s="222" t="n"/>
      <c r="C875" s="220" t="n"/>
      <c r="D875" s="220" t="n"/>
      <c r="E875" s="220" t="n"/>
      <c r="F875" s="220" t="n"/>
      <c r="G875" s="169">
        <f>IFERROR((D875-F875)/C875*100,"")</f>
        <v/>
      </c>
      <c r="H875" s="219" t="n"/>
      <c r="I875" s="220" t="n"/>
      <c r="J875" s="221">
        <f>IF(COUNTA(A875:F875)=0,"",IF(OR(C875&lt;0,D875&lt;0,E875&lt;0,F875&lt;0),"ERRO: valor negativo",IF(C875&lt;&gt;SUM(D875:F875),"ERRO: categorias diferem dos respondentes",IF(COUNTIFS($A$5:$A$1200,A875,$B$5:$B$1200,B875)&gt;1,"ERRO: período e curso duplicados","OK"))))</f>
        <v/>
      </c>
    </row>
    <row r="876" ht="15" customHeight="1" s="131">
      <c r="A876" s="220" t="n"/>
      <c r="B876" s="222" t="n"/>
      <c r="C876" s="220" t="n"/>
      <c r="D876" s="220" t="n"/>
      <c r="E876" s="220" t="n"/>
      <c r="F876" s="220" t="n"/>
      <c r="G876" s="169">
        <f>IFERROR((D876-F876)/C876*100,"")</f>
        <v/>
      </c>
      <c r="H876" s="219" t="n"/>
      <c r="I876" s="220" t="n"/>
      <c r="J876" s="221">
        <f>IF(COUNTA(A876:F876)=0,"",IF(OR(C876&lt;0,D876&lt;0,E876&lt;0,F876&lt;0),"ERRO: valor negativo",IF(C876&lt;&gt;SUM(D876:F876),"ERRO: categorias diferem dos respondentes",IF(COUNTIFS($A$5:$A$1200,A876,$B$5:$B$1200,B876)&gt;1,"ERRO: período e curso duplicados","OK"))))</f>
        <v/>
      </c>
    </row>
    <row r="877" ht="15" customHeight="1" s="131">
      <c r="A877" s="220" t="n"/>
      <c r="B877" s="222" t="n"/>
      <c r="C877" s="220" t="n"/>
      <c r="D877" s="220" t="n"/>
      <c r="E877" s="220" t="n"/>
      <c r="F877" s="220" t="n"/>
      <c r="G877" s="169">
        <f>IFERROR((D877-F877)/C877*100,"")</f>
        <v/>
      </c>
      <c r="H877" s="219" t="n"/>
      <c r="I877" s="220" t="n"/>
      <c r="J877" s="221">
        <f>IF(COUNTA(A877:F877)=0,"",IF(OR(C877&lt;0,D877&lt;0,E877&lt;0,F877&lt;0),"ERRO: valor negativo",IF(C877&lt;&gt;SUM(D877:F877),"ERRO: categorias diferem dos respondentes",IF(COUNTIFS($A$5:$A$1200,A877,$B$5:$B$1200,B877)&gt;1,"ERRO: período e curso duplicados","OK"))))</f>
        <v/>
      </c>
    </row>
    <row r="878" ht="15" customHeight="1" s="131">
      <c r="A878" s="220" t="n"/>
      <c r="B878" s="222" t="n"/>
      <c r="C878" s="220" t="n"/>
      <c r="D878" s="220" t="n"/>
      <c r="E878" s="220" t="n"/>
      <c r="F878" s="220" t="n"/>
      <c r="G878" s="169">
        <f>IFERROR((D878-F878)/C878*100,"")</f>
        <v/>
      </c>
      <c r="H878" s="219" t="n"/>
      <c r="I878" s="220" t="n"/>
      <c r="J878" s="221">
        <f>IF(COUNTA(A878:F878)=0,"",IF(OR(C878&lt;0,D878&lt;0,E878&lt;0,F878&lt;0),"ERRO: valor negativo",IF(C878&lt;&gt;SUM(D878:F878),"ERRO: categorias diferem dos respondentes",IF(COUNTIFS($A$5:$A$1200,A878,$B$5:$B$1200,B878)&gt;1,"ERRO: período e curso duplicados","OK"))))</f>
        <v/>
      </c>
    </row>
    <row r="879" ht="15" customHeight="1" s="131">
      <c r="A879" s="220" t="n"/>
      <c r="B879" s="222" t="n"/>
      <c r="C879" s="220" t="n"/>
      <c r="D879" s="220" t="n"/>
      <c r="E879" s="220" t="n"/>
      <c r="F879" s="220" t="n"/>
      <c r="G879" s="169">
        <f>IFERROR((D879-F879)/C879*100,"")</f>
        <v/>
      </c>
      <c r="H879" s="219" t="n"/>
      <c r="I879" s="220" t="n"/>
      <c r="J879" s="221">
        <f>IF(COUNTA(A879:F879)=0,"",IF(OR(C879&lt;0,D879&lt;0,E879&lt;0,F879&lt;0),"ERRO: valor negativo",IF(C879&lt;&gt;SUM(D879:F879),"ERRO: categorias diferem dos respondentes",IF(COUNTIFS($A$5:$A$1200,A879,$B$5:$B$1200,B879)&gt;1,"ERRO: período e curso duplicados","OK"))))</f>
        <v/>
      </c>
    </row>
    <row r="880" ht="15" customHeight="1" s="131">
      <c r="A880" s="220" t="n"/>
      <c r="B880" s="222" t="n"/>
      <c r="C880" s="220" t="n"/>
      <c r="D880" s="220" t="n"/>
      <c r="E880" s="220" t="n"/>
      <c r="F880" s="220" t="n"/>
      <c r="G880" s="169">
        <f>IFERROR((D880-F880)/C880*100,"")</f>
        <v/>
      </c>
      <c r="H880" s="219" t="n"/>
      <c r="I880" s="220" t="n"/>
      <c r="J880" s="221">
        <f>IF(COUNTA(A880:F880)=0,"",IF(OR(C880&lt;0,D880&lt;0,E880&lt;0,F880&lt;0),"ERRO: valor negativo",IF(C880&lt;&gt;SUM(D880:F880),"ERRO: categorias diferem dos respondentes",IF(COUNTIFS($A$5:$A$1200,A880,$B$5:$B$1200,B880)&gt;1,"ERRO: período e curso duplicados","OK"))))</f>
        <v/>
      </c>
    </row>
    <row r="881" ht="15" customHeight="1" s="131">
      <c r="A881" s="220" t="n"/>
      <c r="B881" s="222" t="n"/>
      <c r="C881" s="220" t="n"/>
      <c r="D881" s="220" t="n"/>
      <c r="E881" s="220" t="n"/>
      <c r="F881" s="220" t="n"/>
      <c r="G881" s="169">
        <f>IFERROR((D881-F881)/C881*100,"")</f>
        <v/>
      </c>
      <c r="H881" s="219" t="n"/>
      <c r="I881" s="220" t="n"/>
      <c r="J881" s="221">
        <f>IF(COUNTA(A881:F881)=0,"",IF(OR(C881&lt;0,D881&lt;0,E881&lt;0,F881&lt;0),"ERRO: valor negativo",IF(C881&lt;&gt;SUM(D881:F881),"ERRO: categorias diferem dos respondentes",IF(COUNTIFS($A$5:$A$1200,A881,$B$5:$B$1200,B881)&gt;1,"ERRO: período e curso duplicados","OK"))))</f>
        <v/>
      </c>
    </row>
    <row r="882" ht="15" customHeight="1" s="131">
      <c r="A882" s="220" t="n"/>
      <c r="B882" s="222" t="n"/>
      <c r="C882" s="220" t="n"/>
      <c r="D882" s="220" t="n"/>
      <c r="E882" s="220" t="n"/>
      <c r="F882" s="220" t="n"/>
      <c r="G882" s="169">
        <f>IFERROR((D882-F882)/C882*100,"")</f>
        <v/>
      </c>
      <c r="H882" s="219" t="n"/>
      <c r="I882" s="220" t="n"/>
      <c r="J882" s="221">
        <f>IF(COUNTA(A882:F882)=0,"",IF(OR(C882&lt;0,D882&lt;0,E882&lt;0,F882&lt;0),"ERRO: valor negativo",IF(C882&lt;&gt;SUM(D882:F882),"ERRO: categorias diferem dos respondentes",IF(COUNTIFS($A$5:$A$1200,A882,$B$5:$B$1200,B882)&gt;1,"ERRO: período e curso duplicados","OK"))))</f>
        <v/>
      </c>
    </row>
    <row r="883" ht="15" customHeight="1" s="131">
      <c r="A883" s="220" t="n"/>
      <c r="B883" s="222" t="n"/>
      <c r="C883" s="220" t="n"/>
      <c r="D883" s="220" t="n"/>
      <c r="E883" s="220" t="n"/>
      <c r="F883" s="220" t="n"/>
      <c r="G883" s="169">
        <f>IFERROR((D883-F883)/C883*100,"")</f>
        <v/>
      </c>
      <c r="H883" s="219" t="n"/>
      <c r="I883" s="220" t="n"/>
      <c r="J883" s="221">
        <f>IF(COUNTA(A883:F883)=0,"",IF(OR(C883&lt;0,D883&lt;0,E883&lt;0,F883&lt;0),"ERRO: valor negativo",IF(C883&lt;&gt;SUM(D883:F883),"ERRO: categorias diferem dos respondentes",IF(COUNTIFS($A$5:$A$1200,A883,$B$5:$B$1200,B883)&gt;1,"ERRO: período e curso duplicados","OK"))))</f>
        <v/>
      </c>
    </row>
    <row r="884" ht="15" customHeight="1" s="131">
      <c r="A884" s="220" t="n"/>
      <c r="B884" s="222" t="n"/>
      <c r="C884" s="220" t="n"/>
      <c r="D884" s="220" t="n"/>
      <c r="E884" s="220" t="n"/>
      <c r="F884" s="220" t="n"/>
      <c r="G884" s="169">
        <f>IFERROR((D884-F884)/C884*100,"")</f>
        <v/>
      </c>
      <c r="H884" s="219" t="n"/>
      <c r="I884" s="220" t="n"/>
      <c r="J884" s="221">
        <f>IF(COUNTA(A884:F884)=0,"",IF(OR(C884&lt;0,D884&lt;0,E884&lt;0,F884&lt;0),"ERRO: valor negativo",IF(C884&lt;&gt;SUM(D884:F884),"ERRO: categorias diferem dos respondentes",IF(COUNTIFS($A$5:$A$1200,A884,$B$5:$B$1200,B884)&gt;1,"ERRO: período e curso duplicados","OK"))))</f>
        <v/>
      </c>
    </row>
    <row r="885" ht="15" customHeight="1" s="131">
      <c r="A885" s="220" t="n"/>
      <c r="B885" s="222" t="n"/>
      <c r="C885" s="220" t="n"/>
      <c r="D885" s="220" t="n"/>
      <c r="E885" s="220" t="n"/>
      <c r="F885" s="220" t="n"/>
      <c r="G885" s="169">
        <f>IFERROR((D885-F885)/C885*100,"")</f>
        <v/>
      </c>
      <c r="H885" s="219" t="n"/>
      <c r="I885" s="220" t="n"/>
      <c r="J885" s="221">
        <f>IF(COUNTA(A885:F885)=0,"",IF(OR(C885&lt;0,D885&lt;0,E885&lt;0,F885&lt;0),"ERRO: valor negativo",IF(C885&lt;&gt;SUM(D885:F885),"ERRO: categorias diferem dos respondentes",IF(COUNTIFS($A$5:$A$1200,A885,$B$5:$B$1200,B885)&gt;1,"ERRO: período e curso duplicados","OK"))))</f>
        <v/>
      </c>
    </row>
    <row r="886" ht="15" customHeight="1" s="131">
      <c r="A886" s="220" t="n"/>
      <c r="B886" s="222" t="n"/>
      <c r="C886" s="220" t="n"/>
      <c r="D886" s="220" t="n"/>
      <c r="E886" s="220" t="n"/>
      <c r="F886" s="220" t="n"/>
      <c r="G886" s="169">
        <f>IFERROR((D886-F886)/C886*100,"")</f>
        <v/>
      </c>
      <c r="H886" s="219" t="n"/>
      <c r="I886" s="220" t="n"/>
      <c r="J886" s="221">
        <f>IF(COUNTA(A886:F886)=0,"",IF(OR(C886&lt;0,D886&lt;0,E886&lt;0,F886&lt;0),"ERRO: valor negativo",IF(C886&lt;&gt;SUM(D886:F886),"ERRO: categorias diferem dos respondentes",IF(COUNTIFS($A$5:$A$1200,A886,$B$5:$B$1200,B886)&gt;1,"ERRO: período e curso duplicados","OK"))))</f>
        <v/>
      </c>
    </row>
    <row r="887" ht="15" customHeight="1" s="131">
      <c r="A887" s="220" t="n"/>
      <c r="B887" s="222" t="n"/>
      <c r="C887" s="220" t="n"/>
      <c r="D887" s="220" t="n"/>
      <c r="E887" s="220" t="n"/>
      <c r="F887" s="220" t="n"/>
      <c r="G887" s="169">
        <f>IFERROR((D887-F887)/C887*100,"")</f>
        <v/>
      </c>
      <c r="H887" s="219" t="n"/>
      <c r="I887" s="220" t="n"/>
      <c r="J887" s="221">
        <f>IF(COUNTA(A887:F887)=0,"",IF(OR(C887&lt;0,D887&lt;0,E887&lt;0,F887&lt;0),"ERRO: valor negativo",IF(C887&lt;&gt;SUM(D887:F887),"ERRO: categorias diferem dos respondentes",IF(COUNTIFS($A$5:$A$1200,A887,$B$5:$B$1200,B887)&gt;1,"ERRO: período e curso duplicados","OK"))))</f>
        <v/>
      </c>
    </row>
    <row r="888" ht="15" customHeight="1" s="131">
      <c r="A888" s="220" t="n"/>
      <c r="B888" s="222" t="n"/>
      <c r="C888" s="220" t="n"/>
      <c r="D888" s="220" t="n"/>
      <c r="E888" s="220" t="n"/>
      <c r="F888" s="220" t="n"/>
      <c r="G888" s="169">
        <f>IFERROR((D888-F888)/C888*100,"")</f>
        <v/>
      </c>
      <c r="H888" s="219" t="n"/>
      <c r="I888" s="220" t="n"/>
      <c r="J888" s="221">
        <f>IF(COUNTA(A888:F888)=0,"",IF(OR(C888&lt;0,D888&lt;0,E888&lt;0,F888&lt;0),"ERRO: valor negativo",IF(C888&lt;&gt;SUM(D888:F888),"ERRO: categorias diferem dos respondentes",IF(COUNTIFS($A$5:$A$1200,A888,$B$5:$B$1200,B888)&gt;1,"ERRO: período e curso duplicados","OK"))))</f>
        <v/>
      </c>
    </row>
    <row r="889" ht="15" customHeight="1" s="131">
      <c r="A889" s="220" t="n"/>
      <c r="B889" s="222" t="n"/>
      <c r="C889" s="220" t="n"/>
      <c r="D889" s="220" t="n"/>
      <c r="E889" s="220" t="n"/>
      <c r="F889" s="220" t="n"/>
      <c r="G889" s="169">
        <f>IFERROR((D889-F889)/C889*100,"")</f>
        <v/>
      </c>
      <c r="H889" s="219" t="n"/>
      <c r="I889" s="220" t="n"/>
      <c r="J889" s="221">
        <f>IF(COUNTA(A889:F889)=0,"",IF(OR(C889&lt;0,D889&lt;0,E889&lt;0,F889&lt;0),"ERRO: valor negativo",IF(C889&lt;&gt;SUM(D889:F889),"ERRO: categorias diferem dos respondentes",IF(COUNTIFS($A$5:$A$1200,A889,$B$5:$B$1200,B889)&gt;1,"ERRO: período e curso duplicados","OK"))))</f>
        <v/>
      </c>
    </row>
    <row r="890" ht="15" customHeight="1" s="131">
      <c r="A890" s="220" t="n"/>
      <c r="B890" s="222" t="n"/>
      <c r="C890" s="220" t="n"/>
      <c r="D890" s="220" t="n"/>
      <c r="E890" s="220" t="n"/>
      <c r="F890" s="220" t="n"/>
      <c r="G890" s="169">
        <f>IFERROR((D890-F890)/C890*100,"")</f>
        <v/>
      </c>
      <c r="H890" s="219" t="n"/>
      <c r="I890" s="220" t="n"/>
      <c r="J890" s="221">
        <f>IF(COUNTA(A890:F890)=0,"",IF(OR(C890&lt;0,D890&lt;0,E890&lt;0,F890&lt;0),"ERRO: valor negativo",IF(C890&lt;&gt;SUM(D890:F890),"ERRO: categorias diferem dos respondentes",IF(COUNTIFS($A$5:$A$1200,A890,$B$5:$B$1200,B890)&gt;1,"ERRO: período e curso duplicados","OK"))))</f>
        <v/>
      </c>
    </row>
    <row r="891" ht="15" customHeight="1" s="131">
      <c r="A891" s="220" t="n"/>
      <c r="B891" s="222" t="n"/>
      <c r="C891" s="220" t="n"/>
      <c r="D891" s="220" t="n"/>
      <c r="E891" s="220" t="n"/>
      <c r="F891" s="220" t="n"/>
      <c r="G891" s="169">
        <f>IFERROR((D891-F891)/C891*100,"")</f>
        <v/>
      </c>
      <c r="H891" s="219" t="n"/>
      <c r="I891" s="220" t="n"/>
      <c r="J891" s="221">
        <f>IF(COUNTA(A891:F891)=0,"",IF(OR(C891&lt;0,D891&lt;0,E891&lt;0,F891&lt;0),"ERRO: valor negativo",IF(C891&lt;&gt;SUM(D891:F891),"ERRO: categorias diferem dos respondentes",IF(COUNTIFS($A$5:$A$1200,A891,$B$5:$B$1200,B891)&gt;1,"ERRO: período e curso duplicados","OK"))))</f>
        <v/>
      </c>
    </row>
    <row r="892" ht="15" customHeight="1" s="131">
      <c r="A892" s="220" t="n"/>
      <c r="B892" s="222" t="n"/>
      <c r="C892" s="220" t="n"/>
      <c r="D892" s="220" t="n"/>
      <c r="E892" s="220" t="n"/>
      <c r="F892" s="220" t="n"/>
      <c r="G892" s="169">
        <f>IFERROR((D892-F892)/C892*100,"")</f>
        <v/>
      </c>
      <c r="H892" s="219" t="n"/>
      <c r="I892" s="220" t="n"/>
      <c r="J892" s="221">
        <f>IF(COUNTA(A892:F892)=0,"",IF(OR(C892&lt;0,D892&lt;0,E892&lt;0,F892&lt;0),"ERRO: valor negativo",IF(C892&lt;&gt;SUM(D892:F892),"ERRO: categorias diferem dos respondentes",IF(COUNTIFS($A$5:$A$1200,A892,$B$5:$B$1200,B892)&gt;1,"ERRO: período e curso duplicados","OK"))))</f>
        <v/>
      </c>
    </row>
    <row r="893" ht="15" customHeight="1" s="131">
      <c r="A893" s="220" t="n"/>
      <c r="B893" s="222" t="n"/>
      <c r="C893" s="220" t="n"/>
      <c r="D893" s="220" t="n"/>
      <c r="E893" s="220" t="n"/>
      <c r="F893" s="220" t="n"/>
      <c r="G893" s="169">
        <f>IFERROR((D893-F893)/C893*100,"")</f>
        <v/>
      </c>
      <c r="H893" s="219" t="n"/>
      <c r="I893" s="220" t="n"/>
      <c r="J893" s="221">
        <f>IF(COUNTA(A893:F893)=0,"",IF(OR(C893&lt;0,D893&lt;0,E893&lt;0,F893&lt;0),"ERRO: valor negativo",IF(C893&lt;&gt;SUM(D893:F893),"ERRO: categorias diferem dos respondentes",IF(COUNTIFS($A$5:$A$1200,A893,$B$5:$B$1200,B893)&gt;1,"ERRO: período e curso duplicados","OK"))))</f>
        <v/>
      </c>
    </row>
    <row r="894" ht="15" customHeight="1" s="131">
      <c r="A894" s="220" t="n"/>
      <c r="B894" s="222" t="n"/>
      <c r="C894" s="220" t="n"/>
      <c r="D894" s="220" t="n"/>
      <c r="E894" s="220" t="n"/>
      <c r="F894" s="220" t="n"/>
      <c r="G894" s="169">
        <f>IFERROR((D894-F894)/C894*100,"")</f>
        <v/>
      </c>
      <c r="H894" s="219" t="n"/>
      <c r="I894" s="220" t="n"/>
      <c r="J894" s="221">
        <f>IF(COUNTA(A894:F894)=0,"",IF(OR(C894&lt;0,D894&lt;0,E894&lt;0,F894&lt;0),"ERRO: valor negativo",IF(C894&lt;&gt;SUM(D894:F894),"ERRO: categorias diferem dos respondentes",IF(COUNTIFS($A$5:$A$1200,A894,$B$5:$B$1200,B894)&gt;1,"ERRO: período e curso duplicados","OK"))))</f>
        <v/>
      </c>
    </row>
    <row r="895" ht="15" customHeight="1" s="131">
      <c r="A895" s="220" t="n"/>
      <c r="B895" s="222" t="n"/>
      <c r="C895" s="220" t="n"/>
      <c r="D895" s="220" t="n"/>
      <c r="E895" s="220" t="n"/>
      <c r="F895" s="220" t="n"/>
      <c r="G895" s="169">
        <f>IFERROR((D895-F895)/C895*100,"")</f>
        <v/>
      </c>
      <c r="H895" s="219" t="n"/>
      <c r="I895" s="220" t="n"/>
      <c r="J895" s="221">
        <f>IF(COUNTA(A895:F895)=0,"",IF(OR(C895&lt;0,D895&lt;0,E895&lt;0,F895&lt;0),"ERRO: valor negativo",IF(C895&lt;&gt;SUM(D895:F895),"ERRO: categorias diferem dos respondentes",IF(COUNTIFS($A$5:$A$1200,A895,$B$5:$B$1200,B895)&gt;1,"ERRO: período e curso duplicados","OK"))))</f>
        <v/>
      </c>
    </row>
    <row r="896" ht="15" customHeight="1" s="131">
      <c r="A896" s="220" t="n"/>
      <c r="B896" s="222" t="n"/>
      <c r="C896" s="220" t="n"/>
      <c r="D896" s="220" t="n"/>
      <c r="E896" s="220" t="n"/>
      <c r="F896" s="220" t="n"/>
      <c r="G896" s="169">
        <f>IFERROR((D896-F896)/C896*100,"")</f>
        <v/>
      </c>
      <c r="H896" s="219" t="n"/>
      <c r="I896" s="220" t="n"/>
      <c r="J896" s="221">
        <f>IF(COUNTA(A896:F896)=0,"",IF(OR(C896&lt;0,D896&lt;0,E896&lt;0,F896&lt;0),"ERRO: valor negativo",IF(C896&lt;&gt;SUM(D896:F896),"ERRO: categorias diferem dos respondentes",IF(COUNTIFS($A$5:$A$1200,A896,$B$5:$B$1200,B896)&gt;1,"ERRO: período e curso duplicados","OK"))))</f>
        <v/>
      </c>
    </row>
    <row r="897" ht="15" customHeight="1" s="131">
      <c r="A897" s="220" t="n"/>
      <c r="B897" s="222" t="n"/>
      <c r="C897" s="220" t="n"/>
      <c r="D897" s="220" t="n"/>
      <c r="E897" s="220" t="n"/>
      <c r="F897" s="220" t="n"/>
      <c r="G897" s="169">
        <f>IFERROR((D897-F897)/C897*100,"")</f>
        <v/>
      </c>
      <c r="H897" s="219" t="n"/>
      <c r="I897" s="220" t="n"/>
      <c r="J897" s="221">
        <f>IF(COUNTA(A897:F897)=0,"",IF(OR(C897&lt;0,D897&lt;0,E897&lt;0,F897&lt;0),"ERRO: valor negativo",IF(C897&lt;&gt;SUM(D897:F897),"ERRO: categorias diferem dos respondentes",IF(COUNTIFS($A$5:$A$1200,A897,$B$5:$B$1200,B897)&gt;1,"ERRO: período e curso duplicados","OK"))))</f>
        <v/>
      </c>
    </row>
    <row r="898" ht="15" customHeight="1" s="131">
      <c r="A898" s="220" t="n"/>
      <c r="B898" s="222" t="n"/>
      <c r="C898" s="220" t="n"/>
      <c r="D898" s="220" t="n"/>
      <c r="E898" s="220" t="n"/>
      <c r="F898" s="220" t="n"/>
      <c r="G898" s="169">
        <f>IFERROR((D898-F898)/C898*100,"")</f>
        <v/>
      </c>
      <c r="H898" s="219" t="n"/>
      <c r="I898" s="220" t="n"/>
      <c r="J898" s="221">
        <f>IF(COUNTA(A898:F898)=0,"",IF(OR(C898&lt;0,D898&lt;0,E898&lt;0,F898&lt;0),"ERRO: valor negativo",IF(C898&lt;&gt;SUM(D898:F898),"ERRO: categorias diferem dos respondentes",IF(COUNTIFS($A$5:$A$1200,A898,$B$5:$B$1200,B898)&gt;1,"ERRO: período e curso duplicados","OK"))))</f>
        <v/>
      </c>
    </row>
    <row r="899" ht="15" customHeight="1" s="131">
      <c r="A899" s="220" t="n"/>
      <c r="B899" s="222" t="n"/>
      <c r="C899" s="220" t="n"/>
      <c r="D899" s="220" t="n"/>
      <c r="E899" s="220" t="n"/>
      <c r="F899" s="220" t="n"/>
      <c r="G899" s="169">
        <f>IFERROR((D899-F899)/C899*100,"")</f>
        <v/>
      </c>
      <c r="H899" s="219" t="n"/>
      <c r="I899" s="220" t="n"/>
      <c r="J899" s="221">
        <f>IF(COUNTA(A899:F899)=0,"",IF(OR(C899&lt;0,D899&lt;0,E899&lt;0,F899&lt;0),"ERRO: valor negativo",IF(C899&lt;&gt;SUM(D899:F899),"ERRO: categorias diferem dos respondentes",IF(COUNTIFS($A$5:$A$1200,A899,$B$5:$B$1200,B899)&gt;1,"ERRO: período e curso duplicados","OK"))))</f>
        <v/>
      </c>
    </row>
    <row r="900" ht="15" customHeight="1" s="131">
      <c r="A900" s="220" t="n"/>
      <c r="B900" s="222" t="n"/>
      <c r="C900" s="220" t="n"/>
      <c r="D900" s="220" t="n"/>
      <c r="E900" s="220" t="n"/>
      <c r="F900" s="220" t="n"/>
      <c r="G900" s="169">
        <f>IFERROR((D900-F900)/C900*100,"")</f>
        <v/>
      </c>
      <c r="H900" s="219" t="n"/>
      <c r="I900" s="220" t="n"/>
      <c r="J900" s="221">
        <f>IF(COUNTA(A900:F900)=0,"",IF(OR(C900&lt;0,D900&lt;0,E900&lt;0,F900&lt;0),"ERRO: valor negativo",IF(C900&lt;&gt;SUM(D900:F900),"ERRO: categorias diferem dos respondentes",IF(COUNTIFS($A$5:$A$1200,A900,$B$5:$B$1200,B900)&gt;1,"ERRO: período e curso duplicados","OK"))))</f>
        <v/>
      </c>
    </row>
    <row r="901" ht="15" customHeight="1" s="131">
      <c r="A901" s="220" t="n"/>
      <c r="B901" s="222" t="n"/>
      <c r="C901" s="220" t="n"/>
      <c r="D901" s="220" t="n"/>
      <c r="E901" s="220" t="n"/>
      <c r="F901" s="220" t="n"/>
      <c r="G901" s="169">
        <f>IFERROR((D901-F901)/C901*100,"")</f>
        <v/>
      </c>
      <c r="H901" s="219" t="n"/>
      <c r="I901" s="220" t="n"/>
      <c r="J901" s="221">
        <f>IF(COUNTA(A901:F901)=0,"",IF(OR(C901&lt;0,D901&lt;0,E901&lt;0,F901&lt;0),"ERRO: valor negativo",IF(C901&lt;&gt;SUM(D901:F901),"ERRO: categorias diferem dos respondentes",IF(COUNTIFS($A$5:$A$1200,A901,$B$5:$B$1200,B901)&gt;1,"ERRO: período e curso duplicados","OK"))))</f>
        <v/>
      </c>
    </row>
    <row r="902" ht="15" customHeight="1" s="131">
      <c r="A902" s="220" t="n"/>
      <c r="B902" s="222" t="n"/>
      <c r="C902" s="220" t="n"/>
      <c r="D902" s="220" t="n"/>
      <c r="E902" s="220" t="n"/>
      <c r="F902" s="220" t="n"/>
      <c r="G902" s="169">
        <f>IFERROR((D902-F902)/C902*100,"")</f>
        <v/>
      </c>
      <c r="H902" s="219" t="n"/>
      <c r="I902" s="220" t="n"/>
      <c r="J902" s="221">
        <f>IF(COUNTA(A902:F902)=0,"",IF(OR(C902&lt;0,D902&lt;0,E902&lt;0,F902&lt;0),"ERRO: valor negativo",IF(C902&lt;&gt;SUM(D902:F902),"ERRO: categorias diferem dos respondentes",IF(COUNTIFS($A$5:$A$1200,A902,$B$5:$B$1200,B902)&gt;1,"ERRO: período e curso duplicados","OK"))))</f>
        <v/>
      </c>
    </row>
    <row r="903" ht="15" customHeight="1" s="131">
      <c r="A903" s="220" t="n"/>
      <c r="B903" s="222" t="n"/>
      <c r="C903" s="220" t="n"/>
      <c r="D903" s="220" t="n"/>
      <c r="E903" s="220" t="n"/>
      <c r="F903" s="220" t="n"/>
      <c r="G903" s="169">
        <f>IFERROR((D903-F903)/C903*100,"")</f>
        <v/>
      </c>
      <c r="H903" s="219" t="n"/>
      <c r="I903" s="220" t="n"/>
      <c r="J903" s="221">
        <f>IF(COUNTA(A903:F903)=0,"",IF(OR(C903&lt;0,D903&lt;0,E903&lt;0,F903&lt;0),"ERRO: valor negativo",IF(C903&lt;&gt;SUM(D903:F903),"ERRO: categorias diferem dos respondentes",IF(COUNTIFS($A$5:$A$1200,A903,$B$5:$B$1200,B903)&gt;1,"ERRO: período e curso duplicados","OK"))))</f>
        <v/>
      </c>
    </row>
    <row r="904" ht="15" customHeight="1" s="131">
      <c r="A904" s="220" t="n"/>
      <c r="B904" s="222" t="n"/>
      <c r="C904" s="220" t="n"/>
      <c r="D904" s="220" t="n"/>
      <c r="E904" s="220" t="n"/>
      <c r="F904" s="220" t="n"/>
      <c r="G904" s="169">
        <f>IFERROR((D904-F904)/C904*100,"")</f>
        <v/>
      </c>
      <c r="H904" s="219" t="n"/>
      <c r="I904" s="220" t="n"/>
      <c r="J904" s="221">
        <f>IF(COUNTA(A904:F904)=0,"",IF(OR(C904&lt;0,D904&lt;0,E904&lt;0,F904&lt;0),"ERRO: valor negativo",IF(C904&lt;&gt;SUM(D904:F904),"ERRO: categorias diferem dos respondentes",IF(COUNTIFS($A$5:$A$1200,A904,$B$5:$B$1200,B904)&gt;1,"ERRO: período e curso duplicados","OK"))))</f>
        <v/>
      </c>
    </row>
    <row r="905" ht="15" customHeight="1" s="131">
      <c r="A905" s="220" t="n"/>
      <c r="B905" s="222" t="n"/>
      <c r="C905" s="220" t="n"/>
      <c r="D905" s="220" t="n"/>
      <c r="E905" s="220" t="n"/>
      <c r="F905" s="220" t="n"/>
      <c r="G905" s="169">
        <f>IFERROR((D905-F905)/C905*100,"")</f>
        <v/>
      </c>
      <c r="H905" s="219" t="n"/>
      <c r="I905" s="220" t="n"/>
      <c r="J905" s="221">
        <f>IF(COUNTA(A905:F905)=0,"",IF(OR(C905&lt;0,D905&lt;0,E905&lt;0,F905&lt;0),"ERRO: valor negativo",IF(C905&lt;&gt;SUM(D905:F905),"ERRO: categorias diferem dos respondentes",IF(COUNTIFS($A$5:$A$1200,A905,$B$5:$B$1200,B905)&gt;1,"ERRO: período e curso duplicados","OK"))))</f>
        <v/>
      </c>
    </row>
    <row r="906" ht="15" customHeight="1" s="131">
      <c r="A906" s="220" t="n"/>
      <c r="B906" s="222" t="n"/>
      <c r="C906" s="220" t="n"/>
      <c r="D906" s="220" t="n"/>
      <c r="E906" s="220" t="n"/>
      <c r="F906" s="220" t="n"/>
      <c r="G906" s="169">
        <f>IFERROR((D906-F906)/C906*100,"")</f>
        <v/>
      </c>
      <c r="H906" s="219" t="n"/>
      <c r="I906" s="220" t="n"/>
      <c r="J906" s="221">
        <f>IF(COUNTA(A906:F906)=0,"",IF(OR(C906&lt;0,D906&lt;0,E906&lt;0,F906&lt;0),"ERRO: valor negativo",IF(C906&lt;&gt;SUM(D906:F906),"ERRO: categorias diferem dos respondentes",IF(COUNTIFS($A$5:$A$1200,A906,$B$5:$B$1200,B906)&gt;1,"ERRO: período e curso duplicados","OK"))))</f>
        <v/>
      </c>
    </row>
    <row r="907" ht="15" customHeight="1" s="131">
      <c r="A907" s="220" t="n"/>
      <c r="B907" s="222" t="n"/>
      <c r="C907" s="220" t="n"/>
      <c r="D907" s="220" t="n"/>
      <c r="E907" s="220" t="n"/>
      <c r="F907" s="220" t="n"/>
      <c r="G907" s="169">
        <f>IFERROR((D907-F907)/C907*100,"")</f>
        <v/>
      </c>
      <c r="H907" s="219" t="n"/>
      <c r="I907" s="220" t="n"/>
      <c r="J907" s="221">
        <f>IF(COUNTA(A907:F907)=0,"",IF(OR(C907&lt;0,D907&lt;0,E907&lt;0,F907&lt;0),"ERRO: valor negativo",IF(C907&lt;&gt;SUM(D907:F907),"ERRO: categorias diferem dos respondentes",IF(COUNTIFS($A$5:$A$1200,A907,$B$5:$B$1200,B907)&gt;1,"ERRO: período e curso duplicados","OK"))))</f>
        <v/>
      </c>
    </row>
    <row r="908" ht="15" customHeight="1" s="131">
      <c r="A908" s="220" t="n"/>
      <c r="B908" s="222" t="n"/>
      <c r="C908" s="220" t="n"/>
      <c r="D908" s="220" t="n"/>
      <c r="E908" s="220" t="n"/>
      <c r="F908" s="220" t="n"/>
      <c r="G908" s="169">
        <f>IFERROR((D908-F908)/C908*100,"")</f>
        <v/>
      </c>
      <c r="H908" s="219" t="n"/>
      <c r="I908" s="220" t="n"/>
      <c r="J908" s="221">
        <f>IF(COUNTA(A908:F908)=0,"",IF(OR(C908&lt;0,D908&lt;0,E908&lt;0,F908&lt;0),"ERRO: valor negativo",IF(C908&lt;&gt;SUM(D908:F908),"ERRO: categorias diferem dos respondentes",IF(COUNTIFS($A$5:$A$1200,A908,$B$5:$B$1200,B908)&gt;1,"ERRO: período e curso duplicados","OK"))))</f>
        <v/>
      </c>
    </row>
    <row r="909" ht="15" customHeight="1" s="131">
      <c r="A909" s="220" t="n"/>
      <c r="B909" s="222" t="n"/>
      <c r="C909" s="220" t="n"/>
      <c r="D909" s="220" t="n"/>
      <c r="E909" s="220" t="n"/>
      <c r="F909" s="220" t="n"/>
      <c r="G909" s="169">
        <f>IFERROR((D909-F909)/C909*100,"")</f>
        <v/>
      </c>
      <c r="H909" s="219" t="n"/>
      <c r="I909" s="220" t="n"/>
      <c r="J909" s="221">
        <f>IF(COUNTA(A909:F909)=0,"",IF(OR(C909&lt;0,D909&lt;0,E909&lt;0,F909&lt;0),"ERRO: valor negativo",IF(C909&lt;&gt;SUM(D909:F909),"ERRO: categorias diferem dos respondentes",IF(COUNTIFS($A$5:$A$1200,A909,$B$5:$B$1200,B909)&gt;1,"ERRO: período e curso duplicados","OK"))))</f>
        <v/>
      </c>
    </row>
    <row r="910" ht="15" customHeight="1" s="131">
      <c r="A910" s="220" t="n"/>
      <c r="B910" s="222" t="n"/>
      <c r="C910" s="220" t="n"/>
      <c r="D910" s="220" t="n"/>
      <c r="E910" s="220" t="n"/>
      <c r="F910" s="220" t="n"/>
      <c r="G910" s="169">
        <f>IFERROR((D910-F910)/C910*100,"")</f>
        <v/>
      </c>
      <c r="H910" s="219" t="n"/>
      <c r="I910" s="220" t="n"/>
      <c r="J910" s="221">
        <f>IF(COUNTA(A910:F910)=0,"",IF(OR(C910&lt;0,D910&lt;0,E910&lt;0,F910&lt;0),"ERRO: valor negativo",IF(C910&lt;&gt;SUM(D910:F910),"ERRO: categorias diferem dos respondentes",IF(COUNTIFS($A$5:$A$1200,A910,$B$5:$B$1200,B910)&gt;1,"ERRO: período e curso duplicados","OK"))))</f>
        <v/>
      </c>
    </row>
    <row r="911" ht="15" customHeight="1" s="131">
      <c r="A911" s="220" t="n"/>
      <c r="B911" s="222" t="n"/>
      <c r="C911" s="220" t="n"/>
      <c r="D911" s="220" t="n"/>
      <c r="E911" s="220" t="n"/>
      <c r="F911" s="220" t="n"/>
      <c r="G911" s="169">
        <f>IFERROR((D911-F911)/C911*100,"")</f>
        <v/>
      </c>
      <c r="H911" s="219" t="n"/>
      <c r="I911" s="220" t="n"/>
      <c r="J911" s="221">
        <f>IF(COUNTA(A911:F911)=0,"",IF(OR(C911&lt;0,D911&lt;0,E911&lt;0,F911&lt;0),"ERRO: valor negativo",IF(C911&lt;&gt;SUM(D911:F911),"ERRO: categorias diferem dos respondentes",IF(COUNTIFS($A$5:$A$1200,A911,$B$5:$B$1200,B911)&gt;1,"ERRO: período e curso duplicados","OK"))))</f>
        <v/>
      </c>
    </row>
    <row r="912" ht="15" customHeight="1" s="131">
      <c r="A912" s="220" t="n"/>
      <c r="B912" s="222" t="n"/>
      <c r="C912" s="220" t="n"/>
      <c r="D912" s="220" t="n"/>
      <c r="E912" s="220" t="n"/>
      <c r="F912" s="220" t="n"/>
      <c r="G912" s="169">
        <f>IFERROR((D912-F912)/C912*100,"")</f>
        <v/>
      </c>
      <c r="H912" s="219" t="n"/>
      <c r="I912" s="220" t="n"/>
      <c r="J912" s="221">
        <f>IF(COUNTA(A912:F912)=0,"",IF(OR(C912&lt;0,D912&lt;0,E912&lt;0,F912&lt;0),"ERRO: valor negativo",IF(C912&lt;&gt;SUM(D912:F912),"ERRO: categorias diferem dos respondentes",IF(COUNTIFS($A$5:$A$1200,A912,$B$5:$B$1200,B912)&gt;1,"ERRO: período e curso duplicados","OK"))))</f>
        <v/>
      </c>
    </row>
    <row r="913" ht="15" customHeight="1" s="131">
      <c r="A913" s="220" t="n"/>
      <c r="B913" s="222" t="n"/>
      <c r="C913" s="220" t="n"/>
      <c r="D913" s="220" t="n"/>
      <c r="E913" s="220" t="n"/>
      <c r="F913" s="220" t="n"/>
      <c r="G913" s="169">
        <f>IFERROR((D913-F913)/C913*100,"")</f>
        <v/>
      </c>
      <c r="H913" s="219" t="n"/>
      <c r="I913" s="220" t="n"/>
      <c r="J913" s="221">
        <f>IF(COUNTA(A913:F913)=0,"",IF(OR(C913&lt;0,D913&lt;0,E913&lt;0,F913&lt;0),"ERRO: valor negativo",IF(C913&lt;&gt;SUM(D913:F913),"ERRO: categorias diferem dos respondentes",IF(COUNTIFS($A$5:$A$1200,A913,$B$5:$B$1200,B913)&gt;1,"ERRO: período e curso duplicados","OK"))))</f>
        <v/>
      </c>
    </row>
    <row r="914" ht="15" customHeight="1" s="131">
      <c r="A914" s="220" t="n"/>
      <c r="B914" s="222" t="n"/>
      <c r="C914" s="220" t="n"/>
      <c r="D914" s="220" t="n"/>
      <c r="E914" s="220" t="n"/>
      <c r="F914" s="220" t="n"/>
      <c r="G914" s="169">
        <f>IFERROR((D914-F914)/C914*100,"")</f>
        <v/>
      </c>
      <c r="H914" s="219" t="n"/>
      <c r="I914" s="220" t="n"/>
      <c r="J914" s="221">
        <f>IF(COUNTA(A914:F914)=0,"",IF(OR(C914&lt;0,D914&lt;0,E914&lt;0,F914&lt;0),"ERRO: valor negativo",IF(C914&lt;&gt;SUM(D914:F914),"ERRO: categorias diferem dos respondentes",IF(COUNTIFS($A$5:$A$1200,A914,$B$5:$B$1200,B914)&gt;1,"ERRO: período e curso duplicados","OK"))))</f>
        <v/>
      </c>
    </row>
    <row r="915" ht="15" customHeight="1" s="131">
      <c r="A915" s="220" t="n"/>
      <c r="B915" s="222" t="n"/>
      <c r="C915" s="220" t="n"/>
      <c r="D915" s="220" t="n"/>
      <c r="E915" s="220" t="n"/>
      <c r="F915" s="220" t="n"/>
      <c r="G915" s="169">
        <f>IFERROR((D915-F915)/C915*100,"")</f>
        <v/>
      </c>
      <c r="H915" s="219" t="n"/>
      <c r="I915" s="220" t="n"/>
      <c r="J915" s="221">
        <f>IF(COUNTA(A915:F915)=0,"",IF(OR(C915&lt;0,D915&lt;0,E915&lt;0,F915&lt;0),"ERRO: valor negativo",IF(C915&lt;&gt;SUM(D915:F915),"ERRO: categorias diferem dos respondentes",IF(COUNTIFS($A$5:$A$1200,A915,$B$5:$B$1200,B915)&gt;1,"ERRO: período e curso duplicados","OK"))))</f>
        <v/>
      </c>
    </row>
    <row r="916" ht="15" customHeight="1" s="131">
      <c r="A916" s="220" t="n"/>
      <c r="B916" s="222" t="n"/>
      <c r="C916" s="220" t="n"/>
      <c r="D916" s="220" t="n"/>
      <c r="E916" s="220" t="n"/>
      <c r="F916" s="220" t="n"/>
      <c r="G916" s="169">
        <f>IFERROR((D916-F916)/C916*100,"")</f>
        <v/>
      </c>
      <c r="H916" s="219" t="n"/>
      <c r="I916" s="220" t="n"/>
      <c r="J916" s="221">
        <f>IF(COUNTA(A916:F916)=0,"",IF(OR(C916&lt;0,D916&lt;0,E916&lt;0,F916&lt;0),"ERRO: valor negativo",IF(C916&lt;&gt;SUM(D916:F916),"ERRO: categorias diferem dos respondentes",IF(COUNTIFS($A$5:$A$1200,A916,$B$5:$B$1200,B916)&gt;1,"ERRO: período e curso duplicados","OK"))))</f>
        <v/>
      </c>
    </row>
    <row r="917" ht="15" customHeight="1" s="131">
      <c r="A917" s="220" t="n"/>
      <c r="B917" s="222" t="n"/>
      <c r="C917" s="220" t="n"/>
      <c r="D917" s="220" t="n"/>
      <c r="E917" s="220" t="n"/>
      <c r="F917" s="220" t="n"/>
      <c r="G917" s="169">
        <f>IFERROR((D917-F917)/C917*100,"")</f>
        <v/>
      </c>
      <c r="H917" s="219" t="n"/>
      <c r="I917" s="220" t="n"/>
      <c r="J917" s="221">
        <f>IF(COUNTA(A917:F917)=0,"",IF(OR(C917&lt;0,D917&lt;0,E917&lt;0,F917&lt;0),"ERRO: valor negativo",IF(C917&lt;&gt;SUM(D917:F917),"ERRO: categorias diferem dos respondentes",IF(COUNTIFS($A$5:$A$1200,A917,$B$5:$B$1200,B917)&gt;1,"ERRO: período e curso duplicados","OK"))))</f>
        <v/>
      </c>
    </row>
    <row r="918" ht="15" customHeight="1" s="131">
      <c r="A918" s="220" t="n"/>
      <c r="B918" s="222" t="n"/>
      <c r="C918" s="220" t="n"/>
      <c r="D918" s="220" t="n"/>
      <c r="E918" s="220" t="n"/>
      <c r="F918" s="220" t="n"/>
      <c r="G918" s="169">
        <f>IFERROR((D918-F918)/C918*100,"")</f>
        <v/>
      </c>
      <c r="H918" s="219" t="n"/>
      <c r="I918" s="220" t="n"/>
      <c r="J918" s="221">
        <f>IF(COUNTA(A918:F918)=0,"",IF(OR(C918&lt;0,D918&lt;0,E918&lt;0,F918&lt;0),"ERRO: valor negativo",IF(C918&lt;&gt;SUM(D918:F918),"ERRO: categorias diferem dos respondentes",IF(COUNTIFS($A$5:$A$1200,A918,$B$5:$B$1200,B918)&gt;1,"ERRO: período e curso duplicados","OK"))))</f>
        <v/>
      </c>
    </row>
    <row r="919" ht="15" customHeight="1" s="131">
      <c r="A919" s="220" t="n"/>
      <c r="B919" s="222" t="n"/>
      <c r="C919" s="220" t="n"/>
      <c r="D919" s="220" t="n"/>
      <c r="E919" s="220" t="n"/>
      <c r="F919" s="220" t="n"/>
      <c r="G919" s="169">
        <f>IFERROR((D919-F919)/C919*100,"")</f>
        <v/>
      </c>
      <c r="H919" s="219" t="n"/>
      <c r="I919" s="220" t="n"/>
      <c r="J919" s="221">
        <f>IF(COUNTA(A919:F919)=0,"",IF(OR(C919&lt;0,D919&lt;0,E919&lt;0,F919&lt;0),"ERRO: valor negativo",IF(C919&lt;&gt;SUM(D919:F919),"ERRO: categorias diferem dos respondentes",IF(COUNTIFS($A$5:$A$1200,A919,$B$5:$B$1200,B919)&gt;1,"ERRO: período e curso duplicados","OK"))))</f>
        <v/>
      </c>
    </row>
    <row r="920" ht="15" customHeight="1" s="131">
      <c r="A920" s="220" t="n"/>
      <c r="B920" s="222" t="n"/>
      <c r="C920" s="220" t="n"/>
      <c r="D920" s="220" t="n"/>
      <c r="E920" s="220" t="n"/>
      <c r="F920" s="220" t="n"/>
      <c r="G920" s="169">
        <f>IFERROR((D920-F920)/C920*100,"")</f>
        <v/>
      </c>
      <c r="H920" s="219" t="n"/>
      <c r="I920" s="220" t="n"/>
      <c r="J920" s="221">
        <f>IF(COUNTA(A920:F920)=0,"",IF(OR(C920&lt;0,D920&lt;0,E920&lt;0,F920&lt;0),"ERRO: valor negativo",IF(C920&lt;&gt;SUM(D920:F920),"ERRO: categorias diferem dos respondentes",IF(COUNTIFS($A$5:$A$1200,A920,$B$5:$B$1200,B920)&gt;1,"ERRO: período e curso duplicados","OK"))))</f>
        <v/>
      </c>
    </row>
    <row r="921" ht="15" customHeight="1" s="131">
      <c r="A921" s="220" t="n"/>
      <c r="B921" s="222" t="n"/>
      <c r="C921" s="220" t="n"/>
      <c r="D921" s="220" t="n"/>
      <c r="E921" s="220" t="n"/>
      <c r="F921" s="220" t="n"/>
      <c r="G921" s="169">
        <f>IFERROR((D921-F921)/C921*100,"")</f>
        <v/>
      </c>
      <c r="H921" s="219" t="n"/>
      <c r="I921" s="220" t="n"/>
      <c r="J921" s="221">
        <f>IF(COUNTA(A921:F921)=0,"",IF(OR(C921&lt;0,D921&lt;0,E921&lt;0,F921&lt;0),"ERRO: valor negativo",IF(C921&lt;&gt;SUM(D921:F921),"ERRO: categorias diferem dos respondentes",IF(COUNTIFS($A$5:$A$1200,A921,$B$5:$B$1200,B921)&gt;1,"ERRO: período e curso duplicados","OK"))))</f>
        <v/>
      </c>
    </row>
    <row r="922" ht="15" customHeight="1" s="131">
      <c r="A922" s="220" t="n"/>
      <c r="B922" s="222" t="n"/>
      <c r="C922" s="220" t="n"/>
      <c r="D922" s="220" t="n"/>
      <c r="E922" s="220" t="n"/>
      <c r="F922" s="220" t="n"/>
      <c r="G922" s="169">
        <f>IFERROR((D922-F922)/C922*100,"")</f>
        <v/>
      </c>
      <c r="H922" s="219" t="n"/>
      <c r="I922" s="220" t="n"/>
      <c r="J922" s="221">
        <f>IF(COUNTA(A922:F922)=0,"",IF(OR(C922&lt;0,D922&lt;0,E922&lt;0,F922&lt;0),"ERRO: valor negativo",IF(C922&lt;&gt;SUM(D922:F922),"ERRO: categorias diferem dos respondentes",IF(COUNTIFS($A$5:$A$1200,A922,$B$5:$B$1200,B922)&gt;1,"ERRO: período e curso duplicados","OK"))))</f>
        <v/>
      </c>
    </row>
    <row r="923" ht="15" customHeight="1" s="131">
      <c r="A923" s="220" t="n"/>
      <c r="B923" s="222" t="n"/>
      <c r="C923" s="220" t="n"/>
      <c r="D923" s="220" t="n"/>
      <c r="E923" s="220" t="n"/>
      <c r="F923" s="220" t="n"/>
      <c r="G923" s="169">
        <f>IFERROR((D923-F923)/C923*100,"")</f>
        <v/>
      </c>
      <c r="H923" s="219" t="n"/>
      <c r="I923" s="220" t="n"/>
      <c r="J923" s="221">
        <f>IF(COUNTA(A923:F923)=0,"",IF(OR(C923&lt;0,D923&lt;0,E923&lt;0,F923&lt;0),"ERRO: valor negativo",IF(C923&lt;&gt;SUM(D923:F923),"ERRO: categorias diferem dos respondentes",IF(COUNTIFS($A$5:$A$1200,A923,$B$5:$B$1200,B923)&gt;1,"ERRO: período e curso duplicados","OK"))))</f>
        <v/>
      </c>
    </row>
    <row r="924" ht="15" customHeight="1" s="131">
      <c r="A924" s="220" t="n"/>
      <c r="B924" s="222" t="n"/>
      <c r="C924" s="220" t="n"/>
      <c r="D924" s="220" t="n"/>
      <c r="E924" s="220" t="n"/>
      <c r="F924" s="220" t="n"/>
      <c r="G924" s="169">
        <f>IFERROR((D924-F924)/C924*100,"")</f>
        <v/>
      </c>
      <c r="H924" s="219" t="n"/>
      <c r="I924" s="220" t="n"/>
      <c r="J924" s="221">
        <f>IF(COUNTA(A924:F924)=0,"",IF(OR(C924&lt;0,D924&lt;0,E924&lt;0,F924&lt;0),"ERRO: valor negativo",IF(C924&lt;&gt;SUM(D924:F924),"ERRO: categorias diferem dos respondentes",IF(COUNTIFS($A$5:$A$1200,A924,$B$5:$B$1200,B924)&gt;1,"ERRO: período e curso duplicados","OK"))))</f>
        <v/>
      </c>
    </row>
    <row r="925" ht="15" customHeight="1" s="131">
      <c r="A925" s="220" t="n"/>
      <c r="B925" s="222" t="n"/>
      <c r="C925" s="220" t="n"/>
      <c r="D925" s="220" t="n"/>
      <c r="E925" s="220" t="n"/>
      <c r="F925" s="220" t="n"/>
      <c r="G925" s="169">
        <f>IFERROR((D925-F925)/C925*100,"")</f>
        <v/>
      </c>
      <c r="H925" s="219" t="n"/>
      <c r="I925" s="220" t="n"/>
      <c r="J925" s="221">
        <f>IF(COUNTA(A925:F925)=0,"",IF(OR(C925&lt;0,D925&lt;0,E925&lt;0,F925&lt;0),"ERRO: valor negativo",IF(C925&lt;&gt;SUM(D925:F925),"ERRO: categorias diferem dos respondentes",IF(COUNTIFS($A$5:$A$1200,A925,$B$5:$B$1200,B925)&gt;1,"ERRO: período e curso duplicados","OK"))))</f>
        <v/>
      </c>
    </row>
    <row r="926" ht="15" customHeight="1" s="131">
      <c r="A926" s="220" t="n"/>
      <c r="B926" s="222" t="n"/>
      <c r="C926" s="220" t="n"/>
      <c r="D926" s="220" t="n"/>
      <c r="E926" s="220" t="n"/>
      <c r="F926" s="220" t="n"/>
      <c r="G926" s="169">
        <f>IFERROR((D926-F926)/C926*100,"")</f>
        <v/>
      </c>
      <c r="H926" s="219" t="n"/>
      <c r="I926" s="220" t="n"/>
      <c r="J926" s="221">
        <f>IF(COUNTA(A926:F926)=0,"",IF(OR(C926&lt;0,D926&lt;0,E926&lt;0,F926&lt;0),"ERRO: valor negativo",IF(C926&lt;&gt;SUM(D926:F926),"ERRO: categorias diferem dos respondentes",IF(COUNTIFS($A$5:$A$1200,A926,$B$5:$B$1200,B926)&gt;1,"ERRO: período e curso duplicados","OK"))))</f>
        <v/>
      </c>
    </row>
    <row r="927" ht="15" customHeight="1" s="131">
      <c r="A927" s="220" t="n"/>
      <c r="B927" s="222" t="n"/>
      <c r="C927" s="220" t="n"/>
      <c r="D927" s="220" t="n"/>
      <c r="E927" s="220" t="n"/>
      <c r="F927" s="220" t="n"/>
      <c r="G927" s="169">
        <f>IFERROR((D927-F927)/C927*100,"")</f>
        <v/>
      </c>
      <c r="H927" s="219" t="n"/>
      <c r="I927" s="220" t="n"/>
      <c r="J927" s="221">
        <f>IF(COUNTA(A927:F927)=0,"",IF(OR(C927&lt;0,D927&lt;0,E927&lt;0,F927&lt;0),"ERRO: valor negativo",IF(C927&lt;&gt;SUM(D927:F927),"ERRO: categorias diferem dos respondentes",IF(COUNTIFS($A$5:$A$1200,A927,$B$5:$B$1200,B927)&gt;1,"ERRO: período e curso duplicados","OK"))))</f>
        <v/>
      </c>
    </row>
    <row r="928" ht="15" customHeight="1" s="131">
      <c r="A928" s="220" t="n"/>
      <c r="B928" s="222" t="n"/>
      <c r="C928" s="220" t="n"/>
      <c r="D928" s="220" t="n"/>
      <c r="E928" s="220" t="n"/>
      <c r="F928" s="220" t="n"/>
      <c r="G928" s="169">
        <f>IFERROR((D928-F928)/C928*100,"")</f>
        <v/>
      </c>
      <c r="H928" s="219" t="n"/>
      <c r="I928" s="220" t="n"/>
      <c r="J928" s="221">
        <f>IF(COUNTA(A928:F928)=0,"",IF(OR(C928&lt;0,D928&lt;0,E928&lt;0,F928&lt;0),"ERRO: valor negativo",IF(C928&lt;&gt;SUM(D928:F928),"ERRO: categorias diferem dos respondentes",IF(COUNTIFS($A$5:$A$1200,A928,$B$5:$B$1200,B928)&gt;1,"ERRO: período e curso duplicados","OK"))))</f>
        <v/>
      </c>
    </row>
    <row r="929" ht="15" customHeight="1" s="131">
      <c r="A929" s="220" t="n"/>
      <c r="B929" s="222" t="n"/>
      <c r="C929" s="220" t="n"/>
      <c r="D929" s="220" t="n"/>
      <c r="E929" s="220" t="n"/>
      <c r="F929" s="220" t="n"/>
      <c r="G929" s="169">
        <f>IFERROR((D929-F929)/C929*100,"")</f>
        <v/>
      </c>
      <c r="H929" s="219" t="n"/>
      <c r="I929" s="220" t="n"/>
      <c r="J929" s="221">
        <f>IF(COUNTA(A929:F929)=0,"",IF(OR(C929&lt;0,D929&lt;0,E929&lt;0,F929&lt;0),"ERRO: valor negativo",IF(C929&lt;&gt;SUM(D929:F929),"ERRO: categorias diferem dos respondentes",IF(COUNTIFS($A$5:$A$1200,A929,$B$5:$B$1200,B929)&gt;1,"ERRO: período e curso duplicados","OK"))))</f>
        <v/>
      </c>
    </row>
    <row r="930" ht="15" customHeight="1" s="131">
      <c r="A930" s="220" t="n"/>
      <c r="B930" s="222" t="n"/>
      <c r="C930" s="220" t="n"/>
      <c r="D930" s="220" t="n"/>
      <c r="E930" s="220" t="n"/>
      <c r="F930" s="220" t="n"/>
      <c r="G930" s="169">
        <f>IFERROR((D930-F930)/C930*100,"")</f>
        <v/>
      </c>
      <c r="H930" s="219" t="n"/>
      <c r="I930" s="220" t="n"/>
      <c r="J930" s="221">
        <f>IF(COUNTA(A930:F930)=0,"",IF(OR(C930&lt;0,D930&lt;0,E930&lt;0,F930&lt;0),"ERRO: valor negativo",IF(C930&lt;&gt;SUM(D930:F930),"ERRO: categorias diferem dos respondentes",IF(COUNTIFS($A$5:$A$1200,A930,$B$5:$B$1200,B930)&gt;1,"ERRO: período e curso duplicados","OK"))))</f>
        <v/>
      </c>
    </row>
    <row r="931" ht="15" customHeight="1" s="131">
      <c r="A931" s="220" t="n"/>
      <c r="B931" s="222" t="n"/>
      <c r="C931" s="220" t="n"/>
      <c r="D931" s="220" t="n"/>
      <c r="E931" s="220" t="n"/>
      <c r="F931" s="220" t="n"/>
      <c r="G931" s="169">
        <f>IFERROR((D931-F931)/C931*100,"")</f>
        <v/>
      </c>
      <c r="H931" s="219" t="n"/>
      <c r="I931" s="220" t="n"/>
      <c r="J931" s="221">
        <f>IF(COUNTA(A931:F931)=0,"",IF(OR(C931&lt;0,D931&lt;0,E931&lt;0,F931&lt;0),"ERRO: valor negativo",IF(C931&lt;&gt;SUM(D931:F931),"ERRO: categorias diferem dos respondentes",IF(COUNTIFS($A$5:$A$1200,A931,$B$5:$B$1200,B931)&gt;1,"ERRO: período e curso duplicados","OK"))))</f>
        <v/>
      </c>
    </row>
    <row r="932" ht="15" customHeight="1" s="131">
      <c r="A932" s="220" t="n"/>
      <c r="B932" s="222" t="n"/>
      <c r="C932" s="220" t="n"/>
      <c r="D932" s="220" t="n"/>
      <c r="E932" s="220" t="n"/>
      <c r="F932" s="220" t="n"/>
      <c r="G932" s="169">
        <f>IFERROR((D932-F932)/C932*100,"")</f>
        <v/>
      </c>
      <c r="H932" s="219" t="n"/>
      <c r="I932" s="220" t="n"/>
      <c r="J932" s="221">
        <f>IF(COUNTA(A932:F932)=0,"",IF(OR(C932&lt;0,D932&lt;0,E932&lt;0,F932&lt;0),"ERRO: valor negativo",IF(C932&lt;&gt;SUM(D932:F932),"ERRO: categorias diferem dos respondentes",IF(COUNTIFS($A$5:$A$1200,A932,$B$5:$B$1200,B932)&gt;1,"ERRO: período e curso duplicados","OK"))))</f>
        <v/>
      </c>
    </row>
    <row r="933" ht="15" customHeight="1" s="131">
      <c r="A933" s="220" t="n"/>
      <c r="B933" s="222" t="n"/>
      <c r="C933" s="220" t="n"/>
      <c r="D933" s="220" t="n"/>
      <c r="E933" s="220" t="n"/>
      <c r="F933" s="220" t="n"/>
      <c r="G933" s="169">
        <f>IFERROR((D933-F933)/C933*100,"")</f>
        <v/>
      </c>
      <c r="H933" s="219" t="n"/>
      <c r="I933" s="220" t="n"/>
      <c r="J933" s="221">
        <f>IF(COUNTA(A933:F933)=0,"",IF(OR(C933&lt;0,D933&lt;0,E933&lt;0,F933&lt;0),"ERRO: valor negativo",IF(C933&lt;&gt;SUM(D933:F933),"ERRO: categorias diferem dos respondentes",IF(COUNTIFS($A$5:$A$1200,A933,$B$5:$B$1200,B933)&gt;1,"ERRO: período e curso duplicados","OK"))))</f>
        <v/>
      </c>
    </row>
    <row r="934" ht="15" customHeight="1" s="131">
      <c r="A934" s="220" t="n"/>
      <c r="B934" s="222" t="n"/>
      <c r="C934" s="220" t="n"/>
      <c r="D934" s="220" t="n"/>
      <c r="E934" s="220" t="n"/>
      <c r="F934" s="220" t="n"/>
      <c r="G934" s="169">
        <f>IFERROR((D934-F934)/C934*100,"")</f>
        <v/>
      </c>
      <c r="H934" s="219" t="n"/>
      <c r="I934" s="220" t="n"/>
      <c r="J934" s="221">
        <f>IF(COUNTA(A934:F934)=0,"",IF(OR(C934&lt;0,D934&lt;0,E934&lt;0,F934&lt;0),"ERRO: valor negativo",IF(C934&lt;&gt;SUM(D934:F934),"ERRO: categorias diferem dos respondentes",IF(COUNTIFS($A$5:$A$1200,A934,$B$5:$B$1200,B934)&gt;1,"ERRO: período e curso duplicados","OK"))))</f>
        <v/>
      </c>
    </row>
    <row r="935" ht="15" customHeight="1" s="131">
      <c r="A935" s="220" t="n"/>
      <c r="B935" s="222" t="n"/>
      <c r="C935" s="220" t="n"/>
      <c r="D935" s="220" t="n"/>
      <c r="E935" s="220" t="n"/>
      <c r="F935" s="220" t="n"/>
      <c r="G935" s="169">
        <f>IFERROR((D935-F935)/C935*100,"")</f>
        <v/>
      </c>
      <c r="H935" s="219" t="n"/>
      <c r="I935" s="220" t="n"/>
      <c r="J935" s="221">
        <f>IF(COUNTA(A935:F935)=0,"",IF(OR(C935&lt;0,D935&lt;0,E935&lt;0,F935&lt;0),"ERRO: valor negativo",IF(C935&lt;&gt;SUM(D935:F935),"ERRO: categorias diferem dos respondentes",IF(COUNTIFS($A$5:$A$1200,A935,$B$5:$B$1200,B935)&gt;1,"ERRO: período e curso duplicados","OK"))))</f>
        <v/>
      </c>
    </row>
    <row r="936" ht="15" customHeight="1" s="131">
      <c r="A936" s="220" t="n"/>
      <c r="B936" s="222" t="n"/>
      <c r="C936" s="220" t="n"/>
      <c r="D936" s="220" t="n"/>
      <c r="E936" s="220" t="n"/>
      <c r="F936" s="220" t="n"/>
      <c r="G936" s="169">
        <f>IFERROR((D936-F936)/C936*100,"")</f>
        <v/>
      </c>
      <c r="H936" s="219" t="n"/>
      <c r="I936" s="220" t="n"/>
      <c r="J936" s="221">
        <f>IF(COUNTA(A936:F936)=0,"",IF(OR(C936&lt;0,D936&lt;0,E936&lt;0,F936&lt;0),"ERRO: valor negativo",IF(C936&lt;&gt;SUM(D936:F936),"ERRO: categorias diferem dos respondentes",IF(COUNTIFS($A$5:$A$1200,A936,$B$5:$B$1200,B936)&gt;1,"ERRO: período e curso duplicados","OK"))))</f>
        <v/>
      </c>
    </row>
    <row r="937" ht="15" customHeight="1" s="131">
      <c r="A937" s="220" t="n"/>
      <c r="B937" s="222" t="n"/>
      <c r="C937" s="220" t="n"/>
      <c r="D937" s="220" t="n"/>
      <c r="E937" s="220" t="n"/>
      <c r="F937" s="220" t="n"/>
      <c r="G937" s="169">
        <f>IFERROR((D937-F937)/C937*100,"")</f>
        <v/>
      </c>
      <c r="H937" s="219" t="n"/>
      <c r="I937" s="220" t="n"/>
      <c r="J937" s="221">
        <f>IF(COUNTA(A937:F937)=0,"",IF(OR(C937&lt;0,D937&lt;0,E937&lt;0,F937&lt;0),"ERRO: valor negativo",IF(C937&lt;&gt;SUM(D937:F937),"ERRO: categorias diferem dos respondentes",IF(COUNTIFS($A$5:$A$1200,A937,$B$5:$B$1200,B937)&gt;1,"ERRO: período e curso duplicados","OK"))))</f>
        <v/>
      </c>
    </row>
    <row r="938" ht="15" customHeight="1" s="131">
      <c r="A938" s="220" t="n"/>
      <c r="B938" s="222" t="n"/>
      <c r="C938" s="220" t="n"/>
      <c r="D938" s="220" t="n"/>
      <c r="E938" s="220" t="n"/>
      <c r="F938" s="220" t="n"/>
      <c r="G938" s="169">
        <f>IFERROR((D938-F938)/C938*100,"")</f>
        <v/>
      </c>
      <c r="H938" s="219" t="n"/>
      <c r="I938" s="220" t="n"/>
      <c r="J938" s="221">
        <f>IF(COUNTA(A938:F938)=0,"",IF(OR(C938&lt;0,D938&lt;0,E938&lt;0,F938&lt;0),"ERRO: valor negativo",IF(C938&lt;&gt;SUM(D938:F938),"ERRO: categorias diferem dos respondentes",IF(COUNTIFS($A$5:$A$1200,A938,$B$5:$B$1200,B938)&gt;1,"ERRO: período e curso duplicados","OK"))))</f>
        <v/>
      </c>
    </row>
    <row r="939" ht="15" customHeight="1" s="131">
      <c r="A939" s="220" t="n"/>
      <c r="B939" s="222" t="n"/>
      <c r="C939" s="220" t="n"/>
      <c r="D939" s="220" t="n"/>
      <c r="E939" s="220" t="n"/>
      <c r="F939" s="220" t="n"/>
      <c r="G939" s="169">
        <f>IFERROR((D939-F939)/C939*100,"")</f>
        <v/>
      </c>
      <c r="H939" s="219" t="n"/>
      <c r="I939" s="220" t="n"/>
      <c r="J939" s="221">
        <f>IF(COUNTA(A939:F939)=0,"",IF(OR(C939&lt;0,D939&lt;0,E939&lt;0,F939&lt;0),"ERRO: valor negativo",IF(C939&lt;&gt;SUM(D939:F939),"ERRO: categorias diferem dos respondentes",IF(COUNTIFS($A$5:$A$1200,A939,$B$5:$B$1200,B939)&gt;1,"ERRO: período e curso duplicados","OK"))))</f>
        <v/>
      </c>
    </row>
    <row r="940" ht="15" customHeight="1" s="131">
      <c r="A940" s="220" t="n"/>
      <c r="B940" s="222" t="n"/>
      <c r="C940" s="220" t="n"/>
      <c r="D940" s="220" t="n"/>
      <c r="E940" s="220" t="n"/>
      <c r="F940" s="220" t="n"/>
      <c r="G940" s="169">
        <f>IFERROR((D940-F940)/C940*100,"")</f>
        <v/>
      </c>
      <c r="H940" s="219" t="n"/>
      <c r="I940" s="220" t="n"/>
      <c r="J940" s="221">
        <f>IF(COUNTA(A940:F940)=0,"",IF(OR(C940&lt;0,D940&lt;0,E940&lt;0,F940&lt;0),"ERRO: valor negativo",IF(C940&lt;&gt;SUM(D940:F940),"ERRO: categorias diferem dos respondentes",IF(COUNTIFS($A$5:$A$1200,A940,$B$5:$B$1200,B940)&gt;1,"ERRO: período e curso duplicados","OK"))))</f>
        <v/>
      </c>
    </row>
    <row r="941" ht="15" customHeight="1" s="131">
      <c r="A941" s="220" t="n"/>
      <c r="B941" s="222" t="n"/>
      <c r="C941" s="220" t="n"/>
      <c r="D941" s="220" t="n"/>
      <c r="E941" s="220" t="n"/>
      <c r="F941" s="220" t="n"/>
      <c r="G941" s="169">
        <f>IFERROR((D941-F941)/C941*100,"")</f>
        <v/>
      </c>
      <c r="H941" s="219" t="n"/>
      <c r="I941" s="220" t="n"/>
      <c r="J941" s="221">
        <f>IF(COUNTA(A941:F941)=0,"",IF(OR(C941&lt;0,D941&lt;0,E941&lt;0,F941&lt;0),"ERRO: valor negativo",IF(C941&lt;&gt;SUM(D941:F941),"ERRO: categorias diferem dos respondentes",IF(COUNTIFS($A$5:$A$1200,A941,$B$5:$B$1200,B941)&gt;1,"ERRO: período e curso duplicados","OK"))))</f>
        <v/>
      </c>
    </row>
    <row r="942" ht="15" customHeight="1" s="131">
      <c r="A942" s="220" t="n"/>
      <c r="B942" s="222" t="n"/>
      <c r="C942" s="220" t="n"/>
      <c r="D942" s="220" t="n"/>
      <c r="E942" s="220" t="n"/>
      <c r="F942" s="220" t="n"/>
      <c r="G942" s="169">
        <f>IFERROR((D942-F942)/C942*100,"")</f>
        <v/>
      </c>
      <c r="H942" s="219" t="n"/>
      <c r="I942" s="220" t="n"/>
      <c r="J942" s="221">
        <f>IF(COUNTA(A942:F942)=0,"",IF(OR(C942&lt;0,D942&lt;0,E942&lt;0,F942&lt;0),"ERRO: valor negativo",IF(C942&lt;&gt;SUM(D942:F942),"ERRO: categorias diferem dos respondentes",IF(COUNTIFS($A$5:$A$1200,A942,$B$5:$B$1200,B942)&gt;1,"ERRO: período e curso duplicados","OK"))))</f>
        <v/>
      </c>
    </row>
    <row r="943" ht="15" customHeight="1" s="131">
      <c r="A943" s="220" t="n"/>
      <c r="B943" s="222" t="n"/>
      <c r="C943" s="220" t="n"/>
      <c r="D943" s="220" t="n"/>
      <c r="E943" s="220" t="n"/>
      <c r="F943" s="220" t="n"/>
      <c r="G943" s="169">
        <f>IFERROR((D943-F943)/C943*100,"")</f>
        <v/>
      </c>
      <c r="H943" s="219" t="n"/>
      <c r="I943" s="220" t="n"/>
      <c r="J943" s="221">
        <f>IF(COUNTA(A943:F943)=0,"",IF(OR(C943&lt;0,D943&lt;0,E943&lt;0,F943&lt;0),"ERRO: valor negativo",IF(C943&lt;&gt;SUM(D943:F943),"ERRO: categorias diferem dos respondentes",IF(COUNTIFS($A$5:$A$1200,A943,$B$5:$B$1200,B943)&gt;1,"ERRO: período e curso duplicados","OK"))))</f>
        <v/>
      </c>
    </row>
    <row r="944" ht="15" customHeight="1" s="131">
      <c r="A944" s="220" t="n"/>
      <c r="B944" s="222" t="n"/>
      <c r="C944" s="220" t="n"/>
      <c r="D944" s="220" t="n"/>
      <c r="E944" s="220" t="n"/>
      <c r="F944" s="220" t="n"/>
      <c r="G944" s="169">
        <f>IFERROR((D944-F944)/C944*100,"")</f>
        <v/>
      </c>
      <c r="H944" s="219" t="n"/>
      <c r="I944" s="220" t="n"/>
      <c r="J944" s="221">
        <f>IF(COUNTA(A944:F944)=0,"",IF(OR(C944&lt;0,D944&lt;0,E944&lt;0,F944&lt;0),"ERRO: valor negativo",IF(C944&lt;&gt;SUM(D944:F944),"ERRO: categorias diferem dos respondentes",IF(COUNTIFS($A$5:$A$1200,A944,$B$5:$B$1200,B944)&gt;1,"ERRO: período e curso duplicados","OK"))))</f>
        <v/>
      </c>
    </row>
    <row r="945" ht="15" customHeight="1" s="131">
      <c r="A945" s="220" t="n"/>
      <c r="B945" s="222" t="n"/>
      <c r="C945" s="220" t="n"/>
      <c r="D945" s="220" t="n"/>
      <c r="E945" s="220" t="n"/>
      <c r="F945" s="220" t="n"/>
      <c r="G945" s="169">
        <f>IFERROR((D945-F945)/C945*100,"")</f>
        <v/>
      </c>
      <c r="H945" s="219" t="n"/>
      <c r="I945" s="220" t="n"/>
      <c r="J945" s="221">
        <f>IF(COUNTA(A945:F945)=0,"",IF(OR(C945&lt;0,D945&lt;0,E945&lt;0,F945&lt;0),"ERRO: valor negativo",IF(C945&lt;&gt;SUM(D945:F945),"ERRO: categorias diferem dos respondentes",IF(COUNTIFS($A$5:$A$1200,A945,$B$5:$B$1200,B945)&gt;1,"ERRO: período e curso duplicados","OK"))))</f>
        <v/>
      </c>
    </row>
    <row r="946" ht="15" customHeight="1" s="131">
      <c r="A946" s="220" t="n"/>
      <c r="B946" s="222" t="n"/>
      <c r="C946" s="220" t="n"/>
      <c r="D946" s="220" t="n"/>
      <c r="E946" s="220" t="n"/>
      <c r="F946" s="220" t="n"/>
      <c r="G946" s="169">
        <f>IFERROR((D946-F946)/C946*100,"")</f>
        <v/>
      </c>
      <c r="H946" s="219" t="n"/>
      <c r="I946" s="220" t="n"/>
      <c r="J946" s="221">
        <f>IF(COUNTA(A946:F946)=0,"",IF(OR(C946&lt;0,D946&lt;0,E946&lt;0,F946&lt;0),"ERRO: valor negativo",IF(C946&lt;&gt;SUM(D946:F946),"ERRO: categorias diferem dos respondentes",IF(COUNTIFS($A$5:$A$1200,A946,$B$5:$B$1200,B946)&gt;1,"ERRO: período e curso duplicados","OK"))))</f>
        <v/>
      </c>
    </row>
    <row r="947" ht="15" customHeight="1" s="131">
      <c r="A947" s="220" t="n"/>
      <c r="B947" s="222" t="n"/>
      <c r="C947" s="220" t="n"/>
      <c r="D947" s="220" t="n"/>
      <c r="E947" s="220" t="n"/>
      <c r="F947" s="220" t="n"/>
      <c r="G947" s="169">
        <f>IFERROR((D947-F947)/C947*100,"")</f>
        <v/>
      </c>
      <c r="H947" s="219" t="n"/>
      <c r="I947" s="220" t="n"/>
      <c r="J947" s="221">
        <f>IF(COUNTA(A947:F947)=0,"",IF(OR(C947&lt;0,D947&lt;0,E947&lt;0,F947&lt;0),"ERRO: valor negativo",IF(C947&lt;&gt;SUM(D947:F947),"ERRO: categorias diferem dos respondentes",IF(COUNTIFS($A$5:$A$1200,A947,$B$5:$B$1200,B947)&gt;1,"ERRO: período e curso duplicados","OK"))))</f>
        <v/>
      </c>
    </row>
    <row r="948" ht="15" customHeight="1" s="131">
      <c r="A948" s="220" t="n"/>
      <c r="B948" s="222" t="n"/>
      <c r="C948" s="220" t="n"/>
      <c r="D948" s="220" t="n"/>
      <c r="E948" s="220" t="n"/>
      <c r="F948" s="220" t="n"/>
      <c r="G948" s="169">
        <f>IFERROR((D948-F948)/C948*100,"")</f>
        <v/>
      </c>
      <c r="H948" s="219" t="n"/>
      <c r="I948" s="220" t="n"/>
      <c r="J948" s="221">
        <f>IF(COUNTA(A948:F948)=0,"",IF(OR(C948&lt;0,D948&lt;0,E948&lt;0,F948&lt;0),"ERRO: valor negativo",IF(C948&lt;&gt;SUM(D948:F948),"ERRO: categorias diferem dos respondentes",IF(COUNTIFS($A$5:$A$1200,A948,$B$5:$B$1200,B948)&gt;1,"ERRO: período e curso duplicados","OK"))))</f>
        <v/>
      </c>
    </row>
    <row r="949" ht="15" customHeight="1" s="131">
      <c r="A949" s="220" t="n"/>
      <c r="B949" s="222" t="n"/>
      <c r="C949" s="220" t="n"/>
      <c r="D949" s="220" t="n"/>
      <c r="E949" s="220" t="n"/>
      <c r="F949" s="220" t="n"/>
      <c r="G949" s="169">
        <f>IFERROR((D949-F949)/C949*100,"")</f>
        <v/>
      </c>
      <c r="H949" s="219" t="n"/>
      <c r="I949" s="220" t="n"/>
      <c r="J949" s="221">
        <f>IF(COUNTA(A949:F949)=0,"",IF(OR(C949&lt;0,D949&lt;0,E949&lt;0,F949&lt;0),"ERRO: valor negativo",IF(C949&lt;&gt;SUM(D949:F949),"ERRO: categorias diferem dos respondentes",IF(COUNTIFS($A$5:$A$1200,A949,$B$5:$B$1200,B949)&gt;1,"ERRO: período e curso duplicados","OK"))))</f>
        <v/>
      </c>
    </row>
    <row r="950" ht="15" customHeight="1" s="131">
      <c r="A950" s="220" t="n"/>
      <c r="B950" s="222" t="n"/>
      <c r="C950" s="220" t="n"/>
      <c r="D950" s="220" t="n"/>
      <c r="E950" s="220" t="n"/>
      <c r="F950" s="220" t="n"/>
      <c r="G950" s="169">
        <f>IFERROR((D950-F950)/C950*100,"")</f>
        <v/>
      </c>
      <c r="H950" s="219" t="n"/>
      <c r="I950" s="220" t="n"/>
      <c r="J950" s="221">
        <f>IF(COUNTA(A950:F950)=0,"",IF(OR(C950&lt;0,D950&lt;0,E950&lt;0,F950&lt;0),"ERRO: valor negativo",IF(C950&lt;&gt;SUM(D950:F950),"ERRO: categorias diferem dos respondentes",IF(COUNTIFS($A$5:$A$1200,A950,$B$5:$B$1200,B950)&gt;1,"ERRO: período e curso duplicados","OK"))))</f>
        <v/>
      </c>
    </row>
    <row r="951" ht="15" customHeight="1" s="131">
      <c r="A951" s="220" t="n"/>
      <c r="B951" s="222" t="n"/>
      <c r="C951" s="220" t="n"/>
      <c r="D951" s="220" t="n"/>
      <c r="E951" s="220" t="n"/>
      <c r="F951" s="220" t="n"/>
      <c r="G951" s="169">
        <f>IFERROR((D951-F951)/C951*100,"")</f>
        <v/>
      </c>
      <c r="H951" s="219" t="n"/>
      <c r="I951" s="220" t="n"/>
      <c r="J951" s="221">
        <f>IF(COUNTA(A951:F951)=0,"",IF(OR(C951&lt;0,D951&lt;0,E951&lt;0,F951&lt;0),"ERRO: valor negativo",IF(C951&lt;&gt;SUM(D951:F951),"ERRO: categorias diferem dos respondentes",IF(COUNTIFS($A$5:$A$1200,A951,$B$5:$B$1200,B951)&gt;1,"ERRO: período e curso duplicados","OK"))))</f>
        <v/>
      </c>
    </row>
    <row r="952" ht="15" customHeight="1" s="131">
      <c r="A952" s="220" t="n"/>
      <c r="B952" s="222" t="n"/>
      <c r="C952" s="220" t="n"/>
      <c r="D952" s="220" t="n"/>
      <c r="E952" s="220" t="n"/>
      <c r="F952" s="220" t="n"/>
      <c r="G952" s="169">
        <f>IFERROR((D952-F952)/C952*100,"")</f>
        <v/>
      </c>
      <c r="H952" s="219" t="n"/>
      <c r="I952" s="220" t="n"/>
      <c r="J952" s="221">
        <f>IF(COUNTA(A952:F952)=0,"",IF(OR(C952&lt;0,D952&lt;0,E952&lt;0,F952&lt;0),"ERRO: valor negativo",IF(C952&lt;&gt;SUM(D952:F952),"ERRO: categorias diferem dos respondentes",IF(COUNTIFS($A$5:$A$1200,A952,$B$5:$B$1200,B952)&gt;1,"ERRO: período e curso duplicados","OK"))))</f>
        <v/>
      </c>
    </row>
    <row r="953" ht="15" customHeight="1" s="131">
      <c r="A953" s="220" t="n"/>
      <c r="B953" s="222" t="n"/>
      <c r="C953" s="220" t="n"/>
      <c r="D953" s="220" t="n"/>
      <c r="E953" s="220" t="n"/>
      <c r="F953" s="220" t="n"/>
      <c r="G953" s="169">
        <f>IFERROR((D953-F953)/C953*100,"")</f>
        <v/>
      </c>
      <c r="H953" s="219" t="n"/>
      <c r="I953" s="220" t="n"/>
      <c r="J953" s="221">
        <f>IF(COUNTA(A953:F953)=0,"",IF(OR(C953&lt;0,D953&lt;0,E953&lt;0,F953&lt;0),"ERRO: valor negativo",IF(C953&lt;&gt;SUM(D953:F953),"ERRO: categorias diferem dos respondentes",IF(COUNTIFS($A$5:$A$1200,A953,$B$5:$B$1200,B953)&gt;1,"ERRO: período e curso duplicados","OK"))))</f>
        <v/>
      </c>
    </row>
    <row r="954" ht="15" customHeight="1" s="131">
      <c r="A954" s="220" t="n"/>
      <c r="B954" s="222" t="n"/>
      <c r="C954" s="220" t="n"/>
      <c r="D954" s="220" t="n"/>
      <c r="E954" s="220" t="n"/>
      <c r="F954" s="220" t="n"/>
      <c r="G954" s="169">
        <f>IFERROR((D954-F954)/C954*100,"")</f>
        <v/>
      </c>
      <c r="H954" s="219" t="n"/>
      <c r="I954" s="220" t="n"/>
      <c r="J954" s="221">
        <f>IF(COUNTA(A954:F954)=0,"",IF(OR(C954&lt;0,D954&lt;0,E954&lt;0,F954&lt;0),"ERRO: valor negativo",IF(C954&lt;&gt;SUM(D954:F954),"ERRO: categorias diferem dos respondentes",IF(COUNTIFS($A$5:$A$1200,A954,$B$5:$B$1200,B954)&gt;1,"ERRO: período e curso duplicados","OK"))))</f>
        <v/>
      </c>
    </row>
    <row r="955" ht="15" customHeight="1" s="131">
      <c r="A955" s="220" t="n"/>
      <c r="B955" s="222" t="n"/>
      <c r="C955" s="220" t="n"/>
      <c r="D955" s="220" t="n"/>
      <c r="E955" s="220" t="n"/>
      <c r="F955" s="220" t="n"/>
      <c r="G955" s="169">
        <f>IFERROR((D955-F955)/C955*100,"")</f>
        <v/>
      </c>
      <c r="H955" s="219" t="n"/>
      <c r="I955" s="220" t="n"/>
      <c r="J955" s="221">
        <f>IF(COUNTA(A955:F955)=0,"",IF(OR(C955&lt;0,D955&lt;0,E955&lt;0,F955&lt;0),"ERRO: valor negativo",IF(C955&lt;&gt;SUM(D955:F955),"ERRO: categorias diferem dos respondentes",IF(COUNTIFS($A$5:$A$1200,A955,$B$5:$B$1200,B955)&gt;1,"ERRO: período e curso duplicados","OK"))))</f>
        <v/>
      </c>
    </row>
    <row r="956" ht="15" customHeight="1" s="131">
      <c r="A956" s="220" t="n"/>
      <c r="B956" s="222" t="n"/>
      <c r="C956" s="220" t="n"/>
      <c r="D956" s="220" t="n"/>
      <c r="E956" s="220" t="n"/>
      <c r="F956" s="220" t="n"/>
      <c r="G956" s="169">
        <f>IFERROR((D956-F956)/C956*100,"")</f>
        <v/>
      </c>
      <c r="H956" s="219" t="n"/>
      <c r="I956" s="220" t="n"/>
      <c r="J956" s="221">
        <f>IF(COUNTA(A956:F956)=0,"",IF(OR(C956&lt;0,D956&lt;0,E956&lt;0,F956&lt;0),"ERRO: valor negativo",IF(C956&lt;&gt;SUM(D956:F956),"ERRO: categorias diferem dos respondentes",IF(COUNTIFS($A$5:$A$1200,A956,$B$5:$B$1200,B956)&gt;1,"ERRO: período e curso duplicados","OK"))))</f>
        <v/>
      </c>
    </row>
    <row r="957" ht="15" customHeight="1" s="131">
      <c r="A957" s="220" t="n"/>
      <c r="B957" s="222" t="n"/>
      <c r="C957" s="220" t="n"/>
      <c r="D957" s="220" t="n"/>
      <c r="E957" s="220" t="n"/>
      <c r="F957" s="220" t="n"/>
      <c r="G957" s="169">
        <f>IFERROR((D957-F957)/C957*100,"")</f>
        <v/>
      </c>
      <c r="H957" s="219" t="n"/>
      <c r="I957" s="220" t="n"/>
      <c r="J957" s="221">
        <f>IF(COUNTA(A957:F957)=0,"",IF(OR(C957&lt;0,D957&lt;0,E957&lt;0,F957&lt;0),"ERRO: valor negativo",IF(C957&lt;&gt;SUM(D957:F957),"ERRO: categorias diferem dos respondentes",IF(COUNTIFS($A$5:$A$1200,A957,$B$5:$B$1200,B957)&gt;1,"ERRO: período e curso duplicados","OK"))))</f>
        <v/>
      </c>
    </row>
    <row r="958" ht="15" customHeight="1" s="131">
      <c r="A958" s="220" t="n"/>
      <c r="B958" s="222" t="n"/>
      <c r="C958" s="220" t="n"/>
      <c r="D958" s="220" t="n"/>
      <c r="E958" s="220" t="n"/>
      <c r="F958" s="220" t="n"/>
      <c r="G958" s="169">
        <f>IFERROR((D958-F958)/C958*100,"")</f>
        <v/>
      </c>
      <c r="H958" s="219" t="n"/>
      <c r="I958" s="220" t="n"/>
      <c r="J958" s="221">
        <f>IF(COUNTA(A958:F958)=0,"",IF(OR(C958&lt;0,D958&lt;0,E958&lt;0,F958&lt;0),"ERRO: valor negativo",IF(C958&lt;&gt;SUM(D958:F958),"ERRO: categorias diferem dos respondentes",IF(COUNTIFS($A$5:$A$1200,A958,$B$5:$B$1200,B958)&gt;1,"ERRO: período e curso duplicados","OK"))))</f>
        <v/>
      </c>
    </row>
    <row r="959" ht="15" customHeight="1" s="131">
      <c r="A959" s="220" t="n"/>
      <c r="B959" s="222" t="n"/>
      <c r="C959" s="220" t="n"/>
      <c r="D959" s="220" t="n"/>
      <c r="E959" s="220" t="n"/>
      <c r="F959" s="220" t="n"/>
      <c r="G959" s="169">
        <f>IFERROR((D959-F959)/C959*100,"")</f>
        <v/>
      </c>
      <c r="H959" s="219" t="n"/>
      <c r="I959" s="220" t="n"/>
      <c r="J959" s="221">
        <f>IF(COUNTA(A959:F959)=0,"",IF(OR(C959&lt;0,D959&lt;0,E959&lt;0,F959&lt;0),"ERRO: valor negativo",IF(C959&lt;&gt;SUM(D959:F959),"ERRO: categorias diferem dos respondentes",IF(COUNTIFS($A$5:$A$1200,A959,$B$5:$B$1200,B959)&gt;1,"ERRO: período e curso duplicados","OK"))))</f>
        <v/>
      </c>
    </row>
    <row r="960" ht="15" customHeight="1" s="131">
      <c r="A960" s="220" t="n"/>
      <c r="B960" s="222" t="n"/>
      <c r="C960" s="220" t="n"/>
      <c r="D960" s="220" t="n"/>
      <c r="E960" s="220" t="n"/>
      <c r="F960" s="220" t="n"/>
      <c r="G960" s="169">
        <f>IFERROR((D960-F960)/C960*100,"")</f>
        <v/>
      </c>
      <c r="H960" s="219" t="n"/>
      <c r="I960" s="220" t="n"/>
      <c r="J960" s="221">
        <f>IF(COUNTA(A960:F960)=0,"",IF(OR(C960&lt;0,D960&lt;0,E960&lt;0,F960&lt;0),"ERRO: valor negativo",IF(C960&lt;&gt;SUM(D960:F960),"ERRO: categorias diferem dos respondentes",IF(COUNTIFS($A$5:$A$1200,A960,$B$5:$B$1200,B960)&gt;1,"ERRO: período e curso duplicados","OK"))))</f>
        <v/>
      </c>
    </row>
    <row r="961" ht="15" customHeight="1" s="131">
      <c r="A961" s="220" t="n"/>
      <c r="B961" s="222" t="n"/>
      <c r="C961" s="220" t="n"/>
      <c r="D961" s="220" t="n"/>
      <c r="E961" s="220" t="n"/>
      <c r="F961" s="220" t="n"/>
      <c r="G961" s="169">
        <f>IFERROR((D961-F961)/C961*100,"")</f>
        <v/>
      </c>
      <c r="H961" s="219" t="n"/>
      <c r="I961" s="220" t="n"/>
      <c r="J961" s="221">
        <f>IF(COUNTA(A961:F961)=0,"",IF(OR(C961&lt;0,D961&lt;0,E961&lt;0,F961&lt;0),"ERRO: valor negativo",IF(C961&lt;&gt;SUM(D961:F961),"ERRO: categorias diferem dos respondentes",IF(COUNTIFS($A$5:$A$1200,A961,$B$5:$B$1200,B961)&gt;1,"ERRO: período e curso duplicados","OK"))))</f>
        <v/>
      </c>
    </row>
    <row r="962" ht="15" customHeight="1" s="131">
      <c r="A962" s="220" t="n"/>
      <c r="B962" s="222" t="n"/>
      <c r="C962" s="220" t="n"/>
      <c r="D962" s="220" t="n"/>
      <c r="E962" s="220" t="n"/>
      <c r="F962" s="220" t="n"/>
      <c r="G962" s="169">
        <f>IFERROR((D962-F962)/C962*100,"")</f>
        <v/>
      </c>
      <c r="H962" s="219" t="n"/>
      <c r="I962" s="220" t="n"/>
      <c r="J962" s="221">
        <f>IF(COUNTA(A962:F962)=0,"",IF(OR(C962&lt;0,D962&lt;0,E962&lt;0,F962&lt;0),"ERRO: valor negativo",IF(C962&lt;&gt;SUM(D962:F962),"ERRO: categorias diferem dos respondentes",IF(COUNTIFS($A$5:$A$1200,A962,$B$5:$B$1200,B962)&gt;1,"ERRO: período e curso duplicados","OK"))))</f>
        <v/>
      </c>
    </row>
    <row r="963" ht="15" customHeight="1" s="131">
      <c r="A963" s="220" t="n"/>
      <c r="B963" s="222" t="n"/>
      <c r="C963" s="220" t="n"/>
      <c r="D963" s="220" t="n"/>
      <c r="E963" s="220" t="n"/>
      <c r="F963" s="220" t="n"/>
      <c r="G963" s="169">
        <f>IFERROR((D963-F963)/C963*100,"")</f>
        <v/>
      </c>
      <c r="H963" s="219" t="n"/>
      <c r="I963" s="220" t="n"/>
      <c r="J963" s="221">
        <f>IF(COUNTA(A963:F963)=0,"",IF(OR(C963&lt;0,D963&lt;0,E963&lt;0,F963&lt;0),"ERRO: valor negativo",IF(C963&lt;&gt;SUM(D963:F963),"ERRO: categorias diferem dos respondentes",IF(COUNTIFS($A$5:$A$1200,A963,$B$5:$B$1200,B963)&gt;1,"ERRO: período e curso duplicados","OK"))))</f>
        <v/>
      </c>
    </row>
    <row r="964" ht="15" customHeight="1" s="131">
      <c r="A964" s="220" t="n"/>
      <c r="B964" s="222" t="n"/>
      <c r="C964" s="220" t="n"/>
      <c r="D964" s="220" t="n"/>
      <c r="E964" s="220" t="n"/>
      <c r="F964" s="220" t="n"/>
      <c r="G964" s="169">
        <f>IFERROR((D964-F964)/C964*100,"")</f>
        <v/>
      </c>
      <c r="H964" s="219" t="n"/>
      <c r="I964" s="220" t="n"/>
      <c r="J964" s="221">
        <f>IF(COUNTA(A964:F964)=0,"",IF(OR(C964&lt;0,D964&lt;0,E964&lt;0,F964&lt;0),"ERRO: valor negativo",IF(C964&lt;&gt;SUM(D964:F964),"ERRO: categorias diferem dos respondentes",IF(COUNTIFS($A$5:$A$1200,A964,$B$5:$B$1200,B964)&gt;1,"ERRO: período e curso duplicados","OK"))))</f>
        <v/>
      </c>
    </row>
    <row r="965" ht="15" customHeight="1" s="131">
      <c r="A965" s="220" t="n"/>
      <c r="B965" s="222" t="n"/>
      <c r="C965" s="220" t="n"/>
      <c r="D965" s="220" t="n"/>
      <c r="E965" s="220" t="n"/>
      <c r="F965" s="220" t="n"/>
      <c r="G965" s="169">
        <f>IFERROR((D965-F965)/C965*100,"")</f>
        <v/>
      </c>
      <c r="H965" s="219" t="n"/>
      <c r="I965" s="220" t="n"/>
      <c r="J965" s="221">
        <f>IF(COUNTA(A965:F965)=0,"",IF(OR(C965&lt;0,D965&lt;0,E965&lt;0,F965&lt;0),"ERRO: valor negativo",IF(C965&lt;&gt;SUM(D965:F965),"ERRO: categorias diferem dos respondentes",IF(COUNTIFS($A$5:$A$1200,A965,$B$5:$B$1200,B965)&gt;1,"ERRO: período e curso duplicados","OK"))))</f>
        <v/>
      </c>
    </row>
    <row r="966" ht="15" customHeight="1" s="131">
      <c r="A966" s="220" t="n"/>
      <c r="B966" s="222" t="n"/>
      <c r="C966" s="220" t="n"/>
      <c r="D966" s="220" t="n"/>
      <c r="E966" s="220" t="n"/>
      <c r="F966" s="220" t="n"/>
      <c r="G966" s="169">
        <f>IFERROR((D966-F966)/C966*100,"")</f>
        <v/>
      </c>
      <c r="H966" s="219" t="n"/>
      <c r="I966" s="220" t="n"/>
      <c r="J966" s="221">
        <f>IF(COUNTA(A966:F966)=0,"",IF(OR(C966&lt;0,D966&lt;0,E966&lt;0,F966&lt;0),"ERRO: valor negativo",IF(C966&lt;&gt;SUM(D966:F966),"ERRO: categorias diferem dos respondentes",IF(COUNTIFS($A$5:$A$1200,A966,$B$5:$B$1200,B966)&gt;1,"ERRO: período e curso duplicados","OK"))))</f>
        <v/>
      </c>
    </row>
    <row r="967" ht="15" customHeight="1" s="131">
      <c r="A967" s="220" t="n"/>
      <c r="B967" s="222" t="n"/>
      <c r="C967" s="220" t="n"/>
      <c r="D967" s="220" t="n"/>
      <c r="E967" s="220" t="n"/>
      <c r="F967" s="220" t="n"/>
      <c r="G967" s="169">
        <f>IFERROR((D967-F967)/C967*100,"")</f>
        <v/>
      </c>
      <c r="H967" s="219" t="n"/>
      <c r="I967" s="220" t="n"/>
      <c r="J967" s="221">
        <f>IF(COUNTA(A967:F967)=0,"",IF(OR(C967&lt;0,D967&lt;0,E967&lt;0,F967&lt;0),"ERRO: valor negativo",IF(C967&lt;&gt;SUM(D967:F967),"ERRO: categorias diferem dos respondentes",IF(COUNTIFS($A$5:$A$1200,A967,$B$5:$B$1200,B967)&gt;1,"ERRO: período e curso duplicados","OK"))))</f>
        <v/>
      </c>
    </row>
    <row r="968" ht="15" customHeight="1" s="131">
      <c r="A968" s="220" t="n"/>
      <c r="B968" s="222" t="n"/>
      <c r="C968" s="220" t="n"/>
      <c r="D968" s="220" t="n"/>
      <c r="E968" s="220" t="n"/>
      <c r="F968" s="220" t="n"/>
      <c r="G968" s="169">
        <f>IFERROR((D968-F968)/C968*100,"")</f>
        <v/>
      </c>
      <c r="H968" s="219" t="n"/>
      <c r="I968" s="220" t="n"/>
      <c r="J968" s="221">
        <f>IF(COUNTA(A968:F968)=0,"",IF(OR(C968&lt;0,D968&lt;0,E968&lt;0,F968&lt;0),"ERRO: valor negativo",IF(C968&lt;&gt;SUM(D968:F968),"ERRO: categorias diferem dos respondentes",IF(COUNTIFS($A$5:$A$1200,A968,$B$5:$B$1200,B968)&gt;1,"ERRO: período e curso duplicados","OK"))))</f>
        <v/>
      </c>
    </row>
    <row r="969" ht="15" customHeight="1" s="131">
      <c r="A969" s="220" t="n"/>
      <c r="B969" s="222" t="n"/>
      <c r="C969" s="220" t="n"/>
      <c r="D969" s="220" t="n"/>
      <c r="E969" s="220" t="n"/>
      <c r="F969" s="220" t="n"/>
      <c r="G969" s="169">
        <f>IFERROR((D969-F969)/C969*100,"")</f>
        <v/>
      </c>
      <c r="H969" s="219" t="n"/>
      <c r="I969" s="220" t="n"/>
      <c r="J969" s="221">
        <f>IF(COUNTA(A969:F969)=0,"",IF(OR(C969&lt;0,D969&lt;0,E969&lt;0,F969&lt;0),"ERRO: valor negativo",IF(C969&lt;&gt;SUM(D969:F969),"ERRO: categorias diferem dos respondentes",IF(COUNTIFS($A$5:$A$1200,A969,$B$5:$B$1200,B969)&gt;1,"ERRO: período e curso duplicados","OK"))))</f>
        <v/>
      </c>
    </row>
    <row r="970" ht="15" customHeight="1" s="131">
      <c r="A970" s="220" t="n"/>
      <c r="B970" s="222" t="n"/>
      <c r="C970" s="220" t="n"/>
      <c r="D970" s="220" t="n"/>
      <c r="E970" s="220" t="n"/>
      <c r="F970" s="220" t="n"/>
      <c r="G970" s="169">
        <f>IFERROR((D970-F970)/C970*100,"")</f>
        <v/>
      </c>
      <c r="H970" s="219" t="n"/>
      <c r="I970" s="220" t="n"/>
      <c r="J970" s="221">
        <f>IF(COUNTA(A970:F970)=0,"",IF(OR(C970&lt;0,D970&lt;0,E970&lt;0,F970&lt;0),"ERRO: valor negativo",IF(C970&lt;&gt;SUM(D970:F970),"ERRO: categorias diferem dos respondentes",IF(COUNTIFS($A$5:$A$1200,A970,$B$5:$B$1200,B970)&gt;1,"ERRO: período e curso duplicados","OK"))))</f>
        <v/>
      </c>
    </row>
    <row r="971" ht="15" customHeight="1" s="131">
      <c r="A971" s="220" t="n"/>
      <c r="B971" s="222" t="n"/>
      <c r="C971" s="220" t="n"/>
      <c r="D971" s="220" t="n"/>
      <c r="E971" s="220" t="n"/>
      <c r="F971" s="220" t="n"/>
      <c r="G971" s="169">
        <f>IFERROR((D971-F971)/C971*100,"")</f>
        <v/>
      </c>
      <c r="H971" s="219" t="n"/>
      <c r="I971" s="220" t="n"/>
      <c r="J971" s="221">
        <f>IF(COUNTA(A971:F971)=0,"",IF(OR(C971&lt;0,D971&lt;0,E971&lt;0,F971&lt;0),"ERRO: valor negativo",IF(C971&lt;&gt;SUM(D971:F971),"ERRO: categorias diferem dos respondentes",IF(COUNTIFS($A$5:$A$1200,A971,$B$5:$B$1200,B971)&gt;1,"ERRO: período e curso duplicados","OK"))))</f>
        <v/>
      </c>
    </row>
    <row r="972" ht="15" customHeight="1" s="131">
      <c r="A972" s="220" t="n"/>
      <c r="B972" s="222" t="n"/>
      <c r="C972" s="220" t="n"/>
      <c r="D972" s="220" t="n"/>
      <c r="E972" s="220" t="n"/>
      <c r="F972" s="220" t="n"/>
      <c r="G972" s="169">
        <f>IFERROR((D972-F972)/C972*100,"")</f>
        <v/>
      </c>
      <c r="H972" s="219" t="n"/>
      <c r="I972" s="220" t="n"/>
      <c r="J972" s="221">
        <f>IF(COUNTA(A972:F972)=0,"",IF(OR(C972&lt;0,D972&lt;0,E972&lt;0,F972&lt;0),"ERRO: valor negativo",IF(C972&lt;&gt;SUM(D972:F972),"ERRO: categorias diferem dos respondentes",IF(COUNTIFS($A$5:$A$1200,A972,$B$5:$B$1200,B972)&gt;1,"ERRO: período e curso duplicados","OK"))))</f>
        <v/>
      </c>
    </row>
    <row r="973" ht="15" customHeight="1" s="131">
      <c r="A973" s="220" t="n"/>
      <c r="B973" s="222" t="n"/>
      <c r="C973" s="220" t="n"/>
      <c r="D973" s="220" t="n"/>
      <c r="E973" s="220" t="n"/>
      <c r="F973" s="220" t="n"/>
      <c r="G973" s="169">
        <f>IFERROR((D973-F973)/C973*100,"")</f>
        <v/>
      </c>
      <c r="H973" s="219" t="n"/>
      <c r="I973" s="220" t="n"/>
      <c r="J973" s="221">
        <f>IF(COUNTA(A973:F973)=0,"",IF(OR(C973&lt;0,D973&lt;0,E973&lt;0,F973&lt;0),"ERRO: valor negativo",IF(C973&lt;&gt;SUM(D973:F973),"ERRO: categorias diferem dos respondentes",IF(COUNTIFS($A$5:$A$1200,A973,$B$5:$B$1200,B973)&gt;1,"ERRO: período e curso duplicados","OK"))))</f>
        <v/>
      </c>
    </row>
    <row r="974" ht="15" customHeight="1" s="131">
      <c r="A974" s="220" t="n"/>
      <c r="B974" s="222" t="n"/>
      <c r="C974" s="220" t="n"/>
      <c r="D974" s="220" t="n"/>
      <c r="E974" s="220" t="n"/>
      <c r="F974" s="220" t="n"/>
      <c r="G974" s="169">
        <f>IFERROR((D974-F974)/C974*100,"")</f>
        <v/>
      </c>
      <c r="H974" s="219" t="n"/>
      <c r="I974" s="220" t="n"/>
      <c r="J974" s="221">
        <f>IF(COUNTA(A974:F974)=0,"",IF(OR(C974&lt;0,D974&lt;0,E974&lt;0,F974&lt;0),"ERRO: valor negativo",IF(C974&lt;&gt;SUM(D974:F974),"ERRO: categorias diferem dos respondentes",IF(COUNTIFS($A$5:$A$1200,A974,$B$5:$B$1200,B974)&gt;1,"ERRO: período e curso duplicados","OK"))))</f>
        <v/>
      </c>
    </row>
    <row r="975" ht="15" customHeight="1" s="131">
      <c r="A975" s="220" t="n"/>
      <c r="B975" s="222" t="n"/>
      <c r="C975" s="220" t="n"/>
      <c r="D975" s="220" t="n"/>
      <c r="E975" s="220" t="n"/>
      <c r="F975" s="220" t="n"/>
      <c r="G975" s="169">
        <f>IFERROR((D975-F975)/C975*100,"")</f>
        <v/>
      </c>
      <c r="H975" s="219" t="n"/>
      <c r="I975" s="220" t="n"/>
      <c r="J975" s="221">
        <f>IF(COUNTA(A975:F975)=0,"",IF(OR(C975&lt;0,D975&lt;0,E975&lt;0,F975&lt;0),"ERRO: valor negativo",IF(C975&lt;&gt;SUM(D975:F975),"ERRO: categorias diferem dos respondentes",IF(COUNTIFS($A$5:$A$1200,A975,$B$5:$B$1200,B975)&gt;1,"ERRO: período e curso duplicados","OK"))))</f>
        <v/>
      </c>
    </row>
    <row r="976" ht="15" customHeight="1" s="131">
      <c r="A976" s="220" t="n"/>
      <c r="B976" s="222" t="n"/>
      <c r="C976" s="220" t="n"/>
      <c r="D976" s="220" t="n"/>
      <c r="E976" s="220" t="n"/>
      <c r="F976" s="220" t="n"/>
      <c r="G976" s="169">
        <f>IFERROR((D976-F976)/C976*100,"")</f>
        <v/>
      </c>
      <c r="H976" s="219" t="n"/>
      <c r="I976" s="220" t="n"/>
      <c r="J976" s="221">
        <f>IF(COUNTA(A976:F976)=0,"",IF(OR(C976&lt;0,D976&lt;0,E976&lt;0,F976&lt;0),"ERRO: valor negativo",IF(C976&lt;&gt;SUM(D976:F976),"ERRO: categorias diferem dos respondentes",IF(COUNTIFS($A$5:$A$1200,A976,$B$5:$B$1200,B976)&gt;1,"ERRO: período e curso duplicados","OK"))))</f>
        <v/>
      </c>
    </row>
    <row r="977" ht="15" customHeight="1" s="131">
      <c r="A977" s="220" t="n"/>
      <c r="B977" s="222" t="n"/>
      <c r="C977" s="220" t="n"/>
      <c r="D977" s="220" t="n"/>
      <c r="E977" s="220" t="n"/>
      <c r="F977" s="220" t="n"/>
      <c r="G977" s="169">
        <f>IFERROR((D977-F977)/C977*100,"")</f>
        <v/>
      </c>
      <c r="H977" s="219" t="n"/>
      <c r="I977" s="220" t="n"/>
      <c r="J977" s="221">
        <f>IF(COUNTA(A977:F977)=0,"",IF(OR(C977&lt;0,D977&lt;0,E977&lt;0,F977&lt;0),"ERRO: valor negativo",IF(C977&lt;&gt;SUM(D977:F977),"ERRO: categorias diferem dos respondentes",IF(COUNTIFS($A$5:$A$1200,A977,$B$5:$B$1200,B977)&gt;1,"ERRO: período e curso duplicados","OK"))))</f>
        <v/>
      </c>
    </row>
    <row r="978" ht="15" customHeight="1" s="131">
      <c r="A978" s="220" t="n"/>
      <c r="B978" s="222" t="n"/>
      <c r="C978" s="220" t="n"/>
      <c r="D978" s="220" t="n"/>
      <c r="E978" s="220" t="n"/>
      <c r="F978" s="220" t="n"/>
      <c r="G978" s="169">
        <f>IFERROR((D978-F978)/C978*100,"")</f>
        <v/>
      </c>
      <c r="H978" s="219" t="n"/>
      <c r="I978" s="220" t="n"/>
      <c r="J978" s="221">
        <f>IF(COUNTA(A978:F978)=0,"",IF(OR(C978&lt;0,D978&lt;0,E978&lt;0,F978&lt;0),"ERRO: valor negativo",IF(C978&lt;&gt;SUM(D978:F978),"ERRO: categorias diferem dos respondentes",IF(COUNTIFS($A$5:$A$1200,A978,$B$5:$B$1200,B978)&gt;1,"ERRO: período e curso duplicados","OK"))))</f>
        <v/>
      </c>
    </row>
    <row r="979" ht="15" customHeight="1" s="131">
      <c r="A979" s="220" t="n"/>
      <c r="B979" s="222" t="n"/>
      <c r="C979" s="220" t="n"/>
      <c r="D979" s="220" t="n"/>
      <c r="E979" s="220" t="n"/>
      <c r="F979" s="220" t="n"/>
      <c r="G979" s="169">
        <f>IFERROR((D979-F979)/C979*100,"")</f>
        <v/>
      </c>
      <c r="H979" s="219" t="n"/>
      <c r="I979" s="220" t="n"/>
      <c r="J979" s="221">
        <f>IF(COUNTA(A979:F979)=0,"",IF(OR(C979&lt;0,D979&lt;0,E979&lt;0,F979&lt;0),"ERRO: valor negativo",IF(C979&lt;&gt;SUM(D979:F979),"ERRO: categorias diferem dos respondentes",IF(COUNTIFS($A$5:$A$1200,A979,$B$5:$B$1200,B979)&gt;1,"ERRO: período e curso duplicados","OK"))))</f>
        <v/>
      </c>
    </row>
    <row r="980" ht="15" customHeight="1" s="131">
      <c r="A980" s="220" t="n"/>
      <c r="B980" s="222" t="n"/>
      <c r="C980" s="220" t="n"/>
      <c r="D980" s="220" t="n"/>
      <c r="E980" s="220" t="n"/>
      <c r="F980" s="220" t="n"/>
      <c r="G980" s="169">
        <f>IFERROR((D980-F980)/C980*100,"")</f>
        <v/>
      </c>
      <c r="H980" s="219" t="n"/>
      <c r="I980" s="220" t="n"/>
      <c r="J980" s="221">
        <f>IF(COUNTA(A980:F980)=0,"",IF(OR(C980&lt;0,D980&lt;0,E980&lt;0,F980&lt;0),"ERRO: valor negativo",IF(C980&lt;&gt;SUM(D980:F980),"ERRO: categorias diferem dos respondentes",IF(COUNTIFS($A$5:$A$1200,A980,$B$5:$B$1200,B980)&gt;1,"ERRO: período e curso duplicados","OK"))))</f>
        <v/>
      </c>
    </row>
    <row r="981" ht="15" customHeight="1" s="131">
      <c r="A981" s="220" t="n"/>
      <c r="B981" s="222" t="n"/>
      <c r="C981" s="220" t="n"/>
      <c r="D981" s="220" t="n"/>
      <c r="E981" s="220" t="n"/>
      <c r="F981" s="220" t="n"/>
      <c r="G981" s="169">
        <f>IFERROR((D981-F981)/C981*100,"")</f>
        <v/>
      </c>
      <c r="H981" s="219" t="n"/>
      <c r="I981" s="220" t="n"/>
      <c r="J981" s="221">
        <f>IF(COUNTA(A981:F981)=0,"",IF(OR(C981&lt;0,D981&lt;0,E981&lt;0,F981&lt;0),"ERRO: valor negativo",IF(C981&lt;&gt;SUM(D981:F981),"ERRO: categorias diferem dos respondentes",IF(COUNTIFS($A$5:$A$1200,A981,$B$5:$B$1200,B981)&gt;1,"ERRO: período e curso duplicados","OK"))))</f>
        <v/>
      </c>
    </row>
    <row r="982" ht="15" customHeight="1" s="131">
      <c r="A982" s="220" t="n"/>
      <c r="B982" s="222" t="n"/>
      <c r="C982" s="220" t="n"/>
      <c r="D982" s="220" t="n"/>
      <c r="E982" s="220" t="n"/>
      <c r="F982" s="220" t="n"/>
      <c r="G982" s="169">
        <f>IFERROR((D982-F982)/C982*100,"")</f>
        <v/>
      </c>
      <c r="H982" s="219" t="n"/>
      <c r="I982" s="220" t="n"/>
      <c r="J982" s="221">
        <f>IF(COUNTA(A982:F982)=0,"",IF(OR(C982&lt;0,D982&lt;0,E982&lt;0,F982&lt;0),"ERRO: valor negativo",IF(C982&lt;&gt;SUM(D982:F982),"ERRO: categorias diferem dos respondentes",IF(COUNTIFS($A$5:$A$1200,A982,$B$5:$B$1200,B982)&gt;1,"ERRO: período e curso duplicados","OK"))))</f>
        <v/>
      </c>
    </row>
    <row r="983" ht="15" customHeight="1" s="131">
      <c r="A983" s="220" t="n"/>
      <c r="B983" s="222" t="n"/>
      <c r="C983" s="220" t="n"/>
      <c r="D983" s="220" t="n"/>
      <c r="E983" s="220" t="n"/>
      <c r="F983" s="220" t="n"/>
      <c r="G983" s="169">
        <f>IFERROR((D983-F983)/C983*100,"")</f>
        <v/>
      </c>
      <c r="H983" s="219" t="n"/>
      <c r="I983" s="220" t="n"/>
      <c r="J983" s="221">
        <f>IF(COUNTA(A983:F983)=0,"",IF(OR(C983&lt;0,D983&lt;0,E983&lt;0,F983&lt;0),"ERRO: valor negativo",IF(C983&lt;&gt;SUM(D983:F983),"ERRO: categorias diferem dos respondentes",IF(COUNTIFS($A$5:$A$1200,A983,$B$5:$B$1200,B983)&gt;1,"ERRO: período e curso duplicados","OK"))))</f>
        <v/>
      </c>
    </row>
    <row r="984" ht="15" customHeight="1" s="131">
      <c r="A984" s="220" t="n"/>
      <c r="B984" s="222" t="n"/>
      <c r="C984" s="220" t="n"/>
      <c r="D984" s="220" t="n"/>
      <c r="E984" s="220" t="n"/>
      <c r="F984" s="220" t="n"/>
      <c r="G984" s="169">
        <f>IFERROR((D984-F984)/C984*100,"")</f>
        <v/>
      </c>
      <c r="H984" s="219" t="n"/>
      <c r="I984" s="220" t="n"/>
      <c r="J984" s="221">
        <f>IF(COUNTA(A984:F984)=0,"",IF(OR(C984&lt;0,D984&lt;0,E984&lt;0,F984&lt;0),"ERRO: valor negativo",IF(C984&lt;&gt;SUM(D984:F984),"ERRO: categorias diferem dos respondentes",IF(COUNTIFS($A$5:$A$1200,A984,$B$5:$B$1200,B984)&gt;1,"ERRO: período e curso duplicados","OK"))))</f>
        <v/>
      </c>
    </row>
    <row r="985" ht="15" customHeight="1" s="131">
      <c r="A985" s="220" t="n"/>
      <c r="B985" s="222" t="n"/>
      <c r="C985" s="220" t="n"/>
      <c r="D985" s="220" t="n"/>
      <c r="E985" s="220" t="n"/>
      <c r="F985" s="220" t="n"/>
      <c r="G985" s="169">
        <f>IFERROR((D985-F985)/C985*100,"")</f>
        <v/>
      </c>
      <c r="H985" s="219" t="n"/>
      <c r="I985" s="220" t="n"/>
      <c r="J985" s="221">
        <f>IF(COUNTA(A985:F985)=0,"",IF(OR(C985&lt;0,D985&lt;0,E985&lt;0,F985&lt;0),"ERRO: valor negativo",IF(C985&lt;&gt;SUM(D985:F985),"ERRO: categorias diferem dos respondentes",IF(COUNTIFS($A$5:$A$1200,A985,$B$5:$B$1200,B985)&gt;1,"ERRO: período e curso duplicados","OK"))))</f>
        <v/>
      </c>
    </row>
    <row r="986" ht="15" customHeight="1" s="131">
      <c r="A986" s="220" t="n"/>
      <c r="B986" s="222" t="n"/>
      <c r="C986" s="220" t="n"/>
      <c r="D986" s="220" t="n"/>
      <c r="E986" s="220" t="n"/>
      <c r="F986" s="220" t="n"/>
      <c r="G986" s="169">
        <f>IFERROR((D986-F986)/C986*100,"")</f>
        <v/>
      </c>
      <c r="H986" s="219" t="n"/>
      <c r="I986" s="220" t="n"/>
      <c r="J986" s="221">
        <f>IF(COUNTA(A986:F986)=0,"",IF(OR(C986&lt;0,D986&lt;0,E986&lt;0,F986&lt;0),"ERRO: valor negativo",IF(C986&lt;&gt;SUM(D986:F986),"ERRO: categorias diferem dos respondentes",IF(COUNTIFS($A$5:$A$1200,A986,$B$5:$B$1200,B986)&gt;1,"ERRO: período e curso duplicados","OK"))))</f>
        <v/>
      </c>
    </row>
    <row r="987" ht="15" customHeight="1" s="131">
      <c r="A987" s="220" t="n"/>
      <c r="B987" s="222" t="n"/>
      <c r="C987" s="220" t="n"/>
      <c r="D987" s="220" t="n"/>
      <c r="E987" s="220" t="n"/>
      <c r="F987" s="220" t="n"/>
      <c r="G987" s="169">
        <f>IFERROR((D987-F987)/C987*100,"")</f>
        <v/>
      </c>
      <c r="H987" s="219" t="n"/>
      <c r="I987" s="220" t="n"/>
      <c r="J987" s="221">
        <f>IF(COUNTA(A987:F987)=0,"",IF(OR(C987&lt;0,D987&lt;0,E987&lt;0,F987&lt;0),"ERRO: valor negativo",IF(C987&lt;&gt;SUM(D987:F987),"ERRO: categorias diferem dos respondentes",IF(COUNTIFS($A$5:$A$1200,A987,$B$5:$B$1200,B987)&gt;1,"ERRO: período e curso duplicados","OK"))))</f>
        <v/>
      </c>
    </row>
    <row r="988" ht="15" customHeight="1" s="131">
      <c r="A988" s="220" t="n"/>
      <c r="B988" s="222" t="n"/>
      <c r="C988" s="220" t="n"/>
      <c r="D988" s="220" t="n"/>
      <c r="E988" s="220" t="n"/>
      <c r="F988" s="220" t="n"/>
      <c r="G988" s="169">
        <f>IFERROR((D988-F988)/C988*100,"")</f>
        <v/>
      </c>
      <c r="H988" s="219" t="n"/>
      <c r="I988" s="220" t="n"/>
      <c r="J988" s="221">
        <f>IF(COUNTA(A988:F988)=0,"",IF(OR(C988&lt;0,D988&lt;0,E988&lt;0,F988&lt;0),"ERRO: valor negativo",IF(C988&lt;&gt;SUM(D988:F988),"ERRO: categorias diferem dos respondentes",IF(COUNTIFS($A$5:$A$1200,A988,$B$5:$B$1200,B988)&gt;1,"ERRO: período e curso duplicados","OK"))))</f>
        <v/>
      </c>
    </row>
    <row r="989" ht="15" customHeight="1" s="131">
      <c r="A989" s="220" t="n"/>
      <c r="B989" s="222" t="n"/>
      <c r="C989" s="220" t="n"/>
      <c r="D989" s="220" t="n"/>
      <c r="E989" s="220" t="n"/>
      <c r="F989" s="220" t="n"/>
      <c r="G989" s="169">
        <f>IFERROR((D989-F989)/C989*100,"")</f>
        <v/>
      </c>
      <c r="H989" s="219" t="n"/>
      <c r="I989" s="220" t="n"/>
      <c r="J989" s="221">
        <f>IF(COUNTA(A989:F989)=0,"",IF(OR(C989&lt;0,D989&lt;0,E989&lt;0,F989&lt;0),"ERRO: valor negativo",IF(C989&lt;&gt;SUM(D989:F989),"ERRO: categorias diferem dos respondentes",IF(COUNTIFS($A$5:$A$1200,A989,$B$5:$B$1200,B989)&gt;1,"ERRO: período e curso duplicados","OK"))))</f>
        <v/>
      </c>
    </row>
    <row r="990" ht="15" customHeight="1" s="131">
      <c r="A990" s="220" t="n"/>
      <c r="B990" s="222" t="n"/>
      <c r="C990" s="220" t="n"/>
      <c r="D990" s="220" t="n"/>
      <c r="E990" s="220" t="n"/>
      <c r="F990" s="220" t="n"/>
      <c r="G990" s="169">
        <f>IFERROR((D990-F990)/C990*100,"")</f>
        <v/>
      </c>
      <c r="H990" s="219" t="n"/>
      <c r="I990" s="220" t="n"/>
      <c r="J990" s="221">
        <f>IF(COUNTA(A990:F990)=0,"",IF(OR(C990&lt;0,D990&lt;0,E990&lt;0,F990&lt;0),"ERRO: valor negativo",IF(C990&lt;&gt;SUM(D990:F990),"ERRO: categorias diferem dos respondentes",IF(COUNTIFS($A$5:$A$1200,A990,$B$5:$B$1200,B990)&gt;1,"ERRO: período e curso duplicados","OK"))))</f>
        <v/>
      </c>
    </row>
    <row r="991" ht="15" customHeight="1" s="131">
      <c r="A991" s="220" t="n"/>
      <c r="B991" s="222" t="n"/>
      <c r="C991" s="220" t="n"/>
      <c r="D991" s="220" t="n"/>
      <c r="E991" s="220" t="n"/>
      <c r="F991" s="220" t="n"/>
      <c r="G991" s="169">
        <f>IFERROR((D991-F991)/C991*100,"")</f>
        <v/>
      </c>
      <c r="H991" s="219" t="n"/>
      <c r="I991" s="220" t="n"/>
      <c r="J991" s="221">
        <f>IF(COUNTA(A991:F991)=0,"",IF(OR(C991&lt;0,D991&lt;0,E991&lt;0,F991&lt;0),"ERRO: valor negativo",IF(C991&lt;&gt;SUM(D991:F991),"ERRO: categorias diferem dos respondentes",IF(COUNTIFS($A$5:$A$1200,A991,$B$5:$B$1200,B991)&gt;1,"ERRO: período e curso duplicados","OK"))))</f>
        <v/>
      </c>
    </row>
    <row r="992" ht="15" customHeight="1" s="131">
      <c r="A992" s="220" t="n"/>
      <c r="B992" s="222" t="n"/>
      <c r="C992" s="220" t="n"/>
      <c r="D992" s="220" t="n"/>
      <c r="E992" s="220" t="n"/>
      <c r="F992" s="220" t="n"/>
      <c r="G992" s="169">
        <f>IFERROR((D992-F992)/C992*100,"")</f>
        <v/>
      </c>
      <c r="H992" s="219" t="n"/>
      <c r="I992" s="220" t="n"/>
      <c r="J992" s="221">
        <f>IF(COUNTA(A992:F992)=0,"",IF(OR(C992&lt;0,D992&lt;0,E992&lt;0,F992&lt;0),"ERRO: valor negativo",IF(C992&lt;&gt;SUM(D992:F992),"ERRO: categorias diferem dos respondentes",IF(COUNTIFS($A$5:$A$1200,A992,$B$5:$B$1200,B992)&gt;1,"ERRO: período e curso duplicados","OK"))))</f>
        <v/>
      </c>
    </row>
    <row r="993" ht="15" customHeight="1" s="131">
      <c r="A993" s="220" t="n"/>
      <c r="B993" s="222" t="n"/>
      <c r="C993" s="220" t="n"/>
      <c r="D993" s="220" t="n"/>
      <c r="E993" s="220" t="n"/>
      <c r="F993" s="220" t="n"/>
      <c r="G993" s="169">
        <f>IFERROR((D993-F993)/C993*100,"")</f>
        <v/>
      </c>
      <c r="H993" s="219" t="n"/>
      <c r="I993" s="220" t="n"/>
      <c r="J993" s="221">
        <f>IF(COUNTA(A993:F993)=0,"",IF(OR(C993&lt;0,D993&lt;0,E993&lt;0,F993&lt;0),"ERRO: valor negativo",IF(C993&lt;&gt;SUM(D993:F993),"ERRO: categorias diferem dos respondentes",IF(COUNTIFS($A$5:$A$1200,A993,$B$5:$B$1200,B993)&gt;1,"ERRO: período e curso duplicados","OK"))))</f>
        <v/>
      </c>
    </row>
    <row r="994" ht="15" customHeight="1" s="131">
      <c r="A994" s="220" t="n"/>
      <c r="B994" s="222" t="n"/>
      <c r="C994" s="220" t="n"/>
      <c r="D994" s="220" t="n"/>
      <c r="E994" s="220" t="n"/>
      <c r="F994" s="220" t="n"/>
      <c r="G994" s="169">
        <f>IFERROR((D994-F994)/C994*100,"")</f>
        <v/>
      </c>
      <c r="H994" s="219" t="n"/>
      <c r="I994" s="220" t="n"/>
      <c r="J994" s="221">
        <f>IF(COUNTA(A994:F994)=0,"",IF(OR(C994&lt;0,D994&lt;0,E994&lt;0,F994&lt;0),"ERRO: valor negativo",IF(C994&lt;&gt;SUM(D994:F994),"ERRO: categorias diferem dos respondentes",IF(COUNTIFS($A$5:$A$1200,A994,$B$5:$B$1200,B994)&gt;1,"ERRO: período e curso duplicados","OK"))))</f>
        <v/>
      </c>
    </row>
    <row r="995" ht="15" customHeight="1" s="131">
      <c r="A995" s="220" t="n"/>
      <c r="B995" s="222" t="n"/>
      <c r="C995" s="220" t="n"/>
      <c r="D995" s="220" t="n"/>
      <c r="E995" s="220" t="n"/>
      <c r="F995" s="220" t="n"/>
      <c r="G995" s="169">
        <f>IFERROR((D995-F995)/C995*100,"")</f>
        <v/>
      </c>
      <c r="H995" s="219" t="n"/>
      <c r="I995" s="220" t="n"/>
      <c r="J995" s="221">
        <f>IF(COUNTA(A995:F995)=0,"",IF(OR(C995&lt;0,D995&lt;0,E995&lt;0,F995&lt;0),"ERRO: valor negativo",IF(C995&lt;&gt;SUM(D995:F995),"ERRO: categorias diferem dos respondentes",IF(COUNTIFS($A$5:$A$1200,A995,$B$5:$B$1200,B995)&gt;1,"ERRO: período e curso duplicados","OK"))))</f>
        <v/>
      </c>
    </row>
    <row r="996" ht="15" customHeight="1" s="131">
      <c r="A996" s="220" t="n"/>
      <c r="B996" s="222" t="n"/>
      <c r="C996" s="220" t="n"/>
      <c r="D996" s="220" t="n"/>
      <c r="E996" s="220" t="n"/>
      <c r="F996" s="220" t="n"/>
      <c r="G996" s="169">
        <f>IFERROR((D996-F996)/C996*100,"")</f>
        <v/>
      </c>
      <c r="H996" s="219" t="n"/>
      <c r="I996" s="220" t="n"/>
      <c r="J996" s="221">
        <f>IF(COUNTA(A996:F996)=0,"",IF(OR(C996&lt;0,D996&lt;0,E996&lt;0,F996&lt;0),"ERRO: valor negativo",IF(C996&lt;&gt;SUM(D996:F996),"ERRO: categorias diferem dos respondentes",IF(COUNTIFS($A$5:$A$1200,A996,$B$5:$B$1200,B996)&gt;1,"ERRO: período e curso duplicados","OK"))))</f>
        <v/>
      </c>
    </row>
    <row r="997" ht="15" customHeight="1" s="131">
      <c r="A997" s="220" t="n"/>
      <c r="B997" s="222" t="n"/>
      <c r="C997" s="220" t="n"/>
      <c r="D997" s="220" t="n"/>
      <c r="E997" s="220" t="n"/>
      <c r="F997" s="220" t="n"/>
      <c r="G997" s="169">
        <f>IFERROR((D997-F997)/C997*100,"")</f>
        <v/>
      </c>
      <c r="H997" s="219" t="n"/>
      <c r="I997" s="220" t="n"/>
      <c r="J997" s="221">
        <f>IF(COUNTA(A997:F997)=0,"",IF(OR(C997&lt;0,D997&lt;0,E997&lt;0,F997&lt;0),"ERRO: valor negativo",IF(C997&lt;&gt;SUM(D997:F997),"ERRO: categorias diferem dos respondentes",IF(COUNTIFS($A$5:$A$1200,A997,$B$5:$B$1200,B997)&gt;1,"ERRO: período e curso duplicados","OK"))))</f>
        <v/>
      </c>
    </row>
    <row r="998" ht="15" customHeight="1" s="131">
      <c r="A998" s="220" t="n"/>
      <c r="B998" s="222" t="n"/>
      <c r="C998" s="220" t="n"/>
      <c r="D998" s="220" t="n"/>
      <c r="E998" s="220" t="n"/>
      <c r="F998" s="220" t="n"/>
      <c r="G998" s="169">
        <f>IFERROR((D998-F998)/C998*100,"")</f>
        <v/>
      </c>
      <c r="H998" s="219" t="n"/>
      <c r="I998" s="220" t="n"/>
      <c r="J998" s="221">
        <f>IF(COUNTA(A998:F998)=0,"",IF(OR(C998&lt;0,D998&lt;0,E998&lt;0,F998&lt;0),"ERRO: valor negativo",IF(C998&lt;&gt;SUM(D998:F998),"ERRO: categorias diferem dos respondentes",IF(COUNTIFS($A$5:$A$1200,A998,$B$5:$B$1200,B998)&gt;1,"ERRO: período e curso duplicados","OK"))))</f>
        <v/>
      </c>
    </row>
    <row r="999" ht="15" customHeight="1" s="131">
      <c r="A999" s="220" t="n"/>
      <c r="B999" s="222" t="n"/>
      <c r="C999" s="220" t="n"/>
      <c r="D999" s="220" t="n"/>
      <c r="E999" s="220" t="n"/>
      <c r="F999" s="220" t="n"/>
      <c r="G999" s="169">
        <f>IFERROR((D999-F999)/C999*100,"")</f>
        <v/>
      </c>
      <c r="H999" s="219" t="n"/>
      <c r="I999" s="220" t="n"/>
      <c r="J999" s="221">
        <f>IF(COUNTA(A999:F999)=0,"",IF(OR(C999&lt;0,D999&lt;0,E999&lt;0,F999&lt;0),"ERRO: valor negativo",IF(C999&lt;&gt;SUM(D999:F999),"ERRO: categorias diferem dos respondentes",IF(COUNTIFS($A$5:$A$1200,A999,$B$5:$B$1200,B999)&gt;1,"ERRO: período e curso duplicados","OK"))))</f>
        <v/>
      </c>
    </row>
    <row r="1000" ht="15" customHeight="1" s="131">
      <c r="A1000" s="220" t="n"/>
      <c r="B1000" s="222" t="n"/>
      <c r="C1000" s="220" t="n"/>
      <c r="D1000" s="220" t="n"/>
      <c r="E1000" s="220" t="n"/>
      <c r="F1000" s="220" t="n"/>
      <c r="G1000" s="169">
        <f>IFERROR((D1000-F1000)/C1000*100,"")</f>
        <v/>
      </c>
      <c r="H1000" s="219" t="n"/>
      <c r="I1000" s="220" t="n"/>
      <c r="J1000" s="221">
        <f>IF(COUNTA(A1000:F1000)=0,"",IF(OR(C1000&lt;0,D1000&lt;0,E1000&lt;0,F1000&lt;0),"ERRO: valor negativo",IF(C1000&lt;&gt;SUM(D1000:F1000),"ERRO: categorias diferem dos respondentes",IF(COUNTIFS($A$5:$A$1200,A1000,$B$5:$B$1200,B1000)&gt;1,"ERRO: período e curso duplicados","OK"))))</f>
        <v/>
      </c>
    </row>
    <row r="1001" ht="15" customHeight="1" s="131">
      <c r="A1001" s="220" t="n"/>
      <c r="B1001" s="222" t="n"/>
      <c r="C1001" s="220" t="n"/>
      <c r="D1001" s="220" t="n"/>
      <c r="E1001" s="220" t="n"/>
      <c r="F1001" s="220" t="n"/>
      <c r="G1001" s="169">
        <f>IFERROR((D1001-F1001)/C1001*100,"")</f>
        <v/>
      </c>
      <c r="H1001" s="219" t="n"/>
      <c r="I1001" s="220" t="n"/>
      <c r="J1001" s="221">
        <f>IF(COUNTA(A1001:F1001)=0,"",IF(OR(C1001&lt;0,D1001&lt;0,E1001&lt;0,F1001&lt;0),"ERRO: valor negativo",IF(C1001&lt;&gt;SUM(D1001:F1001),"ERRO: categorias diferem dos respondentes",IF(COUNTIFS($A$5:$A$1200,A1001,$B$5:$B$1200,B1001)&gt;1,"ERRO: período e curso duplicados","OK"))))</f>
        <v/>
      </c>
    </row>
    <row r="1002" ht="15" customHeight="1" s="131">
      <c r="A1002" s="220" t="n"/>
      <c r="B1002" s="222" t="n"/>
      <c r="C1002" s="220" t="n"/>
      <c r="D1002" s="220" t="n"/>
      <c r="E1002" s="220" t="n"/>
      <c r="F1002" s="220" t="n"/>
      <c r="G1002" s="169">
        <f>IFERROR((D1002-F1002)/C1002*100,"")</f>
        <v/>
      </c>
      <c r="H1002" s="219" t="n"/>
      <c r="I1002" s="220" t="n"/>
      <c r="J1002" s="221">
        <f>IF(COUNTA(A1002:F1002)=0,"",IF(OR(C1002&lt;0,D1002&lt;0,E1002&lt;0,F1002&lt;0),"ERRO: valor negativo",IF(C1002&lt;&gt;SUM(D1002:F1002),"ERRO: categorias diferem dos respondentes",IF(COUNTIFS($A$5:$A$1200,A1002,$B$5:$B$1200,B1002)&gt;1,"ERRO: período e curso duplicados","OK"))))</f>
        <v/>
      </c>
    </row>
    <row r="1003" ht="15" customHeight="1" s="131">
      <c r="A1003" s="220" t="n"/>
      <c r="B1003" s="222" t="n"/>
      <c r="C1003" s="220" t="n"/>
      <c r="D1003" s="220" t="n"/>
      <c r="E1003" s="220" t="n"/>
      <c r="F1003" s="220" t="n"/>
      <c r="G1003" s="169">
        <f>IFERROR((D1003-F1003)/C1003*100,"")</f>
        <v/>
      </c>
      <c r="H1003" s="219" t="n"/>
      <c r="I1003" s="220" t="n"/>
      <c r="J1003" s="221">
        <f>IF(COUNTA(A1003:F1003)=0,"",IF(OR(C1003&lt;0,D1003&lt;0,E1003&lt;0,F1003&lt;0),"ERRO: valor negativo",IF(C1003&lt;&gt;SUM(D1003:F1003),"ERRO: categorias diferem dos respondentes",IF(COUNTIFS($A$5:$A$1200,A1003,$B$5:$B$1200,B1003)&gt;1,"ERRO: período e curso duplicados","OK"))))</f>
        <v/>
      </c>
    </row>
    <row r="1004" ht="15" customHeight="1" s="131">
      <c r="A1004" s="220" t="n"/>
      <c r="B1004" s="222" t="n"/>
      <c r="C1004" s="220" t="n"/>
      <c r="D1004" s="220" t="n"/>
      <c r="E1004" s="220" t="n"/>
      <c r="F1004" s="220" t="n"/>
      <c r="G1004" s="169">
        <f>IFERROR((D1004-F1004)/C1004*100,"")</f>
        <v/>
      </c>
      <c r="H1004" s="219" t="n"/>
      <c r="I1004" s="220" t="n"/>
      <c r="J1004" s="221">
        <f>IF(COUNTA(A1004:F1004)=0,"",IF(OR(C1004&lt;0,D1004&lt;0,E1004&lt;0,F1004&lt;0),"ERRO: valor negativo",IF(C1004&lt;&gt;SUM(D1004:F1004),"ERRO: categorias diferem dos respondentes",IF(COUNTIFS($A$5:$A$1200,A1004,$B$5:$B$1200,B1004)&gt;1,"ERRO: período e curso duplicados","OK"))))</f>
        <v/>
      </c>
    </row>
    <row r="1005" ht="15" customHeight="1" s="131">
      <c r="A1005" s="220" t="n"/>
      <c r="B1005" s="222" t="n"/>
      <c r="C1005" s="220" t="n"/>
      <c r="D1005" s="220" t="n"/>
      <c r="E1005" s="220" t="n"/>
      <c r="F1005" s="220" t="n"/>
      <c r="G1005" s="169">
        <f>IFERROR((D1005-F1005)/C1005*100,"")</f>
        <v/>
      </c>
      <c r="H1005" s="219" t="n"/>
      <c r="I1005" s="220" t="n"/>
      <c r="J1005" s="221">
        <f>IF(COUNTA(A1005:F1005)=0,"",IF(OR(C1005&lt;0,D1005&lt;0,E1005&lt;0,F1005&lt;0),"ERRO: valor negativo",IF(C1005&lt;&gt;SUM(D1005:F1005),"ERRO: categorias diferem dos respondentes",IF(COUNTIFS($A$5:$A$1200,A1005,$B$5:$B$1200,B1005)&gt;1,"ERRO: período e curso duplicados","OK"))))</f>
        <v/>
      </c>
    </row>
    <row r="1006" ht="15" customHeight="1" s="131">
      <c r="A1006" s="220" t="n"/>
      <c r="B1006" s="222" t="n"/>
      <c r="C1006" s="220" t="n"/>
      <c r="D1006" s="220" t="n"/>
      <c r="E1006" s="220" t="n"/>
      <c r="F1006" s="220" t="n"/>
      <c r="G1006" s="169">
        <f>IFERROR((D1006-F1006)/C1006*100,"")</f>
        <v/>
      </c>
      <c r="H1006" s="219" t="n"/>
      <c r="I1006" s="220" t="n"/>
      <c r="J1006" s="221">
        <f>IF(COUNTA(A1006:F1006)=0,"",IF(OR(C1006&lt;0,D1006&lt;0,E1006&lt;0,F1006&lt;0),"ERRO: valor negativo",IF(C1006&lt;&gt;SUM(D1006:F1006),"ERRO: categorias diferem dos respondentes",IF(COUNTIFS($A$5:$A$1200,A1006,$B$5:$B$1200,B1006)&gt;1,"ERRO: período e curso duplicados","OK"))))</f>
        <v/>
      </c>
    </row>
    <row r="1007" ht="15" customHeight="1" s="131">
      <c r="A1007" s="220" t="n"/>
      <c r="B1007" s="222" t="n"/>
      <c r="C1007" s="220" t="n"/>
      <c r="D1007" s="220" t="n"/>
      <c r="E1007" s="220" t="n"/>
      <c r="F1007" s="220" t="n"/>
      <c r="G1007" s="169">
        <f>IFERROR((D1007-F1007)/C1007*100,"")</f>
        <v/>
      </c>
      <c r="H1007" s="219" t="n"/>
      <c r="I1007" s="220" t="n"/>
      <c r="J1007" s="221">
        <f>IF(COUNTA(A1007:F1007)=0,"",IF(OR(C1007&lt;0,D1007&lt;0,E1007&lt;0,F1007&lt;0),"ERRO: valor negativo",IF(C1007&lt;&gt;SUM(D1007:F1007),"ERRO: categorias diferem dos respondentes",IF(COUNTIFS($A$5:$A$1200,A1007,$B$5:$B$1200,B1007)&gt;1,"ERRO: período e curso duplicados","OK"))))</f>
        <v/>
      </c>
    </row>
    <row r="1008" ht="15" customHeight="1" s="131">
      <c r="A1008" s="220" t="n"/>
      <c r="B1008" s="222" t="n"/>
      <c r="C1008" s="220" t="n"/>
      <c r="D1008" s="220" t="n"/>
      <c r="E1008" s="220" t="n"/>
      <c r="F1008" s="220" t="n"/>
      <c r="G1008" s="169">
        <f>IFERROR((D1008-F1008)/C1008*100,"")</f>
        <v/>
      </c>
      <c r="H1008" s="219" t="n"/>
      <c r="I1008" s="220" t="n"/>
      <c r="J1008" s="221">
        <f>IF(COUNTA(A1008:F1008)=0,"",IF(OR(C1008&lt;0,D1008&lt;0,E1008&lt;0,F1008&lt;0),"ERRO: valor negativo",IF(C1008&lt;&gt;SUM(D1008:F1008),"ERRO: categorias diferem dos respondentes",IF(COUNTIFS($A$5:$A$1200,A1008,$B$5:$B$1200,B1008)&gt;1,"ERRO: período e curso duplicados","OK"))))</f>
        <v/>
      </c>
    </row>
    <row r="1009" ht="15" customHeight="1" s="131">
      <c r="A1009" s="220" t="n"/>
      <c r="B1009" s="222" t="n"/>
      <c r="C1009" s="220" t="n"/>
      <c r="D1009" s="220" t="n"/>
      <c r="E1009" s="220" t="n"/>
      <c r="F1009" s="220" t="n"/>
      <c r="G1009" s="169">
        <f>IFERROR((D1009-F1009)/C1009*100,"")</f>
        <v/>
      </c>
      <c r="H1009" s="219" t="n"/>
      <c r="I1009" s="220" t="n"/>
      <c r="J1009" s="221">
        <f>IF(COUNTA(A1009:F1009)=0,"",IF(OR(C1009&lt;0,D1009&lt;0,E1009&lt;0,F1009&lt;0),"ERRO: valor negativo",IF(C1009&lt;&gt;SUM(D1009:F1009),"ERRO: categorias diferem dos respondentes",IF(COUNTIFS($A$5:$A$1200,A1009,$B$5:$B$1200,B1009)&gt;1,"ERRO: período e curso duplicados","OK"))))</f>
        <v/>
      </c>
    </row>
    <row r="1010" ht="15" customHeight="1" s="131">
      <c r="A1010" s="220" t="n"/>
      <c r="B1010" s="222" t="n"/>
      <c r="C1010" s="220" t="n"/>
      <c r="D1010" s="220" t="n"/>
      <c r="E1010" s="220" t="n"/>
      <c r="F1010" s="220" t="n"/>
      <c r="G1010" s="169">
        <f>IFERROR((D1010-F1010)/C1010*100,"")</f>
        <v/>
      </c>
      <c r="H1010" s="219" t="n"/>
      <c r="I1010" s="220" t="n"/>
      <c r="J1010" s="221">
        <f>IF(COUNTA(A1010:F1010)=0,"",IF(OR(C1010&lt;0,D1010&lt;0,E1010&lt;0,F1010&lt;0),"ERRO: valor negativo",IF(C1010&lt;&gt;SUM(D1010:F1010),"ERRO: categorias diferem dos respondentes",IF(COUNTIFS($A$5:$A$1200,A1010,$B$5:$B$1200,B1010)&gt;1,"ERRO: período e curso duplicados","OK"))))</f>
        <v/>
      </c>
    </row>
    <row r="1011" ht="15" customHeight="1" s="131">
      <c r="A1011" s="220" t="n"/>
      <c r="B1011" s="222" t="n"/>
      <c r="C1011" s="220" t="n"/>
      <c r="D1011" s="220" t="n"/>
      <c r="E1011" s="220" t="n"/>
      <c r="F1011" s="220" t="n"/>
      <c r="G1011" s="169">
        <f>IFERROR((D1011-F1011)/C1011*100,"")</f>
        <v/>
      </c>
      <c r="H1011" s="219" t="n"/>
      <c r="I1011" s="220" t="n"/>
      <c r="J1011" s="221">
        <f>IF(COUNTA(A1011:F1011)=0,"",IF(OR(C1011&lt;0,D1011&lt;0,E1011&lt;0,F1011&lt;0),"ERRO: valor negativo",IF(C1011&lt;&gt;SUM(D1011:F1011),"ERRO: categorias diferem dos respondentes",IF(COUNTIFS($A$5:$A$1200,A1011,$B$5:$B$1200,B1011)&gt;1,"ERRO: período e curso duplicados","OK"))))</f>
        <v/>
      </c>
    </row>
    <row r="1012" ht="15" customHeight="1" s="131">
      <c r="A1012" s="220" t="n"/>
      <c r="B1012" s="222" t="n"/>
      <c r="C1012" s="220" t="n"/>
      <c r="D1012" s="220" t="n"/>
      <c r="E1012" s="220" t="n"/>
      <c r="F1012" s="220" t="n"/>
      <c r="G1012" s="169">
        <f>IFERROR((D1012-F1012)/C1012*100,"")</f>
        <v/>
      </c>
      <c r="H1012" s="219" t="n"/>
      <c r="I1012" s="220" t="n"/>
      <c r="J1012" s="221">
        <f>IF(COUNTA(A1012:F1012)=0,"",IF(OR(C1012&lt;0,D1012&lt;0,E1012&lt;0,F1012&lt;0),"ERRO: valor negativo",IF(C1012&lt;&gt;SUM(D1012:F1012),"ERRO: categorias diferem dos respondentes",IF(COUNTIFS($A$5:$A$1200,A1012,$B$5:$B$1200,B1012)&gt;1,"ERRO: período e curso duplicados","OK"))))</f>
        <v/>
      </c>
    </row>
    <row r="1013" ht="15" customHeight="1" s="131">
      <c r="A1013" s="220" t="n"/>
      <c r="B1013" s="222" t="n"/>
      <c r="C1013" s="220" t="n"/>
      <c r="D1013" s="220" t="n"/>
      <c r="E1013" s="220" t="n"/>
      <c r="F1013" s="220" t="n"/>
      <c r="G1013" s="169">
        <f>IFERROR((D1013-F1013)/C1013*100,"")</f>
        <v/>
      </c>
      <c r="H1013" s="219" t="n"/>
      <c r="I1013" s="220" t="n"/>
      <c r="J1013" s="221">
        <f>IF(COUNTA(A1013:F1013)=0,"",IF(OR(C1013&lt;0,D1013&lt;0,E1013&lt;0,F1013&lt;0),"ERRO: valor negativo",IF(C1013&lt;&gt;SUM(D1013:F1013),"ERRO: categorias diferem dos respondentes",IF(COUNTIFS($A$5:$A$1200,A1013,$B$5:$B$1200,B1013)&gt;1,"ERRO: período e curso duplicados","OK"))))</f>
        <v/>
      </c>
    </row>
    <row r="1014" ht="15" customHeight="1" s="131">
      <c r="A1014" s="220" t="n"/>
      <c r="B1014" s="222" t="n"/>
      <c r="C1014" s="220" t="n"/>
      <c r="D1014" s="220" t="n"/>
      <c r="E1014" s="220" t="n"/>
      <c r="F1014" s="220" t="n"/>
      <c r="G1014" s="169">
        <f>IFERROR((D1014-F1014)/C1014*100,"")</f>
        <v/>
      </c>
      <c r="H1014" s="219" t="n"/>
      <c r="I1014" s="220" t="n"/>
      <c r="J1014" s="221">
        <f>IF(COUNTA(A1014:F1014)=0,"",IF(OR(C1014&lt;0,D1014&lt;0,E1014&lt;0,F1014&lt;0),"ERRO: valor negativo",IF(C1014&lt;&gt;SUM(D1014:F1014),"ERRO: categorias diferem dos respondentes",IF(COUNTIFS($A$5:$A$1200,A1014,$B$5:$B$1200,B1014)&gt;1,"ERRO: período e curso duplicados","OK"))))</f>
        <v/>
      </c>
    </row>
    <row r="1015" ht="15" customHeight="1" s="131">
      <c r="A1015" s="220" t="n"/>
      <c r="B1015" s="222" t="n"/>
      <c r="C1015" s="220" t="n"/>
      <c r="D1015" s="220" t="n"/>
      <c r="E1015" s="220" t="n"/>
      <c r="F1015" s="220" t="n"/>
      <c r="G1015" s="169">
        <f>IFERROR((D1015-F1015)/C1015*100,"")</f>
        <v/>
      </c>
      <c r="H1015" s="219" t="n"/>
      <c r="I1015" s="220" t="n"/>
      <c r="J1015" s="221">
        <f>IF(COUNTA(A1015:F1015)=0,"",IF(OR(C1015&lt;0,D1015&lt;0,E1015&lt;0,F1015&lt;0),"ERRO: valor negativo",IF(C1015&lt;&gt;SUM(D1015:F1015),"ERRO: categorias diferem dos respondentes",IF(COUNTIFS($A$5:$A$1200,A1015,$B$5:$B$1200,B1015)&gt;1,"ERRO: período e curso duplicados","OK"))))</f>
        <v/>
      </c>
    </row>
    <row r="1016" ht="15" customHeight="1" s="131">
      <c r="A1016" s="220" t="n"/>
      <c r="B1016" s="222" t="n"/>
      <c r="C1016" s="220" t="n"/>
      <c r="D1016" s="220" t="n"/>
      <c r="E1016" s="220" t="n"/>
      <c r="F1016" s="220" t="n"/>
      <c r="G1016" s="169">
        <f>IFERROR((D1016-F1016)/C1016*100,"")</f>
        <v/>
      </c>
      <c r="H1016" s="219" t="n"/>
      <c r="I1016" s="220" t="n"/>
      <c r="J1016" s="221">
        <f>IF(COUNTA(A1016:F1016)=0,"",IF(OR(C1016&lt;0,D1016&lt;0,E1016&lt;0,F1016&lt;0),"ERRO: valor negativo",IF(C1016&lt;&gt;SUM(D1016:F1016),"ERRO: categorias diferem dos respondentes",IF(COUNTIFS($A$5:$A$1200,A1016,$B$5:$B$1200,B1016)&gt;1,"ERRO: período e curso duplicados","OK"))))</f>
        <v/>
      </c>
    </row>
    <row r="1017" ht="15" customHeight="1" s="131">
      <c r="A1017" s="220" t="n"/>
      <c r="B1017" s="222" t="n"/>
      <c r="C1017" s="220" t="n"/>
      <c r="D1017" s="220" t="n"/>
      <c r="E1017" s="220" t="n"/>
      <c r="F1017" s="220" t="n"/>
      <c r="G1017" s="169">
        <f>IFERROR((D1017-F1017)/C1017*100,"")</f>
        <v/>
      </c>
      <c r="H1017" s="219" t="n"/>
      <c r="I1017" s="220" t="n"/>
      <c r="J1017" s="221">
        <f>IF(COUNTA(A1017:F1017)=0,"",IF(OR(C1017&lt;0,D1017&lt;0,E1017&lt;0,F1017&lt;0),"ERRO: valor negativo",IF(C1017&lt;&gt;SUM(D1017:F1017),"ERRO: categorias diferem dos respondentes",IF(COUNTIFS($A$5:$A$1200,A1017,$B$5:$B$1200,B1017)&gt;1,"ERRO: período e curso duplicados","OK"))))</f>
        <v/>
      </c>
    </row>
    <row r="1018" ht="15" customHeight="1" s="131">
      <c r="A1018" s="220" t="n"/>
      <c r="B1018" s="222" t="n"/>
      <c r="C1018" s="220" t="n"/>
      <c r="D1018" s="220" t="n"/>
      <c r="E1018" s="220" t="n"/>
      <c r="F1018" s="220" t="n"/>
      <c r="G1018" s="169">
        <f>IFERROR((D1018-F1018)/C1018*100,"")</f>
        <v/>
      </c>
      <c r="H1018" s="219" t="n"/>
      <c r="I1018" s="220" t="n"/>
      <c r="J1018" s="221">
        <f>IF(COUNTA(A1018:F1018)=0,"",IF(OR(C1018&lt;0,D1018&lt;0,E1018&lt;0,F1018&lt;0),"ERRO: valor negativo",IF(C1018&lt;&gt;SUM(D1018:F1018),"ERRO: categorias diferem dos respondentes",IF(COUNTIFS($A$5:$A$1200,A1018,$B$5:$B$1200,B1018)&gt;1,"ERRO: período e curso duplicados","OK"))))</f>
        <v/>
      </c>
    </row>
    <row r="1019" ht="15" customHeight="1" s="131">
      <c r="A1019" s="220" t="n"/>
      <c r="B1019" s="222" t="n"/>
      <c r="C1019" s="220" t="n"/>
      <c r="D1019" s="220" t="n"/>
      <c r="E1019" s="220" t="n"/>
      <c r="F1019" s="220" t="n"/>
      <c r="G1019" s="169">
        <f>IFERROR((D1019-F1019)/C1019*100,"")</f>
        <v/>
      </c>
      <c r="H1019" s="219" t="n"/>
      <c r="I1019" s="220" t="n"/>
      <c r="J1019" s="221">
        <f>IF(COUNTA(A1019:F1019)=0,"",IF(OR(C1019&lt;0,D1019&lt;0,E1019&lt;0,F1019&lt;0),"ERRO: valor negativo",IF(C1019&lt;&gt;SUM(D1019:F1019),"ERRO: categorias diferem dos respondentes",IF(COUNTIFS($A$5:$A$1200,A1019,$B$5:$B$1200,B1019)&gt;1,"ERRO: período e curso duplicados","OK"))))</f>
        <v/>
      </c>
    </row>
    <row r="1020" ht="15" customHeight="1" s="131">
      <c r="A1020" s="220" t="n"/>
      <c r="B1020" s="222" t="n"/>
      <c r="C1020" s="220" t="n"/>
      <c r="D1020" s="220" t="n"/>
      <c r="E1020" s="220" t="n"/>
      <c r="F1020" s="220" t="n"/>
      <c r="G1020" s="169">
        <f>IFERROR((D1020-F1020)/C1020*100,"")</f>
        <v/>
      </c>
      <c r="H1020" s="219" t="n"/>
      <c r="I1020" s="220" t="n"/>
      <c r="J1020" s="221">
        <f>IF(COUNTA(A1020:F1020)=0,"",IF(OR(C1020&lt;0,D1020&lt;0,E1020&lt;0,F1020&lt;0),"ERRO: valor negativo",IF(C1020&lt;&gt;SUM(D1020:F1020),"ERRO: categorias diferem dos respondentes",IF(COUNTIFS($A$5:$A$1200,A1020,$B$5:$B$1200,B1020)&gt;1,"ERRO: período e curso duplicados","OK"))))</f>
        <v/>
      </c>
    </row>
    <row r="1021" ht="15" customHeight="1" s="131">
      <c r="A1021" s="220" t="n"/>
      <c r="B1021" s="222" t="n"/>
      <c r="C1021" s="220" t="n"/>
      <c r="D1021" s="220" t="n"/>
      <c r="E1021" s="220" t="n"/>
      <c r="F1021" s="220" t="n"/>
      <c r="G1021" s="169">
        <f>IFERROR((D1021-F1021)/C1021*100,"")</f>
        <v/>
      </c>
      <c r="H1021" s="219" t="n"/>
      <c r="I1021" s="220" t="n"/>
      <c r="J1021" s="221">
        <f>IF(COUNTA(A1021:F1021)=0,"",IF(OR(C1021&lt;0,D1021&lt;0,E1021&lt;0,F1021&lt;0),"ERRO: valor negativo",IF(C1021&lt;&gt;SUM(D1021:F1021),"ERRO: categorias diferem dos respondentes",IF(COUNTIFS($A$5:$A$1200,A1021,$B$5:$B$1200,B1021)&gt;1,"ERRO: período e curso duplicados","OK"))))</f>
        <v/>
      </c>
    </row>
    <row r="1022" ht="15" customHeight="1" s="131">
      <c r="A1022" s="220" t="n"/>
      <c r="B1022" s="222" t="n"/>
      <c r="C1022" s="220" t="n"/>
      <c r="D1022" s="220" t="n"/>
      <c r="E1022" s="220" t="n"/>
      <c r="F1022" s="220" t="n"/>
      <c r="G1022" s="169">
        <f>IFERROR((D1022-F1022)/C1022*100,"")</f>
        <v/>
      </c>
      <c r="H1022" s="219" t="n"/>
      <c r="I1022" s="220" t="n"/>
      <c r="J1022" s="221">
        <f>IF(COUNTA(A1022:F1022)=0,"",IF(OR(C1022&lt;0,D1022&lt;0,E1022&lt;0,F1022&lt;0),"ERRO: valor negativo",IF(C1022&lt;&gt;SUM(D1022:F1022),"ERRO: categorias diferem dos respondentes",IF(COUNTIFS($A$5:$A$1200,A1022,$B$5:$B$1200,B1022)&gt;1,"ERRO: período e curso duplicados","OK"))))</f>
        <v/>
      </c>
    </row>
    <row r="1023" ht="15" customHeight="1" s="131">
      <c r="A1023" s="220" t="n"/>
      <c r="B1023" s="222" t="n"/>
      <c r="C1023" s="220" t="n"/>
      <c r="D1023" s="220" t="n"/>
      <c r="E1023" s="220" t="n"/>
      <c r="F1023" s="220" t="n"/>
      <c r="G1023" s="169">
        <f>IFERROR((D1023-F1023)/C1023*100,"")</f>
        <v/>
      </c>
      <c r="H1023" s="219" t="n"/>
      <c r="I1023" s="220" t="n"/>
      <c r="J1023" s="221">
        <f>IF(COUNTA(A1023:F1023)=0,"",IF(OR(C1023&lt;0,D1023&lt;0,E1023&lt;0,F1023&lt;0),"ERRO: valor negativo",IF(C1023&lt;&gt;SUM(D1023:F1023),"ERRO: categorias diferem dos respondentes",IF(COUNTIFS($A$5:$A$1200,A1023,$B$5:$B$1200,B1023)&gt;1,"ERRO: período e curso duplicados","OK"))))</f>
        <v/>
      </c>
    </row>
    <row r="1024" ht="15" customHeight="1" s="131">
      <c r="A1024" s="220" t="n"/>
      <c r="B1024" s="222" t="n"/>
      <c r="C1024" s="220" t="n"/>
      <c r="D1024" s="220" t="n"/>
      <c r="E1024" s="220" t="n"/>
      <c r="F1024" s="220" t="n"/>
      <c r="G1024" s="169">
        <f>IFERROR((D1024-F1024)/C1024*100,"")</f>
        <v/>
      </c>
      <c r="H1024" s="219" t="n"/>
      <c r="I1024" s="220" t="n"/>
      <c r="J1024" s="221">
        <f>IF(COUNTA(A1024:F1024)=0,"",IF(OR(C1024&lt;0,D1024&lt;0,E1024&lt;0,F1024&lt;0),"ERRO: valor negativo",IF(C1024&lt;&gt;SUM(D1024:F1024),"ERRO: categorias diferem dos respondentes",IF(COUNTIFS($A$5:$A$1200,A1024,$B$5:$B$1200,B1024)&gt;1,"ERRO: período e curso duplicados","OK"))))</f>
        <v/>
      </c>
    </row>
    <row r="1025" ht="15" customHeight="1" s="131">
      <c r="A1025" s="220" t="n"/>
      <c r="B1025" s="222" t="n"/>
      <c r="C1025" s="220" t="n"/>
      <c r="D1025" s="220" t="n"/>
      <c r="E1025" s="220" t="n"/>
      <c r="F1025" s="220" t="n"/>
      <c r="G1025" s="169">
        <f>IFERROR((D1025-F1025)/C1025*100,"")</f>
        <v/>
      </c>
      <c r="H1025" s="219" t="n"/>
      <c r="I1025" s="220" t="n"/>
      <c r="J1025" s="221">
        <f>IF(COUNTA(A1025:F1025)=0,"",IF(OR(C1025&lt;0,D1025&lt;0,E1025&lt;0,F1025&lt;0),"ERRO: valor negativo",IF(C1025&lt;&gt;SUM(D1025:F1025),"ERRO: categorias diferem dos respondentes",IF(COUNTIFS($A$5:$A$1200,A1025,$B$5:$B$1200,B1025)&gt;1,"ERRO: período e curso duplicados","OK"))))</f>
        <v/>
      </c>
    </row>
    <row r="1026" ht="15" customHeight="1" s="131">
      <c r="A1026" s="220" t="n"/>
      <c r="B1026" s="222" t="n"/>
      <c r="C1026" s="220" t="n"/>
      <c r="D1026" s="220" t="n"/>
      <c r="E1026" s="220" t="n"/>
      <c r="F1026" s="220" t="n"/>
      <c r="G1026" s="169">
        <f>IFERROR((D1026-F1026)/C1026*100,"")</f>
        <v/>
      </c>
      <c r="H1026" s="219" t="n"/>
      <c r="I1026" s="220" t="n"/>
      <c r="J1026" s="221">
        <f>IF(COUNTA(A1026:F1026)=0,"",IF(OR(C1026&lt;0,D1026&lt;0,E1026&lt;0,F1026&lt;0),"ERRO: valor negativo",IF(C1026&lt;&gt;SUM(D1026:F1026),"ERRO: categorias diferem dos respondentes",IF(COUNTIFS($A$5:$A$1200,A1026,$B$5:$B$1200,B1026)&gt;1,"ERRO: período e curso duplicados","OK"))))</f>
        <v/>
      </c>
    </row>
    <row r="1027" ht="15" customHeight="1" s="131">
      <c r="A1027" s="220" t="n"/>
      <c r="B1027" s="222" t="n"/>
      <c r="C1027" s="220" t="n"/>
      <c r="D1027" s="220" t="n"/>
      <c r="E1027" s="220" t="n"/>
      <c r="F1027" s="220" t="n"/>
      <c r="G1027" s="169">
        <f>IFERROR((D1027-F1027)/C1027*100,"")</f>
        <v/>
      </c>
      <c r="H1027" s="219" t="n"/>
      <c r="I1027" s="220" t="n"/>
      <c r="J1027" s="221">
        <f>IF(COUNTA(A1027:F1027)=0,"",IF(OR(C1027&lt;0,D1027&lt;0,E1027&lt;0,F1027&lt;0),"ERRO: valor negativo",IF(C1027&lt;&gt;SUM(D1027:F1027),"ERRO: categorias diferem dos respondentes",IF(COUNTIFS($A$5:$A$1200,A1027,$B$5:$B$1200,B1027)&gt;1,"ERRO: período e curso duplicados","OK"))))</f>
        <v/>
      </c>
    </row>
    <row r="1028" ht="15" customHeight="1" s="131">
      <c r="A1028" s="220" t="n"/>
      <c r="B1028" s="222" t="n"/>
      <c r="C1028" s="220" t="n"/>
      <c r="D1028" s="220" t="n"/>
      <c r="E1028" s="220" t="n"/>
      <c r="F1028" s="220" t="n"/>
      <c r="G1028" s="169">
        <f>IFERROR((D1028-F1028)/C1028*100,"")</f>
        <v/>
      </c>
      <c r="H1028" s="219" t="n"/>
      <c r="I1028" s="220" t="n"/>
      <c r="J1028" s="221">
        <f>IF(COUNTA(A1028:F1028)=0,"",IF(OR(C1028&lt;0,D1028&lt;0,E1028&lt;0,F1028&lt;0),"ERRO: valor negativo",IF(C1028&lt;&gt;SUM(D1028:F1028),"ERRO: categorias diferem dos respondentes",IF(COUNTIFS($A$5:$A$1200,A1028,$B$5:$B$1200,B1028)&gt;1,"ERRO: período e curso duplicados","OK"))))</f>
        <v/>
      </c>
    </row>
    <row r="1029" ht="15" customHeight="1" s="131">
      <c r="A1029" s="220" t="n"/>
      <c r="B1029" s="222" t="n"/>
      <c r="C1029" s="220" t="n"/>
      <c r="D1029" s="220" t="n"/>
      <c r="E1029" s="220" t="n"/>
      <c r="F1029" s="220" t="n"/>
      <c r="G1029" s="169">
        <f>IFERROR((D1029-F1029)/C1029*100,"")</f>
        <v/>
      </c>
      <c r="H1029" s="219" t="n"/>
      <c r="I1029" s="220" t="n"/>
      <c r="J1029" s="221">
        <f>IF(COUNTA(A1029:F1029)=0,"",IF(OR(C1029&lt;0,D1029&lt;0,E1029&lt;0,F1029&lt;0),"ERRO: valor negativo",IF(C1029&lt;&gt;SUM(D1029:F1029),"ERRO: categorias diferem dos respondentes",IF(COUNTIFS($A$5:$A$1200,A1029,$B$5:$B$1200,B1029)&gt;1,"ERRO: período e curso duplicados","OK"))))</f>
        <v/>
      </c>
    </row>
    <row r="1030" ht="15" customHeight="1" s="131">
      <c r="A1030" s="220" t="n"/>
      <c r="B1030" s="222" t="n"/>
      <c r="C1030" s="220" t="n"/>
      <c r="D1030" s="220" t="n"/>
      <c r="E1030" s="220" t="n"/>
      <c r="F1030" s="220" t="n"/>
      <c r="G1030" s="169">
        <f>IFERROR((D1030-F1030)/C1030*100,"")</f>
        <v/>
      </c>
      <c r="H1030" s="219" t="n"/>
      <c r="I1030" s="220" t="n"/>
      <c r="J1030" s="221">
        <f>IF(COUNTA(A1030:F1030)=0,"",IF(OR(C1030&lt;0,D1030&lt;0,E1030&lt;0,F1030&lt;0),"ERRO: valor negativo",IF(C1030&lt;&gt;SUM(D1030:F1030),"ERRO: categorias diferem dos respondentes",IF(COUNTIFS($A$5:$A$1200,A1030,$B$5:$B$1200,B1030)&gt;1,"ERRO: período e curso duplicados","OK"))))</f>
        <v/>
      </c>
    </row>
    <row r="1031" ht="15" customHeight="1" s="131">
      <c r="A1031" s="220" t="n"/>
      <c r="B1031" s="222" t="n"/>
      <c r="C1031" s="220" t="n"/>
      <c r="D1031" s="220" t="n"/>
      <c r="E1031" s="220" t="n"/>
      <c r="F1031" s="220" t="n"/>
      <c r="G1031" s="169">
        <f>IFERROR((D1031-F1031)/C1031*100,"")</f>
        <v/>
      </c>
      <c r="H1031" s="219" t="n"/>
      <c r="I1031" s="220" t="n"/>
      <c r="J1031" s="221">
        <f>IF(COUNTA(A1031:F1031)=0,"",IF(OR(C1031&lt;0,D1031&lt;0,E1031&lt;0,F1031&lt;0),"ERRO: valor negativo",IF(C1031&lt;&gt;SUM(D1031:F1031),"ERRO: categorias diferem dos respondentes",IF(COUNTIFS($A$5:$A$1200,A1031,$B$5:$B$1200,B1031)&gt;1,"ERRO: período e curso duplicados","OK"))))</f>
        <v/>
      </c>
    </row>
    <row r="1032" ht="15" customHeight="1" s="131">
      <c r="A1032" s="220" t="n"/>
      <c r="B1032" s="222" t="n"/>
      <c r="C1032" s="220" t="n"/>
      <c r="D1032" s="220" t="n"/>
      <c r="E1032" s="220" t="n"/>
      <c r="F1032" s="220" t="n"/>
      <c r="G1032" s="169">
        <f>IFERROR((D1032-F1032)/C1032*100,"")</f>
        <v/>
      </c>
      <c r="H1032" s="219" t="n"/>
      <c r="I1032" s="220" t="n"/>
      <c r="J1032" s="221">
        <f>IF(COUNTA(A1032:F1032)=0,"",IF(OR(C1032&lt;0,D1032&lt;0,E1032&lt;0,F1032&lt;0),"ERRO: valor negativo",IF(C1032&lt;&gt;SUM(D1032:F1032),"ERRO: categorias diferem dos respondentes",IF(COUNTIFS($A$5:$A$1200,A1032,$B$5:$B$1200,B1032)&gt;1,"ERRO: período e curso duplicados","OK"))))</f>
        <v/>
      </c>
    </row>
    <row r="1033" ht="15" customHeight="1" s="131">
      <c r="A1033" s="220" t="n"/>
      <c r="B1033" s="222" t="n"/>
      <c r="C1033" s="220" t="n"/>
      <c r="D1033" s="220" t="n"/>
      <c r="E1033" s="220" t="n"/>
      <c r="F1033" s="220" t="n"/>
      <c r="G1033" s="169">
        <f>IFERROR((D1033-F1033)/C1033*100,"")</f>
        <v/>
      </c>
      <c r="H1033" s="219" t="n"/>
      <c r="I1033" s="220" t="n"/>
      <c r="J1033" s="221">
        <f>IF(COUNTA(A1033:F1033)=0,"",IF(OR(C1033&lt;0,D1033&lt;0,E1033&lt;0,F1033&lt;0),"ERRO: valor negativo",IF(C1033&lt;&gt;SUM(D1033:F1033),"ERRO: categorias diferem dos respondentes",IF(COUNTIFS($A$5:$A$1200,A1033,$B$5:$B$1200,B1033)&gt;1,"ERRO: período e curso duplicados","OK"))))</f>
        <v/>
      </c>
    </row>
    <row r="1034" ht="15" customHeight="1" s="131">
      <c r="A1034" s="220" t="n"/>
      <c r="B1034" s="222" t="n"/>
      <c r="C1034" s="220" t="n"/>
      <c r="D1034" s="220" t="n"/>
      <c r="E1034" s="220" t="n"/>
      <c r="F1034" s="220" t="n"/>
      <c r="G1034" s="169">
        <f>IFERROR((D1034-F1034)/C1034*100,"")</f>
        <v/>
      </c>
      <c r="H1034" s="219" t="n"/>
      <c r="I1034" s="220" t="n"/>
      <c r="J1034" s="221">
        <f>IF(COUNTA(A1034:F1034)=0,"",IF(OR(C1034&lt;0,D1034&lt;0,E1034&lt;0,F1034&lt;0),"ERRO: valor negativo",IF(C1034&lt;&gt;SUM(D1034:F1034),"ERRO: categorias diferem dos respondentes",IF(COUNTIFS($A$5:$A$1200,A1034,$B$5:$B$1200,B1034)&gt;1,"ERRO: período e curso duplicados","OK"))))</f>
        <v/>
      </c>
    </row>
    <row r="1035" ht="15" customHeight="1" s="131">
      <c r="A1035" s="220" t="n"/>
      <c r="B1035" s="222" t="n"/>
      <c r="C1035" s="220" t="n"/>
      <c r="D1035" s="220" t="n"/>
      <c r="E1035" s="220" t="n"/>
      <c r="F1035" s="220" t="n"/>
      <c r="G1035" s="169">
        <f>IFERROR((D1035-F1035)/C1035*100,"")</f>
        <v/>
      </c>
      <c r="H1035" s="219" t="n"/>
      <c r="I1035" s="220" t="n"/>
      <c r="J1035" s="221">
        <f>IF(COUNTA(A1035:F1035)=0,"",IF(OR(C1035&lt;0,D1035&lt;0,E1035&lt;0,F1035&lt;0),"ERRO: valor negativo",IF(C1035&lt;&gt;SUM(D1035:F1035),"ERRO: categorias diferem dos respondentes",IF(COUNTIFS($A$5:$A$1200,A1035,$B$5:$B$1200,B1035)&gt;1,"ERRO: período e curso duplicados","OK"))))</f>
        <v/>
      </c>
    </row>
    <row r="1036" ht="15" customHeight="1" s="131">
      <c r="A1036" s="220" t="n"/>
      <c r="B1036" s="222" t="n"/>
      <c r="C1036" s="220" t="n"/>
      <c r="D1036" s="220" t="n"/>
      <c r="E1036" s="220" t="n"/>
      <c r="F1036" s="220" t="n"/>
      <c r="G1036" s="169">
        <f>IFERROR((D1036-F1036)/C1036*100,"")</f>
        <v/>
      </c>
      <c r="H1036" s="219" t="n"/>
      <c r="I1036" s="220" t="n"/>
      <c r="J1036" s="221">
        <f>IF(COUNTA(A1036:F1036)=0,"",IF(OR(C1036&lt;0,D1036&lt;0,E1036&lt;0,F1036&lt;0),"ERRO: valor negativo",IF(C1036&lt;&gt;SUM(D1036:F1036),"ERRO: categorias diferem dos respondentes",IF(COUNTIFS($A$5:$A$1200,A1036,$B$5:$B$1200,B1036)&gt;1,"ERRO: período e curso duplicados","OK"))))</f>
        <v/>
      </c>
    </row>
    <row r="1037" ht="15" customHeight="1" s="131">
      <c r="A1037" s="220" t="n"/>
      <c r="B1037" s="222" t="n"/>
      <c r="C1037" s="220" t="n"/>
      <c r="D1037" s="220" t="n"/>
      <c r="E1037" s="220" t="n"/>
      <c r="F1037" s="220" t="n"/>
      <c r="G1037" s="169">
        <f>IFERROR((D1037-F1037)/C1037*100,"")</f>
        <v/>
      </c>
      <c r="H1037" s="219" t="n"/>
      <c r="I1037" s="220" t="n"/>
      <c r="J1037" s="221">
        <f>IF(COUNTA(A1037:F1037)=0,"",IF(OR(C1037&lt;0,D1037&lt;0,E1037&lt;0,F1037&lt;0),"ERRO: valor negativo",IF(C1037&lt;&gt;SUM(D1037:F1037),"ERRO: categorias diferem dos respondentes",IF(COUNTIFS($A$5:$A$1200,A1037,$B$5:$B$1200,B1037)&gt;1,"ERRO: período e curso duplicados","OK"))))</f>
        <v/>
      </c>
    </row>
    <row r="1038" ht="15" customHeight="1" s="131">
      <c r="A1038" s="220" t="n"/>
      <c r="B1038" s="222" t="n"/>
      <c r="C1038" s="220" t="n"/>
      <c r="D1038" s="220" t="n"/>
      <c r="E1038" s="220" t="n"/>
      <c r="F1038" s="220" t="n"/>
      <c r="G1038" s="169">
        <f>IFERROR((D1038-F1038)/C1038*100,"")</f>
        <v/>
      </c>
      <c r="H1038" s="219" t="n"/>
      <c r="I1038" s="220" t="n"/>
      <c r="J1038" s="221">
        <f>IF(COUNTA(A1038:F1038)=0,"",IF(OR(C1038&lt;0,D1038&lt;0,E1038&lt;0,F1038&lt;0),"ERRO: valor negativo",IF(C1038&lt;&gt;SUM(D1038:F1038),"ERRO: categorias diferem dos respondentes",IF(COUNTIFS($A$5:$A$1200,A1038,$B$5:$B$1200,B1038)&gt;1,"ERRO: período e curso duplicados","OK"))))</f>
        <v/>
      </c>
    </row>
    <row r="1039" ht="15" customHeight="1" s="131">
      <c r="A1039" s="220" t="n"/>
      <c r="B1039" s="222" t="n"/>
      <c r="C1039" s="220" t="n"/>
      <c r="D1039" s="220" t="n"/>
      <c r="E1039" s="220" t="n"/>
      <c r="F1039" s="220" t="n"/>
      <c r="G1039" s="169">
        <f>IFERROR((D1039-F1039)/C1039*100,"")</f>
        <v/>
      </c>
      <c r="H1039" s="219" t="n"/>
      <c r="I1039" s="220" t="n"/>
      <c r="J1039" s="221">
        <f>IF(COUNTA(A1039:F1039)=0,"",IF(OR(C1039&lt;0,D1039&lt;0,E1039&lt;0,F1039&lt;0),"ERRO: valor negativo",IF(C1039&lt;&gt;SUM(D1039:F1039),"ERRO: categorias diferem dos respondentes",IF(COUNTIFS($A$5:$A$1200,A1039,$B$5:$B$1200,B1039)&gt;1,"ERRO: período e curso duplicados","OK"))))</f>
        <v/>
      </c>
    </row>
    <row r="1040" ht="15" customHeight="1" s="131">
      <c r="A1040" s="220" t="n"/>
      <c r="B1040" s="222" t="n"/>
      <c r="C1040" s="220" t="n"/>
      <c r="D1040" s="220" t="n"/>
      <c r="E1040" s="220" t="n"/>
      <c r="F1040" s="220" t="n"/>
      <c r="G1040" s="169">
        <f>IFERROR((D1040-F1040)/C1040*100,"")</f>
        <v/>
      </c>
      <c r="H1040" s="219" t="n"/>
      <c r="I1040" s="220" t="n"/>
      <c r="J1040" s="221">
        <f>IF(COUNTA(A1040:F1040)=0,"",IF(OR(C1040&lt;0,D1040&lt;0,E1040&lt;0,F1040&lt;0),"ERRO: valor negativo",IF(C1040&lt;&gt;SUM(D1040:F1040),"ERRO: categorias diferem dos respondentes",IF(COUNTIFS($A$5:$A$1200,A1040,$B$5:$B$1200,B1040)&gt;1,"ERRO: período e curso duplicados","OK"))))</f>
        <v/>
      </c>
    </row>
    <row r="1041" ht="15" customHeight="1" s="131">
      <c r="A1041" s="220" t="n"/>
      <c r="B1041" s="222" t="n"/>
      <c r="C1041" s="220" t="n"/>
      <c r="D1041" s="220" t="n"/>
      <c r="E1041" s="220" t="n"/>
      <c r="F1041" s="220" t="n"/>
      <c r="G1041" s="169">
        <f>IFERROR((D1041-F1041)/C1041*100,"")</f>
        <v/>
      </c>
      <c r="H1041" s="219" t="n"/>
      <c r="I1041" s="220" t="n"/>
      <c r="J1041" s="221">
        <f>IF(COUNTA(A1041:F1041)=0,"",IF(OR(C1041&lt;0,D1041&lt;0,E1041&lt;0,F1041&lt;0),"ERRO: valor negativo",IF(C1041&lt;&gt;SUM(D1041:F1041),"ERRO: categorias diferem dos respondentes",IF(COUNTIFS($A$5:$A$1200,A1041,$B$5:$B$1200,B1041)&gt;1,"ERRO: período e curso duplicados","OK"))))</f>
        <v/>
      </c>
    </row>
    <row r="1042" ht="15" customHeight="1" s="131">
      <c r="A1042" s="220" t="n"/>
      <c r="B1042" s="222" t="n"/>
      <c r="C1042" s="220" t="n"/>
      <c r="D1042" s="220" t="n"/>
      <c r="E1042" s="220" t="n"/>
      <c r="F1042" s="220" t="n"/>
      <c r="G1042" s="169">
        <f>IFERROR((D1042-F1042)/C1042*100,"")</f>
        <v/>
      </c>
      <c r="H1042" s="219" t="n"/>
      <c r="I1042" s="220" t="n"/>
      <c r="J1042" s="221">
        <f>IF(COUNTA(A1042:F1042)=0,"",IF(OR(C1042&lt;0,D1042&lt;0,E1042&lt;0,F1042&lt;0),"ERRO: valor negativo",IF(C1042&lt;&gt;SUM(D1042:F1042),"ERRO: categorias diferem dos respondentes",IF(COUNTIFS($A$5:$A$1200,A1042,$B$5:$B$1200,B1042)&gt;1,"ERRO: período e curso duplicados","OK"))))</f>
        <v/>
      </c>
    </row>
    <row r="1043" ht="15" customHeight="1" s="131">
      <c r="A1043" s="220" t="n"/>
      <c r="B1043" s="222" t="n"/>
      <c r="C1043" s="220" t="n"/>
      <c r="D1043" s="220" t="n"/>
      <c r="E1043" s="220" t="n"/>
      <c r="F1043" s="220" t="n"/>
      <c r="G1043" s="169">
        <f>IFERROR((D1043-F1043)/C1043*100,"")</f>
        <v/>
      </c>
      <c r="H1043" s="219" t="n"/>
      <c r="I1043" s="220" t="n"/>
      <c r="J1043" s="221">
        <f>IF(COUNTA(A1043:F1043)=0,"",IF(OR(C1043&lt;0,D1043&lt;0,E1043&lt;0,F1043&lt;0),"ERRO: valor negativo",IF(C1043&lt;&gt;SUM(D1043:F1043),"ERRO: categorias diferem dos respondentes",IF(COUNTIFS($A$5:$A$1200,A1043,$B$5:$B$1200,B1043)&gt;1,"ERRO: período e curso duplicados","OK"))))</f>
        <v/>
      </c>
    </row>
    <row r="1044" ht="15" customHeight="1" s="131">
      <c r="A1044" s="220" t="n"/>
      <c r="B1044" s="222" t="n"/>
      <c r="C1044" s="220" t="n"/>
      <c r="D1044" s="220" t="n"/>
      <c r="E1044" s="220" t="n"/>
      <c r="F1044" s="220" t="n"/>
      <c r="G1044" s="169">
        <f>IFERROR((D1044-F1044)/C1044*100,"")</f>
        <v/>
      </c>
      <c r="H1044" s="219" t="n"/>
      <c r="I1044" s="220" t="n"/>
      <c r="J1044" s="221">
        <f>IF(COUNTA(A1044:F1044)=0,"",IF(OR(C1044&lt;0,D1044&lt;0,E1044&lt;0,F1044&lt;0),"ERRO: valor negativo",IF(C1044&lt;&gt;SUM(D1044:F1044),"ERRO: categorias diferem dos respondentes",IF(COUNTIFS($A$5:$A$1200,A1044,$B$5:$B$1200,B1044)&gt;1,"ERRO: período e curso duplicados","OK"))))</f>
        <v/>
      </c>
    </row>
    <row r="1045" ht="15" customHeight="1" s="131">
      <c r="A1045" s="220" t="n"/>
      <c r="B1045" s="222" t="n"/>
      <c r="C1045" s="220" t="n"/>
      <c r="D1045" s="220" t="n"/>
      <c r="E1045" s="220" t="n"/>
      <c r="F1045" s="220" t="n"/>
      <c r="G1045" s="169">
        <f>IFERROR((D1045-F1045)/C1045*100,"")</f>
        <v/>
      </c>
      <c r="H1045" s="219" t="n"/>
      <c r="I1045" s="220" t="n"/>
      <c r="J1045" s="221">
        <f>IF(COUNTA(A1045:F1045)=0,"",IF(OR(C1045&lt;0,D1045&lt;0,E1045&lt;0,F1045&lt;0),"ERRO: valor negativo",IF(C1045&lt;&gt;SUM(D1045:F1045),"ERRO: categorias diferem dos respondentes",IF(COUNTIFS($A$5:$A$1200,A1045,$B$5:$B$1200,B1045)&gt;1,"ERRO: período e curso duplicados","OK"))))</f>
        <v/>
      </c>
    </row>
    <row r="1046" ht="15" customHeight="1" s="131">
      <c r="A1046" s="220" t="n"/>
      <c r="B1046" s="222" t="n"/>
      <c r="C1046" s="220" t="n"/>
      <c r="D1046" s="220" t="n"/>
      <c r="E1046" s="220" t="n"/>
      <c r="F1046" s="220" t="n"/>
      <c r="G1046" s="169">
        <f>IFERROR((D1046-F1046)/C1046*100,"")</f>
        <v/>
      </c>
      <c r="H1046" s="219" t="n"/>
      <c r="I1046" s="220" t="n"/>
      <c r="J1046" s="221">
        <f>IF(COUNTA(A1046:F1046)=0,"",IF(OR(C1046&lt;0,D1046&lt;0,E1046&lt;0,F1046&lt;0),"ERRO: valor negativo",IF(C1046&lt;&gt;SUM(D1046:F1046),"ERRO: categorias diferem dos respondentes",IF(COUNTIFS($A$5:$A$1200,A1046,$B$5:$B$1200,B1046)&gt;1,"ERRO: período e curso duplicados","OK"))))</f>
        <v/>
      </c>
    </row>
    <row r="1047" ht="15" customHeight="1" s="131">
      <c r="A1047" s="220" t="n"/>
      <c r="B1047" s="222" t="n"/>
      <c r="C1047" s="220" t="n"/>
      <c r="D1047" s="220" t="n"/>
      <c r="E1047" s="220" t="n"/>
      <c r="F1047" s="220" t="n"/>
      <c r="G1047" s="169">
        <f>IFERROR((D1047-F1047)/C1047*100,"")</f>
        <v/>
      </c>
      <c r="H1047" s="219" t="n"/>
      <c r="I1047" s="220" t="n"/>
      <c r="J1047" s="221">
        <f>IF(COUNTA(A1047:F1047)=0,"",IF(OR(C1047&lt;0,D1047&lt;0,E1047&lt;0,F1047&lt;0),"ERRO: valor negativo",IF(C1047&lt;&gt;SUM(D1047:F1047),"ERRO: categorias diferem dos respondentes",IF(COUNTIFS($A$5:$A$1200,A1047,$B$5:$B$1200,B1047)&gt;1,"ERRO: período e curso duplicados","OK"))))</f>
        <v/>
      </c>
    </row>
    <row r="1048" ht="15" customHeight="1" s="131">
      <c r="A1048" s="220" t="n"/>
      <c r="B1048" s="222" t="n"/>
      <c r="C1048" s="220" t="n"/>
      <c r="D1048" s="220" t="n"/>
      <c r="E1048" s="220" t="n"/>
      <c r="F1048" s="220" t="n"/>
      <c r="G1048" s="169">
        <f>IFERROR((D1048-F1048)/C1048*100,"")</f>
        <v/>
      </c>
      <c r="H1048" s="219" t="n"/>
      <c r="I1048" s="220" t="n"/>
      <c r="J1048" s="221">
        <f>IF(COUNTA(A1048:F1048)=0,"",IF(OR(C1048&lt;0,D1048&lt;0,E1048&lt;0,F1048&lt;0),"ERRO: valor negativo",IF(C1048&lt;&gt;SUM(D1048:F1048),"ERRO: categorias diferem dos respondentes",IF(COUNTIFS($A$5:$A$1200,A1048,$B$5:$B$1200,B1048)&gt;1,"ERRO: período e curso duplicados","OK"))))</f>
        <v/>
      </c>
    </row>
    <row r="1049" ht="15" customHeight="1" s="131">
      <c r="A1049" s="220" t="n"/>
      <c r="B1049" s="222" t="n"/>
      <c r="C1049" s="220" t="n"/>
      <c r="D1049" s="220" t="n"/>
      <c r="E1049" s="220" t="n"/>
      <c r="F1049" s="220" t="n"/>
      <c r="G1049" s="169">
        <f>IFERROR((D1049-F1049)/C1049*100,"")</f>
        <v/>
      </c>
      <c r="H1049" s="219" t="n"/>
      <c r="I1049" s="220" t="n"/>
      <c r="J1049" s="221">
        <f>IF(COUNTA(A1049:F1049)=0,"",IF(OR(C1049&lt;0,D1049&lt;0,E1049&lt;0,F1049&lt;0),"ERRO: valor negativo",IF(C1049&lt;&gt;SUM(D1049:F1049),"ERRO: categorias diferem dos respondentes",IF(COUNTIFS($A$5:$A$1200,A1049,$B$5:$B$1200,B1049)&gt;1,"ERRO: período e curso duplicados","OK"))))</f>
        <v/>
      </c>
    </row>
    <row r="1050" ht="15" customHeight="1" s="131">
      <c r="A1050" s="220" t="n"/>
      <c r="B1050" s="222" t="n"/>
      <c r="C1050" s="220" t="n"/>
      <c r="D1050" s="220" t="n"/>
      <c r="E1050" s="220" t="n"/>
      <c r="F1050" s="220" t="n"/>
      <c r="G1050" s="169">
        <f>IFERROR((D1050-F1050)/C1050*100,"")</f>
        <v/>
      </c>
      <c r="H1050" s="219" t="n"/>
      <c r="I1050" s="220" t="n"/>
      <c r="J1050" s="221">
        <f>IF(COUNTA(A1050:F1050)=0,"",IF(OR(C1050&lt;0,D1050&lt;0,E1050&lt;0,F1050&lt;0),"ERRO: valor negativo",IF(C1050&lt;&gt;SUM(D1050:F1050),"ERRO: categorias diferem dos respondentes",IF(COUNTIFS($A$5:$A$1200,A1050,$B$5:$B$1200,B1050)&gt;1,"ERRO: período e curso duplicados","OK"))))</f>
        <v/>
      </c>
    </row>
    <row r="1051" ht="15" customHeight="1" s="131">
      <c r="A1051" s="220" t="n"/>
      <c r="B1051" s="222" t="n"/>
      <c r="C1051" s="220" t="n"/>
      <c r="D1051" s="220" t="n"/>
      <c r="E1051" s="220" t="n"/>
      <c r="F1051" s="220" t="n"/>
      <c r="G1051" s="169">
        <f>IFERROR((D1051-F1051)/C1051*100,"")</f>
        <v/>
      </c>
      <c r="H1051" s="219" t="n"/>
      <c r="I1051" s="220" t="n"/>
      <c r="J1051" s="221">
        <f>IF(COUNTA(A1051:F1051)=0,"",IF(OR(C1051&lt;0,D1051&lt;0,E1051&lt;0,F1051&lt;0),"ERRO: valor negativo",IF(C1051&lt;&gt;SUM(D1051:F1051),"ERRO: categorias diferem dos respondentes",IF(COUNTIFS($A$5:$A$1200,A1051,$B$5:$B$1200,B1051)&gt;1,"ERRO: período e curso duplicados","OK"))))</f>
        <v/>
      </c>
    </row>
    <row r="1052" ht="15" customHeight="1" s="131">
      <c r="A1052" s="220" t="n"/>
      <c r="B1052" s="222" t="n"/>
      <c r="C1052" s="220" t="n"/>
      <c r="D1052" s="220" t="n"/>
      <c r="E1052" s="220" t="n"/>
      <c r="F1052" s="220" t="n"/>
      <c r="G1052" s="169">
        <f>IFERROR((D1052-F1052)/C1052*100,"")</f>
        <v/>
      </c>
      <c r="H1052" s="219" t="n"/>
      <c r="I1052" s="220" t="n"/>
      <c r="J1052" s="221">
        <f>IF(COUNTA(A1052:F1052)=0,"",IF(OR(C1052&lt;0,D1052&lt;0,E1052&lt;0,F1052&lt;0),"ERRO: valor negativo",IF(C1052&lt;&gt;SUM(D1052:F1052),"ERRO: categorias diferem dos respondentes",IF(COUNTIFS($A$5:$A$1200,A1052,$B$5:$B$1200,B1052)&gt;1,"ERRO: período e curso duplicados","OK"))))</f>
        <v/>
      </c>
    </row>
    <row r="1053" ht="15" customHeight="1" s="131">
      <c r="A1053" s="220" t="n"/>
      <c r="B1053" s="222" t="n"/>
      <c r="C1053" s="220" t="n"/>
      <c r="D1053" s="220" t="n"/>
      <c r="E1053" s="220" t="n"/>
      <c r="F1053" s="220" t="n"/>
      <c r="G1053" s="169">
        <f>IFERROR((D1053-F1053)/C1053*100,"")</f>
        <v/>
      </c>
      <c r="H1053" s="219" t="n"/>
      <c r="I1053" s="220" t="n"/>
      <c r="J1053" s="221">
        <f>IF(COUNTA(A1053:F1053)=0,"",IF(OR(C1053&lt;0,D1053&lt;0,E1053&lt;0,F1053&lt;0),"ERRO: valor negativo",IF(C1053&lt;&gt;SUM(D1053:F1053),"ERRO: categorias diferem dos respondentes",IF(COUNTIFS($A$5:$A$1200,A1053,$B$5:$B$1200,B1053)&gt;1,"ERRO: período e curso duplicados","OK"))))</f>
        <v/>
      </c>
    </row>
    <row r="1054" ht="15" customHeight="1" s="131">
      <c r="A1054" s="220" t="n"/>
      <c r="B1054" s="222" t="n"/>
      <c r="C1054" s="220" t="n"/>
      <c r="D1054" s="220" t="n"/>
      <c r="E1054" s="220" t="n"/>
      <c r="F1054" s="220" t="n"/>
      <c r="G1054" s="169">
        <f>IFERROR((D1054-F1054)/C1054*100,"")</f>
        <v/>
      </c>
      <c r="H1054" s="219" t="n"/>
      <c r="I1054" s="220" t="n"/>
      <c r="J1054" s="221">
        <f>IF(COUNTA(A1054:F1054)=0,"",IF(OR(C1054&lt;0,D1054&lt;0,E1054&lt;0,F1054&lt;0),"ERRO: valor negativo",IF(C1054&lt;&gt;SUM(D1054:F1054),"ERRO: categorias diferem dos respondentes",IF(COUNTIFS($A$5:$A$1200,A1054,$B$5:$B$1200,B1054)&gt;1,"ERRO: período e curso duplicados","OK"))))</f>
        <v/>
      </c>
    </row>
    <row r="1055" ht="15" customHeight="1" s="131">
      <c r="A1055" s="220" t="n"/>
      <c r="B1055" s="222" t="n"/>
      <c r="C1055" s="220" t="n"/>
      <c r="D1055" s="220" t="n"/>
      <c r="E1055" s="220" t="n"/>
      <c r="F1055" s="220" t="n"/>
      <c r="G1055" s="169">
        <f>IFERROR((D1055-F1055)/C1055*100,"")</f>
        <v/>
      </c>
      <c r="H1055" s="219" t="n"/>
      <c r="I1055" s="220" t="n"/>
      <c r="J1055" s="221">
        <f>IF(COUNTA(A1055:F1055)=0,"",IF(OR(C1055&lt;0,D1055&lt;0,E1055&lt;0,F1055&lt;0),"ERRO: valor negativo",IF(C1055&lt;&gt;SUM(D1055:F1055),"ERRO: categorias diferem dos respondentes",IF(COUNTIFS($A$5:$A$1200,A1055,$B$5:$B$1200,B1055)&gt;1,"ERRO: período e curso duplicados","OK"))))</f>
        <v/>
      </c>
    </row>
    <row r="1056" ht="15" customHeight="1" s="131">
      <c r="A1056" s="220" t="n"/>
      <c r="B1056" s="222" t="n"/>
      <c r="C1056" s="220" t="n"/>
      <c r="D1056" s="220" t="n"/>
      <c r="E1056" s="220" t="n"/>
      <c r="F1056" s="220" t="n"/>
      <c r="G1056" s="169">
        <f>IFERROR((D1056-F1056)/C1056*100,"")</f>
        <v/>
      </c>
      <c r="H1056" s="219" t="n"/>
      <c r="I1056" s="220" t="n"/>
      <c r="J1056" s="221">
        <f>IF(COUNTA(A1056:F1056)=0,"",IF(OR(C1056&lt;0,D1056&lt;0,E1056&lt;0,F1056&lt;0),"ERRO: valor negativo",IF(C1056&lt;&gt;SUM(D1056:F1056),"ERRO: categorias diferem dos respondentes",IF(COUNTIFS($A$5:$A$1200,A1056,$B$5:$B$1200,B1056)&gt;1,"ERRO: período e curso duplicados","OK"))))</f>
        <v/>
      </c>
    </row>
    <row r="1057" ht="15" customHeight="1" s="131">
      <c r="A1057" s="220" t="n"/>
      <c r="B1057" s="222" t="n"/>
      <c r="C1057" s="220" t="n"/>
      <c r="D1057" s="220" t="n"/>
      <c r="E1057" s="220" t="n"/>
      <c r="F1057" s="220" t="n"/>
      <c r="G1057" s="169">
        <f>IFERROR((D1057-F1057)/C1057*100,"")</f>
        <v/>
      </c>
      <c r="H1057" s="219" t="n"/>
      <c r="I1057" s="220" t="n"/>
      <c r="J1057" s="221">
        <f>IF(COUNTA(A1057:F1057)=0,"",IF(OR(C1057&lt;0,D1057&lt;0,E1057&lt;0,F1057&lt;0),"ERRO: valor negativo",IF(C1057&lt;&gt;SUM(D1057:F1057),"ERRO: categorias diferem dos respondentes",IF(COUNTIFS($A$5:$A$1200,A1057,$B$5:$B$1200,B1057)&gt;1,"ERRO: período e curso duplicados","OK"))))</f>
        <v/>
      </c>
    </row>
    <row r="1058" ht="15" customHeight="1" s="131">
      <c r="A1058" s="220" t="n"/>
      <c r="B1058" s="222" t="n"/>
      <c r="C1058" s="220" t="n"/>
      <c r="D1058" s="220" t="n"/>
      <c r="E1058" s="220" t="n"/>
      <c r="F1058" s="220" t="n"/>
      <c r="G1058" s="169">
        <f>IFERROR((D1058-F1058)/C1058*100,"")</f>
        <v/>
      </c>
      <c r="H1058" s="219" t="n"/>
      <c r="I1058" s="220" t="n"/>
      <c r="J1058" s="221">
        <f>IF(COUNTA(A1058:F1058)=0,"",IF(OR(C1058&lt;0,D1058&lt;0,E1058&lt;0,F1058&lt;0),"ERRO: valor negativo",IF(C1058&lt;&gt;SUM(D1058:F1058),"ERRO: categorias diferem dos respondentes",IF(COUNTIFS($A$5:$A$1200,A1058,$B$5:$B$1200,B1058)&gt;1,"ERRO: período e curso duplicados","OK"))))</f>
        <v/>
      </c>
    </row>
    <row r="1059" ht="15" customHeight="1" s="131">
      <c r="A1059" s="220" t="n"/>
      <c r="B1059" s="222" t="n"/>
      <c r="C1059" s="220" t="n"/>
      <c r="D1059" s="220" t="n"/>
      <c r="E1059" s="220" t="n"/>
      <c r="F1059" s="220" t="n"/>
      <c r="G1059" s="169">
        <f>IFERROR((D1059-F1059)/C1059*100,"")</f>
        <v/>
      </c>
      <c r="H1059" s="219" t="n"/>
      <c r="I1059" s="220" t="n"/>
      <c r="J1059" s="221">
        <f>IF(COUNTA(A1059:F1059)=0,"",IF(OR(C1059&lt;0,D1059&lt;0,E1059&lt;0,F1059&lt;0),"ERRO: valor negativo",IF(C1059&lt;&gt;SUM(D1059:F1059),"ERRO: categorias diferem dos respondentes",IF(COUNTIFS($A$5:$A$1200,A1059,$B$5:$B$1200,B1059)&gt;1,"ERRO: período e curso duplicados","OK"))))</f>
        <v/>
      </c>
    </row>
    <row r="1060" ht="15" customHeight="1" s="131">
      <c r="A1060" s="220" t="n"/>
      <c r="B1060" s="222" t="n"/>
      <c r="C1060" s="220" t="n"/>
      <c r="D1060" s="220" t="n"/>
      <c r="E1060" s="220" t="n"/>
      <c r="F1060" s="220" t="n"/>
      <c r="G1060" s="169">
        <f>IFERROR((D1060-F1060)/C1060*100,"")</f>
        <v/>
      </c>
      <c r="H1060" s="219" t="n"/>
      <c r="I1060" s="220" t="n"/>
      <c r="J1060" s="221">
        <f>IF(COUNTA(A1060:F1060)=0,"",IF(OR(C1060&lt;0,D1060&lt;0,E1060&lt;0,F1060&lt;0),"ERRO: valor negativo",IF(C1060&lt;&gt;SUM(D1060:F1060),"ERRO: categorias diferem dos respondentes",IF(COUNTIFS($A$5:$A$1200,A1060,$B$5:$B$1200,B1060)&gt;1,"ERRO: período e curso duplicados","OK"))))</f>
        <v/>
      </c>
    </row>
    <row r="1061" ht="15" customHeight="1" s="131">
      <c r="A1061" s="220" t="n"/>
      <c r="B1061" s="222" t="n"/>
      <c r="C1061" s="220" t="n"/>
      <c r="D1061" s="220" t="n"/>
      <c r="E1061" s="220" t="n"/>
      <c r="F1061" s="220" t="n"/>
      <c r="G1061" s="169">
        <f>IFERROR((D1061-F1061)/C1061*100,"")</f>
        <v/>
      </c>
      <c r="H1061" s="219" t="n"/>
      <c r="I1061" s="220" t="n"/>
      <c r="J1061" s="221">
        <f>IF(COUNTA(A1061:F1061)=0,"",IF(OR(C1061&lt;0,D1061&lt;0,E1061&lt;0,F1061&lt;0),"ERRO: valor negativo",IF(C1061&lt;&gt;SUM(D1061:F1061),"ERRO: categorias diferem dos respondentes",IF(COUNTIFS($A$5:$A$1200,A1061,$B$5:$B$1200,B1061)&gt;1,"ERRO: período e curso duplicados","OK"))))</f>
        <v/>
      </c>
    </row>
    <row r="1062" ht="15" customHeight="1" s="131">
      <c r="A1062" s="220" t="n"/>
      <c r="B1062" s="222" t="n"/>
      <c r="C1062" s="220" t="n"/>
      <c r="D1062" s="220" t="n"/>
      <c r="E1062" s="220" t="n"/>
      <c r="F1062" s="220" t="n"/>
      <c r="G1062" s="169">
        <f>IFERROR((D1062-F1062)/C1062*100,"")</f>
        <v/>
      </c>
      <c r="H1062" s="219" t="n"/>
      <c r="I1062" s="220" t="n"/>
      <c r="J1062" s="221">
        <f>IF(COUNTA(A1062:F1062)=0,"",IF(OR(C1062&lt;0,D1062&lt;0,E1062&lt;0,F1062&lt;0),"ERRO: valor negativo",IF(C1062&lt;&gt;SUM(D1062:F1062),"ERRO: categorias diferem dos respondentes",IF(COUNTIFS($A$5:$A$1200,A1062,$B$5:$B$1200,B1062)&gt;1,"ERRO: período e curso duplicados","OK"))))</f>
        <v/>
      </c>
    </row>
    <row r="1063" ht="15" customHeight="1" s="131">
      <c r="A1063" s="220" t="n"/>
      <c r="B1063" s="222" t="n"/>
      <c r="C1063" s="220" t="n"/>
      <c r="D1063" s="220" t="n"/>
      <c r="E1063" s="220" t="n"/>
      <c r="F1063" s="220" t="n"/>
      <c r="G1063" s="169">
        <f>IFERROR((D1063-F1063)/C1063*100,"")</f>
        <v/>
      </c>
      <c r="H1063" s="219" t="n"/>
      <c r="I1063" s="220" t="n"/>
      <c r="J1063" s="221">
        <f>IF(COUNTA(A1063:F1063)=0,"",IF(OR(C1063&lt;0,D1063&lt;0,E1063&lt;0,F1063&lt;0),"ERRO: valor negativo",IF(C1063&lt;&gt;SUM(D1063:F1063),"ERRO: categorias diferem dos respondentes",IF(COUNTIFS($A$5:$A$1200,A1063,$B$5:$B$1200,B1063)&gt;1,"ERRO: período e curso duplicados","OK"))))</f>
        <v/>
      </c>
    </row>
    <row r="1064" ht="15" customHeight="1" s="131">
      <c r="A1064" s="220" t="n"/>
      <c r="B1064" s="222" t="n"/>
      <c r="C1064" s="220" t="n"/>
      <c r="D1064" s="220" t="n"/>
      <c r="E1064" s="220" t="n"/>
      <c r="F1064" s="220" t="n"/>
      <c r="G1064" s="169">
        <f>IFERROR((D1064-F1064)/C1064*100,"")</f>
        <v/>
      </c>
      <c r="H1064" s="219" t="n"/>
      <c r="I1064" s="220" t="n"/>
      <c r="J1064" s="221">
        <f>IF(COUNTA(A1064:F1064)=0,"",IF(OR(C1064&lt;0,D1064&lt;0,E1064&lt;0,F1064&lt;0),"ERRO: valor negativo",IF(C1064&lt;&gt;SUM(D1064:F1064),"ERRO: categorias diferem dos respondentes",IF(COUNTIFS($A$5:$A$1200,A1064,$B$5:$B$1200,B1064)&gt;1,"ERRO: período e curso duplicados","OK"))))</f>
        <v/>
      </c>
    </row>
    <row r="1065" ht="15" customHeight="1" s="131">
      <c r="A1065" s="220" t="n"/>
      <c r="B1065" s="222" t="n"/>
      <c r="C1065" s="220" t="n"/>
      <c r="D1065" s="220" t="n"/>
      <c r="E1065" s="220" t="n"/>
      <c r="F1065" s="220" t="n"/>
      <c r="G1065" s="169">
        <f>IFERROR((D1065-F1065)/C1065*100,"")</f>
        <v/>
      </c>
      <c r="H1065" s="219" t="n"/>
      <c r="I1065" s="220" t="n"/>
      <c r="J1065" s="221">
        <f>IF(COUNTA(A1065:F1065)=0,"",IF(OR(C1065&lt;0,D1065&lt;0,E1065&lt;0,F1065&lt;0),"ERRO: valor negativo",IF(C1065&lt;&gt;SUM(D1065:F1065),"ERRO: categorias diferem dos respondentes",IF(COUNTIFS($A$5:$A$1200,A1065,$B$5:$B$1200,B1065)&gt;1,"ERRO: período e curso duplicados","OK"))))</f>
        <v/>
      </c>
    </row>
    <row r="1066" ht="15" customHeight="1" s="131">
      <c r="A1066" s="220" t="n"/>
      <c r="B1066" s="222" t="n"/>
      <c r="C1066" s="220" t="n"/>
      <c r="D1066" s="220" t="n"/>
      <c r="E1066" s="220" t="n"/>
      <c r="F1066" s="220" t="n"/>
      <c r="G1066" s="169">
        <f>IFERROR((D1066-F1066)/C1066*100,"")</f>
        <v/>
      </c>
      <c r="H1066" s="219" t="n"/>
      <c r="I1066" s="220" t="n"/>
      <c r="J1066" s="221">
        <f>IF(COUNTA(A1066:F1066)=0,"",IF(OR(C1066&lt;0,D1066&lt;0,E1066&lt;0,F1066&lt;0),"ERRO: valor negativo",IF(C1066&lt;&gt;SUM(D1066:F1066),"ERRO: categorias diferem dos respondentes",IF(COUNTIFS($A$5:$A$1200,A1066,$B$5:$B$1200,B1066)&gt;1,"ERRO: período e curso duplicados","OK"))))</f>
        <v/>
      </c>
    </row>
    <row r="1067" ht="15" customHeight="1" s="131">
      <c r="A1067" s="220" t="n"/>
      <c r="B1067" s="222" t="n"/>
      <c r="C1067" s="220" t="n"/>
      <c r="D1067" s="220" t="n"/>
      <c r="E1067" s="220" t="n"/>
      <c r="F1067" s="220" t="n"/>
      <c r="G1067" s="169">
        <f>IFERROR((D1067-F1067)/C1067*100,"")</f>
        <v/>
      </c>
      <c r="H1067" s="219" t="n"/>
      <c r="I1067" s="220" t="n"/>
      <c r="J1067" s="221">
        <f>IF(COUNTA(A1067:F1067)=0,"",IF(OR(C1067&lt;0,D1067&lt;0,E1067&lt;0,F1067&lt;0),"ERRO: valor negativo",IF(C1067&lt;&gt;SUM(D1067:F1067),"ERRO: categorias diferem dos respondentes",IF(COUNTIFS($A$5:$A$1200,A1067,$B$5:$B$1200,B1067)&gt;1,"ERRO: período e curso duplicados","OK"))))</f>
        <v/>
      </c>
    </row>
    <row r="1068" ht="15" customHeight="1" s="131">
      <c r="A1068" s="220" t="n"/>
      <c r="B1068" s="222" t="n"/>
      <c r="C1068" s="220" t="n"/>
      <c r="D1068" s="220" t="n"/>
      <c r="E1068" s="220" t="n"/>
      <c r="F1068" s="220" t="n"/>
      <c r="G1068" s="169">
        <f>IFERROR((D1068-F1068)/C1068*100,"")</f>
        <v/>
      </c>
      <c r="H1068" s="219" t="n"/>
      <c r="I1068" s="220" t="n"/>
      <c r="J1068" s="221">
        <f>IF(COUNTA(A1068:F1068)=0,"",IF(OR(C1068&lt;0,D1068&lt;0,E1068&lt;0,F1068&lt;0),"ERRO: valor negativo",IF(C1068&lt;&gt;SUM(D1068:F1068),"ERRO: categorias diferem dos respondentes",IF(COUNTIFS($A$5:$A$1200,A1068,$B$5:$B$1200,B1068)&gt;1,"ERRO: período e curso duplicados","OK"))))</f>
        <v/>
      </c>
    </row>
    <row r="1069" ht="15" customHeight="1" s="131">
      <c r="A1069" s="220" t="n"/>
      <c r="B1069" s="222" t="n"/>
      <c r="C1069" s="220" t="n"/>
      <c r="D1069" s="220" t="n"/>
      <c r="E1069" s="220" t="n"/>
      <c r="F1069" s="220" t="n"/>
      <c r="G1069" s="169">
        <f>IFERROR((D1069-F1069)/C1069*100,"")</f>
        <v/>
      </c>
      <c r="H1069" s="219" t="n"/>
      <c r="I1069" s="220" t="n"/>
      <c r="J1069" s="221">
        <f>IF(COUNTA(A1069:F1069)=0,"",IF(OR(C1069&lt;0,D1069&lt;0,E1069&lt;0,F1069&lt;0),"ERRO: valor negativo",IF(C1069&lt;&gt;SUM(D1069:F1069),"ERRO: categorias diferem dos respondentes",IF(COUNTIFS($A$5:$A$1200,A1069,$B$5:$B$1200,B1069)&gt;1,"ERRO: período e curso duplicados","OK"))))</f>
        <v/>
      </c>
    </row>
    <row r="1070" ht="15" customHeight="1" s="131">
      <c r="A1070" s="220" t="n"/>
      <c r="B1070" s="222" t="n"/>
      <c r="C1070" s="220" t="n"/>
      <c r="D1070" s="220" t="n"/>
      <c r="E1070" s="220" t="n"/>
      <c r="F1070" s="220" t="n"/>
      <c r="G1070" s="169">
        <f>IFERROR((D1070-F1070)/C1070*100,"")</f>
        <v/>
      </c>
      <c r="H1070" s="219" t="n"/>
      <c r="I1070" s="220" t="n"/>
      <c r="J1070" s="221">
        <f>IF(COUNTA(A1070:F1070)=0,"",IF(OR(C1070&lt;0,D1070&lt;0,E1070&lt;0,F1070&lt;0),"ERRO: valor negativo",IF(C1070&lt;&gt;SUM(D1070:F1070),"ERRO: categorias diferem dos respondentes",IF(COUNTIFS($A$5:$A$1200,A1070,$B$5:$B$1200,B1070)&gt;1,"ERRO: período e curso duplicados","OK"))))</f>
        <v/>
      </c>
    </row>
    <row r="1071" ht="15" customHeight="1" s="131">
      <c r="A1071" s="220" t="n"/>
      <c r="B1071" s="222" t="n"/>
      <c r="C1071" s="220" t="n"/>
      <c r="D1071" s="220" t="n"/>
      <c r="E1071" s="220" t="n"/>
      <c r="F1071" s="220" t="n"/>
      <c r="G1071" s="169">
        <f>IFERROR((D1071-F1071)/C1071*100,"")</f>
        <v/>
      </c>
      <c r="H1071" s="219" t="n"/>
      <c r="I1071" s="220" t="n"/>
      <c r="J1071" s="221">
        <f>IF(COUNTA(A1071:F1071)=0,"",IF(OR(C1071&lt;0,D1071&lt;0,E1071&lt;0,F1071&lt;0),"ERRO: valor negativo",IF(C1071&lt;&gt;SUM(D1071:F1071),"ERRO: categorias diferem dos respondentes",IF(COUNTIFS($A$5:$A$1200,A1071,$B$5:$B$1200,B1071)&gt;1,"ERRO: período e curso duplicados","OK"))))</f>
        <v/>
      </c>
    </row>
    <row r="1072" ht="15" customHeight="1" s="131">
      <c r="A1072" s="220" t="n"/>
      <c r="B1072" s="222" t="n"/>
      <c r="C1072" s="220" t="n"/>
      <c r="D1072" s="220" t="n"/>
      <c r="E1072" s="220" t="n"/>
      <c r="F1072" s="220" t="n"/>
      <c r="G1072" s="169">
        <f>IFERROR((D1072-F1072)/C1072*100,"")</f>
        <v/>
      </c>
      <c r="H1072" s="219" t="n"/>
      <c r="I1072" s="220" t="n"/>
      <c r="J1072" s="221">
        <f>IF(COUNTA(A1072:F1072)=0,"",IF(OR(C1072&lt;0,D1072&lt;0,E1072&lt;0,F1072&lt;0),"ERRO: valor negativo",IF(C1072&lt;&gt;SUM(D1072:F1072),"ERRO: categorias diferem dos respondentes",IF(COUNTIFS($A$5:$A$1200,A1072,$B$5:$B$1200,B1072)&gt;1,"ERRO: período e curso duplicados","OK"))))</f>
        <v/>
      </c>
    </row>
    <row r="1073" ht="15" customHeight="1" s="131">
      <c r="A1073" s="220" t="n"/>
      <c r="B1073" s="222" t="n"/>
      <c r="C1073" s="220" t="n"/>
      <c r="D1073" s="220" t="n"/>
      <c r="E1073" s="220" t="n"/>
      <c r="F1073" s="220" t="n"/>
      <c r="G1073" s="169">
        <f>IFERROR((D1073-F1073)/C1073*100,"")</f>
        <v/>
      </c>
      <c r="H1073" s="219" t="n"/>
      <c r="I1073" s="220" t="n"/>
      <c r="J1073" s="221">
        <f>IF(COUNTA(A1073:F1073)=0,"",IF(OR(C1073&lt;0,D1073&lt;0,E1073&lt;0,F1073&lt;0),"ERRO: valor negativo",IF(C1073&lt;&gt;SUM(D1073:F1073),"ERRO: categorias diferem dos respondentes",IF(COUNTIFS($A$5:$A$1200,A1073,$B$5:$B$1200,B1073)&gt;1,"ERRO: período e curso duplicados","OK"))))</f>
        <v/>
      </c>
    </row>
    <row r="1074" ht="15" customHeight="1" s="131">
      <c r="A1074" s="220" t="n"/>
      <c r="B1074" s="222" t="n"/>
      <c r="C1074" s="220" t="n"/>
      <c r="D1074" s="220" t="n"/>
      <c r="E1074" s="220" t="n"/>
      <c r="F1074" s="220" t="n"/>
      <c r="G1074" s="169">
        <f>IFERROR((D1074-F1074)/C1074*100,"")</f>
        <v/>
      </c>
      <c r="H1074" s="219" t="n"/>
      <c r="I1074" s="220" t="n"/>
      <c r="J1074" s="221">
        <f>IF(COUNTA(A1074:F1074)=0,"",IF(OR(C1074&lt;0,D1074&lt;0,E1074&lt;0,F1074&lt;0),"ERRO: valor negativo",IF(C1074&lt;&gt;SUM(D1074:F1074),"ERRO: categorias diferem dos respondentes",IF(COUNTIFS($A$5:$A$1200,A1074,$B$5:$B$1200,B1074)&gt;1,"ERRO: período e curso duplicados","OK"))))</f>
        <v/>
      </c>
    </row>
    <row r="1075" ht="15" customHeight="1" s="131">
      <c r="A1075" s="220" t="n"/>
      <c r="B1075" s="222" t="n"/>
      <c r="C1075" s="220" t="n"/>
      <c r="D1075" s="220" t="n"/>
      <c r="E1075" s="220" t="n"/>
      <c r="F1075" s="220" t="n"/>
      <c r="G1075" s="169">
        <f>IFERROR((D1075-F1075)/C1075*100,"")</f>
        <v/>
      </c>
      <c r="H1075" s="219" t="n"/>
      <c r="I1075" s="220" t="n"/>
      <c r="J1075" s="221">
        <f>IF(COUNTA(A1075:F1075)=0,"",IF(OR(C1075&lt;0,D1075&lt;0,E1075&lt;0,F1075&lt;0),"ERRO: valor negativo",IF(C1075&lt;&gt;SUM(D1075:F1075),"ERRO: categorias diferem dos respondentes",IF(COUNTIFS($A$5:$A$1200,A1075,$B$5:$B$1200,B1075)&gt;1,"ERRO: período e curso duplicados","OK"))))</f>
        <v/>
      </c>
    </row>
    <row r="1076" ht="15" customHeight="1" s="131">
      <c r="A1076" s="220" t="n"/>
      <c r="B1076" s="222" t="n"/>
      <c r="C1076" s="220" t="n"/>
      <c r="D1076" s="220" t="n"/>
      <c r="E1076" s="220" t="n"/>
      <c r="F1076" s="220" t="n"/>
      <c r="G1076" s="169">
        <f>IFERROR((D1076-F1076)/C1076*100,"")</f>
        <v/>
      </c>
      <c r="H1076" s="219" t="n"/>
      <c r="I1076" s="220" t="n"/>
      <c r="J1076" s="221">
        <f>IF(COUNTA(A1076:F1076)=0,"",IF(OR(C1076&lt;0,D1076&lt;0,E1076&lt;0,F1076&lt;0),"ERRO: valor negativo",IF(C1076&lt;&gt;SUM(D1076:F1076),"ERRO: categorias diferem dos respondentes",IF(COUNTIFS($A$5:$A$1200,A1076,$B$5:$B$1200,B1076)&gt;1,"ERRO: período e curso duplicados","OK"))))</f>
        <v/>
      </c>
    </row>
    <row r="1077" ht="15" customHeight="1" s="131">
      <c r="A1077" s="220" t="n"/>
      <c r="B1077" s="222" t="n"/>
      <c r="C1077" s="220" t="n"/>
      <c r="D1077" s="220" t="n"/>
      <c r="E1077" s="220" t="n"/>
      <c r="F1077" s="220" t="n"/>
      <c r="G1077" s="169">
        <f>IFERROR((D1077-F1077)/C1077*100,"")</f>
        <v/>
      </c>
      <c r="H1077" s="219" t="n"/>
      <c r="I1077" s="220" t="n"/>
      <c r="J1077" s="221">
        <f>IF(COUNTA(A1077:F1077)=0,"",IF(OR(C1077&lt;0,D1077&lt;0,E1077&lt;0,F1077&lt;0),"ERRO: valor negativo",IF(C1077&lt;&gt;SUM(D1077:F1077),"ERRO: categorias diferem dos respondentes",IF(COUNTIFS($A$5:$A$1200,A1077,$B$5:$B$1200,B1077)&gt;1,"ERRO: período e curso duplicados","OK"))))</f>
        <v/>
      </c>
    </row>
    <row r="1078" ht="15" customHeight="1" s="131">
      <c r="A1078" s="220" t="n"/>
      <c r="B1078" s="222" t="n"/>
      <c r="C1078" s="220" t="n"/>
      <c r="D1078" s="220" t="n"/>
      <c r="E1078" s="220" t="n"/>
      <c r="F1078" s="220" t="n"/>
      <c r="G1078" s="169">
        <f>IFERROR((D1078-F1078)/C1078*100,"")</f>
        <v/>
      </c>
      <c r="H1078" s="219" t="n"/>
      <c r="I1078" s="220" t="n"/>
      <c r="J1078" s="221">
        <f>IF(COUNTA(A1078:F1078)=0,"",IF(OR(C1078&lt;0,D1078&lt;0,E1078&lt;0,F1078&lt;0),"ERRO: valor negativo",IF(C1078&lt;&gt;SUM(D1078:F1078),"ERRO: categorias diferem dos respondentes",IF(COUNTIFS($A$5:$A$1200,A1078,$B$5:$B$1200,B1078)&gt;1,"ERRO: período e curso duplicados","OK"))))</f>
        <v/>
      </c>
    </row>
    <row r="1079" ht="15" customHeight="1" s="131">
      <c r="A1079" s="220" t="n"/>
      <c r="B1079" s="222" t="n"/>
      <c r="C1079" s="220" t="n"/>
      <c r="D1079" s="220" t="n"/>
      <c r="E1079" s="220" t="n"/>
      <c r="F1079" s="220" t="n"/>
      <c r="G1079" s="169">
        <f>IFERROR((D1079-F1079)/C1079*100,"")</f>
        <v/>
      </c>
      <c r="H1079" s="219" t="n"/>
      <c r="I1079" s="220" t="n"/>
      <c r="J1079" s="221">
        <f>IF(COUNTA(A1079:F1079)=0,"",IF(OR(C1079&lt;0,D1079&lt;0,E1079&lt;0,F1079&lt;0),"ERRO: valor negativo",IF(C1079&lt;&gt;SUM(D1079:F1079),"ERRO: categorias diferem dos respondentes",IF(COUNTIFS($A$5:$A$1200,A1079,$B$5:$B$1200,B1079)&gt;1,"ERRO: período e curso duplicados","OK"))))</f>
        <v/>
      </c>
    </row>
    <row r="1080" ht="15" customHeight="1" s="131">
      <c r="A1080" s="220" t="n"/>
      <c r="B1080" s="222" t="n"/>
      <c r="C1080" s="220" t="n"/>
      <c r="D1080" s="220" t="n"/>
      <c r="E1080" s="220" t="n"/>
      <c r="F1080" s="220" t="n"/>
      <c r="G1080" s="169">
        <f>IFERROR((D1080-F1080)/C1080*100,"")</f>
        <v/>
      </c>
      <c r="H1080" s="219" t="n"/>
      <c r="I1080" s="220" t="n"/>
      <c r="J1080" s="221">
        <f>IF(COUNTA(A1080:F1080)=0,"",IF(OR(C1080&lt;0,D1080&lt;0,E1080&lt;0,F1080&lt;0),"ERRO: valor negativo",IF(C1080&lt;&gt;SUM(D1080:F1080),"ERRO: categorias diferem dos respondentes",IF(COUNTIFS($A$5:$A$1200,A1080,$B$5:$B$1200,B1080)&gt;1,"ERRO: período e curso duplicados","OK"))))</f>
        <v/>
      </c>
    </row>
    <row r="1081" ht="15" customHeight="1" s="131">
      <c r="A1081" s="220" t="n"/>
      <c r="B1081" s="222" t="n"/>
      <c r="C1081" s="220" t="n"/>
      <c r="D1081" s="220" t="n"/>
      <c r="E1081" s="220" t="n"/>
      <c r="F1081" s="220" t="n"/>
      <c r="G1081" s="169">
        <f>IFERROR((D1081-F1081)/C1081*100,"")</f>
        <v/>
      </c>
      <c r="H1081" s="219" t="n"/>
      <c r="I1081" s="220" t="n"/>
      <c r="J1081" s="221">
        <f>IF(COUNTA(A1081:F1081)=0,"",IF(OR(C1081&lt;0,D1081&lt;0,E1081&lt;0,F1081&lt;0),"ERRO: valor negativo",IF(C1081&lt;&gt;SUM(D1081:F1081),"ERRO: categorias diferem dos respondentes",IF(COUNTIFS($A$5:$A$1200,A1081,$B$5:$B$1200,B1081)&gt;1,"ERRO: período e curso duplicados","OK"))))</f>
        <v/>
      </c>
    </row>
    <row r="1082" ht="15" customHeight="1" s="131">
      <c r="A1082" s="220" t="n"/>
      <c r="B1082" s="222" t="n"/>
      <c r="C1082" s="220" t="n"/>
      <c r="D1082" s="220" t="n"/>
      <c r="E1082" s="220" t="n"/>
      <c r="F1082" s="220" t="n"/>
      <c r="G1082" s="169">
        <f>IFERROR((D1082-F1082)/C1082*100,"")</f>
        <v/>
      </c>
      <c r="H1082" s="219" t="n"/>
      <c r="I1082" s="220" t="n"/>
      <c r="J1082" s="221">
        <f>IF(COUNTA(A1082:F1082)=0,"",IF(OR(C1082&lt;0,D1082&lt;0,E1082&lt;0,F1082&lt;0),"ERRO: valor negativo",IF(C1082&lt;&gt;SUM(D1082:F1082),"ERRO: categorias diferem dos respondentes",IF(COUNTIFS($A$5:$A$1200,A1082,$B$5:$B$1200,B1082)&gt;1,"ERRO: período e curso duplicados","OK"))))</f>
        <v/>
      </c>
    </row>
    <row r="1083" ht="15" customHeight="1" s="131">
      <c r="A1083" s="220" t="n"/>
      <c r="B1083" s="222" t="n"/>
      <c r="C1083" s="220" t="n"/>
      <c r="D1083" s="220" t="n"/>
      <c r="E1083" s="220" t="n"/>
      <c r="F1083" s="220" t="n"/>
      <c r="G1083" s="169">
        <f>IFERROR((D1083-F1083)/C1083*100,"")</f>
        <v/>
      </c>
      <c r="H1083" s="219" t="n"/>
      <c r="I1083" s="220" t="n"/>
      <c r="J1083" s="221">
        <f>IF(COUNTA(A1083:F1083)=0,"",IF(OR(C1083&lt;0,D1083&lt;0,E1083&lt;0,F1083&lt;0),"ERRO: valor negativo",IF(C1083&lt;&gt;SUM(D1083:F1083),"ERRO: categorias diferem dos respondentes",IF(COUNTIFS($A$5:$A$1200,A1083,$B$5:$B$1200,B1083)&gt;1,"ERRO: período e curso duplicados","OK"))))</f>
        <v/>
      </c>
    </row>
    <row r="1084" ht="15" customHeight="1" s="131">
      <c r="A1084" s="220" t="n"/>
      <c r="B1084" s="222" t="n"/>
      <c r="C1084" s="220" t="n"/>
      <c r="D1084" s="220" t="n"/>
      <c r="E1084" s="220" t="n"/>
      <c r="F1084" s="220" t="n"/>
      <c r="G1084" s="169">
        <f>IFERROR((D1084-F1084)/C1084*100,"")</f>
        <v/>
      </c>
      <c r="H1084" s="219" t="n"/>
      <c r="I1084" s="220" t="n"/>
      <c r="J1084" s="221">
        <f>IF(COUNTA(A1084:F1084)=0,"",IF(OR(C1084&lt;0,D1084&lt;0,E1084&lt;0,F1084&lt;0),"ERRO: valor negativo",IF(C1084&lt;&gt;SUM(D1084:F1084),"ERRO: categorias diferem dos respondentes",IF(COUNTIFS($A$5:$A$1200,A1084,$B$5:$B$1200,B1084)&gt;1,"ERRO: período e curso duplicados","OK"))))</f>
        <v/>
      </c>
    </row>
    <row r="1085" ht="15" customHeight="1" s="131">
      <c r="A1085" s="220" t="n"/>
      <c r="B1085" s="222" t="n"/>
      <c r="C1085" s="220" t="n"/>
      <c r="D1085" s="220" t="n"/>
      <c r="E1085" s="220" t="n"/>
      <c r="F1085" s="220" t="n"/>
      <c r="G1085" s="169">
        <f>IFERROR((D1085-F1085)/C1085*100,"")</f>
        <v/>
      </c>
      <c r="H1085" s="219" t="n"/>
      <c r="I1085" s="220" t="n"/>
      <c r="J1085" s="221">
        <f>IF(COUNTA(A1085:F1085)=0,"",IF(OR(C1085&lt;0,D1085&lt;0,E1085&lt;0,F1085&lt;0),"ERRO: valor negativo",IF(C1085&lt;&gt;SUM(D1085:F1085),"ERRO: categorias diferem dos respondentes",IF(COUNTIFS($A$5:$A$1200,A1085,$B$5:$B$1200,B1085)&gt;1,"ERRO: período e curso duplicados","OK"))))</f>
        <v/>
      </c>
    </row>
    <row r="1086" ht="15" customHeight="1" s="131">
      <c r="A1086" s="220" t="n"/>
      <c r="B1086" s="222" t="n"/>
      <c r="C1086" s="220" t="n"/>
      <c r="D1086" s="220" t="n"/>
      <c r="E1086" s="220" t="n"/>
      <c r="F1086" s="220" t="n"/>
      <c r="G1086" s="169">
        <f>IFERROR((D1086-F1086)/C1086*100,"")</f>
        <v/>
      </c>
      <c r="H1086" s="219" t="n"/>
      <c r="I1086" s="220" t="n"/>
      <c r="J1086" s="221">
        <f>IF(COUNTA(A1086:F1086)=0,"",IF(OR(C1086&lt;0,D1086&lt;0,E1086&lt;0,F1086&lt;0),"ERRO: valor negativo",IF(C1086&lt;&gt;SUM(D1086:F1086),"ERRO: categorias diferem dos respondentes",IF(COUNTIFS($A$5:$A$1200,A1086,$B$5:$B$1200,B1086)&gt;1,"ERRO: período e curso duplicados","OK"))))</f>
        <v/>
      </c>
    </row>
    <row r="1087" ht="15" customHeight="1" s="131">
      <c r="A1087" s="220" t="n"/>
      <c r="B1087" s="222" t="n"/>
      <c r="C1087" s="220" t="n"/>
      <c r="D1087" s="220" t="n"/>
      <c r="E1087" s="220" t="n"/>
      <c r="F1087" s="220" t="n"/>
      <c r="G1087" s="169">
        <f>IFERROR((D1087-F1087)/C1087*100,"")</f>
        <v/>
      </c>
      <c r="H1087" s="219" t="n"/>
      <c r="I1087" s="220" t="n"/>
      <c r="J1087" s="221">
        <f>IF(COUNTA(A1087:F1087)=0,"",IF(OR(C1087&lt;0,D1087&lt;0,E1087&lt;0,F1087&lt;0),"ERRO: valor negativo",IF(C1087&lt;&gt;SUM(D1087:F1087),"ERRO: categorias diferem dos respondentes",IF(COUNTIFS($A$5:$A$1200,A1087,$B$5:$B$1200,B1087)&gt;1,"ERRO: período e curso duplicados","OK"))))</f>
        <v/>
      </c>
    </row>
    <row r="1088" ht="15" customHeight="1" s="131">
      <c r="A1088" s="220" t="n"/>
      <c r="B1088" s="222" t="n"/>
      <c r="C1088" s="220" t="n"/>
      <c r="D1088" s="220" t="n"/>
      <c r="E1088" s="220" t="n"/>
      <c r="F1088" s="220" t="n"/>
      <c r="G1088" s="169">
        <f>IFERROR((D1088-F1088)/C1088*100,"")</f>
        <v/>
      </c>
      <c r="H1088" s="219" t="n"/>
      <c r="I1088" s="220" t="n"/>
      <c r="J1088" s="221">
        <f>IF(COUNTA(A1088:F1088)=0,"",IF(OR(C1088&lt;0,D1088&lt;0,E1088&lt;0,F1088&lt;0),"ERRO: valor negativo",IF(C1088&lt;&gt;SUM(D1088:F1088),"ERRO: categorias diferem dos respondentes",IF(COUNTIFS($A$5:$A$1200,A1088,$B$5:$B$1200,B1088)&gt;1,"ERRO: período e curso duplicados","OK"))))</f>
        <v/>
      </c>
    </row>
    <row r="1089" ht="15" customHeight="1" s="131">
      <c r="A1089" s="220" t="n"/>
      <c r="B1089" s="222" t="n"/>
      <c r="C1089" s="220" t="n"/>
      <c r="D1089" s="220" t="n"/>
      <c r="E1089" s="220" t="n"/>
      <c r="F1089" s="220" t="n"/>
      <c r="G1089" s="169">
        <f>IFERROR((D1089-F1089)/C1089*100,"")</f>
        <v/>
      </c>
      <c r="H1089" s="219" t="n"/>
      <c r="I1089" s="220" t="n"/>
      <c r="J1089" s="221">
        <f>IF(COUNTA(A1089:F1089)=0,"",IF(OR(C1089&lt;0,D1089&lt;0,E1089&lt;0,F1089&lt;0),"ERRO: valor negativo",IF(C1089&lt;&gt;SUM(D1089:F1089),"ERRO: categorias diferem dos respondentes",IF(COUNTIFS($A$5:$A$1200,A1089,$B$5:$B$1200,B1089)&gt;1,"ERRO: período e curso duplicados","OK"))))</f>
        <v/>
      </c>
    </row>
    <row r="1090" ht="15" customHeight="1" s="131">
      <c r="A1090" s="220" t="n"/>
      <c r="B1090" s="222" t="n"/>
      <c r="C1090" s="220" t="n"/>
      <c r="D1090" s="220" t="n"/>
      <c r="E1090" s="220" t="n"/>
      <c r="F1090" s="220" t="n"/>
      <c r="G1090" s="169">
        <f>IFERROR((D1090-F1090)/C1090*100,"")</f>
        <v/>
      </c>
      <c r="H1090" s="219" t="n"/>
      <c r="I1090" s="220" t="n"/>
      <c r="J1090" s="221">
        <f>IF(COUNTA(A1090:F1090)=0,"",IF(OR(C1090&lt;0,D1090&lt;0,E1090&lt;0,F1090&lt;0),"ERRO: valor negativo",IF(C1090&lt;&gt;SUM(D1090:F1090),"ERRO: categorias diferem dos respondentes",IF(COUNTIFS($A$5:$A$1200,A1090,$B$5:$B$1200,B1090)&gt;1,"ERRO: período e curso duplicados","OK"))))</f>
        <v/>
      </c>
    </row>
    <row r="1091" ht="15" customHeight="1" s="131">
      <c r="A1091" s="220" t="n"/>
      <c r="B1091" s="222" t="n"/>
      <c r="C1091" s="220" t="n"/>
      <c r="D1091" s="220" t="n"/>
      <c r="E1091" s="220" t="n"/>
      <c r="F1091" s="220" t="n"/>
      <c r="G1091" s="169">
        <f>IFERROR((D1091-F1091)/C1091*100,"")</f>
        <v/>
      </c>
      <c r="H1091" s="219" t="n"/>
      <c r="I1091" s="220" t="n"/>
      <c r="J1091" s="221">
        <f>IF(COUNTA(A1091:F1091)=0,"",IF(OR(C1091&lt;0,D1091&lt;0,E1091&lt;0,F1091&lt;0),"ERRO: valor negativo",IF(C1091&lt;&gt;SUM(D1091:F1091),"ERRO: categorias diferem dos respondentes",IF(COUNTIFS($A$5:$A$1200,A1091,$B$5:$B$1200,B1091)&gt;1,"ERRO: período e curso duplicados","OK"))))</f>
        <v/>
      </c>
    </row>
    <row r="1092" ht="15" customHeight="1" s="131">
      <c r="A1092" s="220" t="n"/>
      <c r="B1092" s="222" t="n"/>
      <c r="C1092" s="220" t="n"/>
      <c r="D1092" s="220" t="n"/>
      <c r="E1092" s="220" t="n"/>
      <c r="F1092" s="220" t="n"/>
      <c r="G1092" s="169">
        <f>IFERROR((D1092-F1092)/C1092*100,"")</f>
        <v/>
      </c>
      <c r="H1092" s="219" t="n"/>
      <c r="I1092" s="220" t="n"/>
      <c r="J1092" s="221">
        <f>IF(COUNTA(A1092:F1092)=0,"",IF(OR(C1092&lt;0,D1092&lt;0,E1092&lt;0,F1092&lt;0),"ERRO: valor negativo",IF(C1092&lt;&gt;SUM(D1092:F1092),"ERRO: categorias diferem dos respondentes",IF(COUNTIFS($A$5:$A$1200,A1092,$B$5:$B$1200,B1092)&gt;1,"ERRO: período e curso duplicados","OK"))))</f>
        <v/>
      </c>
    </row>
    <row r="1093" ht="15" customHeight="1" s="131">
      <c r="A1093" s="220" t="n"/>
      <c r="B1093" s="222" t="n"/>
      <c r="C1093" s="220" t="n"/>
      <c r="D1093" s="220" t="n"/>
      <c r="E1093" s="220" t="n"/>
      <c r="F1093" s="220" t="n"/>
      <c r="G1093" s="169">
        <f>IFERROR((D1093-F1093)/C1093*100,"")</f>
        <v/>
      </c>
      <c r="H1093" s="219" t="n"/>
      <c r="I1093" s="220" t="n"/>
      <c r="J1093" s="221">
        <f>IF(COUNTA(A1093:F1093)=0,"",IF(OR(C1093&lt;0,D1093&lt;0,E1093&lt;0,F1093&lt;0),"ERRO: valor negativo",IF(C1093&lt;&gt;SUM(D1093:F1093),"ERRO: categorias diferem dos respondentes",IF(COUNTIFS($A$5:$A$1200,A1093,$B$5:$B$1200,B1093)&gt;1,"ERRO: período e curso duplicados","OK"))))</f>
        <v/>
      </c>
    </row>
    <row r="1094" ht="15" customHeight="1" s="131">
      <c r="A1094" s="220" t="n"/>
      <c r="B1094" s="222" t="n"/>
      <c r="C1094" s="220" t="n"/>
      <c r="D1094" s="220" t="n"/>
      <c r="E1094" s="220" t="n"/>
      <c r="F1094" s="220" t="n"/>
      <c r="G1094" s="169">
        <f>IFERROR((D1094-F1094)/C1094*100,"")</f>
        <v/>
      </c>
      <c r="H1094" s="219" t="n"/>
      <c r="I1094" s="220" t="n"/>
      <c r="J1094" s="221">
        <f>IF(COUNTA(A1094:F1094)=0,"",IF(OR(C1094&lt;0,D1094&lt;0,E1094&lt;0,F1094&lt;0),"ERRO: valor negativo",IF(C1094&lt;&gt;SUM(D1094:F1094),"ERRO: categorias diferem dos respondentes",IF(COUNTIFS($A$5:$A$1200,A1094,$B$5:$B$1200,B1094)&gt;1,"ERRO: período e curso duplicados","OK"))))</f>
        <v/>
      </c>
    </row>
    <row r="1095" ht="15" customHeight="1" s="131">
      <c r="A1095" s="220" t="n"/>
      <c r="B1095" s="222" t="n"/>
      <c r="C1095" s="220" t="n"/>
      <c r="D1095" s="220" t="n"/>
      <c r="E1095" s="220" t="n"/>
      <c r="F1095" s="220" t="n"/>
      <c r="G1095" s="169">
        <f>IFERROR((D1095-F1095)/C1095*100,"")</f>
        <v/>
      </c>
      <c r="H1095" s="219" t="n"/>
      <c r="I1095" s="220" t="n"/>
      <c r="J1095" s="221">
        <f>IF(COUNTA(A1095:F1095)=0,"",IF(OR(C1095&lt;0,D1095&lt;0,E1095&lt;0,F1095&lt;0),"ERRO: valor negativo",IF(C1095&lt;&gt;SUM(D1095:F1095),"ERRO: categorias diferem dos respondentes",IF(COUNTIFS($A$5:$A$1200,A1095,$B$5:$B$1200,B1095)&gt;1,"ERRO: período e curso duplicados","OK"))))</f>
        <v/>
      </c>
    </row>
    <row r="1096" ht="15" customHeight="1" s="131">
      <c r="A1096" s="220" t="n"/>
      <c r="B1096" s="222" t="n"/>
      <c r="C1096" s="220" t="n"/>
      <c r="D1096" s="220" t="n"/>
      <c r="E1096" s="220" t="n"/>
      <c r="F1096" s="220" t="n"/>
      <c r="G1096" s="169">
        <f>IFERROR((D1096-F1096)/C1096*100,"")</f>
        <v/>
      </c>
      <c r="H1096" s="219" t="n"/>
      <c r="I1096" s="220" t="n"/>
      <c r="J1096" s="221">
        <f>IF(COUNTA(A1096:F1096)=0,"",IF(OR(C1096&lt;0,D1096&lt;0,E1096&lt;0,F1096&lt;0),"ERRO: valor negativo",IF(C1096&lt;&gt;SUM(D1096:F1096),"ERRO: categorias diferem dos respondentes",IF(COUNTIFS($A$5:$A$1200,A1096,$B$5:$B$1200,B1096)&gt;1,"ERRO: período e curso duplicados","OK"))))</f>
        <v/>
      </c>
    </row>
    <row r="1097" ht="15" customHeight="1" s="131">
      <c r="A1097" s="220" t="n"/>
      <c r="B1097" s="222" t="n"/>
      <c r="C1097" s="220" t="n"/>
      <c r="D1097" s="220" t="n"/>
      <c r="E1097" s="220" t="n"/>
      <c r="F1097" s="220" t="n"/>
      <c r="G1097" s="169">
        <f>IFERROR((D1097-F1097)/C1097*100,"")</f>
        <v/>
      </c>
      <c r="H1097" s="219" t="n"/>
      <c r="I1097" s="220" t="n"/>
      <c r="J1097" s="221">
        <f>IF(COUNTA(A1097:F1097)=0,"",IF(OR(C1097&lt;0,D1097&lt;0,E1097&lt;0,F1097&lt;0),"ERRO: valor negativo",IF(C1097&lt;&gt;SUM(D1097:F1097),"ERRO: categorias diferem dos respondentes",IF(COUNTIFS($A$5:$A$1200,A1097,$B$5:$B$1200,B1097)&gt;1,"ERRO: período e curso duplicados","OK"))))</f>
        <v/>
      </c>
    </row>
    <row r="1098" ht="15" customHeight="1" s="131">
      <c r="A1098" s="220" t="n"/>
      <c r="B1098" s="222" t="n"/>
      <c r="C1098" s="220" t="n"/>
      <c r="D1098" s="220" t="n"/>
      <c r="E1098" s="220" t="n"/>
      <c r="F1098" s="220" t="n"/>
      <c r="G1098" s="169">
        <f>IFERROR((D1098-F1098)/C1098*100,"")</f>
        <v/>
      </c>
      <c r="H1098" s="219" t="n"/>
      <c r="I1098" s="220" t="n"/>
      <c r="J1098" s="221">
        <f>IF(COUNTA(A1098:F1098)=0,"",IF(OR(C1098&lt;0,D1098&lt;0,E1098&lt;0,F1098&lt;0),"ERRO: valor negativo",IF(C1098&lt;&gt;SUM(D1098:F1098),"ERRO: categorias diferem dos respondentes",IF(COUNTIFS($A$5:$A$1200,A1098,$B$5:$B$1200,B1098)&gt;1,"ERRO: período e curso duplicados","OK"))))</f>
        <v/>
      </c>
    </row>
    <row r="1099" ht="15" customHeight="1" s="131">
      <c r="A1099" s="220" t="n"/>
      <c r="B1099" s="222" t="n"/>
      <c r="C1099" s="220" t="n"/>
      <c r="D1099" s="220" t="n"/>
      <c r="E1099" s="220" t="n"/>
      <c r="F1099" s="220" t="n"/>
      <c r="G1099" s="169">
        <f>IFERROR((D1099-F1099)/C1099*100,"")</f>
        <v/>
      </c>
      <c r="H1099" s="219" t="n"/>
      <c r="I1099" s="220" t="n"/>
      <c r="J1099" s="221">
        <f>IF(COUNTA(A1099:F1099)=0,"",IF(OR(C1099&lt;0,D1099&lt;0,E1099&lt;0,F1099&lt;0),"ERRO: valor negativo",IF(C1099&lt;&gt;SUM(D1099:F1099),"ERRO: categorias diferem dos respondentes",IF(COUNTIFS($A$5:$A$1200,A1099,$B$5:$B$1200,B1099)&gt;1,"ERRO: período e curso duplicados","OK"))))</f>
        <v/>
      </c>
    </row>
    <row r="1100" ht="15" customHeight="1" s="131">
      <c r="A1100" s="220" t="n"/>
      <c r="B1100" s="222" t="n"/>
      <c r="C1100" s="220" t="n"/>
      <c r="D1100" s="220" t="n"/>
      <c r="E1100" s="220" t="n"/>
      <c r="F1100" s="220" t="n"/>
      <c r="G1100" s="169">
        <f>IFERROR((D1100-F1100)/C1100*100,"")</f>
        <v/>
      </c>
      <c r="H1100" s="219" t="n"/>
      <c r="I1100" s="220" t="n"/>
      <c r="J1100" s="221">
        <f>IF(COUNTA(A1100:F1100)=0,"",IF(OR(C1100&lt;0,D1100&lt;0,E1100&lt;0,F1100&lt;0),"ERRO: valor negativo",IF(C1100&lt;&gt;SUM(D1100:F1100),"ERRO: categorias diferem dos respondentes",IF(COUNTIFS($A$5:$A$1200,A1100,$B$5:$B$1200,B1100)&gt;1,"ERRO: período e curso duplicados","OK"))))</f>
        <v/>
      </c>
    </row>
    <row r="1101" ht="15" customHeight="1" s="131">
      <c r="A1101" s="220" t="n"/>
      <c r="B1101" s="222" t="n"/>
      <c r="C1101" s="220" t="n"/>
      <c r="D1101" s="220" t="n"/>
      <c r="E1101" s="220" t="n"/>
      <c r="F1101" s="220" t="n"/>
      <c r="G1101" s="169">
        <f>IFERROR((D1101-F1101)/C1101*100,"")</f>
        <v/>
      </c>
      <c r="H1101" s="219" t="n"/>
      <c r="I1101" s="220" t="n"/>
      <c r="J1101" s="221">
        <f>IF(COUNTA(A1101:F1101)=0,"",IF(OR(C1101&lt;0,D1101&lt;0,E1101&lt;0,F1101&lt;0),"ERRO: valor negativo",IF(C1101&lt;&gt;SUM(D1101:F1101),"ERRO: categorias diferem dos respondentes",IF(COUNTIFS($A$5:$A$1200,A1101,$B$5:$B$1200,B1101)&gt;1,"ERRO: período e curso duplicados","OK"))))</f>
        <v/>
      </c>
    </row>
    <row r="1102" ht="15" customHeight="1" s="131">
      <c r="A1102" s="220" t="n"/>
      <c r="B1102" s="222" t="n"/>
      <c r="C1102" s="220" t="n"/>
      <c r="D1102" s="220" t="n"/>
      <c r="E1102" s="220" t="n"/>
      <c r="F1102" s="220" t="n"/>
      <c r="G1102" s="169">
        <f>IFERROR((D1102-F1102)/C1102*100,"")</f>
        <v/>
      </c>
      <c r="H1102" s="219" t="n"/>
      <c r="I1102" s="220" t="n"/>
      <c r="J1102" s="221">
        <f>IF(COUNTA(A1102:F1102)=0,"",IF(OR(C1102&lt;0,D1102&lt;0,E1102&lt;0,F1102&lt;0),"ERRO: valor negativo",IF(C1102&lt;&gt;SUM(D1102:F1102),"ERRO: categorias diferem dos respondentes",IF(COUNTIFS($A$5:$A$1200,A1102,$B$5:$B$1200,B1102)&gt;1,"ERRO: período e curso duplicados","OK"))))</f>
        <v/>
      </c>
    </row>
    <row r="1103" ht="15" customHeight="1" s="131">
      <c r="A1103" s="220" t="n"/>
      <c r="B1103" s="222" t="n"/>
      <c r="C1103" s="220" t="n"/>
      <c r="D1103" s="220" t="n"/>
      <c r="E1103" s="220" t="n"/>
      <c r="F1103" s="220" t="n"/>
      <c r="G1103" s="169">
        <f>IFERROR((D1103-F1103)/C1103*100,"")</f>
        <v/>
      </c>
      <c r="H1103" s="219" t="n"/>
      <c r="I1103" s="220" t="n"/>
      <c r="J1103" s="221">
        <f>IF(COUNTA(A1103:F1103)=0,"",IF(OR(C1103&lt;0,D1103&lt;0,E1103&lt;0,F1103&lt;0),"ERRO: valor negativo",IF(C1103&lt;&gt;SUM(D1103:F1103),"ERRO: categorias diferem dos respondentes",IF(COUNTIFS($A$5:$A$1200,A1103,$B$5:$B$1200,B1103)&gt;1,"ERRO: período e curso duplicados","OK"))))</f>
        <v/>
      </c>
    </row>
    <row r="1104" ht="15" customHeight="1" s="131">
      <c r="A1104" s="220" t="n"/>
      <c r="B1104" s="222" t="n"/>
      <c r="C1104" s="220" t="n"/>
      <c r="D1104" s="220" t="n"/>
      <c r="E1104" s="220" t="n"/>
      <c r="F1104" s="220" t="n"/>
      <c r="G1104" s="169">
        <f>IFERROR((D1104-F1104)/C1104*100,"")</f>
        <v/>
      </c>
      <c r="H1104" s="219" t="n"/>
      <c r="I1104" s="220" t="n"/>
      <c r="J1104" s="221">
        <f>IF(COUNTA(A1104:F1104)=0,"",IF(OR(C1104&lt;0,D1104&lt;0,E1104&lt;0,F1104&lt;0),"ERRO: valor negativo",IF(C1104&lt;&gt;SUM(D1104:F1104),"ERRO: categorias diferem dos respondentes",IF(COUNTIFS($A$5:$A$1200,A1104,$B$5:$B$1200,B1104)&gt;1,"ERRO: período e curso duplicados","OK"))))</f>
        <v/>
      </c>
    </row>
    <row r="1105" ht="15" customHeight="1" s="131">
      <c r="A1105" s="220" t="n"/>
      <c r="B1105" s="222" t="n"/>
      <c r="C1105" s="220" t="n"/>
      <c r="D1105" s="220" t="n"/>
      <c r="E1105" s="220" t="n"/>
      <c r="F1105" s="220" t="n"/>
      <c r="G1105" s="169">
        <f>IFERROR((D1105-F1105)/C1105*100,"")</f>
        <v/>
      </c>
      <c r="H1105" s="219" t="n"/>
      <c r="I1105" s="220" t="n"/>
      <c r="J1105" s="221">
        <f>IF(COUNTA(A1105:F1105)=0,"",IF(OR(C1105&lt;0,D1105&lt;0,E1105&lt;0,F1105&lt;0),"ERRO: valor negativo",IF(C1105&lt;&gt;SUM(D1105:F1105),"ERRO: categorias diferem dos respondentes",IF(COUNTIFS($A$5:$A$1200,A1105,$B$5:$B$1200,B1105)&gt;1,"ERRO: período e curso duplicados","OK"))))</f>
        <v/>
      </c>
    </row>
    <row r="1106" ht="15" customHeight="1" s="131">
      <c r="A1106" s="220" t="n"/>
      <c r="B1106" s="222" t="n"/>
      <c r="C1106" s="220" t="n"/>
      <c r="D1106" s="220" t="n"/>
      <c r="E1106" s="220" t="n"/>
      <c r="F1106" s="220" t="n"/>
      <c r="G1106" s="169">
        <f>IFERROR((D1106-F1106)/C1106*100,"")</f>
        <v/>
      </c>
      <c r="H1106" s="219" t="n"/>
      <c r="I1106" s="220" t="n"/>
      <c r="J1106" s="221">
        <f>IF(COUNTA(A1106:F1106)=0,"",IF(OR(C1106&lt;0,D1106&lt;0,E1106&lt;0,F1106&lt;0),"ERRO: valor negativo",IF(C1106&lt;&gt;SUM(D1106:F1106),"ERRO: categorias diferem dos respondentes",IF(COUNTIFS($A$5:$A$1200,A1106,$B$5:$B$1200,B1106)&gt;1,"ERRO: período e curso duplicados","OK"))))</f>
        <v/>
      </c>
    </row>
    <row r="1107" ht="15" customHeight="1" s="131">
      <c r="A1107" s="220" t="n"/>
      <c r="B1107" s="222" t="n"/>
      <c r="C1107" s="220" t="n"/>
      <c r="D1107" s="220" t="n"/>
      <c r="E1107" s="220" t="n"/>
      <c r="F1107" s="220" t="n"/>
      <c r="G1107" s="169">
        <f>IFERROR((D1107-F1107)/C1107*100,"")</f>
        <v/>
      </c>
      <c r="H1107" s="219" t="n"/>
      <c r="I1107" s="220" t="n"/>
      <c r="J1107" s="221">
        <f>IF(COUNTA(A1107:F1107)=0,"",IF(OR(C1107&lt;0,D1107&lt;0,E1107&lt;0,F1107&lt;0),"ERRO: valor negativo",IF(C1107&lt;&gt;SUM(D1107:F1107),"ERRO: categorias diferem dos respondentes",IF(COUNTIFS($A$5:$A$1200,A1107,$B$5:$B$1200,B1107)&gt;1,"ERRO: período e curso duplicados","OK"))))</f>
        <v/>
      </c>
    </row>
    <row r="1108" ht="15" customHeight="1" s="131">
      <c r="A1108" s="220" t="n"/>
      <c r="B1108" s="222" t="n"/>
      <c r="C1108" s="220" t="n"/>
      <c r="D1108" s="220" t="n"/>
      <c r="E1108" s="220" t="n"/>
      <c r="F1108" s="220" t="n"/>
      <c r="G1108" s="169">
        <f>IFERROR((D1108-F1108)/C1108*100,"")</f>
        <v/>
      </c>
      <c r="H1108" s="219" t="n"/>
      <c r="I1108" s="220" t="n"/>
      <c r="J1108" s="221">
        <f>IF(COUNTA(A1108:F1108)=0,"",IF(OR(C1108&lt;0,D1108&lt;0,E1108&lt;0,F1108&lt;0),"ERRO: valor negativo",IF(C1108&lt;&gt;SUM(D1108:F1108),"ERRO: categorias diferem dos respondentes",IF(COUNTIFS($A$5:$A$1200,A1108,$B$5:$B$1200,B1108)&gt;1,"ERRO: período e curso duplicados","OK"))))</f>
        <v/>
      </c>
    </row>
    <row r="1109" ht="15" customHeight="1" s="131">
      <c r="A1109" s="220" t="n"/>
      <c r="B1109" s="222" t="n"/>
      <c r="C1109" s="220" t="n"/>
      <c r="D1109" s="220" t="n"/>
      <c r="E1109" s="220" t="n"/>
      <c r="F1109" s="220" t="n"/>
      <c r="G1109" s="169">
        <f>IFERROR((D1109-F1109)/C1109*100,"")</f>
        <v/>
      </c>
      <c r="H1109" s="219" t="n"/>
      <c r="I1109" s="220" t="n"/>
      <c r="J1109" s="221">
        <f>IF(COUNTA(A1109:F1109)=0,"",IF(OR(C1109&lt;0,D1109&lt;0,E1109&lt;0,F1109&lt;0),"ERRO: valor negativo",IF(C1109&lt;&gt;SUM(D1109:F1109),"ERRO: categorias diferem dos respondentes",IF(COUNTIFS($A$5:$A$1200,A1109,$B$5:$B$1200,B1109)&gt;1,"ERRO: período e curso duplicados","OK"))))</f>
        <v/>
      </c>
    </row>
    <row r="1110" ht="15" customHeight="1" s="131">
      <c r="A1110" s="220" t="n"/>
      <c r="B1110" s="222" t="n"/>
      <c r="C1110" s="220" t="n"/>
      <c r="D1110" s="220" t="n"/>
      <c r="E1110" s="220" t="n"/>
      <c r="F1110" s="220" t="n"/>
      <c r="G1110" s="169">
        <f>IFERROR((D1110-F1110)/C1110*100,"")</f>
        <v/>
      </c>
      <c r="H1110" s="219" t="n"/>
      <c r="I1110" s="220" t="n"/>
      <c r="J1110" s="221">
        <f>IF(COUNTA(A1110:F1110)=0,"",IF(OR(C1110&lt;0,D1110&lt;0,E1110&lt;0,F1110&lt;0),"ERRO: valor negativo",IF(C1110&lt;&gt;SUM(D1110:F1110),"ERRO: categorias diferem dos respondentes",IF(COUNTIFS($A$5:$A$1200,A1110,$B$5:$B$1200,B1110)&gt;1,"ERRO: período e curso duplicados","OK"))))</f>
        <v/>
      </c>
    </row>
    <row r="1111" ht="15" customHeight="1" s="131">
      <c r="A1111" s="220" t="n"/>
      <c r="B1111" s="222" t="n"/>
      <c r="C1111" s="220" t="n"/>
      <c r="D1111" s="220" t="n"/>
      <c r="E1111" s="220" t="n"/>
      <c r="F1111" s="220" t="n"/>
      <c r="G1111" s="169">
        <f>IFERROR((D1111-F1111)/C1111*100,"")</f>
        <v/>
      </c>
      <c r="H1111" s="219" t="n"/>
      <c r="I1111" s="220" t="n"/>
      <c r="J1111" s="221">
        <f>IF(COUNTA(A1111:F1111)=0,"",IF(OR(C1111&lt;0,D1111&lt;0,E1111&lt;0,F1111&lt;0),"ERRO: valor negativo",IF(C1111&lt;&gt;SUM(D1111:F1111),"ERRO: categorias diferem dos respondentes",IF(COUNTIFS($A$5:$A$1200,A1111,$B$5:$B$1200,B1111)&gt;1,"ERRO: período e curso duplicados","OK"))))</f>
        <v/>
      </c>
    </row>
    <row r="1112" ht="15" customHeight="1" s="131">
      <c r="A1112" s="220" t="n"/>
      <c r="B1112" s="222" t="n"/>
      <c r="C1112" s="220" t="n"/>
      <c r="D1112" s="220" t="n"/>
      <c r="E1112" s="220" t="n"/>
      <c r="F1112" s="220" t="n"/>
      <c r="G1112" s="169">
        <f>IFERROR((D1112-F1112)/C1112*100,"")</f>
        <v/>
      </c>
      <c r="H1112" s="219" t="n"/>
      <c r="I1112" s="220" t="n"/>
      <c r="J1112" s="221">
        <f>IF(COUNTA(A1112:F1112)=0,"",IF(OR(C1112&lt;0,D1112&lt;0,E1112&lt;0,F1112&lt;0),"ERRO: valor negativo",IF(C1112&lt;&gt;SUM(D1112:F1112),"ERRO: categorias diferem dos respondentes",IF(COUNTIFS($A$5:$A$1200,A1112,$B$5:$B$1200,B1112)&gt;1,"ERRO: período e curso duplicados","OK"))))</f>
        <v/>
      </c>
    </row>
    <row r="1113" ht="15" customHeight="1" s="131">
      <c r="A1113" s="220" t="n"/>
      <c r="B1113" s="222" t="n"/>
      <c r="C1113" s="220" t="n"/>
      <c r="D1113" s="220" t="n"/>
      <c r="E1113" s="220" t="n"/>
      <c r="F1113" s="220" t="n"/>
      <c r="G1113" s="169">
        <f>IFERROR((D1113-F1113)/C1113*100,"")</f>
        <v/>
      </c>
      <c r="H1113" s="219" t="n"/>
      <c r="I1113" s="220" t="n"/>
      <c r="J1113" s="221">
        <f>IF(COUNTA(A1113:F1113)=0,"",IF(OR(C1113&lt;0,D1113&lt;0,E1113&lt;0,F1113&lt;0),"ERRO: valor negativo",IF(C1113&lt;&gt;SUM(D1113:F1113),"ERRO: categorias diferem dos respondentes",IF(COUNTIFS($A$5:$A$1200,A1113,$B$5:$B$1200,B1113)&gt;1,"ERRO: período e curso duplicados","OK"))))</f>
        <v/>
      </c>
    </row>
    <row r="1114" ht="15" customHeight="1" s="131">
      <c r="A1114" s="220" t="n"/>
      <c r="B1114" s="222" t="n"/>
      <c r="C1114" s="220" t="n"/>
      <c r="D1114" s="220" t="n"/>
      <c r="E1114" s="220" t="n"/>
      <c r="F1114" s="220" t="n"/>
      <c r="G1114" s="169">
        <f>IFERROR((D1114-F1114)/C1114*100,"")</f>
        <v/>
      </c>
      <c r="H1114" s="219" t="n"/>
      <c r="I1114" s="220" t="n"/>
      <c r="J1114" s="221">
        <f>IF(COUNTA(A1114:F1114)=0,"",IF(OR(C1114&lt;0,D1114&lt;0,E1114&lt;0,F1114&lt;0),"ERRO: valor negativo",IF(C1114&lt;&gt;SUM(D1114:F1114),"ERRO: categorias diferem dos respondentes",IF(COUNTIFS($A$5:$A$1200,A1114,$B$5:$B$1200,B1114)&gt;1,"ERRO: período e curso duplicados","OK"))))</f>
        <v/>
      </c>
    </row>
    <row r="1115" ht="15" customHeight="1" s="131">
      <c r="A1115" s="220" t="n"/>
      <c r="B1115" s="222" t="n"/>
      <c r="C1115" s="220" t="n"/>
      <c r="D1115" s="220" t="n"/>
      <c r="E1115" s="220" t="n"/>
      <c r="F1115" s="220" t="n"/>
      <c r="G1115" s="169">
        <f>IFERROR((D1115-F1115)/C1115*100,"")</f>
        <v/>
      </c>
      <c r="H1115" s="219" t="n"/>
      <c r="I1115" s="220" t="n"/>
      <c r="J1115" s="221">
        <f>IF(COUNTA(A1115:F1115)=0,"",IF(OR(C1115&lt;0,D1115&lt;0,E1115&lt;0,F1115&lt;0),"ERRO: valor negativo",IF(C1115&lt;&gt;SUM(D1115:F1115),"ERRO: categorias diferem dos respondentes",IF(COUNTIFS($A$5:$A$1200,A1115,$B$5:$B$1200,B1115)&gt;1,"ERRO: período e curso duplicados","OK"))))</f>
        <v/>
      </c>
    </row>
    <row r="1116" ht="15" customHeight="1" s="131">
      <c r="A1116" s="220" t="n"/>
      <c r="B1116" s="222" t="n"/>
      <c r="C1116" s="220" t="n"/>
      <c r="D1116" s="220" t="n"/>
      <c r="E1116" s="220" t="n"/>
      <c r="F1116" s="220" t="n"/>
      <c r="G1116" s="169">
        <f>IFERROR((D1116-F1116)/C1116*100,"")</f>
        <v/>
      </c>
      <c r="H1116" s="219" t="n"/>
      <c r="I1116" s="220" t="n"/>
      <c r="J1116" s="221">
        <f>IF(COUNTA(A1116:F1116)=0,"",IF(OR(C1116&lt;0,D1116&lt;0,E1116&lt;0,F1116&lt;0),"ERRO: valor negativo",IF(C1116&lt;&gt;SUM(D1116:F1116),"ERRO: categorias diferem dos respondentes",IF(COUNTIFS($A$5:$A$1200,A1116,$B$5:$B$1200,B1116)&gt;1,"ERRO: período e curso duplicados","OK"))))</f>
        <v/>
      </c>
    </row>
    <row r="1117" ht="15" customHeight="1" s="131">
      <c r="A1117" s="220" t="n"/>
      <c r="B1117" s="222" t="n"/>
      <c r="C1117" s="220" t="n"/>
      <c r="D1117" s="220" t="n"/>
      <c r="E1117" s="220" t="n"/>
      <c r="F1117" s="220" t="n"/>
      <c r="G1117" s="169">
        <f>IFERROR((D1117-F1117)/C1117*100,"")</f>
        <v/>
      </c>
      <c r="H1117" s="219" t="n"/>
      <c r="I1117" s="220" t="n"/>
      <c r="J1117" s="221">
        <f>IF(COUNTA(A1117:F1117)=0,"",IF(OR(C1117&lt;0,D1117&lt;0,E1117&lt;0,F1117&lt;0),"ERRO: valor negativo",IF(C1117&lt;&gt;SUM(D1117:F1117),"ERRO: categorias diferem dos respondentes",IF(COUNTIFS($A$5:$A$1200,A1117,$B$5:$B$1200,B1117)&gt;1,"ERRO: período e curso duplicados","OK"))))</f>
        <v/>
      </c>
    </row>
    <row r="1118" ht="15" customHeight="1" s="131">
      <c r="A1118" s="220" t="n"/>
      <c r="B1118" s="222" t="n"/>
      <c r="C1118" s="220" t="n"/>
      <c r="D1118" s="220" t="n"/>
      <c r="E1118" s="220" t="n"/>
      <c r="F1118" s="220" t="n"/>
      <c r="G1118" s="169">
        <f>IFERROR((D1118-F1118)/C1118*100,"")</f>
        <v/>
      </c>
      <c r="H1118" s="219" t="n"/>
      <c r="I1118" s="220" t="n"/>
      <c r="J1118" s="221">
        <f>IF(COUNTA(A1118:F1118)=0,"",IF(OR(C1118&lt;0,D1118&lt;0,E1118&lt;0,F1118&lt;0),"ERRO: valor negativo",IF(C1118&lt;&gt;SUM(D1118:F1118),"ERRO: categorias diferem dos respondentes",IF(COUNTIFS($A$5:$A$1200,A1118,$B$5:$B$1200,B1118)&gt;1,"ERRO: período e curso duplicados","OK"))))</f>
        <v/>
      </c>
    </row>
    <row r="1119" ht="15" customHeight="1" s="131">
      <c r="A1119" s="220" t="n"/>
      <c r="B1119" s="222" t="n"/>
      <c r="C1119" s="220" t="n"/>
      <c r="D1119" s="220" t="n"/>
      <c r="E1119" s="220" t="n"/>
      <c r="F1119" s="220" t="n"/>
      <c r="G1119" s="169">
        <f>IFERROR((D1119-F1119)/C1119*100,"")</f>
        <v/>
      </c>
      <c r="H1119" s="219" t="n"/>
      <c r="I1119" s="220" t="n"/>
      <c r="J1119" s="221">
        <f>IF(COUNTA(A1119:F1119)=0,"",IF(OR(C1119&lt;0,D1119&lt;0,E1119&lt;0,F1119&lt;0),"ERRO: valor negativo",IF(C1119&lt;&gt;SUM(D1119:F1119),"ERRO: categorias diferem dos respondentes",IF(COUNTIFS($A$5:$A$1200,A1119,$B$5:$B$1200,B1119)&gt;1,"ERRO: período e curso duplicados","OK"))))</f>
        <v/>
      </c>
    </row>
    <row r="1120" ht="15" customHeight="1" s="131">
      <c r="A1120" s="220" t="n"/>
      <c r="B1120" s="222" t="n"/>
      <c r="C1120" s="220" t="n"/>
      <c r="D1120" s="220" t="n"/>
      <c r="E1120" s="220" t="n"/>
      <c r="F1120" s="220" t="n"/>
      <c r="G1120" s="169">
        <f>IFERROR((D1120-F1120)/C1120*100,"")</f>
        <v/>
      </c>
      <c r="H1120" s="219" t="n"/>
      <c r="I1120" s="220" t="n"/>
      <c r="J1120" s="221">
        <f>IF(COUNTA(A1120:F1120)=0,"",IF(OR(C1120&lt;0,D1120&lt;0,E1120&lt;0,F1120&lt;0),"ERRO: valor negativo",IF(C1120&lt;&gt;SUM(D1120:F1120),"ERRO: categorias diferem dos respondentes",IF(COUNTIFS($A$5:$A$1200,A1120,$B$5:$B$1200,B1120)&gt;1,"ERRO: período e curso duplicados","OK"))))</f>
        <v/>
      </c>
    </row>
    <row r="1121" ht="15" customHeight="1" s="131">
      <c r="A1121" s="220" t="n"/>
      <c r="B1121" s="222" t="n"/>
      <c r="C1121" s="220" t="n"/>
      <c r="D1121" s="220" t="n"/>
      <c r="E1121" s="220" t="n"/>
      <c r="F1121" s="220" t="n"/>
      <c r="G1121" s="169">
        <f>IFERROR((D1121-F1121)/C1121*100,"")</f>
        <v/>
      </c>
      <c r="H1121" s="219" t="n"/>
      <c r="I1121" s="220" t="n"/>
      <c r="J1121" s="221">
        <f>IF(COUNTA(A1121:F1121)=0,"",IF(OR(C1121&lt;0,D1121&lt;0,E1121&lt;0,F1121&lt;0),"ERRO: valor negativo",IF(C1121&lt;&gt;SUM(D1121:F1121),"ERRO: categorias diferem dos respondentes",IF(COUNTIFS($A$5:$A$1200,A1121,$B$5:$B$1200,B1121)&gt;1,"ERRO: período e curso duplicados","OK"))))</f>
        <v/>
      </c>
    </row>
    <row r="1122" ht="15" customHeight="1" s="131">
      <c r="A1122" s="220" t="n"/>
      <c r="B1122" s="222" t="n"/>
      <c r="C1122" s="220" t="n"/>
      <c r="D1122" s="220" t="n"/>
      <c r="E1122" s="220" t="n"/>
      <c r="F1122" s="220" t="n"/>
      <c r="G1122" s="169">
        <f>IFERROR((D1122-F1122)/C1122*100,"")</f>
        <v/>
      </c>
      <c r="H1122" s="219" t="n"/>
      <c r="I1122" s="220" t="n"/>
      <c r="J1122" s="221">
        <f>IF(COUNTA(A1122:F1122)=0,"",IF(OR(C1122&lt;0,D1122&lt;0,E1122&lt;0,F1122&lt;0),"ERRO: valor negativo",IF(C1122&lt;&gt;SUM(D1122:F1122),"ERRO: categorias diferem dos respondentes",IF(COUNTIFS($A$5:$A$1200,A1122,$B$5:$B$1200,B1122)&gt;1,"ERRO: período e curso duplicados","OK"))))</f>
        <v/>
      </c>
    </row>
    <row r="1123" ht="15" customHeight="1" s="131">
      <c r="A1123" s="220" t="n"/>
      <c r="B1123" s="222" t="n"/>
      <c r="C1123" s="220" t="n"/>
      <c r="D1123" s="220" t="n"/>
      <c r="E1123" s="220" t="n"/>
      <c r="F1123" s="220" t="n"/>
      <c r="G1123" s="169">
        <f>IFERROR((D1123-F1123)/C1123*100,"")</f>
        <v/>
      </c>
      <c r="H1123" s="219" t="n"/>
      <c r="I1123" s="220" t="n"/>
      <c r="J1123" s="221">
        <f>IF(COUNTA(A1123:F1123)=0,"",IF(OR(C1123&lt;0,D1123&lt;0,E1123&lt;0,F1123&lt;0),"ERRO: valor negativo",IF(C1123&lt;&gt;SUM(D1123:F1123),"ERRO: categorias diferem dos respondentes",IF(COUNTIFS($A$5:$A$1200,A1123,$B$5:$B$1200,B1123)&gt;1,"ERRO: período e curso duplicados","OK"))))</f>
        <v/>
      </c>
    </row>
    <row r="1124" ht="15" customHeight="1" s="131">
      <c r="A1124" s="220" t="n"/>
      <c r="B1124" s="222" t="n"/>
      <c r="C1124" s="220" t="n"/>
      <c r="D1124" s="220" t="n"/>
      <c r="E1124" s="220" t="n"/>
      <c r="F1124" s="220" t="n"/>
      <c r="G1124" s="169">
        <f>IFERROR((D1124-F1124)/C1124*100,"")</f>
        <v/>
      </c>
      <c r="H1124" s="219" t="n"/>
      <c r="I1124" s="220" t="n"/>
      <c r="J1124" s="221">
        <f>IF(COUNTA(A1124:F1124)=0,"",IF(OR(C1124&lt;0,D1124&lt;0,E1124&lt;0,F1124&lt;0),"ERRO: valor negativo",IF(C1124&lt;&gt;SUM(D1124:F1124),"ERRO: categorias diferem dos respondentes",IF(COUNTIFS($A$5:$A$1200,A1124,$B$5:$B$1200,B1124)&gt;1,"ERRO: período e curso duplicados","OK"))))</f>
        <v/>
      </c>
    </row>
    <row r="1125" ht="15" customHeight="1" s="131">
      <c r="A1125" s="220" t="n"/>
      <c r="B1125" s="222" t="n"/>
      <c r="C1125" s="220" t="n"/>
      <c r="D1125" s="220" t="n"/>
      <c r="E1125" s="220" t="n"/>
      <c r="F1125" s="220" t="n"/>
      <c r="G1125" s="169">
        <f>IFERROR((D1125-F1125)/C1125*100,"")</f>
        <v/>
      </c>
      <c r="H1125" s="219" t="n"/>
      <c r="I1125" s="220" t="n"/>
      <c r="J1125" s="221">
        <f>IF(COUNTA(A1125:F1125)=0,"",IF(OR(C1125&lt;0,D1125&lt;0,E1125&lt;0,F1125&lt;0),"ERRO: valor negativo",IF(C1125&lt;&gt;SUM(D1125:F1125),"ERRO: categorias diferem dos respondentes",IF(COUNTIFS($A$5:$A$1200,A1125,$B$5:$B$1200,B1125)&gt;1,"ERRO: período e curso duplicados","OK"))))</f>
        <v/>
      </c>
    </row>
    <row r="1126" ht="15" customHeight="1" s="131">
      <c r="A1126" s="220" t="n"/>
      <c r="B1126" s="222" t="n"/>
      <c r="C1126" s="220" t="n"/>
      <c r="D1126" s="220" t="n"/>
      <c r="E1126" s="220" t="n"/>
      <c r="F1126" s="220" t="n"/>
      <c r="G1126" s="169">
        <f>IFERROR((D1126-F1126)/C1126*100,"")</f>
        <v/>
      </c>
      <c r="H1126" s="219" t="n"/>
      <c r="I1126" s="220" t="n"/>
      <c r="J1126" s="221">
        <f>IF(COUNTA(A1126:F1126)=0,"",IF(OR(C1126&lt;0,D1126&lt;0,E1126&lt;0,F1126&lt;0),"ERRO: valor negativo",IF(C1126&lt;&gt;SUM(D1126:F1126),"ERRO: categorias diferem dos respondentes",IF(COUNTIFS($A$5:$A$1200,A1126,$B$5:$B$1200,B1126)&gt;1,"ERRO: período e curso duplicados","OK"))))</f>
        <v/>
      </c>
    </row>
    <row r="1127" ht="15" customHeight="1" s="131">
      <c r="A1127" s="220" t="n"/>
      <c r="B1127" s="222" t="n"/>
      <c r="C1127" s="220" t="n"/>
      <c r="D1127" s="220" t="n"/>
      <c r="E1127" s="220" t="n"/>
      <c r="F1127" s="220" t="n"/>
      <c r="G1127" s="169">
        <f>IFERROR((D1127-F1127)/C1127*100,"")</f>
        <v/>
      </c>
      <c r="H1127" s="219" t="n"/>
      <c r="I1127" s="220" t="n"/>
      <c r="J1127" s="221">
        <f>IF(COUNTA(A1127:F1127)=0,"",IF(OR(C1127&lt;0,D1127&lt;0,E1127&lt;0,F1127&lt;0),"ERRO: valor negativo",IF(C1127&lt;&gt;SUM(D1127:F1127),"ERRO: categorias diferem dos respondentes",IF(COUNTIFS($A$5:$A$1200,A1127,$B$5:$B$1200,B1127)&gt;1,"ERRO: período e curso duplicados","OK"))))</f>
        <v/>
      </c>
    </row>
    <row r="1128" ht="15" customHeight="1" s="131">
      <c r="A1128" s="220" t="n"/>
      <c r="B1128" s="222" t="n"/>
      <c r="C1128" s="220" t="n"/>
      <c r="D1128" s="220" t="n"/>
      <c r="E1128" s="220" t="n"/>
      <c r="F1128" s="220" t="n"/>
      <c r="G1128" s="169">
        <f>IFERROR((D1128-F1128)/C1128*100,"")</f>
        <v/>
      </c>
      <c r="H1128" s="219" t="n"/>
      <c r="I1128" s="220" t="n"/>
      <c r="J1128" s="221">
        <f>IF(COUNTA(A1128:F1128)=0,"",IF(OR(C1128&lt;0,D1128&lt;0,E1128&lt;0,F1128&lt;0),"ERRO: valor negativo",IF(C1128&lt;&gt;SUM(D1128:F1128),"ERRO: categorias diferem dos respondentes",IF(COUNTIFS($A$5:$A$1200,A1128,$B$5:$B$1200,B1128)&gt;1,"ERRO: período e curso duplicados","OK"))))</f>
        <v/>
      </c>
    </row>
    <row r="1129" ht="15" customHeight="1" s="131">
      <c r="A1129" s="220" t="n"/>
      <c r="B1129" s="222" t="n"/>
      <c r="C1129" s="220" t="n"/>
      <c r="D1129" s="220" t="n"/>
      <c r="E1129" s="220" t="n"/>
      <c r="F1129" s="220" t="n"/>
      <c r="G1129" s="169">
        <f>IFERROR((D1129-F1129)/C1129*100,"")</f>
        <v/>
      </c>
      <c r="H1129" s="219" t="n"/>
      <c r="I1129" s="220" t="n"/>
      <c r="J1129" s="221">
        <f>IF(COUNTA(A1129:F1129)=0,"",IF(OR(C1129&lt;0,D1129&lt;0,E1129&lt;0,F1129&lt;0),"ERRO: valor negativo",IF(C1129&lt;&gt;SUM(D1129:F1129),"ERRO: categorias diferem dos respondentes",IF(COUNTIFS($A$5:$A$1200,A1129,$B$5:$B$1200,B1129)&gt;1,"ERRO: período e curso duplicados","OK"))))</f>
        <v/>
      </c>
    </row>
    <row r="1130" ht="15" customHeight="1" s="131">
      <c r="A1130" s="220" t="n"/>
      <c r="B1130" s="222" t="n"/>
      <c r="C1130" s="220" t="n"/>
      <c r="D1130" s="220" t="n"/>
      <c r="E1130" s="220" t="n"/>
      <c r="F1130" s="220" t="n"/>
      <c r="G1130" s="169">
        <f>IFERROR((D1130-F1130)/C1130*100,"")</f>
        <v/>
      </c>
      <c r="H1130" s="219" t="n"/>
      <c r="I1130" s="220" t="n"/>
      <c r="J1130" s="221">
        <f>IF(COUNTA(A1130:F1130)=0,"",IF(OR(C1130&lt;0,D1130&lt;0,E1130&lt;0,F1130&lt;0),"ERRO: valor negativo",IF(C1130&lt;&gt;SUM(D1130:F1130),"ERRO: categorias diferem dos respondentes",IF(COUNTIFS($A$5:$A$1200,A1130,$B$5:$B$1200,B1130)&gt;1,"ERRO: período e curso duplicados","OK"))))</f>
        <v/>
      </c>
    </row>
    <row r="1131" ht="15" customHeight="1" s="131">
      <c r="A1131" s="220" t="n"/>
      <c r="B1131" s="222" t="n"/>
      <c r="C1131" s="220" t="n"/>
      <c r="D1131" s="220" t="n"/>
      <c r="E1131" s="220" t="n"/>
      <c r="F1131" s="220" t="n"/>
      <c r="G1131" s="169">
        <f>IFERROR((D1131-F1131)/C1131*100,"")</f>
        <v/>
      </c>
      <c r="H1131" s="219" t="n"/>
      <c r="I1131" s="220" t="n"/>
      <c r="J1131" s="221">
        <f>IF(COUNTA(A1131:F1131)=0,"",IF(OR(C1131&lt;0,D1131&lt;0,E1131&lt;0,F1131&lt;0),"ERRO: valor negativo",IF(C1131&lt;&gt;SUM(D1131:F1131),"ERRO: categorias diferem dos respondentes",IF(COUNTIFS($A$5:$A$1200,A1131,$B$5:$B$1200,B1131)&gt;1,"ERRO: período e curso duplicados","OK"))))</f>
        <v/>
      </c>
    </row>
    <row r="1132" ht="15" customHeight="1" s="131">
      <c r="A1132" s="220" t="n"/>
      <c r="B1132" s="222" t="n"/>
      <c r="C1132" s="220" t="n"/>
      <c r="D1132" s="220" t="n"/>
      <c r="E1132" s="220" t="n"/>
      <c r="F1132" s="220" t="n"/>
      <c r="G1132" s="169">
        <f>IFERROR((D1132-F1132)/C1132*100,"")</f>
        <v/>
      </c>
      <c r="H1132" s="219" t="n"/>
      <c r="I1132" s="220" t="n"/>
      <c r="J1132" s="221">
        <f>IF(COUNTA(A1132:F1132)=0,"",IF(OR(C1132&lt;0,D1132&lt;0,E1132&lt;0,F1132&lt;0),"ERRO: valor negativo",IF(C1132&lt;&gt;SUM(D1132:F1132),"ERRO: categorias diferem dos respondentes",IF(COUNTIFS($A$5:$A$1200,A1132,$B$5:$B$1200,B1132)&gt;1,"ERRO: período e curso duplicados","OK"))))</f>
        <v/>
      </c>
    </row>
    <row r="1133" ht="15" customHeight="1" s="131">
      <c r="A1133" s="220" t="n"/>
      <c r="B1133" s="222" t="n"/>
      <c r="C1133" s="220" t="n"/>
      <c r="D1133" s="220" t="n"/>
      <c r="E1133" s="220" t="n"/>
      <c r="F1133" s="220" t="n"/>
      <c r="G1133" s="169">
        <f>IFERROR((D1133-F1133)/C1133*100,"")</f>
        <v/>
      </c>
      <c r="H1133" s="219" t="n"/>
      <c r="I1133" s="220" t="n"/>
      <c r="J1133" s="221">
        <f>IF(COUNTA(A1133:F1133)=0,"",IF(OR(C1133&lt;0,D1133&lt;0,E1133&lt;0,F1133&lt;0),"ERRO: valor negativo",IF(C1133&lt;&gt;SUM(D1133:F1133),"ERRO: categorias diferem dos respondentes",IF(COUNTIFS($A$5:$A$1200,A1133,$B$5:$B$1200,B1133)&gt;1,"ERRO: período e curso duplicados","OK"))))</f>
        <v/>
      </c>
    </row>
    <row r="1134" ht="15" customHeight="1" s="131">
      <c r="A1134" s="220" t="n"/>
      <c r="B1134" s="222" t="n"/>
      <c r="C1134" s="220" t="n"/>
      <c r="D1134" s="220" t="n"/>
      <c r="E1134" s="220" t="n"/>
      <c r="F1134" s="220" t="n"/>
      <c r="G1134" s="169">
        <f>IFERROR((D1134-F1134)/C1134*100,"")</f>
        <v/>
      </c>
      <c r="H1134" s="219" t="n"/>
      <c r="I1134" s="220" t="n"/>
      <c r="J1134" s="221">
        <f>IF(COUNTA(A1134:F1134)=0,"",IF(OR(C1134&lt;0,D1134&lt;0,E1134&lt;0,F1134&lt;0),"ERRO: valor negativo",IF(C1134&lt;&gt;SUM(D1134:F1134),"ERRO: categorias diferem dos respondentes",IF(COUNTIFS($A$5:$A$1200,A1134,$B$5:$B$1200,B1134)&gt;1,"ERRO: período e curso duplicados","OK"))))</f>
        <v/>
      </c>
    </row>
    <row r="1135" ht="15" customHeight="1" s="131">
      <c r="A1135" s="220" t="n"/>
      <c r="B1135" s="222" t="n"/>
      <c r="C1135" s="220" t="n"/>
      <c r="D1135" s="220" t="n"/>
      <c r="E1135" s="220" t="n"/>
      <c r="F1135" s="220" t="n"/>
      <c r="G1135" s="169">
        <f>IFERROR((D1135-F1135)/C1135*100,"")</f>
        <v/>
      </c>
      <c r="H1135" s="219" t="n"/>
      <c r="I1135" s="220" t="n"/>
      <c r="J1135" s="221">
        <f>IF(COUNTA(A1135:F1135)=0,"",IF(OR(C1135&lt;0,D1135&lt;0,E1135&lt;0,F1135&lt;0),"ERRO: valor negativo",IF(C1135&lt;&gt;SUM(D1135:F1135),"ERRO: categorias diferem dos respondentes",IF(COUNTIFS($A$5:$A$1200,A1135,$B$5:$B$1200,B1135)&gt;1,"ERRO: período e curso duplicados","OK"))))</f>
        <v/>
      </c>
    </row>
    <row r="1136" ht="15" customHeight="1" s="131">
      <c r="A1136" s="220" t="n"/>
      <c r="B1136" s="222" t="n"/>
      <c r="C1136" s="220" t="n"/>
      <c r="D1136" s="220" t="n"/>
      <c r="E1136" s="220" t="n"/>
      <c r="F1136" s="220" t="n"/>
      <c r="G1136" s="169">
        <f>IFERROR((D1136-F1136)/C1136*100,"")</f>
        <v/>
      </c>
      <c r="H1136" s="219" t="n"/>
      <c r="I1136" s="220" t="n"/>
      <c r="J1136" s="221">
        <f>IF(COUNTA(A1136:F1136)=0,"",IF(OR(C1136&lt;0,D1136&lt;0,E1136&lt;0,F1136&lt;0),"ERRO: valor negativo",IF(C1136&lt;&gt;SUM(D1136:F1136),"ERRO: categorias diferem dos respondentes",IF(COUNTIFS($A$5:$A$1200,A1136,$B$5:$B$1200,B1136)&gt;1,"ERRO: período e curso duplicados","OK"))))</f>
        <v/>
      </c>
    </row>
    <row r="1137" ht="15" customHeight="1" s="131">
      <c r="A1137" s="220" t="n"/>
      <c r="B1137" s="222" t="n"/>
      <c r="C1137" s="220" t="n"/>
      <c r="D1137" s="220" t="n"/>
      <c r="E1137" s="220" t="n"/>
      <c r="F1137" s="220" t="n"/>
      <c r="G1137" s="169">
        <f>IFERROR((D1137-F1137)/C1137*100,"")</f>
        <v/>
      </c>
      <c r="H1137" s="219" t="n"/>
      <c r="I1137" s="220" t="n"/>
      <c r="J1137" s="221">
        <f>IF(COUNTA(A1137:F1137)=0,"",IF(OR(C1137&lt;0,D1137&lt;0,E1137&lt;0,F1137&lt;0),"ERRO: valor negativo",IF(C1137&lt;&gt;SUM(D1137:F1137),"ERRO: categorias diferem dos respondentes",IF(COUNTIFS($A$5:$A$1200,A1137,$B$5:$B$1200,B1137)&gt;1,"ERRO: período e curso duplicados","OK"))))</f>
        <v/>
      </c>
    </row>
    <row r="1138" ht="15" customHeight="1" s="131">
      <c r="A1138" s="220" t="n"/>
      <c r="B1138" s="222" t="n"/>
      <c r="C1138" s="220" t="n"/>
      <c r="D1138" s="220" t="n"/>
      <c r="E1138" s="220" t="n"/>
      <c r="F1138" s="220" t="n"/>
      <c r="G1138" s="169">
        <f>IFERROR((D1138-F1138)/C1138*100,"")</f>
        <v/>
      </c>
      <c r="H1138" s="219" t="n"/>
      <c r="I1138" s="220" t="n"/>
      <c r="J1138" s="221">
        <f>IF(COUNTA(A1138:F1138)=0,"",IF(OR(C1138&lt;0,D1138&lt;0,E1138&lt;0,F1138&lt;0),"ERRO: valor negativo",IF(C1138&lt;&gt;SUM(D1138:F1138),"ERRO: categorias diferem dos respondentes",IF(COUNTIFS($A$5:$A$1200,A1138,$B$5:$B$1200,B1138)&gt;1,"ERRO: período e curso duplicados","OK"))))</f>
        <v/>
      </c>
    </row>
    <row r="1139" ht="15" customHeight="1" s="131">
      <c r="A1139" s="220" t="n"/>
      <c r="B1139" s="222" t="n"/>
      <c r="C1139" s="220" t="n"/>
      <c r="D1139" s="220" t="n"/>
      <c r="E1139" s="220" t="n"/>
      <c r="F1139" s="220" t="n"/>
      <c r="G1139" s="169">
        <f>IFERROR((D1139-F1139)/C1139*100,"")</f>
        <v/>
      </c>
      <c r="H1139" s="219" t="n"/>
      <c r="I1139" s="220" t="n"/>
      <c r="J1139" s="221">
        <f>IF(COUNTA(A1139:F1139)=0,"",IF(OR(C1139&lt;0,D1139&lt;0,E1139&lt;0,F1139&lt;0),"ERRO: valor negativo",IF(C1139&lt;&gt;SUM(D1139:F1139),"ERRO: categorias diferem dos respondentes",IF(COUNTIFS($A$5:$A$1200,A1139,$B$5:$B$1200,B1139)&gt;1,"ERRO: período e curso duplicados","OK"))))</f>
        <v/>
      </c>
    </row>
    <row r="1140" ht="15" customHeight="1" s="131">
      <c r="A1140" s="220" t="n"/>
      <c r="B1140" s="222" t="n"/>
      <c r="C1140" s="220" t="n"/>
      <c r="D1140" s="220" t="n"/>
      <c r="E1140" s="220" t="n"/>
      <c r="F1140" s="220" t="n"/>
      <c r="G1140" s="169">
        <f>IFERROR((D1140-F1140)/C1140*100,"")</f>
        <v/>
      </c>
      <c r="H1140" s="219" t="n"/>
      <c r="I1140" s="220" t="n"/>
      <c r="J1140" s="221">
        <f>IF(COUNTA(A1140:F1140)=0,"",IF(OR(C1140&lt;0,D1140&lt;0,E1140&lt;0,F1140&lt;0),"ERRO: valor negativo",IF(C1140&lt;&gt;SUM(D1140:F1140),"ERRO: categorias diferem dos respondentes",IF(COUNTIFS($A$5:$A$1200,A1140,$B$5:$B$1200,B1140)&gt;1,"ERRO: período e curso duplicados","OK"))))</f>
        <v/>
      </c>
    </row>
    <row r="1141" ht="15" customHeight="1" s="131">
      <c r="A1141" s="220" t="n"/>
      <c r="B1141" s="222" t="n"/>
      <c r="C1141" s="220" t="n"/>
      <c r="D1141" s="220" t="n"/>
      <c r="E1141" s="220" t="n"/>
      <c r="F1141" s="220" t="n"/>
      <c r="G1141" s="169">
        <f>IFERROR((D1141-F1141)/C1141*100,"")</f>
        <v/>
      </c>
      <c r="H1141" s="219" t="n"/>
      <c r="I1141" s="220" t="n"/>
      <c r="J1141" s="221">
        <f>IF(COUNTA(A1141:F1141)=0,"",IF(OR(C1141&lt;0,D1141&lt;0,E1141&lt;0,F1141&lt;0),"ERRO: valor negativo",IF(C1141&lt;&gt;SUM(D1141:F1141),"ERRO: categorias diferem dos respondentes",IF(COUNTIFS($A$5:$A$1200,A1141,$B$5:$B$1200,B1141)&gt;1,"ERRO: período e curso duplicados","OK"))))</f>
        <v/>
      </c>
    </row>
    <row r="1142" ht="15" customHeight="1" s="131">
      <c r="A1142" s="220" t="n"/>
      <c r="B1142" s="222" t="n"/>
      <c r="C1142" s="220" t="n"/>
      <c r="D1142" s="220" t="n"/>
      <c r="E1142" s="220" t="n"/>
      <c r="F1142" s="220" t="n"/>
      <c r="G1142" s="169">
        <f>IFERROR((D1142-F1142)/C1142*100,"")</f>
        <v/>
      </c>
      <c r="H1142" s="219" t="n"/>
      <c r="I1142" s="220" t="n"/>
      <c r="J1142" s="221">
        <f>IF(COUNTA(A1142:F1142)=0,"",IF(OR(C1142&lt;0,D1142&lt;0,E1142&lt;0,F1142&lt;0),"ERRO: valor negativo",IF(C1142&lt;&gt;SUM(D1142:F1142),"ERRO: categorias diferem dos respondentes",IF(COUNTIFS($A$5:$A$1200,A1142,$B$5:$B$1200,B1142)&gt;1,"ERRO: período e curso duplicados","OK"))))</f>
        <v/>
      </c>
    </row>
    <row r="1143" ht="15" customHeight="1" s="131">
      <c r="A1143" s="220" t="n"/>
      <c r="B1143" s="222" t="n"/>
      <c r="C1143" s="220" t="n"/>
      <c r="D1143" s="220" t="n"/>
      <c r="E1143" s="220" t="n"/>
      <c r="F1143" s="220" t="n"/>
      <c r="G1143" s="169">
        <f>IFERROR((D1143-F1143)/C1143*100,"")</f>
        <v/>
      </c>
      <c r="H1143" s="219" t="n"/>
      <c r="I1143" s="220" t="n"/>
      <c r="J1143" s="221">
        <f>IF(COUNTA(A1143:F1143)=0,"",IF(OR(C1143&lt;0,D1143&lt;0,E1143&lt;0,F1143&lt;0),"ERRO: valor negativo",IF(C1143&lt;&gt;SUM(D1143:F1143),"ERRO: categorias diferem dos respondentes",IF(COUNTIFS($A$5:$A$1200,A1143,$B$5:$B$1200,B1143)&gt;1,"ERRO: período e curso duplicados","OK"))))</f>
        <v/>
      </c>
    </row>
    <row r="1144" ht="15" customHeight="1" s="131">
      <c r="A1144" s="220" t="n"/>
      <c r="B1144" s="222" t="n"/>
      <c r="C1144" s="220" t="n"/>
      <c r="D1144" s="220" t="n"/>
      <c r="E1144" s="220" t="n"/>
      <c r="F1144" s="220" t="n"/>
      <c r="G1144" s="169">
        <f>IFERROR((D1144-F1144)/C1144*100,"")</f>
        <v/>
      </c>
      <c r="H1144" s="219" t="n"/>
      <c r="I1144" s="220" t="n"/>
      <c r="J1144" s="221">
        <f>IF(COUNTA(A1144:F1144)=0,"",IF(OR(C1144&lt;0,D1144&lt;0,E1144&lt;0,F1144&lt;0),"ERRO: valor negativo",IF(C1144&lt;&gt;SUM(D1144:F1144),"ERRO: categorias diferem dos respondentes",IF(COUNTIFS($A$5:$A$1200,A1144,$B$5:$B$1200,B1144)&gt;1,"ERRO: período e curso duplicados","OK"))))</f>
        <v/>
      </c>
    </row>
    <row r="1145" ht="15" customHeight="1" s="131">
      <c r="A1145" s="220" t="n"/>
      <c r="B1145" s="222" t="n"/>
      <c r="C1145" s="220" t="n"/>
      <c r="D1145" s="220" t="n"/>
      <c r="E1145" s="220" t="n"/>
      <c r="F1145" s="220" t="n"/>
      <c r="G1145" s="169">
        <f>IFERROR((D1145-F1145)/C1145*100,"")</f>
        <v/>
      </c>
      <c r="H1145" s="219" t="n"/>
      <c r="I1145" s="220" t="n"/>
      <c r="J1145" s="221">
        <f>IF(COUNTA(A1145:F1145)=0,"",IF(OR(C1145&lt;0,D1145&lt;0,E1145&lt;0,F1145&lt;0),"ERRO: valor negativo",IF(C1145&lt;&gt;SUM(D1145:F1145),"ERRO: categorias diferem dos respondentes",IF(COUNTIFS($A$5:$A$1200,A1145,$B$5:$B$1200,B1145)&gt;1,"ERRO: período e curso duplicados","OK"))))</f>
        <v/>
      </c>
    </row>
    <row r="1146" ht="15" customHeight="1" s="131">
      <c r="A1146" s="220" t="n"/>
      <c r="B1146" s="222" t="n"/>
      <c r="C1146" s="220" t="n"/>
      <c r="D1146" s="220" t="n"/>
      <c r="E1146" s="220" t="n"/>
      <c r="F1146" s="220" t="n"/>
      <c r="G1146" s="169">
        <f>IFERROR((D1146-F1146)/C1146*100,"")</f>
        <v/>
      </c>
      <c r="H1146" s="219" t="n"/>
      <c r="I1146" s="220" t="n"/>
      <c r="J1146" s="221">
        <f>IF(COUNTA(A1146:F1146)=0,"",IF(OR(C1146&lt;0,D1146&lt;0,E1146&lt;0,F1146&lt;0),"ERRO: valor negativo",IF(C1146&lt;&gt;SUM(D1146:F1146),"ERRO: categorias diferem dos respondentes",IF(COUNTIFS($A$5:$A$1200,A1146,$B$5:$B$1200,B1146)&gt;1,"ERRO: período e curso duplicados","OK"))))</f>
        <v/>
      </c>
    </row>
    <row r="1147" ht="15" customHeight="1" s="131">
      <c r="A1147" s="220" t="n"/>
      <c r="B1147" s="222" t="n"/>
      <c r="C1147" s="220" t="n"/>
      <c r="D1147" s="220" t="n"/>
      <c r="E1147" s="220" t="n"/>
      <c r="F1147" s="220" t="n"/>
      <c r="G1147" s="169">
        <f>IFERROR((D1147-F1147)/C1147*100,"")</f>
        <v/>
      </c>
      <c r="H1147" s="219" t="n"/>
      <c r="I1147" s="220" t="n"/>
      <c r="J1147" s="221">
        <f>IF(COUNTA(A1147:F1147)=0,"",IF(OR(C1147&lt;0,D1147&lt;0,E1147&lt;0,F1147&lt;0),"ERRO: valor negativo",IF(C1147&lt;&gt;SUM(D1147:F1147),"ERRO: categorias diferem dos respondentes",IF(COUNTIFS($A$5:$A$1200,A1147,$B$5:$B$1200,B1147)&gt;1,"ERRO: período e curso duplicados","OK"))))</f>
        <v/>
      </c>
    </row>
    <row r="1148" ht="15" customHeight="1" s="131">
      <c r="A1148" s="220" t="n"/>
      <c r="B1148" s="222" t="n"/>
      <c r="C1148" s="220" t="n"/>
      <c r="D1148" s="220" t="n"/>
      <c r="E1148" s="220" t="n"/>
      <c r="F1148" s="220" t="n"/>
      <c r="G1148" s="169">
        <f>IFERROR((D1148-F1148)/C1148*100,"")</f>
        <v/>
      </c>
      <c r="H1148" s="219" t="n"/>
      <c r="I1148" s="220" t="n"/>
      <c r="J1148" s="221">
        <f>IF(COUNTA(A1148:F1148)=0,"",IF(OR(C1148&lt;0,D1148&lt;0,E1148&lt;0,F1148&lt;0),"ERRO: valor negativo",IF(C1148&lt;&gt;SUM(D1148:F1148),"ERRO: categorias diferem dos respondentes",IF(COUNTIFS($A$5:$A$1200,A1148,$B$5:$B$1200,B1148)&gt;1,"ERRO: período e curso duplicados","OK"))))</f>
        <v/>
      </c>
    </row>
    <row r="1149" ht="15" customHeight="1" s="131">
      <c r="A1149" s="220" t="n"/>
      <c r="B1149" s="222" t="n"/>
      <c r="C1149" s="220" t="n"/>
      <c r="D1149" s="220" t="n"/>
      <c r="E1149" s="220" t="n"/>
      <c r="F1149" s="220" t="n"/>
      <c r="G1149" s="169">
        <f>IFERROR((D1149-F1149)/C1149*100,"")</f>
        <v/>
      </c>
      <c r="H1149" s="219" t="n"/>
      <c r="I1149" s="220" t="n"/>
      <c r="J1149" s="221">
        <f>IF(COUNTA(A1149:F1149)=0,"",IF(OR(C1149&lt;0,D1149&lt;0,E1149&lt;0,F1149&lt;0),"ERRO: valor negativo",IF(C1149&lt;&gt;SUM(D1149:F1149),"ERRO: categorias diferem dos respondentes",IF(COUNTIFS($A$5:$A$1200,A1149,$B$5:$B$1200,B1149)&gt;1,"ERRO: período e curso duplicados","OK"))))</f>
        <v/>
      </c>
    </row>
    <row r="1150" ht="15" customHeight="1" s="131">
      <c r="A1150" s="220" t="n"/>
      <c r="B1150" s="222" t="n"/>
      <c r="C1150" s="220" t="n"/>
      <c r="D1150" s="220" t="n"/>
      <c r="E1150" s="220" t="n"/>
      <c r="F1150" s="220" t="n"/>
      <c r="G1150" s="169">
        <f>IFERROR((D1150-F1150)/C1150*100,"")</f>
        <v/>
      </c>
      <c r="H1150" s="219" t="n"/>
      <c r="I1150" s="220" t="n"/>
      <c r="J1150" s="221">
        <f>IF(COUNTA(A1150:F1150)=0,"",IF(OR(C1150&lt;0,D1150&lt;0,E1150&lt;0,F1150&lt;0),"ERRO: valor negativo",IF(C1150&lt;&gt;SUM(D1150:F1150),"ERRO: categorias diferem dos respondentes",IF(COUNTIFS($A$5:$A$1200,A1150,$B$5:$B$1200,B1150)&gt;1,"ERRO: período e curso duplicados","OK"))))</f>
        <v/>
      </c>
    </row>
    <row r="1151" ht="15" customHeight="1" s="131">
      <c r="A1151" s="220" t="n"/>
      <c r="B1151" s="222" t="n"/>
      <c r="C1151" s="220" t="n"/>
      <c r="D1151" s="220" t="n"/>
      <c r="E1151" s="220" t="n"/>
      <c r="F1151" s="220" t="n"/>
      <c r="G1151" s="169">
        <f>IFERROR((D1151-F1151)/C1151*100,"")</f>
        <v/>
      </c>
      <c r="H1151" s="219" t="n"/>
      <c r="I1151" s="220" t="n"/>
      <c r="J1151" s="221">
        <f>IF(COUNTA(A1151:F1151)=0,"",IF(OR(C1151&lt;0,D1151&lt;0,E1151&lt;0,F1151&lt;0),"ERRO: valor negativo",IF(C1151&lt;&gt;SUM(D1151:F1151),"ERRO: categorias diferem dos respondentes",IF(COUNTIFS($A$5:$A$1200,A1151,$B$5:$B$1200,B1151)&gt;1,"ERRO: período e curso duplicados","OK"))))</f>
        <v/>
      </c>
    </row>
    <row r="1152" ht="15" customHeight="1" s="131">
      <c r="A1152" s="220" t="n"/>
      <c r="B1152" s="222" t="n"/>
      <c r="C1152" s="220" t="n"/>
      <c r="D1152" s="220" t="n"/>
      <c r="E1152" s="220" t="n"/>
      <c r="F1152" s="220" t="n"/>
      <c r="G1152" s="169">
        <f>IFERROR((D1152-F1152)/C1152*100,"")</f>
        <v/>
      </c>
      <c r="H1152" s="219" t="n"/>
      <c r="I1152" s="220" t="n"/>
      <c r="J1152" s="221">
        <f>IF(COUNTA(A1152:F1152)=0,"",IF(OR(C1152&lt;0,D1152&lt;0,E1152&lt;0,F1152&lt;0),"ERRO: valor negativo",IF(C1152&lt;&gt;SUM(D1152:F1152),"ERRO: categorias diferem dos respondentes",IF(COUNTIFS($A$5:$A$1200,A1152,$B$5:$B$1200,B1152)&gt;1,"ERRO: período e curso duplicados","OK"))))</f>
        <v/>
      </c>
    </row>
    <row r="1153" ht="15" customHeight="1" s="131">
      <c r="A1153" s="220" t="n"/>
      <c r="B1153" s="222" t="n"/>
      <c r="C1153" s="220" t="n"/>
      <c r="D1153" s="220" t="n"/>
      <c r="E1153" s="220" t="n"/>
      <c r="F1153" s="220" t="n"/>
      <c r="G1153" s="169">
        <f>IFERROR((D1153-F1153)/C1153*100,"")</f>
        <v/>
      </c>
      <c r="H1153" s="219" t="n"/>
      <c r="I1153" s="220" t="n"/>
      <c r="J1153" s="221">
        <f>IF(COUNTA(A1153:F1153)=0,"",IF(OR(C1153&lt;0,D1153&lt;0,E1153&lt;0,F1153&lt;0),"ERRO: valor negativo",IF(C1153&lt;&gt;SUM(D1153:F1153),"ERRO: categorias diferem dos respondentes",IF(COUNTIFS($A$5:$A$1200,A1153,$B$5:$B$1200,B1153)&gt;1,"ERRO: período e curso duplicados","OK"))))</f>
        <v/>
      </c>
    </row>
    <row r="1154" ht="15" customHeight="1" s="131">
      <c r="A1154" s="220" t="n"/>
      <c r="B1154" s="222" t="n"/>
      <c r="C1154" s="220" t="n"/>
      <c r="D1154" s="220" t="n"/>
      <c r="E1154" s="220" t="n"/>
      <c r="F1154" s="220" t="n"/>
      <c r="G1154" s="169">
        <f>IFERROR((D1154-F1154)/C1154*100,"")</f>
        <v/>
      </c>
      <c r="H1154" s="219" t="n"/>
      <c r="I1154" s="220" t="n"/>
      <c r="J1154" s="221">
        <f>IF(COUNTA(A1154:F1154)=0,"",IF(OR(C1154&lt;0,D1154&lt;0,E1154&lt;0,F1154&lt;0),"ERRO: valor negativo",IF(C1154&lt;&gt;SUM(D1154:F1154),"ERRO: categorias diferem dos respondentes",IF(COUNTIFS($A$5:$A$1200,A1154,$B$5:$B$1200,B1154)&gt;1,"ERRO: período e curso duplicados","OK"))))</f>
        <v/>
      </c>
    </row>
    <row r="1155" ht="15" customHeight="1" s="131">
      <c r="A1155" s="220" t="n"/>
      <c r="B1155" s="222" t="n"/>
      <c r="C1155" s="220" t="n"/>
      <c r="D1155" s="220" t="n"/>
      <c r="E1155" s="220" t="n"/>
      <c r="F1155" s="220" t="n"/>
      <c r="G1155" s="169">
        <f>IFERROR((D1155-F1155)/C1155*100,"")</f>
        <v/>
      </c>
      <c r="H1155" s="219" t="n"/>
      <c r="I1155" s="220" t="n"/>
      <c r="J1155" s="221">
        <f>IF(COUNTA(A1155:F1155)=0,"",IF(OR(C1155&lt;0,D1155&lt;0,E1155&lt;0,F1155&lt;0),"ERRO: valor negativo",IF(C1155&lt;&gt;SUM(D1155:F1155),"ERRO: categorias diferem dos respondentes",IF(COUNTIFS($A$5:$A$1200,A1155,$B$5:$B$1200,B1155)&gt;1,"ERRO: período e curso duplicados","OK"))))</f>
        <v/>
      </c>
    </row>
    <row r="1156" ht="15" customHeight="1" s="131">
      <c r="A1156" s="220" t="n"/>
      <c r="B1156" s="222" t="n"/>
      <c r="C1156" s="220" t="n"/>
      <c r="D1156" s="220" t="n"/>
      <c r="E1156" s="220" t="n"/>
      <c r="F1156" s="220" t="n"/>
      <c r="G1156" s="169">
        <f>IFERROR((D1156-F1156)/C1156*100,"")</f>
        <v/>
      </c>
      <c r="H1156" s="219" t="n"/>
      <c r="I1156" s="220" t="n"/>
      <c r="J1156" s="221">
        <f>IF(COUNTA(A1156:F1156)=0,"",IF(OR(C1156&lt;0,D1156&lt;0,E1156&lt;0,F1156&lt;0),"ERRO: valor negativo",IF(C1156&lt;&gt;SUM(D1156:F1156),"ERRO: categorias diferem dos respondentes",IF(COUNTIFS($A$5:$A$1200,A1156,$B$5:$B$1200,B1156)&gt;1,"ERRO: período e curso duplicados","OK"))))</f>
        <v/>
      </c>
    </row>
    <row r="1157" ht="15" customHeight="1" s="131">
      <c r="A1157" s="220" t="n"/>
      <c r="B1157" s="222" t="n"/>
      <c r="C1157" s="220" t="n"/>
      <c r="D1157" s="220" t="n"/>
      <c r="E1157" s="220" t="n"/>
      <c r="F1157" s="220" t="n"/>
      <c r="G1157" s="169">
        <f>IFERROR((D1157-F1157)/C1157*100,"")</f>
        <v/>
      </c>
      <c r="H1157" s="219" t="n"/>
      <c r="I1157" s="220" t="n"/>
      <c r="J1157" s="221">
        <f>IF(COUNTA(A1157:F1157)=0,"",IF(OR(C1157&lt;0,D1157&lt;0,E1157&lt;0,F1157&lt;0),"ERRO: valor negativo",IF(C1157&lt;&gt;SUM(D1157:F1157),"ERRO: categorias diferem dos respondentes",IF(COUNTIFS($A$5:$A$1200,A1157,$B$5:$B$1200,B1157)&gt;1,"ERRO: período e curso duplicados","OK"))))</f>
        <v/>
      </c>
    </row>
    <row r="1158" ht="15" customHeight="1" s="131">
      <c r="A1158" s="220" t="n"/>
      <c r="B1158" s="222" t="n"/>
      <c r="C1158" s="220" t="n"/>
      <c r="D1158" s="220" t="n"/>
      <c r="E1158" s="220" t="n"/>
      <c r="F1158" s="220" t="n"/>
      <c r="G1158" s="169">
        <f>IFERROR((D1158-F1158)/C1158*100,"")</f>
        <v/>
      </c>
      <c r="H1158" s="219" t="n"/>
      <c r="I1158" s="220" t="n"/>
      <c r="J1158" s="221">
        <f>IF(COUNTA(A1158:F1158)=0,"",IF(OR(C1158&lt;0,D1158&lt;0,E1158&lt;0,F1158&lt;0),"ERRO: valor negativo",IF(C1158&lt;&gt;SUM(D1158:F1158),"ERRO: categorias diferem dos respondentes",IF(COUNTIFS($A$5:$A$1200,A1158,$B$5:$B$1200,B1158)&gt;1,"ERRO: período e curso duplicados","OK"))))</f>
        <v/>
      </c>
    </row>
    <row r="1159" ht="15" customHeight="1" s="131">
      <c r="A1159" s="220" t="n"/>
      <c r="B1159" s="222" t="n"/>
      <c r="C1159" s="220" t="n"/>
      <c r="D1159" s="220" t="n"/>
      <c r="E1159" s="220" t="n"/>
      <c r="F1159" s="220" t="n"/>
      <c r="G1159" s="169">
        <f>IFERROR((D1159-F1159)/C1159*100,"")</f>
        <v/>
      </c>
      <c r="H1159" s="219" t="n"/>
      <c r="I1159" s="220" t="n"/>
      <c r="J1159" s="221">
        <f>IF(COUNTA(A1159:F1159)=0,"",IF(OR(C1159&lt;0,D1159&lt;0,E1159&lt;0,F1159&lt;0),"ERRO: valor negativo",IF(C1159&lt;&gt;SUM(D1159:F1159),"ERRO: categorias diferem dos respondentes",IF(COUNTIFS($A$5:$A$1200,A1159,$B$5:$B$1200,B1159)&gt;1,"ERRO: período e curso duplicados","OK"))))</f>
        <v/>
      </c>
    </row>
    <row r="1160" ht="15" customHeight="1" s="131">
      <c r="A1160" s="220" t="n"/>
      <c r="B1160" s="222" t="n"/>
      <c r="C1160" s="220" t="n"/>
      <c r="D1160" s="220" t="n"/>
      <c r="E1160" s="220" t="n"/>
      <c r="F1160" s="220" t="n"/>
      <c r="G1160" s="169">
        <f>IFERROR((D1160-F1160)/C1160*100,"")</f>
        <v/>
      </c>
      <c r="H1160" s="219" t="n"/>
      <c r="I1160" s="220" t="n"/>
      <c r="J1160" s="221">
        <f>IF(COUNTA(A1160:F1160)=0,"",IF(OR(C1160&lt;0,D1160&lt;0,E1160&lt;0,F1160&lt;0),"ERRO: valor negativo",IF(C1160&lt;&gt;SUM(D1160:F1160),"ERRO: categorias diferem dos respondentes",IF(COUNTIFS($A$5:$A$1200,A1160,$B$5:$B$1200,B1160)&gt;1,"ERRO: período e curso duplicados","OK"))))</f>
        <v/>
      </c>
    </row>
    <row r="1161" ht="15" customHeight="1" s="131">
      <c r="A1161" s="220" t="n"/>
      <c r="B1161" s="222" t="n"/>
      <c r="C1161" s="220" t="n"/>
      <c r="D1161" s="220" t="n"/>
      <c r="E1161" s="220" t="n"/>
      <c r="F1161" s="220" t="n"/>
      <c r="G1161" s="169">
        <f>IFERROR((D1161-F1161)/C1161*100,"")</f>
        <v/>
      </c>
      <c r="H1161" s="219" t="n"/>
      <c r="I1161" s="220" t="n"/>
      <c r="J1161" s="221">
        <f>IF(COUNTA(A1161:F1161)=0,"",IF(OR(C1161&lt;0,D1161&lt;0,E1161&lt;0,F1161&lt;0),"ERRO: valor negativo",IF(C1161&lt;&gt;SUM(D1161:F1161),"ERRO: categorias diferem dos respondentes",IF(COUNTIFS($A$5:$A$1200,A1161,$B$5:$B$1200,B1161)&gt;1,"ERRO: período e curso duplicados","OK"))))</f>
        <v/>
      </c>
    </row>
    <row r="1162" ht="15" customHeight="1" s="131">
      <c r="A1162" s="220" t="n"/>
      <c r="B1162" s="222" t="n"/>
      <c r="C1162" s="220" t="n"/>
      <c r="D1162" s="220" t="n"/>
      <c r="E1162" s="220" t="n"/>
      <c r="F1162" s="220" t="n"/>
      <c r="G1162" s="169">
        <f>IFERROR((D1162-F1162)/C1162*100,"")</f>
        <v/>
      </c>
      <c r="H1162" s="219" t="n"/>
      <c r="I1162" s="220" t="n"/>
      <c r="J1162" s="221">
        <f>IF(COUNTA(A1162:F1162)=0,"",IF(OR(C1162&lt;0,D1162&lt;0,E1162&lt;0,F1162&lt;0),"ERRO: valor negativo",IF(C1162&lt;&gt;SUM(D1162:F1162),"ERRO: categorias diferem dos respondentes",IF(COUNTIFS($A$5:$A$1200,A1162,$B$5:$B$1200,B1162)&gt;1,"ERRO: período e curso duplicados","OK"))))</f>
        <v/>
      </c>
    </row>
    <row r="1163" ht="15" customHeight="1" s="131">
      <c r="A1163" s="220" t="n"/>
      <c r="B1163" s="222" t="n"/>
      <c r="C1163" s="220" t="n"/>
      <c r="D1163" s="220" t="n"/>
      <c r="E1163" s="220" t="n"/>
      <c r="F1163" s="220" t="n"/>
      <c r="G1163" s="169">
        <f>IFERROR((D1163-F1163)/C1163*100,"")</f>
        <v/>
      </c>
      <c r="H1163" s="219" t="n"/>
      <c r="I1163" s="220" t="n"/>
      <c r="J1163" s="221">
        <f>IF(COUNTA(A1163:F1163)=0,"",IF(OR(C1163&lt;0,D1163&lt;0,E1163&lt;0,F1163&lt;0),"ERRO: valor negativo",IF(C1163&lt;&gt;SUM(D1163:F1163),"ERRO: categorias diferem dos respondentes",IF(COUNTIFS($A$5:$A$1200,A1163,$B$5:$B$1200,B1163)&gt;1,"ERRO: período e curso duplicados","OK"))))</f>
        <v/>
      </c>
    </row>
    <row r="1164" ht="15" customHeight="1" s="131">
      <c r="A1164" s="220" t="n"/>
      <c r="B1164" s="222" t="n"/>
      <c r="C1164" s="220" t="n"/>
      <c r="D1164" s="220" t="n"/>
      <c r="E1164" s="220" t="n"/>
      <c r="F1164" s="220" t="n"/>
      <c r="G1164" s="169">
        <f>IFERROR((D1164-F1164)/C1164*100,"")</f>
        <v/>
      </c>
      <c r="H1164" s="219" t="n"/>
      <c r="I1164" s="220" t="n"/>
      <c r="J1164" s="221">
        <f>IF(COUNTA(A1164:F1164)=0,"",IF(OR(C1164&lt;0,D1164&lt;0,E1164&lt;0,F1164&lt;0),"ERRO: valor negativo",IF(C1164&lt;&gt;SUM(D1164:F1164),"ERRO: categorias diferem dos respondentes",IF(COUNTIFS($A$5:$A$1200,A1164,$B$5:$B$1200,B1164)&gt;1,"ERRO: período e curso duplicados","OK"))))</f>
        <v/>
      </c>
    </row>
    <row r="1165" ht="15" customHeight="1" s="131">
      <c r="A1165" s="220" t="n"/>
      <c r="B1165" s="222" t="n"/>
      <c r="C1165" s="220" t="n"/>
      <c r="D1165" s="220" t="n"/>
      <c r="E1165" s="220" t="n"/>
      <c r="F1165" s="220" t="n"/>
      <c r="G1165" s="169">
        <f>IFERROR((D1165-F1165)/C1165*100,"")</f>
        <v/>
      </c>
      <c r="H1165" s="219" t="n"/>
      <c r="I1165" s="220" t="n"/>
      <c r="J1165" s="221">
        <f>IF(COUNTA(A1165:F1165)=0,"",IF(OR(C1165&lt;0,D1165&lt;0,E1165&lt;0,F1165&lt;0),"ERRO: valor negativo",IF(C1165&lt;&gt;SUM(D1165:F1165),"ERRO: categorias diferem dos respondentes",IF(COUNTIFS($A$5:$A$1200,A1165,$B$5:$B$1200,B1165)&gt;1,"ERRO: período e curso duplicados","OK"))))</f>
        <v/>
      </c>
    </row>
    <row r="1166" ht="15" customHeight="1" s="131">
      <c r="A1166" s="220" t="n"/>
      <c r="B1166" s="222" t="n"/>
      <c r="C1166" s="220" t="n"/>
      <c r="D1166" s="220" t="n"/>
      <c r="E1166" s="220" t="n"/>
      <c r="F1166" s="220" t="n"/>
      <c r="G1166" s="169">
        <f>IFERROR((D1166-F1166)/C1166*100,"")</f>
        <v/>
      </c>
      <c r="H1166" s="219" t="n"/>
      <c r="I1166" s="220" t="n"/>
      <c r="J1166" s="221">
        <f>IF(COUNTA(A1166:F1166)=0,"",IF(OR(C1166&lt;0,D1166&lt;0,E1166&lt;0,F1166&lt;0),"ERRO: valor negativo",IF(C1166&lt;&gt;SUM(D1166:F1166),"ERRO: categorias diferem dos respondentes",IF(COUNTIFS($A$5:$A$1200,A1166,$B$5:$B$1200,B1166)&gt;1,"ERRO: período e curso duplicados","OK"))))</f>
        <v/>
      </c>
    </row>
    <row r="1167" ht="15" customHeight="1" s="131">
      <c r="A1167" s="220" t="n"/>
      <c r="B1167" s="222" t="n"/>
      <c r="C1167" s="220" t="n"/>
      <c r="D1167" s="220" t="n"/>
      <c r="E1167" s="220" t="n"/>
      <c r="F1167" s="220" t="n"/>
      <c r="G1167" s="169">
        <f>IFERROR((D1167-F1167)/C1167*100,"")</f>
        <v/>
      </c>
      <c r="H1167" s="219" t="n"/>
      <c r="I1167" s="220" t="n"/>
      <c r="J1167" s="221">
        <f>IF(COUNTA(A1167:F1167)=0,"",IF(OR(C1167&lt;0,D1167&lt;0,E1167&lt;0,F1167&lt;0),"ERRO: valor negativo",IF(C1167&lt;&gt;SUM(D1167:F1167),"ERRO: categorias diferem dos respondentes",IF(COUNTIFS($A$5:$A$1200,A1167,$B$5:$B$1200,B1167)&gt;1,"ERRO: período e curso duplicados","OK"))))</f>
        <v/>
      </c>
    </row>
    <row r="1168" ht="15" customHeight="1" s="131">
      <c r="A1168" s="220" t="n"/>
      <c r="B1168" s="222" t="n"/>
      <c r="C1168" s="220" t="n"/>
      <c r="D1168" s="220" t="n"/>
      <c r="E1168" s="220" t="n"/>
      <c r="F1168" s="220" t="n"/>
      <c r="G1168" s="169">
        <f>IFERROR((D1168-F1168)/C1168*100,"")</f>
        <v/>
      </c>
      <c r="H1168" s="219" t="n"/>
      <c r="I1168" s="220" t="n"/>
      <c r="J1168" s="221">
        <f>IF(COUNTA(A1168:F1168)=0,"",IF(OR(C1168&lt;0,D1168&lt;0,E1168&lt;0,F1168&lt;0),"ERRO: valor negativo",IF(C1168&lt;&gt;SUM(D1168:F1168),"ERRO: categorias diferem dos respondentes",IF(COUNTIFS($A$5:$A$1200,A1168,$B$5:$B$1200,B1168)&gt;1,"ERRO: período e curso duplicados","OK"))))</f>
        <v/>
      </c>
    </row>
    <row r="1169" ht="15" customHeight="1" s="131">
      <c r="A1169" s="220" t="n"/>
      <c r="B1169" s="222" t="n"/>
      <c r="C1169" s="220" t="n"/>
      <c r="D1169" s="220" t="n"/>
      <c r="E1169" s="220" t="n"/>
      <c r="F1169" s="220" t="n"/>
      <c r="G1169" s="169">
        <f>IFERROR((D1169-F1169)/C1169*100,"")</f>
        <v/>
      </c>
      <c r="H1169" s="219" t="n"/>
      <c r="I1169" s="220" t="n"/>
      <c r="J1169" s="221">
        <f>IF(COUNTA(A1169:F1169)=0,"",IF(OR(C1169&lt;0,D1169&lt;0,E1169&lt;0,F1169&lt;0),"ERRO: valor negativo",IF(C1169&lt;&gt;SUM(D1169:F1169),"ERRO: categorias diferem dos respondentes",IF(COUNTIFS($A$5:$A$1200,A1169,$B$5:$B$1200,B1169)&gt;1,"ERRO: período e curso duplicados","OK"))))</f>
        <v/>
      </c>
    </row>
    <row r="1170" ht="15" customHeight="1" s="131">
      <c r="A1170" s="220" t="n"/>
      <c r="B1170" s="222" t="n"/>
      <c r="C1170" s="220" t="n"/>
      <c r="D1170" s="220" t="n"/>
      <c r="E1170" s="220" t="n"/>
      <c r="F1170" s="220" t="n"/>
      <c r="G1170" s="169">
        <f>IFERROR((D1170-F1170)/C1170*100,"")</f>
        <v/>
      </c>
      <c r="H1170" s="219" t="n"/>
      <c r="I1170" s="220" t="n"/>
      <c r="J1170" s="221">
        <f>IF(COUNTA(A1170:F1170)=0,"",IF(OR(C1170&lt;0,D1170&lt;0,E1170&lt;0,F1170&lt;0),"ERRO: valor negativo",IF(C1170&lt;&gt;SUM(D1170:F1170),"ERRO: categorias diferem dos respondentes",IF(COUNTIFS($A$5:$A$1200,A1170,$B$5:$B$1200,B1170)&gt;1,"ERRO: período e curso duplicados","OK"))))</f>
        <v/>
      </c>
    </row>
    <row r="1171" ht="15" customHeight="1" s="131">
      <c r="A1171" s="220" t="n"/>
      <c r="B1171" s="222" t="n"/>
      <c r="C1171" s="220" t="n"/>
      <c r="D1171" s="220" t="n"/>
      <c r="E1171" s="220" t="n"/>
      <c r="F1171" s="220" t="n"/>
      <c r="G1171" s="169">
        <f>IFERROR((D1171-F1171)/C1171*100,"")</f>
        <v/>
      </c>
      <c r="H1171" s="219" t="n"/>
      <c r="I1171" s="220" t="n"/>
      <c r="J1171" s="221">
        <f>IF(COUNTA(A1171:F1171)=0,"",IF(OR(C1171&lt;0,D1171&lt;0,E1171&lt;0,F1171&lt;0),"ERRO: valor negativo",IF(C1171&lt;&gt;SUM(D1171:F1171),"ERRO: categorias diferem dos respondentes",IF(COUNTIFS($A$5:$A$1200,A1171,$B$5:$B$1200,B1171)&gt;1,"ERRO: período e curso duplicados","OK"))))</f>
        <v/>
      </c>
    </row>
    <row r="1172" ht="15" customHeight="1" s="131">
      <c r="A1172" s="220" t="n"/>
      <c r="B1172" s="222" t="n"/>
      <c r="C1172" s="220" t="n"/>
      <c r="D1172" s="220" t="n"/>
      <c r="E1172" s="220" t="n"/>
      <c r="F1172" s="220" t="n"/>
      <c r="G1172" s="169">
        <f>IFERROR((D1172-F1172)/C1172*100,"")</f>
        <v/>
      </c>
      <c r="H1172" s="219" t="n"/>
      <c r="I1172" s="220" t="n"/>
      <c r="J1172" s="221">
        <f>IF(COUNTA(A1172:F1172)=0,"",IF(OR(C1172&lt;0,D1172&lt;0,E1172&lt;0,F1172&lt;0),"ERRO: valor negativo",IF(C1172&lt;&gt;SUM(D1172:F1172),"ERRO: categorias diferem dos respondentes",IF(COUNTIFS($A$5:$A$1200,A1172,$B$5:$B$1200,B1172)&gt;1,"ERRO: período e curso duplicados","OK"))))</f>
        <v/>
      </c>
    </row>
    <row r="1173" ht="15" customHeight="1" s="131">
      <c r="A1173" s="220" t="n"/>
      <c r="B1173" s="222" t="n"/>
      <c r="C1173" s="220" t="n"/>
      <c r="D1173" s="220" t="n"/>
      <c r="E1173" s="220" t="n"/>
      <c r="F1173" s="220" t="n"/>
      <c r="G1173" s="169">
        <f>IFERROR((D1173-F1173)/C1173*100,"")</f>
        <v/>
      </c>
      <c r="H1173" s="219" t="n"/>
      <c r="I1173" s="220" t="n"/>
      <c r="J1173" s="221">
        <f>IF(COUNTA(A1173:F1173)=0,"",IF(OR(C1173&lt;0,D1173&lt;0,E1173&lt;0,F1173&lt;0),"ERRO: valor negativo",IF(C1173&lt;&gt;SUM(D1173:F1173),"ERRO: categorias diferem dos respondentes",IF(COUNTIFS($A$5:$A$1200,A1173,$B$5:$B$1200,B1173)&gt;1,"ERRO: período e curso duplicados","OK"))))</f>
        <v/>
      </c>
    </row>
    <row r="1174" ht="15" customHeight="1" s="131">
      <c r="A1174" s="220" t="n"/>
      <c r="B1174" s="222" t="n"/>
      <c r="C1174" s="220" t="n"/>
      <c r="D1174" s="220" t="n"/>
      <c r="E1174" s="220" t="n"/>
      <c r="F1174" s="220" t="n"/>
      <c r="G1174" s="169">
        <f>IFERROR((D1174-F1174)/C1174*100,"")</f>
        <v/>
      </c>
      <c r="H1174" s="219" t="n"/>
      <c r="I1174" s="220" t="n"/>
      <c r="J1174" s="221">
        <f>IF(COUNTA(A1174:F1174)=0,"",IF(OR(C1174&lt;0,D1174&lt;0,E1174&lt;0,F1174&lt;0),"ERRO: valor negativo",IF(C1174&lt;&gt;SUM(D1174:F1174),"ERRO: categorias diferem dos respondentes",IF(COUNTIFS($A$5:$A$1200,A1174,$B$5:$B$1200,B1174)&gt;1,"ERRO: período e curso duplicados","OK"))))</f>
        <v/>
      </c>
    </row>
    <row r="1175" ht="15" customHeight="1" s="131">
      <c r="A1175" s="220" t="n"/>
      <c r="B1175" s="222" t="n"/>
      <c r="C1175" s="220" t="n"/>
      <c r="D1175" s="220" t="n"/>
      <c r="E1175" s="220" t="n"/>
      <c r="F1175" s="220" t="n"/>
      <c r="G1175" s="169">
        <f>IFERROR((D1175-F1175)/C1175*100,"")</f>
        <v/>
      </c>
      <c r="H1175" s="219" t="n"/>
      <c r="I1175" s="220" t="n"/>
      <c r="J1175" s="221">
        <f>IF(COUNTA(A1175:F1175)=0,"",IF(OR(C1175&lt;0,D1175&lt;0,E1175&lt;0,F1175&lt;0),"ERRO: valor negativo",IF(C1175&lt;&gt;SUM(D1175:F1175),"ERRO: categorias diferem dos respondentes",IF(COUNTIFS($A$5:$A$1200,A1175,$B$5:$B$1200,B1175)&gt;1,"ERRO: período e curso duplicados","OK"))))</f>
        <v/>
      </c>
    </row>
    <row r="1176" ht="15" customHeight="1" s="131">
      <c r="A1176" s="220" t="n"/>
      <c r="B1176" s="222" t="n"/>
      <c r="C1176" s="220" t="n"/>
      <c r="D1176" s="220" t="n"/>
      <c r="E1176" s="220" t="n"/>
      <c r="F1176" s="220" t="n"/>
      <c r="G1176" s="169">
        <f>IFERROR((D1176-F1176)/C1176*100,"")</f>
        <v/>
      </c>
      <c r="H1176" s="219" t="n"/>
      <c r="I1176" s="220" t="n"/>
      <c r="J1176" s="221">
        <f>IF(COUNTA(A1176:F1176)=0,"",IF(OR(C1176&lt;0,D1176&lt;0,E1176&lt;0,F1176&lt;0),"ERRO: valor negativo",IF(C1176&lt;&gt;SUM(D1176:F1176),"ERRO: categorias diferem dos respondentes",IF(COUNTIFS($A$5:$A$1200,A1176,$B$5:$B$1200,B1176)&gt;1,"ERRO: período e curso duplicados","OK"))))</f>
        <v/>
      </c>
    </row>
    <row r="1177" ht="15" customHeight="1" s="131">
      <c r="A1177" s="220" t="n"/>
      <c r="B1177" s="222" t="n"/>
      <c r="C1177" s="220" t="n"/>
      <c r="D1177" s="220" t="n"/>
      <c r="E1177" s="220" t="n"/>
      <c r="F1177" s="220" t="n"/>
      <c r="G1177" s="169">
        <f>IFERROR((D1177-F1177)/C1177*100,"")</f>
        <v/>
      </c>
      <c r="H1177" s="219" t="n"/>
      <c r="I1177" s="220" t="n"/>
      <c r="J1177" s="221">
        <f>IF(COUNTA(A1177:F1177)=0,"",IF(OR(C1177&lt;0,D1177&lt;0,E1177&lt;0,F1177&lt;0),"ERRO: valor negativo",IF(C1177&lt;&gt;SUM(D1177:F1177),"ERRO: categorias diferem dos respondentes",IF(COUNTIFS($A$5:$A$1200,A1177,$B$5:$B$1200,B1177)&gt;1,"ERRO: período e curso duplicados","OK"))))</f>
        <v/>
      </c>
    </row>
    <row r="1178" ht="15" customHeight="1" s="131">
      <c r="A1178" s="220" t="n"/>
      <c r="B1178" s="222" t="n"/>
      <c r="C1178" s="220" t="n"/>
      <c r="D1178" s="220" t="n"/>
      <c r="E1178" s="220" t="n"/>
      <c r="F1178" s="220" t="n"/>
      <c r="G1178" s="169">
        <f>IFERROR((D1178-F1178)/C1178*100,"")</f>
        <v/>
      </c>
      <c r="H1178" s="219" t="n"/>
      <c r="I1178" s="220" t="n"/>
      <c r="J1178" s="221">
        <f>IF(COUNTA(A1178:F1178)=0,"",IF(OR(C1178&lt;0,D1178&lt;0,E1178&lt;0,F1178&lt;0),"ERRO: valor negativo",IF(C1178&lt;&gt;SUM(D1178:F1178),"ERRO: categorias diferem dos respondentes",IF(COUNTIFS($A$5:$A$1200,A1178,$B$5:$B$1200,B1178)&gt;1,"ERRO: período e curso duplicados","OK"))))</f>
        <v/>
      </c>
    </row>
    <row r="1179" ht="15" customHeight="1" s="131">
      <c r="A1179" s="220" t="n"/>
      <c r="B1179" s="222" t="n"/>
      <c r="C1179" s="220" t="n"/>
      <c r="D1179" s="220" t="n"/>
      <c r="E1179" s="220" t="n"/>
      <c r="F1179" s="220" t="n"/>
      <c r="G1179" s="169">
        <f>IFERROR((D1179-F1179)/C1179*100,"")</f>
        <v/>
      </c>
      <c r="H1179" s="219" t="n"/>
      <c r="I1179" s="220" t="n"/>
      <c r="J1179" s="221">
        <f>IF(COUNTA(A1179:F1179)=0,"",IF(OR(C1179&lt;0,D1179&lt;0,E1179&lt;0,F1179&lt;0),"ERRO: valor negativo",IF(C1179&lt;&gt;SUM(D1179:F1179),"ERRO: categorias diferem dos respondentes",IF(COUNTIFS($A$5:$A$1200,A1179,$B$5:$B$1200,B1179)&gt;1,"ERRO: período e curso duplicados","OK"))))</f>
        <v/>
      </c>
    </row>
    <row r="1180" ht="15" customHeight="1" s="131">
      <c r="A1180" s="220" t="n"/>
      <c r="B1180" s="222" t="n"/>
      <c r="C1180" s="220" t="n"/>
      <c r="D1180" s="220" t="n"/>
      <c r="E1180" s="220" t="n"/>
      <c r="F1180" s="220" t="n"/>
      <c r="G1180" s="169">
        <f>IFERROR((D1180-F1180)/C1180*100,"")</f>
        <v/>
      </c>
      <c r="H1180" s="219" t="n"/>
      <c r="I1180" s="220" t="n"/>
      <c r="J1180" s="221">
        <f>IF(COUNTA(A1180:F1180)=0,"",IF(OR(C1180&lt;0,D1180&lt;0,E1180&lt;0,F1180&lt;0),"ERRO: valor negativo",IF(C1180&lt;&gt;SUM(D1180:F1180),"ERRO: categorias diferem dos respondentes",IF(COUNTIFS($A$5:$A$1200,A1180,$B$5:$B$1200,B1180)&gt;1,"ERRO: período e curso duplicados","OK"))))</f>
        <v/>
      </c>
    </row>
    <row r="1181" ht="15" customHeight="1" s="131">
      <c r="A1181" s="220" t="n"/>
      <c r="B1181" s="222" t="n"/>
      <c r="C1181" s="220" t="n"/>
      <c r="D1181" s="220" t="n"/>
      <c r="E1181" s="220" t="n"/>
      <c r="F1181" s="220" t="n"/>
      <c r="G1181" s="169">
        <f>IFERROR((D1181-F1181)/C1181*100,"")</f>
        <v/>
      </c>
      <c r="H1181" s="219" t="n"/>
      <c r="I1181" s="220" t="n"/>
      <c r="J1181" s="221">
        <f>IF(COUNTA(A1181:F1181)=0,"",IF(OR(C1181&lt;0,D1181&lt;0,E1181&lt;0,F1181&lt;0),"ERRO: valor negativo",IF(C1181&lt;&gt;SUM(D1181:F1181),"ERRO: categorias diferem dos respondentes",IF(COUNTIFS($A$5:$A$1200,A1181,$B$5:$B$1200,B1181)&gt;1,"ERRO: período e curso duplicados","OK"))))</f>
        <v/>
      </c>
    </row>
    <row r="1182" ht="15" customHeight="1" s="131">
      <c r="A1182" s="220" t="n"/>
      <c r="B1182" s="222" t="n"/>
      <c r="C1182" s="220" t="n"/>
      <c r="D1182" s="220" t="n"/>
      <c r="E1182" s="220" t="n"/>
      <c r="F1182" s="220" t="n"/>
      <c r="G1182" s="169">
        <f>IFERROR((D1182-F1182)/C1182*100,"")</f>
        <v/>
      </c>
      <c r="H1182" s="219" t="n"/>
      <c r="I1182" s="220" t="n"/>
      <c r="J1182" s="221">
        <f>IF(COUNTA(A1182:F1182)=0,"",IF(OR(C1182&lt;0,D1182&lt;0,E1182&lt;0,F1182&lt;0),"ERRO: valor negativo",IF(C1182&lt;&gt;SUM(D1182:F1182),"ERRO: categorias diferem dos respondentes",IF(COUNTIFS($A$5:$A$1200,A1182,$B$5:$B$1200,B1182)&gt;1,"ERRO: período e curso duplicados","OK"))))</f>
        <v/>
      </c>
    </row>
    <row r="1183" ht="15" customHeight="1" s="131">
      <c r="A1183" s="220" t="n"/>
      <c r="B1183" s="222" t="n"/>
      <c r="C1183" s="220" t="n"/>
      <c r="D1183" s="220" t="n"/>
      <c r="E1183" s="220" t="n"/>
      <c r="F1183" s="220" t="n"/>
      <c r="G1183" s="169">
        <f>IFERROR((D1183-F1183)/C1183*100,"")</f>
        <v/>
      </c>
      <c r="H1183" s="219" t="n"/>
      <c r="I1183" s="220" t="n"/>
      <c r="J1183" s="221">
        <f>IF(COUNTA(A1183:F1183)=0,"",IF(OR(C1183&lt;0,D1183&lt;0,E1183&lt;0,F1183&lt;0),"ERRO: valor negativo",IF(C1183&lt;&gt;SUM(D1183:F1183),"ERRO: categorias diferem dos respondentes",IF(COUNTIFS($A$5:$A$1200,A1183,$B$5:$B$1200,B1183)&gt;1,"ERRO: período e curso duplicados","OK"))))</f>
        <v/>
      </c>
    </row>
    <row r="1184" ht="15" customHeight="1" s="131">
      <c r="A1184" s="220" t="n"/>
      <c r="B1184" s="222" t="n"/>
      <c r="C1184" s="220" t="n"/>
      <c r="D1184" s="220" t="n"/>
      <c r="E1184" s="220" t="n"/>
      <c r="F1184" s="220" t="n"/>
      <c r="G1184" s="169">
        <f>IFERROR((D1184-F1184)/C1184*100,"")</f>
        <v/>
      </c>
      <c r="H1184" s="219" t="n"/>
      <c r="I1184" s="220" t="n"/>
      <c r="J1184" s="221">
        <f>IF(COUNTA(A1184:F1184)=0,"",IF(OR(C1184&lt;0,D1184&lt;0,E1184&lt;0,F1184&lt;0),"ERRO: valor negativo",IF(C1184&lt;&gt;SUM(D1184:F1184),"ERRO: categorias diferem dos respondentes",IF(COUNTIFS($A$5:$A$1200,A1184,$B$5:$B$1200,B1184)&gt;1,"ERRO: período e curso duplicados","OK"))))</f>
        <v/>
      </c>
    </row>
    <row r="1185" ht="15" customHeight="1" s="131">
      <c r="A1185" s="220" t="n"/>
      <c r="B1185" s="222" t="n"/>
      <c r="C1185" s="220" t="n"/>
      <c r="D1185" s="220" t="n"/>
      <c r="E1185" s="220" t="n"/>
      <c r="F1185" s="220" t="n"/>
      <c r="G1185" s="169">
        <f>IFERROR((D1185-F1185)/C1185*100,"")</f>
        <v/>
      </c>
      <c r="H1185" s="219" t="n"/>
      <c r="I1185" s="220" t="n"/>
      <c r="J1185" s="221">
        <f>IF(COUNTA(A1185:F1185)=0,"",IF(OR(C1185&lt;0,D1185&lt;0,E1185&lt;0,F1185&lt;0),"ERRO: valor negativo",IF(C1185&lt;&gt;SUM(D1185:F1185),"ERRO: categorias diferem dos respondentes",IF(COUNTIFS($A$5:$A$1200,A1185,$B$5:$B$1200,B1185)&gt;1,"ERRO: período e curso duplicados","OK"))))</f>
        <v/>
      </c>
    </row>
    <row r="1186" ht="15" customHeight="1" s="131">
      <c r="A1186" s="220" t="n"/>
      <c r="B1186" s="222" t="n"/>
      <c r="C1186" s="220" t="n"/>
      <c r="D1186" s="220" t="n"/>
      <c r="E1186" s="220" t="n"/>
      <c r="F1186" s="220" t="n"/>
      <c r="G1186" s="169">
        <f>IFERROR((D1186-F1186)/C1186*100,"")</f>
        <v/>
      </c>
      <c r="H1186" s="219" t="n"/>
      <c r="I1186" s="220" t="n"/>
      <c r="J1186" s="221">
        <f>IF(COUNTA(A1186:F1186)=0,"",IF(OR(C1186&lt;0,D1186&lt;0,E1186&lt;0,F1186&lt;0),"ERRO: valor negativo",IF(C1186&lt;&gt;SUM(D1186:F1186),"ERRO: categorias diferem dos respondentes",IF(COUNTIFS($A$5:$A$1200,A1186,$B$5:$B$1200,B1186)&gt;1,"ERRO: período e curso duplicados","OK"))))</f>
        <v/>
      </c>
    </row>
    <row r="1187" ht="15" customHeight="1" s="131">
      <c r="A1187" s="220" t="n"/>
      <c r="B1187" s="222" t="n"/>
      <c r="C1187" s="220" t="n"/>
      <c r="D1187" s="220" t="n"/>
      <c r="E1187" s="220" t="n"/>
      <c r="F1187" s="220" t="n"/>
      <c r="G1187" s="169">
        <f>IFERROR((D1187-F1187)/C1187*100,"")</f>
        <v/>
      </c>
      <c r="H1187" s="219" t="n"/>
      <c r="I1187" s="220" t="n"/>
      <c r="J1187" s="221">
        <f>IF(COUNTA(A1187:F1187)=0,"",IF(OR(C1187&lt;0,D1187&lt;0,E1187&lt;0,F1187&lt;0),"ERRO: valor negativo",IF(C1187&lt;&gt;SUM(D1187:F1187),"ERRO: categorias diferem dos respondentes",IF(COUNTIFS($A$5:$A$1200,A1187,$B$5:$B$1200,B1187)&gt;1,"ERRO: período e curso duplicados","OK"))))</f>
        <v/>
      </c>
    </row>
    <row r="1188" ht="15" customHeight="1" s="131">
      <c r="A1188" s="220" t="n"/>
      <c r="B1188" s="222" t="n"/>
      <c r="C1188" s="220" t="n"/>
      <c r="D1188" s="220" t="n"/>
      <c r="E1188" s="220" t="n"/>
      <c r="F1188" s="220" t="n"/>
      <c r="G1188" s="169">
        <f>IFERROR((D1188-F1188)/C1188*100,"")</f>
        <v/>
      </c>
      <c r="H1188" s="219" t="n"/>
      <c r="I1188" s="220" t="n"/>
      <c r="J1188" s="221">
        <f>IF(COUNTA(A1188:F1188)=0,"",IF(OR(C1188&lt;0,D1188&lt;0,E1188&lt;0,F1188&lt;0),"ERRO: valor negativo",IF(C1188&lt;&gt;SUM(D1188:F1188),"ERRO: categorias diferem dos respondentes",IF(COUNTIFS($A$5:$A$1200,A1188,$B$5:$B$1200,B1188)&gt;1,"ERRO: período e curso duplicados","OK"))))</f>
        <v/>
      </c>
    </row>
    <row r="1189" ht="15" customHeight="1" s="131">
      <c r="A1189" s="220" t="n"/>
      <c r="B1189" s="222" t="n"/>
      <c r="C1189" s="220" t="n"/>
      <c r="D1189" s="220" t="n"/>
      <c r="E1189" s="220" t="n"/>
      <c r="F1189" s="220" t="n"/>
      <c r="G1189" s="169">
        <f>IFERROR((D1189-F1189)/C1189*100,"")</f>
        <v/>
      </c>
      <c r="H1189" s="219" t="n"/>
      <c r="I1189" s="220" t="n"/>
      <c r="J1189" s="221">
        <f>IF(COUNTA(A1189:F1189)=0,"",IF(OR(C1189&lt;0,D1189&lt;0,E1189&lt;0,F1189&lt;0),"ERRO: valor negativo",IF(C1189&lt;&gt;SUM(D1189:F1189),"ERRO: categorias diferem dos respondentes",IF(COUNTIFS($A$5:$A$1200,A1189,$B$5:$B$1200,B1189)&gt;1,"ERRO: período e curso duplicados","OK"))))</f>
        <v/>
      </c>
    </row>
    <row r="1190" ht="15" customHeight="1" s="131">
      <c r="A1190" s="220" t="n"/>
      <c r="B1190" s="222" t="n"/>
      <c r="C1190" s="220" t="n"/>
      <c r="D1190" s="220" t="n"/>
      <c r="E1190" s="220" t="n"/>
      <c r="F1190" s="220" t="n"/>
      <c r="G1190" s="169">
        <f>IFERROR((D1190-F1190)/C1190*100,"")</f>
        <v/>
      </c>
      <c r="H1190" s="219" t="n"/>
      <c r="I1190" s="220" t="n"/>
      <c r="J1190" s="221">
        <f>IF(COUNTA(A1190:F1190)=0,"",IF(OR(C1190&lt;0,D1190&lt;0,E1190&lt;0,F1190&lt;0),"ERRO: valor negativo",IF(C1190&lt;&gt;SUM(D1190:F1190),"ERRO: categorias diferem dos respondentes",IF(COUNTIFS($A$5:$A$1200,A1190,$B$5:$B$1200,B1190)&gt;1,"ERRO: período e curso duplicados","OK"))))</f>
        <v/>
      </c>
    </row>
    <row r="1191" ht="15" customHeight="1" s="131">
      <c r="A1191" s="220" t="n"/>
      <c r="B1191" s="222" t="n"/>
      <c r="C1191" s="220" t="n"/>
      <c r="D1191" s="220" t="n"/>
      <c r="E1191" s="220" t="n"/>
      <c r="F1191" s="220" t="n"/>
      <c r="G1191" s="169">
        <f>IFERROR((D1191-F1191)/C1191*100,"")</f>
        <v/>
      </c>
      <c r="H1191" s="219" t="n"/>
      <c r="I1191" s="220" t="n"/>
      <c r="J1191" s="221">
        <f>IF(COUNTA(A1191:F1191)=0,"",IF(OR(C1191&lt;0,D1191&lt;0,E1191&lt;0,F1191&lt;0),"ERRO: valor negativo",IF(C1191&lt;&gt;SUM(D1191:F1191),"ERRO: categorias diferem dos respondentes",IF(COUNTIFS($A$5:$A$1200,A1191,$B$5:$B$1200,B1191)&gt;1,"ERRO: período e curso duplicados","OK"))))</f>
        <v/>
      </c>
    </row>
    <row r="1192" ht="15" customHeight="1" s="131">
      <c r="A1192" s="220" t="n"/>
      <c r="B1192" s="222" t="n"/>
      <c r="C1192" s="220" t="n"/>
      <c r="D1192" s="220" t="n"/>
      <c r="E1192" s="220" t="n"/>
      <c r="F1192" s="220" t="n"/>
      <c r="G1192" s="169">
        <f>IFERROR((D1192-F1192)/C1192*100,"")</f>
        <v/>
      </c>
      <c r="H1192" s="219" t="n"/>
      <c r="I1192" s="220" t="n"/>
      <c r="J1192" s="221">
        <f>IF(COUNTA(A1192:F1192)=0,"",IF(OR(C1192&lt;0,D1192&lt;0,E1192&lt;0,F1192&lt;0),"ERRO: valor negativo",IF(C1192&lt;&gt;SUM(D1192:F1192),"ERRO: categorias diferem dos respondentes",IF(COUNTIFS($A$5:$A$1200,A1192,$B$5:$B$1200,B1192)&gt;1,"ERRO: período e curso duplicados","OK"))))</f>
        <v/>
      </c>
    </row>
    <row r="1193" ht="15" customHeight="1" s="131">
      <c r="A1193" s="220" t="n"/>
      <c r="B1193" s="222" t="n"/>
      <c r="C1193" s="220" t="n"/>
      <c r="D1193" s="220" t="n"/>
      <c r="E1193" s="220" t="n"/>
      <c r="F1193" s="220" t="n"/>
      <c r="G1193" s="169">
        <f>IFERROR((D1193-F1193)/C1193*100,"")</f>
        <v/>
      </c>
      <c r="H1193" s="219" t="n"/>
      <c r="I1193" s="220" t="n"/>
      <c r="J1193" s="221">
        <f>IF(COUNTA(A1193:F1193)=0,"",IF(OR(C1193&lt;0,D1193&lt;0,E1193&lt;0,F1193&lt;0),"ERRO: valor negativo",IF(C1193&lt;&gt;SUM(D1193:F1193),"ERRO: categorias diferem dos respondentes",IF(COUNTIFS($A$5:$A$1200,A1193,$B$5:$B$1200,B1193)&gt;1,"ERRO: período e curso duplicados","OK"))))</f>
        <v/>
      </c>
    </row>
    <row r="1194" ht="15" customHeight="1" s="131">
      <c r="A1194" s="220" t="n"/>
      <c r="B1194" s="222" t="n"/>
      <c r="C1194" s="220" t="n"/>
      <c r="D1194" s="220" t="n"/>
      <c r="E1194" s="220" t="n"/>
      <c r="F1194" s="220" t="n"/>
      <c r="G1194" s="169">
        <f>IFERROR((D1194-F1194)/C1194*100,"")</f>
        <v/>
      </c>
      <c r="H1194" s="219" t="n"/>
      <c r="I1194" s="220" t="n"/>
      <c r="J1194" s="221">
        <f>IF(COUNTA(A1194:F1194)=0,"",IF(OR(C1194&lt;0,D1194&lt;0,E1194&lt;0,F1194&lt;0),"ERRO: valor negativo",IF(C1194&lt;&gt;SUM(D1194:F1194),"ERRO: categorias diferem dos respondentes",IF(COUNTIFS($A$5:$A$1200,A1194,$B$5:$B$1200,B1194)&gt;1,"ERRO: período e curso duplicados","OK"))))</f>
        <v/>
      </c>
    </row>
    <row r="1195" ht="15" customHeight="1" s="131">
      <c r="A1195" s="220" t="n"/>
      <c r="B1195" s="222" t="n"/>
      <c r="C1195" s="220" t="n"/>
      <c r="D1195" s="220" t="n"/>
      <c r="E1195" s="220" t="n"/>
      <c r="F1195" s="220" t="n"/>
      <c r="G1195" s="169">
        <f>IFERROR((D1195-F1195)/C1195*100,"")</f>
        <v/>
      </c>
      <c r="H1195" s="219" t="n"/>
      <c r="I1195" s="220" t="n"/>
      <c r="J1195" s="221">
        <f>IF(COUNTA(A1195:F1195)=0,"",IF(OR(C1195&lt;0,D1195&lt;0,E1195&lt;0,F1195&lt;0),"ERRO: valor negativo",IF(C1195&lt;&gt;SUM(D1195:F1195),"ERRO: categorias diferem dos respondentes",IF(COUNTIFS($A$5:$A$1200,A1195,$B$5:$B$1200,B1195)&gt;1,"ERRO: período e curso duplicados","OK"))))</f>
        <v/>
      </c>
    </row>
    <row r="1196" ht="15" customHeight="1" s="131">
      <c r="A1196" s="220" t="n"/>
      <c r="B1196" s="222" t="n"/>
      <c r="C1196" s="220" t="n"/>
      <c r="D1196" s="220" t="n"/>
      <c r="E1196" s="220" t="n"/>
      <c r="F1196" s="220" t="n"/>
      <c r="G1196" s="169">
        <f>IFERROR((D1196-F1196)/C1196*100,"")</f>
        <v/>
      </c>
      <c r="H1196" s="219" t="n"/>
      <c r="I1196" s="220" t="n"/>
      <c r="J1196" s="221">
        <f>IF(COUNTA(A1196:F1196)=0,"",IF(OR(C1196&lt;0,D1196&lt;0,E1196&lt;0,F1196&lt;0),"ERRO: valor negativo",IF(C1196&lt;&gt;SUM(D1196:F1196),"ERRO: categorias diferem dos respondentes",IF(COUNTIFS($A$5:$A$1200,A1196,$B$5:$B$1200,B1196)&gt;1,"ERRO: período e curso duplicados","OK"))))</f>
        <v/>
      </c>
    </row>
    <row r="1197" ht="15" customHeight="1" s="131">
      <c r="A1197" s="220" t="n"/>
      <c r="B1197" s="222" t="n"/>
      <c r="C1197" s="220" t="n"/>
      <c r="D1197" s="220" t="n"/>
      <c r="E1197" s="220" t="n"/>
      <c r="F1197" s="220" t="n"/>
      <c r="G1197" s="169">
        <f>IFERROR((D1197-F1197)/C1197*100,"")</f>
        <v/>
      </c>
      <c r="H1197" s="219" t="n"/>
      <c r="I1197" s="220" t="n"/>
      <c r="J1197" s="221">
        <f>IF(COUNTA(A1197:F1197)=0,"",IF(OR(C1197&lt;0,D1197&lt;0,E1197&lt;0,F1197&lt;0),"ERRO: valor negativo",IF(C1197&lt;&gt;SUM(D1197:F1197),"ERRO: categorias diferem dos respondentes",IF(COUNTIFS($A$5:$A$1200,A1197,$B$5:$B$1200,B1197)&gt;1,"ERRO: período e curso duplicados","OK"))))</f>
        <v/>
      </c>
    </row>
    <row r="1198" ht="15" customHeight="1" s="131">
      <c r="A1198" s="220" t="n"/>
      <c r="B1198" s="222" t="n"/>
      <c r="C1198" s="220" t="n"/>
      <c r="D1198" s="220" t="n"/>
      <c r="E1198" s="220" t="n"/>
      <c r="F1198" s="220" t="n"/>
      <c r="G1198" s="169">
        <f>IFERROR((D1198-F1198)/C1198*100,"")</f>
        <v/>
      </c>
      <c r="H1198" s="219" t="n"/>
      <c r="I1198" s="220" t="n"/>
      <c r="J1198" s="221">
        <f>IF(COUNTA(A1198:F1198)=0,"",IF(OR(C1198&lt;0,D1198&lt;0,E1198&lt;0,F1198&lt;0),"ERRO: valor negativo",IF(C1198&lt;&gt;SUM(D1198:F1198),"ERRO: categorias diferem dos respondentes",IF(COUNTIFS($A$5:$A$1200,A1198,$B$5:$B$1200,B1198)&gt;1,"ERRO: período e curso duplicados","OK"))))</f>
        <v/>
      </c>
    </row>
    <row r="1199" ht="15" customHeight="1" s="131">
      <c r="A1199" s="220" t="n"/>
      <c r="B1199" s="222" t="n"/>
      <c r="C1199" s="220" t="n"/>
      <c r="D1199" s="220" t="n"/>
      <c r="E1199" s="220" t="n"/>
      <c r="F1199" s="220" t="n"/>
      <c r="G1199" s="169">
        <f>IFERROR((D1199-F1199)/C1199*100,"")</f>
        <v/>
      </c>
      <c r="H1199" s="219" t="n"/>
      <c r="I1199" s="220" t="n"/>
      <c r="J1199" s="221">
        <f>IF(COUNTA(A1199:F1199)=0,"",IF(OR(C1199&lt;0,D1199&lt;0,E1199&lt;0,F1199&lt;0),"ERRO: valor negativo",IF(C1199&lt;&gt;SUM(D1199:F1199),"ERRO: categorias diferem dos respondentes",IF(COUNTIFS($A$5:$A$1200,A1199,$B$5:$B$1200,B1199)&gt;1,"ERRO: período e curso duplicados","OK"))))</f>
        <v/>
      </c>
    </row>
    <row r="1200" ht="15" customHeight="1" s="131">
      <c r="A1200" s="220" t="n"/>
      <c r="B1200" s="222" t="n"/>
      <c r="C1200" s="220" t="n"/>
      <c r="D1200" s="220" t="n"/>
      <c r="E1200" s="220" t="n"/>
      <c r="F1200" s="220" t="n"/>
      <c r="G1200" s="169">
        <f>IFERROR((D1200-F1200)/C1200*100,"")</f>
        <v/>
      </c>
      <c r="H1200" s="219" t="n"/>
      <c r="I1200" s="220" t="n"/>
      <c r="J1200" s="221">
        <f>IF(COUNTA(A1200:F1200)=0,"",IF(OR(C1200&lt;0,D1200&lt;0,E1200&lt;0,F1200&lt;0),"ERRO: valor negativo",IF(C1200&lt;&gt;SUM(D1200:F1200),"ERRO: categorias diferem dos respondentes",IF(COUNTIFS($A$5:$A$1200,A1200,$B$5:$B$1200,B1200)&gt;1,"ERRO: período e curso duplicados","OK"))))</f>
        <v/>
      </c>
    </row>
  </sheetData>
  <mergeCells count="2">
    <mergeCell ref="A1:I1"/>
    <mergeCell ref="A2:I2"/>
  </mergeCells>
  <conditionalFormatting sqref="J5:J1200">
    <cfRule type="expression" rank="0" priority="2" equalAverage="0" aboveAverage="0" dxfId="15" text="" percent="0" bottom="0">
      <formula>LEFT(J5,4)="ERRO"</formula>
    </cfRule>
  </conditionalFormatting>
  <dataValidations count="2">
    <dataValidation sqref="A5:A1200" showDropDown="0" showInputMessage="0" showErrorMessage="1" allowBlank="1" errorTitle="Período inválido" error="Escolha um código da lista. Grão declarado: Mensal." type="list" errorStyle="stop" operator="between">
      <formula1>LST_PER_DTNH_01</formula1>
      <formula2>0</formula2>
    </dataValidation>
    <dataValidation sqref="B5:B1200" showDropDown="0" showInputMessage="0" showErrorMessage="1" allowBlank="1" errorTitle="Curso inválido" error="Escolha um curso da aba CURSOS." type="list" errorStyle="stop" operator="between">
      <formula1>LST_CURSOS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G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7" customWidth="1" style="130" min="1" max="1"/>
    <col width="34" customWidth="1" style="130" min="2" max="2"/>
    <col width="19" customWidth="1" style="130" min="3" max="3"/>
    <col width="16" customWidth="1" style="130" min="4" max="4"/>
    <col width="20" customWidth="1" style="130" min="5" max="5"/>
    <col width="22" customWidth="1" style="130" min="6" max="6"/>
    <col width="34" customWidth="1" style="130" min="7" max="7"/>
  </cols>
  <sheetData>
    <row r="1" ht="24" customHeight="1" s="131">
      <c r="A1" s="132" t="inlineStr">
        <is>
          <t>ENTRADA — DTNH-02 · Matrículas Ativas por Curso</t>
        </is>
      </c>
    </row>
    <row r="2" ht="30" customHeight="1" s="131">
      <c r="A2" s="133" t="inlineStr">
        <is>
          <t>Periodicidade de alimentação: Mensal.  Uma linha por período e curso. Colunas amarelas de preenchimento; "Valor da Linha" é calculada.</t>
        </is>
      </c>
    </row>
    <row r="4" ht="30" customHeight="1" s="131">
      <c r="A4" s="199" t="inlineStr">
        <is>
          <t>Período</t>
        </is>
      </c>
      <c r="B4" s="199" t="inlineStr">
        <is>
          <t>Curso</t>
        </is>
      </c>
      <c r="C4" s="199" t="inlineStr">
        <is>
          <t>Matrículas Ativas</t>
        </is>
      </c>
      <c r="D4" s="199" t="inlineStr">
        <is>
          <t>Valor da Linha</t>
        </is>
      </c>
      <c r="E4" s="199" t="inlineStr">
        <is>
          <t>Data de Lançamento</t>
        </is>
      </c>
      <c r="F4" s="199" t="inlineStr">
        <is>
          <t>Lançado por</t>
        </is>
      </c>
      <c r="G4" s="199" t="inlineStr">
        <is>
          <t>Validação da linha</t>
        </is>
      </c>
    </row>
    <row r="5" ht="15" customHeight="1" s="131">
      <c r="A5" s="164" t="inlineStr">
        <is>
          <t>2026-06</t>
        </is>
      </c>
      <c r="B5" s="218" t="inlineStr">
        <is>
          <t>Administração</t>
        </is>
      </c>
      <c r="C5" s="164" t="n">
        <v>198</v>
      </c>
      <c r="D5" s="179">
        <f>IFERROR(C5,"")</f>
        <v/>
      </c>
      <c r="E5" s="219" t="inlineStr">
        <is>
          <t>2026-08-10</t>
        </is>
      </c>
      <c r="F5" s="220" t="inlineStr">
        <is>
          <t>mateus.valentim@ivc.br</t>
        </is>
      </c>
      <c r="G5" s="221">
        <f>IF(COUNTA(A5:C5)=0,"",IF(C5&lt;0,"ERRO: matrícula negativa",IF(COUNTIFS($A$5:$A$1200,A5,$B$5:$B$1200,B5)&gt;1,"ERRO: período e curso duplicados","OK")))</f>
        <v/>
      </c>
    </row>
    <row r="6" ht="15" customHeight="1" s="131">
      <c r="A6" s="164" t="inlineStr">
        <is>
          <t>2026-06</t>
        </is>
      </c>
      <c r="B6" s="218" t="inlineStr">
        <is>
          <t>Agronomia</t>
        </is>
      </c>
      <c r="C6" s="164" t="n">
        <v>124</v>
      </c>
      <c r="D6" s="179">
        <f>IFERROR(C6,"")</f>
        <v/>
      </c>
      <c r="E6" s="219" t="inlineStr">
        <is>
          <t>2026-08-10</t>
        </is>
      </c>
      <c r="F6" s="220" t="inlineStr">
        <is>
          <t>mateus.valentim@ivc.br</t>
        </is>
      </c>
      <c r="G6" s="221">
        <f>IF(COUNTA(A6:C6)=0,"",IF(C6&lt;0,"ERRO: matrícula negativa",IF(COUNTIFS($A$5:$A$1200,A6,$B$5:$B$1200,B6)&gt;1,"ERRO: período e curso duplicados","OK")))</f>
        <v/>
      </c>
    </row>
    <row r="7" ht="15" customHeight="1" s="131">
      <c r="A7" s="164" t="inlineStr">
        <is>
          <t>2026-06</t>
        </is>
      </c>
      <c r="B7" s="218" t="inlineStr">
        <is>
          <t>Análise e Desenvolvimento de Sistemas</t>
        </is>
      </c>
      <c r="C7" s="164" t="n">
        <v>243</v>
      </c>
      <c r="D7" s="179">
        <f>IFERROR(C7,"")</f>
        <v/>
      </c>
      <c r="E7" s="219" t="inlineStr">
        <is>
          <t>2026-08-10</t>
        </is>
      </c>
      <c r="F7" s="220" t="inlineStr">
        <is>
          <t>mateus.valentim@ivc.br</t>
        </is>
      </c>
      <c r="G7" s="221">
        <f>IF(COUNTA(A7:C7)=0,"",IF(C7&lt;0,"ERRO: matrícula negativa",IF(COUNTIFS($A$5:$A$1200,A7,$B$5:$B$1200,B7)&gt;1,"ERRO: período e curso duplicados","OK")))</f>
        <v/>
      </c>
    </row>
    <row r="8" ht="15" customHeight="1" s="131">
      <c r="A8" s="164" t="inlineStr">
        <is>
          <t>2026-06</t>
        </is>
      </c>
      <c r="B8" s="218" t="inlineStr">
        <is>
          <t>Ciências Contábeis</t>
        </is>
      </c>
      <c r="C8" s="164" t="n">
        <v>189</v>
      </c>
      <c r="D8" s="179">
        <f>IFERROR(C8,"")</f>
        <v/>
      </c>
      <c r="E8" s="219" t="inlineStr">
        <is>
          <t>2026-08-10</t>
        </is>
      </c>
      <c r="F8" s="220" t="inlineStr">
        <is>
          <t>mateus.valentim@ivc.br</t>
        </is>
      </c>
      <c r="G8" s="221">
        <f>IF(COUNTA(A8:C8)=0,"",IF(C8&lt;0,"ERRO: matrícula negativa",IF(COUNTIFS($A$5:$A$1200,A8,$B$5:$B$1200,B8)&gt;1,"ERRO: período e curso duplicados","OK")))</f>
        <v/>
      </c>
    </row>
    <row r="9" ht="15" customHeight="1" s="131">
      <c r="A9" s="164" t="inlineStr">
        <is>
          <t>2026-06</t>
        </is>
      </c>
      <c r="B9" s="218" t="inlineStr">
        <is>
          <t>Comunicação Social</t>
        </is>
      </c>
      <c r="C9" s="164" t="n">
        <v>101</v>
      </c>
      <c r="D9" s="179">
        <f>IFERROR(C9,"")</f>
        <v/>
      </c>
      <c r="E9" s="219" t="inlineStr">
        <is>
          <t>2026-08-10</t>
        </is>
      </c>
      <c r="F9" s="220" t="inlineStr">
        <is>
          <t>mateus.valentim@ivc.br</t>
        </is>
      </c>
      <c r="G9" s="221">
        <f>IF(COUNTA(A9:C9)=0,"",IF(C9&lt;0,"ERRO: matrícula negativa",IF(COUNTIFS($A$5:$A$1200,A9,$B$5:$B$1200,B9)&gt;1,"ERRO: período e curso duplicados","OK")))</f>
        <v/>
      </c>
    </row>
    <row r="10" ht="15" customHeight="1" s="131">
      <c r="A10" s="164" t="inlineStr">
        <is>
          <t>2026-06</t>
        </is>
      </c>
      <c r="B10" s="218" t="inlineStr">
        <is>
          <t>Direito</t>
        </is>
      </c>
      <c r="C10" s="164" t="n">
        <v>351</v>
      </c>
      <c r="D10" s="179">
        <f>IFERROR(C10,"")</f>
        <v/>
      </c>
      <c r="E10" s="219" t="inlineStr">
        <is>
          <t>2026-08-10</t>
        </is>
      </c>
      <c r="F10" s="220" t="inlineStr">
        <is>
          <t>mateus.valentim@ivc.br</t>
        </is>
      </c>
      <c r="G10" s="221">
        <f>IF(COUNTA(A10:C10)=0,"",IF(C10&lt;0,"ERRO: matrícula negativa",IF(COUNTIFS($A$5:$A$1200,A10,$B$5:$B$1200,B10)&gt;1,"ERRO: período e curso duplicados","OK")))</f>
        <v/>
      </c>
    </row>
    <row r="11" ht="15" customHeight="1" s="131">
      <c r="A11" s="164" t="inlineStr">
        <is>
          <t>2026-06</t>
        </is>
      </c>
      <c r="B11" s="218" t="inlineStr">
        <is>
          <t>Engenharia de Produção</t>
        </is>
      </c>
      <c r="C11" s="164" t="n">
        <v>143</v>
      </c>
      <c r="D11" s="179">
        <f>IFERROR(C11,"")</f>
        <v/>
      </c>
      <c r="E11" s="219" t="inlineStr">
        <is>
          <t>2026-08-10</t>
        </is>
      </c>
      <c r="F11" s="220" t="inlineStr">
        <is>
          <t>mateus.valentim@ivc.br</t>
        </is>
      </c>
      <c r="G11" s="221">
        <f>IF(COUNTA(A11:C11)=0,"",IF(C11&lt;0,"ERRO: matrícula negativa",IF(COUNTIFS($A$5:$A$1200,A11,$B$5:$B$1200,B11)&gt;1,"ERRO: período e curso duplicados","OK")))</f>
        <v/>
      </c>
    </row>
    <row r="12" ht="15" customHeight="1" s="131">
      <c r="A12" s="164" t="inlineStr">
        <is>
          <t>2026-06</t>
        </is>
      </c>
      <c r="B12" s="218" t="inlineStr">
        <is>
          <t>Engenharia Mecânica</t>
        </is>
      </c>
      <c r="C12" s="164" t="n">
        <v>166</v>
      </c>
      <c r="D12" s="179">
        <f>IFERROR(C12,"")</f>
        <v/>
      </c>
      <c r="E12" s="219" t="inlineStr">
        <is>
          <t>2026-08-10</t>
        </is>
      </c>
      <c r="F12" s="220" t="inlineStr">
        <is>
          <t>mateus.valentim@ivc.br</t>
        </is>
      </c>
      <c r="G12" s="221">
        <f>IF(COUNTA(A12:C12)=0,"",IF(C12&lt;0,"ERRO: matrícula negativa",IF(COUNTIFS($A$5:$A$1200,A12,$B$5:$B$1200,B12)&gt;1,"ERRO: período e curso duplicados","OK")))</f>
        <v/>
      </c>
    </row>
    <row r="13" ht="15" customHeight="1" s="131">
      <c r="A13" s="164" t="inlineStr">
        <is>
          <t>2026-07</t>
        </is>
      </c>
      <c r="B13" s="218" t="inlineStr">
        <is>
          <t>Administração</t>
        </is>
      </c>
      <c r="C13" s="164" t="n">
        <v>194</v>
      </c>
      <c r="D13" s="179">
        <f>IFERROR(C13,"")</f>
        <v/>
      </c>
      <c r="E13" s="219" t="inlineStr">
        <is>
          <t>2026-08-10</t>
        </is>
      </c>
      <c r="F13" s="220" t="inlineStr">
        <is>
          <t>mateus.valentim@ivc.br</t>
        </is>
      </c>
      <c r="G13" s="221">
        <f>IF(COUNTA(A13:C13)=0,"",IF(C13&lt;0,"ERRO: matrícula negativa",IF(COUNTIFS($A$5:$A$1200,A13,$B$5:$B$1200,B13)&gt;1,"ERRO: período e curso duplicados","OK")))</f>
        <v/>
      </c>
    </row>
    <row r="14" ht="15" customHeight="1" s="131">
      <c r="A14" s="164" t="inlineStr">
        <is>
          <t>2026-07</t>
        </is>
      </c>
      <c r="B14" s="218" t="inlineStr">
        <is>
          <t>Agronomia</t>
        </is>
      </c>
      <c r="C14" s="164" t="n">
        <v>117</v>
      </c>
      <c r="D14" s="179">
        <f>IFERROR(C14,"")</f>
        <v/>
      </c>
      <c r="E14" s="219" t="inlineStr">
        <is>
          <t>2026-08-10</t>
        </is>
      </c>
      <c r="F14" s="220" t="inlineStr">
        <is>
          <t>mateus.valentim@ivc.br</t>
        </is>
      </c>
      <c r="G14" s="221">
        <f>IF(COUNTA(A14:C14)=0,"",IF(C14&lt;0,"ERRO: matrícula negativa",IF(COUNTIFS($A$5:$A$1200,A14,$B$5:$B$1200,B14)&gt;1,"ERRO: período e curso duplicados","OK")))</f>
        <v/>
      </c>
    </row>
    <row r="15" ht="15" customHeight="1" s="131">
      <c r="A15" s="164" t="inlineStr">
        <is>
          <t>2026-07</t>
        </is>
      </c>
      <c r="B15" s="218" t="inlineStr">
        <is>
          <t>Análise e Desenvolvimento de Sistemas</t>
        </is>
      </c>
      <c r="C15" s="164" t="n">
        <v>235</v>
      </c>
      <c r="D15" s="179">
        <f>IFERROR(C15,"")</f>
        <v/>
      </c>
      <c r="E15" s="219" t="inlineStr">
        <is>
          <t>2026-08-10</t>
        </is>
      </c>
      <c r="F15" s="220" t="inlineStr">
        <is>
          <t>mateus.valentim@ivc.br</t>
        </is>
      </c>
      <c r="G15" s="221">
        <f>IF(COUNTA(A15:C15)=0,"",IF(C15&lt;0,"ERRO: matrícula negativa",IF(COUNTIFS($A$5:$A$1200,A15,$B$5:$B$1200,B15)&gt;1,"ERRO: período e curso duplicados","OK")))</f>
        <v/>
      </c>
    </row>
    <row r="16" ht="15" customHeight="1" s="131">
      <c r="A16" s="164" t="inlineStr">
        <is>
          <t>2026-07</t>
        </is>
      </c>
      <c r="B16" s="218" t="inlineStr">
        <is>
          <t>Ciências Contábeis</t>
        </is>
      </c>
      <c r="C16" s="164" t="n">
        <v>184</v>
      </c>
      <c r="D16" s="179">
        <f>IFERROR(C16,"")</f>
        <v/>
      </c>
      <c r="E16" s="219" t="inlineStr">
        <is>
          <t>2026-08-10</t>
        </is>
      </c>
      <c r="F16" s="220" t="inlineStr">
        <is>
          <t>mateus.valentim@ivc.br</t>
        </is>
      </c>
      <c r="G16" s="221">
        <f>IF(COUNTA(A16:C16)=0,"",IF(C16&lt;0,"ERRO: matrícula negativa",IF(COUNTIFS($A$5:$A$1200,A16,$B$5:$B$1200,B16)&gt;1,"ERRO: período e curso duplicados","OK")))</f>
        <v/>
      </c>
    </row>
    <row r="17" ht="15" customHeight="1" s="131">
      <c r="A17" s="164" t="inlineStr">
        <is>
          <t>2026-07</t>
        </is>
      </c>
      <c r="B17" s="218" t="inlineStr">
        <is>
          <t>Comunicação Social</t>
        </is>
      </c>
      <c r="C17" s="164" t="n">
        <v>100</v>
      </c>
      <c r="D17" s="179">
        <f>IFERROR(C17,"")</f>
        <v/>
      </c>
      <c r="E17" s="219" t="inlineStr">
        <is>
          <t>2026-08-10</t>
        </is>
      </c>
      <c r="F17" s="220" t="inlineStr">
        <is>
          <t>mateus.valentim@ivc.br</t>
        </is>
      </c>
      <c r="G17" s="221">
        <f>IF(COUNTA(A17:C17)=0,"",IF(C17&lt;0,"ERRO: matrícula negativa",IF(COUNTIFS($A$5:$A$1200,A17,$B$5:$B$1200,B17)&gt;1,"ERRO: período e curso duplicados","OK")))</f>
        <v/>
      </c>
    </row>
    <row r="18" ht="15" customHeight="1" s="131">
      <c r="A18" s="164" t="inlineStr">
        <is>
          <t>2026-07</t>
        </is>
      </c>
      <c r="B18" s="218" t="inlineStr">
        <is>
          <t>Direito</t>
        </is>
      </c>
      <c r="C18" s="164" t="n">
        <v>349</v>
      </c>
      <c r="D18" s="179">
        <f>IFERROR(C18,"")</f>
        <v/>
      </c>
      <c r="E18" s="219" t="inlineStr">
        <is>
          <t>2026-08-10</t>
        </is>
      </c>
      <c r="F18" s="220" t="inlineStr">
        <is>
          <t>mateus.valentim@ivc.br</t>
        </is>
      </c>
      <c r="G18" s="221">
        <f>IF(COUNTA(A18:C18)=0,"",IF(C18&lt;0,"ERRO: matrícula negativa",IF(COUNTIFS($A$5:$A$1200,A18,$B$5:$B$1200,B18)&gt;1,"ERRO: período e curso duplicados","OK")))</f>
        <v/>
      </c>
    </row>
    <row r="19" ht="15" customHeight="1" s="131">
      <c r="A19" s="164" t="inlineStr">
        <is>
          <t>2026-07</t>
        </is>
      </c>
      <c r="B19" s="218" t="inlineStr">
        <is>
          <t>Engenharia de Produção</t>
        </is>
      </c>
      <c r="C19" s="164" t="n">
        <v>143</v>
      </c>
      <c r="D19" s="179">
        <f>IFERROR(C19,"")</f>
        <v/>
      </c>
      <c r="E19" s="219" t="inlineStr">
        <is>
          <t>2026-08-10</t>
        </is>
      </c>
      <c r="F19" s="220" t="inlineStr">
        <is>
          <t>mateus.valentim@ivc.br</t>
        </is>
      </c>
      <c r="G19" s="221">
        <f>IF(COUNTA(A19:C19)=0,"",IF(C19&lt;0,"ERRO: matrícula negativa",IF(COUNTIFS($A$5:$A$1200,A19,$B$5:$B$1200,B19)&gt;1,"ERRO: período e curso duplicados","OK")))</f>
        <v/>
      </c>
    </row>
    <row r="20" ht="15" customHeight="1" s="131">
      <c r="A20" s="164" t="inlineStr">
        <is>
          <t>2026-07</t>
        </is>
      </c>
      <c r="B20" s="218" t="inlineStr">
        <is>
          <t>Engenharia Mecânica</t>
        </is>
      </c>
      <c r="C20" s="164" t="n">
        <v>161</v>
      </c>
      <c r="D20" s="179">
        <f>IFERROR(C20,"")</f>
        <v/>
      </c>
      <c r="E20" s="219" t="inlineStr">
        <is>
          <t>2026-08-10</t>
        </is>
      </c>
      <c r="F20" s="220" t="inlineStr">
        <is>
          <t>mateus.valentim@ivc.br</t>
        </is>
      </c>
      <c r="G20" s="221">
        <f>IF(COUNTA(A20:C20)=0,"",IF(C20&lt;0,"ERRO: matrícula negativa",IF(COUNTIFS($A$5:$A$1200,A20,$B$5:$B$1200,B20)&gt;1,"ERRO: período e curso duplicados","OK")))</f>
        <v/>
      </c>
    </row>
    <row r="21" ht="15" customHeight="1" s="131">
      <c r="A21" s="164" t="inlineStr">
        <is>
          <t>2026-08</t>
        </is>
      </c>
      <c r="B21" s="218" t="inlineStr">
        <is>
          <t>Administração</t>
        </is>
      </c>
      <c r="C21" s="164" t="n">
        <v>191</v>
      </c>
      <c r="D21" s="179">
        <f>IFERROR(C21,"")</f>
        <v/>
      </c>
      <c r="E21" s="219" t="inlineStr">
        <is>
          <t>2026-08-10</t>
        </is>
      </c>
      <c r="F21" s="220" t="inlineStr">
        <is>
          <t>mateus.valentim@ivc.br</t>
        </is>
      </c>
      <c r="G21" s="221">
        <f>IF(COUNTA(A21:C21)=0,"",IF(C21&lt;0,"ERRO: matrícula negativa",IF(COUNTIFS($A$5:$A$1200,A21,$B$5:$B$1200,B21)&gt;1,"ERRO: período e curso duplicados","OK")))</f>
        <v/>
      </c>
    </row>
    <row r="22" ht="15" customHeight="1" s="131">
      <c r="A22" s="164" t="inlineStr">
        <is>
          <t>2026-08</t>
        </is>
      </c>
      <c r="B22" s="218" t="inlineStr">
        <is>
          <t>Agronomia</t>
        </is>
      </c>
      <c r="C22" s="164" t="n">
        <v>116</v>
      </c>
      <c r="D22" s="179">
        <f>IFERROR(C22,"")</f>
        <v/>
      </c>
      <c r="E22" s="219" t="inlineStr">
        <is>
          <t>2026-08-10</t>
        </is>
      </c>
      <c r="F22" s="220" t="inlineStr">
        <is>
          <t>mateus.valentim@ivc.br</t>
        </is>
      </c>
      <c r="G22" s="221">
        <f>IF(COUNTA(A22:C22)=0,"",IF(C22&lt;0,"ERRO: matrícula negativa",IF(COUNTIFS($A$5:$A$1200,A22,$B$5:$B$1200,B22)&gt;1,"ERRO: período e curso duplicados","OK")))</f>
        <v/>
      </c>
    </row>
    <row r="23" ht="15" customHeight="1" s="131">
      <c r="A23" s="164" t="inlineStr">
        <is>
          <t>2026-08</t>
        </is>
      </c>
      <c r="B23" s="218" t="inlineStr">
        <is>
          <t>Análise e Desenvolvimento de Sistemas</t>
        </is>
      </c>
      <c r="C23" s="164" t="n">
        <v>237</v>
      </c>
      <c r="D23" s="179">
        <f>IFERROR(C23,"")</f>
        <v/>
      </c>
      <c r="E23" s="219" t="inlineStr">
        <is>
          <t>2026-08-10</t>
        </is>
      </c>
      <c r="F23" s="220" t="inlineStr">
        <is>
          <t>mateus.valentim@ivc.br</t>
        </is>
      </c>
      <c r="G23" s="221">
        <f>IF(COUNTA(A23:C23)=0,"",IF(C23&lt;0,"ERRO: matrícula negativa",IF(COUNTIFS($A$5:$A$1200,A23,$B$5:$B$1200,B23)&gt;1,"ERRO: período e curso duplicados","OK")))</f>
        <v/>
      </c>
    </row>
    <row r="24" ht="15" customHeight="1" s="131">
      <c r="A24" s="164" t="inlineStr">
        <is>
          <t>2026-08</t>
        </is>
      </c>
      <c r="B24" s="218" t="inlineStr">
        <is>
          <t>Ciências Contábeis</t>
        </is>
      </c>
      <c r="C24" s="164" t="n">
        <v>182</v>
      </c>
      <c r="D24" s="179">
        <f>IFERROR(C24,"")</f>
        <v/>
      </c>
      <c r="E24" s="219" t="inlineStr">
        <is>
          <t>2026-08-10</t>
        </is>
      </c>
      <c r="F24" s="220" t="inlineStr">
        <is>
          <t>mateus.valentim@ivc.br</t>
        </is>
      </c>
      <c r="G24" s="221">
        <f>IF(COUNTA(A24:C24)=0,"",IF(C24&lt;0,"ERRO: matrícula negativa",IF(COUNTIFS($A$5:$A$1200,A24,$B$5:$B$1200,B24)&gt;1,"ERRO: período e curso duplicados","OK")))</f>
        <v/>
      </c>
    </row>
    <row r="25" ht="15" customHeight="1" s="131">
      <c r="A25" s="164" t="inlineStr">
        <is>
          <t>2026-08</t>
        </is>
      </c>
      <c r="B25" s="218" t="inlineStr">
        <is>
          <t>Comunicação Social</t>
        </is>
      </c>
      <c r="C25" s="164" t="n">
        <v>100</v>
      </c>
      <c r="D25" s="179">
        <f>IFERROR(C25,"")</f>
        <v/>
      </c>
      <c r="E25" s="219" t="inlineStr">
        <is>
          <t>2026-08-10</t>
        </is>
      </c>
      <c r="F25" s="220" t="inlineStr">
        <is>
          <t>mateus.valentim@ivc.br</t>
        </is>
      </c>
      <c r="G25" s="221">
        <f>IF(COUNTA(A25:C25)=0,"",IF(C25&lt;0,"ERRO: matrícula negativa",IF(COUNTIFS($A$5:$A$1200,A25,$B$5:$B$1200,B25)&gt;1,"ERRO: período e curso duplicados","OK")))</f>
        <v/>
      </c>
    </row>
    <row r="26" ht="15" customHeight="1" s="131">
      <c r="A26" s="164" t="inlineStr">
        <is>
          <t>2026-08</t>
        </is>
      </c>
      <c r="B26" s="218" t="inlineStr">
        <is>
          <t>Direito</t>
        </is>
      </c>
      <c r="C26" s="164" t="n">
        <v>348</v>
      </c>
      <c r="D26" s="179">
        <f>IFERROR(C26,"")</f>
        <v/>
      </c>
      <c r="E26" s="219" t="inlineStr">
        <is>
          <t>2026-08-10</t>
        </is>
      </c>
      <c r="F26" s="220" t="inlineStr">
        <is>
          <t>mateus.valentim@ivc.br</t>
        </is>
      </c>
      <c r="G26" s="221">
        <f>IF(COUNTA(A26:C26)=0,"",IF(C26&lt;0,"ERRO: matrícula negativa",IF(COUNTIFS($A$5:$A$1200,A26,$B$5:$B$1200,B26)&gt;1,"ERRO: período e curso duplicados","OK")))</f>
        <v/>
      </c>
    </row>
    <row r="27" ht="15" customHeight="1" s="131">
      <c r="A27" s="164" t="inlineStr">
        <is>
          <t>2026-08</t>
        </is>
      </c>
      <c r="B27" s="218" t="inlineStr">
        <is>
          <t>Engenharia de Produção</t>
        </is>
      </c>
      <c r="C27" s="164" t="n">
        <v>140</v>
      </c>
      <c r="D27" s="179">
        <f>IFERROR(C27,"")</f>
        <v/>
      </c>
      <c r="E27" s="219" t="inlineStr">
        <is>
          <t>2026-08-10</t>
        </is>
      </c>
      <c r="F27" s="220" t="inlineStr">
        <is>
          <t>mateus.valentim@ivc.br</t>
        </is>
      </c>
      <c r="G27" s="221">
        <f>IF(COUNTA(A27:C27)=0,"",IF(C27&lt;0,"ERRO: matrícula negativa",IF(COUNTIFS($A$5:$A$1200,A27,$B$5:$B$1200,B27)&gt;1,"ERRO: período e curso duplicados","OK")))</f>
        <v/>
      </c>
    </row>
    <row r="28" ht="15" customHeight="1" s="131">
      <c r="A28" s="164" t="inlineStr">
        <is>
          <t>2026-08</t>
        </is>
      </c>
      <c r="B28" s="218" t="inlineStr">
        <is>
          <t>Engenharia Mecânica</t>
        </is>
      </c>
      <c r="C28" s="164" t="n">
        <v>159</v>
      </c>
      <c r="D28" s="179">
        <f>IFERROR(C28,"")</f>
        <v/>
      </c>
      <c r="E28" s="219" t="inlineStr">
        <is>
          <t>2026-08-10</t>
        </is>
      </c>
      <c r="F28" s="220" t="inlineStr">
        <is>
          <t>mateus.valentim@ivc.br</t>
        </is>
      </c>
      <c r="G28" s="221">
        <f>IF(COUNTA(A28:C28)=0,"",IF(C28&lt;0,"ERRO: matrícula negativa",IF(COUNTIFS($A$5:$A$1200,A28,$B$5:$B$1200,B28)&gt;1,"ERRO: período e curso duplicados","OK")))</f>
        <v/>
      </c>
    </row>
    <row r="29" ht="15" customHeight="1" s="131">
      <c r="A29" s="164" t="n"/>
      <c r="B29" s="218" t="n"/>
      <c r="C29" s="164" t="n"/>
      <c r="D29" s="179">
        <f>IFERROR(C29,"")</f>
        <v/>
      </c>
      <c r="E29" s="219" t="n"/>
      <c r="F29" s="220" t="n"/>
      <c r="G29" s="221">
        <f>IF(COUNTA(A29:C29)=0,"",IF(C29&lt;0,"ERRO: matrícula negativa",IF(COUNTIFS($A$5:$A$1200,A29,$B$5:$B$1200,B29)&gt;1,"ERRO: período e curso duplicados","OK")))</f>
        <v/>
      </c>
    </row>
    <row r="30" ht="15" customHeight="1" s="131">
      <c r="A30" s="164" t="n"/>
      <c r="B30" s="218" t="n"/>
      <c r="C30" s="164" t="n"/>
      <c r="D30" s="179">
        <f>IFERROR(C30,"")</f>
        <v/>
      </c>
      <c r="E30" s="219" t="n"/>
      <c r="F30" s="220" t="n"/>
      <c r="G30" s="221">
        <f>IF(COUNTA(A30:C30)=0,"",IF(C30&lt;0,"ERRO: matrícula negativa",IF(COUNTIFS($A$5:$A$1200,A30,$B$5:$B$1200,B30)&gt;1,"ERRO: período e curso duplicados","OK")))</f>
        <v/>
      </c>
    </row>
    <row r="31" ht="15" customHeight="1" s="131">
      <c r="A31" s="164" t="n"/>
      <c r="B31" s="218" t="n"/>
      <c r="C31" s="164" t="n"/>
      <c r="D31" s="179">
        <f>IFERROR(C31,"")</f>
        <v/>
      </c>
      <c r="E31" s="219" t="n"/>
      <c r="F31" s="220" t="n"/>
      <c r="G31" s="221">
        <f>IF(COUNTA(A31:C31)=0,"",IF(C31&lt;0,"ERRO: matrícula negativa",IF(COUNTIFS($A$5:$A$1200,A31,$B$5:$B$1200,B31)&gt;1,"ERRO: período e curso duplicados","OK")))</f>
        <v/>
      </c>
    </row>
    <row r="32" ht="15" customHeight="1" s="131">
      <c r="A32" s="220" t="n"/>
      <c r="B32" s="222" t="n"/>
      <c r="C32" s="220" t="n"/>
      <c r="D32" s="179">
        <f>IFERROR(C32,"")</f>
        <v/>
      </c>
      <c r="E32" s="219" t="n"/>
      <c r="F32" s="220" t="n"/>
      <c r="G32" s="221">
        <f>IF(COUNTA(A32:C32)=0,"",IF(C32&lt;0,"ERRO: matrícula negativa",IF(COUNTIFS($A$5:$A$1200,A32,$B$5:$B$1200,B32)&gt;1,"ERRO: período e curso duplicados","OK")))</f>
        <v/>
      </c>
    </row>
    <row r="33" ht="15" customHeight="1" s="131">
      <c r="A33" s="220" t="n"/>
      <c r="B33" s="222" t="n"/>
      <c r="C33" s="220" t="n"/>
      <c r="D33" s="179">
        <f>IFERROR(C33,"")</f>
        <v/>
      </c>
      <c r="E33" s="219" t="n"/>
      <c r="F33" s="220" t="n"/>
      <c r="G33" s="221">
        <f>IF(COUNTA(A33:C33)=0,"",IF(C33&lt;0,"ERRO: matrícula negativa",IF(COUNTIFS($A$5:$A$1200,A33,$B$5:$B$1200,B33)&gt;1,"ERRO: período e curso duplicados","OK")))</f>
        <v/>
      </c>
    </row>
    <row r="34" ht="15" customHeight="1" s="131">
      <c r="A34" s="220" t="n"/>
      <c r="B34" s="222" t="n"/>
      <c r="C34" s="220" t="n"/>
      <c r="D34" s="179">
        <f>IFERROR(C34,"")</f>
        <v/>
      </c>
      <c r="E34" s="219" t="n"/>
      <c r="F34" s="220" t="n"/>
      <c r="G34" s="221">
        <f>IF(COUNTA(A34:C34)=0,"",IF(C34&lt;0,"ERRO: matrícula negativa",IF(COUNTIFS($A$5:$A$1200,A34,$B$5:$B$1200,B34)&gt;1,"ERRO: período e curso duplicados","OK")))</f>
        <v/>
      </c>
    </row>
    <row r="35" ht="15" customHeight="1" s="131">
      <c r="A35" s="220" t="n"/>
      <c r="B35" s="222" t="n"/>
      <c r="C35" s="220" t="n"/>
      <c r="D35" s="179">
        <f>IFERROR(C35,"")</f>
        <v/>
      </c>
      <c r="E35" s="219" t="n"/>
      <c r="F35" s="220" t="n"/>
      <c r="G35" s="221">
        <f>IF(COUNTA(A35:C35)=0,"",IF(C35&lt;0,"ERRO: matrícula negativa",IF(COUNTIFS($A$5:$A$1200,A35,$B$5:$B$1200,B35)&gt;1,"ERRO: período e curso duplicados","OK")))</f>
        <v/>
      </c>
    </row>
    <row r="36" ht="15" customHeight="1" s="131">
      <c r="A36" s="220" t="n"/>
      <c r="B36" s="222" t="n"/>
      <c r="C36" s="220" t="n"/>
      <c r="D36" s="179">
        <f>IFERROR(C36,"")</f>
        <v/>
      </c>
      <c r="E36" s="219" t="n"/>
      <c r="F36" s="220" t="n"/>
      <c r="G36" s="221">
        <f>IF(COUNTA(A36:C36)=0,"",IF(C36&lt;0,"ERRO: matrícula negativa",IF(COUNTIFS($A$5:$A$1200,A36,$B$5:$B$1200,B36)&gt;1,"ERRO: período e curso duplicados","OK")))</f>
        <v/>
      </c>
    </row>
    <row r="37" ht="15" customHeight="1" s="131">
      <c r="A37" s="220" t="n"/>
      <c r="B37" s="222" t="n"/>
      <c r="C37" s="220" t="n"/>
      <c r="D37" s="179">
        <f>IFERROR(C37,"")</f>
        <v/>
      </c>
      <c r="E37" s="219" t="n"/>
      <c r="F37" s="220" t="n"/>
      <c r="G37" s="221">
        <f>IF(COUNTA(A37:C37)=0,"",IF(C37&lt;0,"ERRO: matrícula negativa",IF(COUNTIFS($A$5:$A$1200,A37,$B$5:$B$1200,B37)&gt;1,"ERRO: período e curso duplicados","OK")))</f>
        <v/>
      </c>
    </row>
    <row r="38" ht="15" customHeight="1" s="131">
      <c r="A38" s="220" t="n"/>
      <c r="B38" s="222" t="n"/>
      <c r="C38" s="220" t="n"/>
      <c r="D38" s="179">
        <f>IFERROR(C38,"")</f>
        <v/>
      </c>
      <c r="E38" s="219" t="n"/>
      <c r="F38" s="220" t="n"/>
      <c r="G38" s="221">
        <f>IF(COUNTA(A38:C38)=0,"",IF(C38&lt;0,"ERRO: matrícula negativa",IF(COUNTIFS($A$5:$A$1200,A38,$B$5:$B$1200,B38)&gt;1,"ERRO: período e curso duplicados","OK")))</f>
        <v/>
      </c>
    </row>
    <row r="39" ht="15" customHeight="1" s="131">
      <c r="A39" s="220" t="n"/>
      <c r="B39" s="222" t="n"/>
      <c r="C39" s="220" t="n"/>
      <c r="D39" s="179">
        <f>IFERROR(C39,"")</f>
        <v/>
      </c>
      <c r="E39" s="219" t="n"/>
      <c r="F39" s="220" t="n"/>
      <c r="G39" s="221">
        <f>IF(COUNTA(A39:C39)=0,"",IF(C39&lt;0,"ERRO: matrícula negativa",IF(COUNTIFS($A$5:$A$1200,A39,$B$5:$B$1200,B39)&gt;1,"ERRO: período e curso duplicados","OK")))</f>
        <v/>
      </c>
    </row>
    <row r="40" ht="15" customHeight="1" s="131">
      <c r="A40" s="220" t="n"/>
      <c r="B40" s="222" t="n"/>
      <c r="C40" s="220" t="n"/>
      <c r="D40" s="179">
        <f>IFERROR(C40,"")</f>
        <v/>
      </c>
      <c r="E40" s="219" t="n"/>
      <c r="F40" s="220" t="n"/>
      <c r="G40" s="221">
        <f>IF(COUNTA(A40:C40)=0,"",IF(C40&lt;0,"ERRO: matrícula negativa",IF(COUNTIFS($A$5:$A$1200,A40,$B$5:$B$1200,B40)&gt;1,"ERRO: período e curso duplicados","OK")))</f>
        <v/>
      </c>
    </row>
    <row r="41" ht="15" customHeight="1" s="131">
      <c r="A41" s="220" t="n"/>
      <c r="B41" s="222" t="n"/>
      <c r="C41" s="220" t="n"/>
      <c r="D41" s="179">
        <f>IFERROR(C41,"")</f>
        <v/>
      </c>
      <c r="E41" s="219" t="n"/>
      <c r="F41" s="220" t="n"/>
      <c r="G41" s="221">
        <f>IF(COUNTA(A41:C41)=0,"",IF(C41&lt;0,"ERRO: matrícula negativa",IF(COUNTIFS($A$5:$A$1200,A41,$B$5:$B$1200,B41)&gt;1,"ERRO: período e curso duplicados","OK")))</f>
        <v/>
      </c>
    </row>
    <row r="42" ht="15" customHeight="1" s="131">
      <c r="A42" s="220" t="n"/>
      <c r="B42" s="222" t="n"/>
      <c r="C42" s="220" t="n"/>
      <c r="D42" s="179">
        <f>IFERROR(C42,"")</f>
        <v/>
      </c>
      <c r="E42" s="219" t="n"/>
      <c r="F42" s="220" t="n"/>
      <c r="G42" s="221">
        <f>IF(COUNTA(A42:C42)=0,"",IF(C42&lt;0,"ERRO: matrícula negativa",IF(COUNTIFS($A$5:$A$1200,A42,$B$5:$B$1200,B42)&gt;1,"ERRO: período e curso duplicados","OK")))</f>
        <v/>
      </c>
    </row>
    <row r="43" ht="15" customHeight="1" s="131">
      <c r="A43" s="220" t="n"/>
      <c r="B43" s="222" t="n"/>
      <c r="C43" s="220" t="n"/>
      <c r="D43" s="179">
        <f>IFERROR(C43,"")</f>
        <v/>
      </c>
      <c r="E43" s="219" t="n"/>
      <c r="F43" s="220" t="n"/>
      <c r="G43" s="221">
        <f>IF(COUNTA(A43:C43)=0,"",IF(C43&lt;0,"ERRO: matrícula negativa",IF(COUNTIFS($A$5:$A$1200,A43,$B$5:$B$1200,B43)&gt;1,"ERRO: período e curso duplicados","OK")))</f>
        <v/>
      </c>
    </row>
    <row r="44" ht="15" customHeight="1" s="131">
      <c r="A44" s="220" t="n"/>
      <c r="B44" s="222" t="n"/>
      <c r="C44" s="220" t="n"/>
      <c r="D44" s="179">
        <f>IFERROR(C44,"")</f>
        <v/>
      </c>
      <c r="E44" s="219" t="n"/>
      <c r="F44" s="220" t="n"/>
      <c r="G44" s="221">
        <f>IF(COUNTA(A44:C44)=0,"",IF(C44&lt;0,"ERRO: matrícula negativa",IF(COUNTIFS($A$5:$A$1200,A44,$B$5:$B$1200,B44)&gt;1,"ERRO: período e curso duplicados","OK")))</f>
        <v/>
      </c>
    </row>
    <row r="45" ht="15" customHeight="1" s="131">
      <c r="A45" s="220" t="n"/>
      <c r="B45" s="222" t="n"/>
      <c r="C45" s="220" t="n"/>
      <c r="D45" s="179">
        <f>IFERROR(C45,"")</f>
        <v/>
      </c>
      <c r="E45" s="219" t="n"/>
      <c r="F45" s="220" t="n"/>
      <c r="G45" s="221">
        <f>IF(COUNTA(A45:C45)=0,"",IF(C45&lt;0,"ERRO: matrícula negativa",IF(COUNTIFS($A$5:$A$1200,A45,$B$5:$B$1200,B45)&gt;1,"ERRO: período e curso duplicados","OK")))</f>
        <v/>
      </c>
    </row>
    <row r="46" ht="15" customHeight="1" s="131">
      <c r="A46" s="220" t="n"/>
      <c r="B46" s="222" t="n"/>
      <c r="C46" s="220" t="n"/>
      <c r="D46" s="179">
        <f>IFERROR(C46,"")</f>
        <v/>
      </c>
      <c r="E46" s="219" t="n"/>
      <c r="F46" s="220" t="n"/>
      <c r="G46" s="221">
        <f>IF(COUNTA(A46:C46)=0,"",IF(C46&lt;0,"ERRO: matrícula negativa",IF(COUNTIFS($A$5:$A$1200,A46,$B$5:$B$1200,B46)&gt;1,"ERRO: período e curso duplicados","OK")))</f>
        <v/>
      </c>
    </row>
    <row r="47" ht="15" customHeight="1" s="131">
      <c r="A47" s="220" t="n"/>
      <c r="B47" s="222" t="n"/>
      <c r="C47" s="220" t="n"/>
      <c r="D47" s="179">
        <f>IFERROR(C47,"")</f>
        <v/>
      </c>
      <c r="E47" s="219" t="n"/>
      <c r="F47" s="220" t="n"/>
      <c r="G47" s="221">
        <f>IF(COUNTA(A47:C47)=0,"",IF(C47&lt;0,"ERRO: matrícula negativa",IF(COUNTIFS($A$5:$A$1200,A47,$B$5:$B$1200,B47)&gt;1,"ERRO: período e curso duplicados","OK")))</f>
        <v/>
      </c>
    </row>
    <row r="48" ht="15" customHeight="1" s="131">
      <c r="A48" s="220" t="n"/>
      <c r="B48" s="222" t="n"/>
      <c r="C48" s="220" t="n"/>
      <c r="D48" s="179">
        <f>IFERROR(C48,"")</f>
        <v/>
      </c>
      <c r="E48" s="219" t="n"/>
      <c r="F48" s="220" t="n"/>
      <c r="G48" s="221">
        <f>IF(COUNTA(A48:C48)=0,"",IF(C48&lt;0,"ERRO: matrícula negativa",IF(COUNTIFS($A$5:$A$1200,A48,$B$5:$B$1200,B48)&gt;1,"ERRO: período e curso duplicados","OK")))</f>
        <v/>
      </c>
    </row>
    <row r="49" ht="15" customHeight="1" s="131">
      <c r="A49" s="220" t="n"/>
      <c r="B49" s="222" t="n"/>
      <c r="C49" s="220" t="n"/>
      <c r="D49" s="179">
        <f>IFERROR(C49,"")</f>
        <v/>
      </c>
      <c r="E49" s="219" t="n"/>
      <c r="F49" s="220" t="n"/>
      <c r="G49" s="221">
        <f>IF(COUNTA(A49:C49)=0,"",IF(C49&lt;0,"ERRO: matrícula negativa",IF(COUNTIFS($A$5:$A$1200,A49,$B$5:$B$1200,B49)&gt;1,"ERRO: período e curso duplicados","OK")))</f>
        <v/>
      </c>
    </row>
    <row r="50" ht="15" customHeight="1" s="131">
      <c r="A50" s="220" t="n"/>
      <c r="B50" s="222" t="n"/>
      <c r="C50" s="220" t="n"/>
      <c r="D50" s="179">
        <f>IFERROR(C50,"")</f>
        <v/>
      </c>
      <c r="E50" s="219" t="n"/>
      <c r="F50" s="220" t="n"/>
      <c r="G50" s="221">
        <f>IF(COUNTA(A50:C50)=0,"",IF(C50&lt;0,"ERRO: matrícula negativa",IF(COUNTIFS($A$5:$A$1200,A50,$B$5:$B$1200,B50)&gt;1,"ERRO: período e curso duplicados","OK")))</f>
        <v/>
      </c>
    </row>
    <row r="51" ht="15" customHeight="1" s="131">
      <c r="A51" s="220" t="n"/>
      <c r="B51" s="222" t="n"/>
      <c r="C51" s="220" t="n"/>
      <c r="D51" s="179">
        <f>IFERROR(C51,"")</f>
        <v/>
      </c>
      <c r="E51" s="219" t="n"/>
      <c r="F51" s="220" t="n"/>
      <c r="G51" s="221">
        <f>IF(COUNTA(A51:C51)=0,"",IF(C51&lt;0,"ERRO: matrícula negativa",IF(COUNTIFS($A$5:$A$1200,A51,$B$5:$B$1200,B51)&gt;1,"ERRO: período e curso duplicados","OK")))</f>
        <v/>
      </c>
    </row>
    <row r="52" ht="15" customHeight="1" s="131">
      <c r="A52" s="220" t="n"/>
      <c r="B52" s="222" t="n"/>
      <c r="C52" s="220" t="n"/>
      <c r="D52" s="179">
        <f>IFERROR(C52,"")</f>
        <v/>
      </c>
      <c r="E52" s="219" t="n"/>
      <c r="F52" s="220" t="n"/>
      <c r="G52" s="221">
        <f>IF(COUNTA(A52:C52)=0,"",IF(C52&lt;0,"ERRO: matrícula negativa",IF(COUNTIFS($A$5:$A$1200,A52,$B$5:$B$1200,B52)&gt;1,"ERRO: período e curso duplicados","OK")))</f>
        <v/>
      </c>
    </row>
    <row r="53" ht="15" customHeight="1" s="131">
      <c r="A53" s="220" t="n"/>
      <c r="B53" s="222" t="n"/>
      <c r="C53" s="220" t="n"/>
      <c r="D53" s="179">
        <f>IFERROR(C53,"")</f>
        <v/>
      </c>
      <c r="E53" s="219" t="n"/>
      <c r="F53" s="220" t="n"/>
      <c r="G53" s="221">
        <f>IF(COUNTA(A53:C53)=0,"",IF(C53&lt;0,"ERRO: matrícula negativa",IF(COUNTIFS($A$5:$A$1200,A53,$B$5:$B$1200,B53)&gt;1,"ERRO: período e curso duplicados","OK")))</f>
        <v/>
      </c>
    </row>
    <row r="54" ht="15" customHeight="1" s="131">
      <c r="A54" s="220" t="n"/>
      <c r="B54" s="222" t="n"/>
      <c r="C54" s="220" t="n"/>
      <c r="D54" s="179">
        <f>IFERROR(C54,"")</f>
        <v/>
      </c>
      <c r="E54" s="219" t="n"/>
      <c r="F54" s="220" t="n"/>
      <c r="G54" s="221">
        <f>IF(COUNTA(A54:C54)=0,"",IF(C54&lt;0,"ERRO: matrícula negativa",IF(COUNTIFS($A$5:$A$1200,A54,$B$5:$B$1200,B54)&gt;1,"ERRO: período e curso duplicados","OK")))</f>
        <v/>
      </c>
    </row>
    <row r="55" ht="15" customHeight="1" s="131">
      <c r="A55" s="220" t="n"/>
      <c r="B55" s="222" t="n"/>
      <c r="C55" s="220" t="n"/>
      <c r="D55" s="179">
        <f>IFERROR(C55,"")</f>
        <v/>
      </c>
      <c r="E55" s="219" t="n"/>
      <c r="F55" s="220" t="n"/>
      <c r="G55" s="221">
        <f>IF(COUNTA(A55:C55)=0,"",IF(C55&lt;0,"ERRO: matrícula negativa",IF(COUNTIFS($A$5:$A$1200,A55,$B$5:$B$1200,B55)&gt;1,"ERRO: período e curso duplicados","OK")))</f>
        <v/>
      </c>
    </row>
    <row r="56" ht="15" customHeight="1" s="131">
      <c r="A56" s="220" t="n"/>
      <c r="B56" s="222" t="n"/>
      <c r="C56" s="220" t="n"/>
      <c r="D56" s="179">
        <f>IFERROR(C56,"")</f>
        <v/>
      </c>
      <c r="E56" s="219" t="n"/>
      <c r="F56" s="220" t="n"/>
      <c r="G56" s="221">
        <f>IF(COUNTA(A56:C56)=0,"",IF(C56&lt;0,"ERRO: matrícula negativa",IF(COUNTIFS($A$5:$A$1200,A56,$B$5:$B$1200,B56)&gt;1,"ERRO: período e curso duplicados","OK")))</f>
        <v/>
      </c>
    </row>
    <row r="57" ht="15" customHeight="1" s="131">
      <c r="A57" s="220" t="n"/>
      <c r="B57" s="222" t="n"/>
      <c r="C57" s="220" t="n"/>
      <c r="D57" s="179">
        <f>IFERROR(C57,"")</f>
        <v/>
      </c>
      <c r="E57" s="219" t="n"/>
      <c r="F57" s="220" t="n"/>
      <c r="G57" s="221">
        <f>IF(COUNTA(A57:C57)=0,"",IF(C57&lt;0,"ERRO: matrícula negativa",IF(COUNTIFS($A$5:$A$1200,A57,$B$5:$B$1200,B57)&gt;1,"ERRO: período e curso duplicados","OK")))</f>
        <v/>
      </c>
    </row>
    <row r="58" ht="15" customHeight="1" s="131">
      <c r="A58" s="220" t="n"/>
      <c r="B58" s="222" t="n"/>
      <c r="C58" s="220" t="n"/>
      <c r="D58" s="179">
        <f>IFERROR(C58,"")</f>
        <v/>
      </c>
      <c r="E58" s="219" t="n"/>
      <c r="F58" s="220" t="n"/>
      <c r="G58" s="221">
        <f>IF(COUNTA(A58:C58)=0,"",IF(C58&lt;0,"ERRO: matrícula negativa",IF(COUNTIFS($A$5:$A$1200,A58,$B$5:$B$1200,B58)&gt;1,"ERRO: período e curso duplicados","OK")))</f>
        <v/>
      </c>
    </row>
    <row r="59" ht="15" customHeight="1" s="131">
      <c r="A59" s="220" t="n"/>
      <c r="B59" s="222" t="n"/>
      <c r="C59" s="220" t="n"/>
      <c r="D59" s="179">
        <f>IFERROR(C59,"")</f>
        <v/>
      </c>
      <c r="E59" s="219" t="n"/>
      <c r="F59" s="220" t="n"/>
      <c r="G59" s="221">
        <f>IF(COUNTA(A59:C59)=0,"",IF(C59&lt;0,"ERRO: matrícula negativa",IF(COUNTIFS($A$5:$A$1200,A59,$B$5:$B$1200,B59)&gt;1,"ERRO: período e curso duplicados","OK")))</f>
        <v/>
      </c>
    </row>
    <row r="60" ht="15" customHeight="1" s="131">
      <c r="A60" s="220" t="n"/>
      <c r="B60" s="222" t="n"/>
      <c r="C60" s="220" t="n"/>
      <c r="D60" s="179">
        <f>IFERROR(C60,"")</f>
        <v/>
      </c>
      <c r="E60" s="219" t="n"/>
      <c r="F60" s="220" t="n"/>
      <c r="G60" s="221">
        <f>IF(COUNTA(A60:C60)=0,"",IF(C60&lt;0,"ERRO: matrícula negativa",IF(COUNTIFS($A$5:$A$1200,A60,$B$5:$B$1200,B60)&gt;1,"ERRO: período e curso duplicados","OK")))</f>
        <v/>
      </c>
    </row>
    <row r="61" ht="15" customHeight="1" s="131">
      <c r="A61" s="220" t="n"/>
      <c r="B61" s="222" t="n"/>
      <c r="C61" s="220" t="n"/>
      <c r="D61" s="179">
        <f>IFERROR(C61,"")</f>
        <v/>
      </c>
      <c r="E61" s="219" t="n"/>
      <c r="F61" s="220" t="n"/>
      <c r="G61" s="221">
        <f>IF(COUNTA(A61:C61)=0,"",IF(C61&lt;0,"ERRO: matrícula negativa",IF(COUNTIFS($A$5:$A$1200,A61,$B$5:$B$1200,B61)&gt;1,"ERRO: período e curso duplicados","OK")))</f>
        <v/>
      </c>
    </row>
    <row r="62" ht="15" customHeight="1" s="131">
      <c r="A62" s="220" t="n"/>
      <c r="B62" s="222" t="n"/>
      <c r="C62" s="220" t="n"/>
      <c r="D62" s="179">
        <f>IFERROR(C62,"")</f>
        <v/>
      </c>
      <c r="E62" s="219" t="n"/>
      <c r="F62" s="220" t="n"/>
      <c r="G62" s="221">
        <f>IF(COUNTA(A62:C62)=0,"",IF(C62&lt;0,"ERRO: matrícula negativa",IF(COUNTIFS($A$5:$A$1200,A62,$B$5:$B$1200,B62)&gt;1,"ERRO: período e curso duplicados","OK")))</f>
        <v/>
      </c>
    </row>
    <row r="63" ht="15" customHeight="1" s="131">
      <c r="A63" s="220" t="n"/>
      <c r="B63" s="222" t="n"/>
      <c r="C63" s="220" t="n"/>
      <c r="D63" s="179">
        <f>IFERROR(C63,"")</f>
        <v/>
      </c>
      <c r="E63" s="219" t="n"/>
      <c r="F63" s="220" t="n"/>
      <c r="G63" s="221">
        <f>IF(COUNTA(A63:C63)=0,"",IF(C63&lt;0,"ERRO: matrícula negativa",IF(COUNTIFS($A$5:$A$1200,A63,$B$5:$B$1200,B63)&gt;1,"ERRO: período e curso duplicados","OK")))</f>
        <v/>
      </c>
    </row>
    <row r="64" ht="15" customHeight="1" s="131">
      <c r="A64" s="220" t="n"/>
      <c r="B64" s="222" t="n"/>
      <c r="C64" s="220" t="n"/>
      <c r="D64" s="179">
        <f>IFERROR(C64,"")</f>
        <v/>
      </c>
      <c r="E64" s="219" t="n"/>
      <c r="F64" s="220" t="n"/>
      <c r="G64" s="221">
        <f>IF(COUNTA(A64:C64)=0,"",IF(C64&lt;0,"ERRO: matrícula negativa",IF(COUNTIFS($A$5:$A$1200,A64,$B$5:$B$1200,B64)&gt;1,"ERRO: período e curso duplicados","OK")))</f>
        <v/>
      </c>
    </row>
    <row r="65" ht="15" customHeight="1" s="131">
      <c r="A65" s="220" t="n"/>
      <c r="B65" s="222" t="n"/>
      <c r="C65" s="220" t="n"/>
      <c r="D65" s="179">
        <f>IFERROR(C65,"")</f>
        <v/>
      </c>
      <c r="E65" s="219" t="n"/>
      <c r="F65" s="220" t="n"/>
      <c r="G65" s="221">
        <f>IF(COUNTA(A65:C65)=0,"",IF(C65&lt;0,"ERRO: matrícula negativa",IF(COUNTIFS($A$5:$A$1200,A65,$B$5:$B$1200,B65)&gt;1,"ERRO: período e curso duplicados","OK")))</f>
        <v/>
      </c>
    </row>
    <row r="66" ht="15" customHeight="1" s="131">
      <c r="A66" s="220" t="n"/>
      <c r="B66" s="222" t="n"/>
      <c r="C66" s="220" t="n"/>
      <c r="D66" s="179">
        <f>IFERROR(C66,"")</f>
        <v/>
      </c>
      <c r="E66" s="219" t="n"/>
      <c r="F66" s="220" t="n"/>
      <c r="G66" s="221">
        <f>IF(COUNTA(A66:C66)=0,"",IF(C66&lt;0,"ERRO: matrícula negativa",IF(COUNTIFS($A$5:$A$1200,A66,$B$5:$B$1200,B66)&gt;1,"ERRO: período e curso duplicados","OK")))</f>
        <v/>
      </c>
    </row>
    <row r="67" ht="15" customHeight="1" s="131">
      <c r="A67" s="220" t="n"/>
      <c r="B67" s="222" t="n"/>
      <c r="C67" s="220" t="n"/>
      <c r="D67" s="179">
        <f>IFERROR(C67,"")</f>
        <v/>
      </c>
      <c r="E67" s="219" t="n"/>
      <c r="F67" s="220" t="n"/>
      <c r="G67" s="221">
        <f>IF(COUNTA(A67:C67)=0,"",IF(C67&lt;0,"ERRO: matrícula negativa",IF(COUNTIFS($A$5:$A$1200,A67,$B$5:$B$1200,B67)&gt;1,"ERRO: período e curso duplicados","OK")))</f>
        <v/>
      </c>
    </row>
    <row r="68" ht="15" customHeight="1" s="131">
      <c r="A68" s="220" t="n"/>
      <c r="B68" s="222" t="n"/>
      <c r="C68" s="220" t="n"/>
      <c r="D68" s="179">
        <f>IFERROR(C68,"")</f>
        <v/>
      </c>
      <c r="E68" s="219" t="n"/>
      <c r="F68" s="220" t="n"/>
      <c r="G68" s="221">
        <f>IF(COUNTA(A68:C68)=0,"",IF(C68&lt;0,"ERRO: matrícula negativa",IF(COUNTIFS($A$5:$A$1200,A68,$B$5:$B$1200,B68)&gt;1,"ERRO: período e curso duplicados","OK")))</f>
        <v/>
      </c>
    </row>
    <row r="69" ht="15" customHeight="1" s="131">
      <c r="A69" s="220" t="n"/>
      <c r="B69" s="222" t="n"/>
      <c r="C69" s="220" t="n"/>
      <c r="D69" s="179">
        <f>IFERROR(C69,"")</f>
        <v/>
      </c>
      <c r="E69" s="219" t="n"/>
      <c r="F69" s="220" t="n"/>
      <c r="G69" s="221">
        <f>IF(COUNTA(A69:C69)=0,"",IF(C69&lt;0,"ERRO: matrícula negativa",IF(COUNTIFS($A$5:$A$1200,A69,$B$5:$B$1200,B69)&gt;1,"ERRO: período e curso duplicados","OK")))</f>
        <v/>
      </c>
    </row>
    <row r="70" ht="15" customHeight="1" s="131">
      <c r="A70" s="220" t="n"/>
      <c r="B70" s="222" t="n"/>
      <c r="C70" s="220" t="n"/>
      <c r="D70" s="179">
        <f>IFERROR(C70,"")</f>
        <v/>
      </c>
      <c r="E70" s="219" t="n"/>
      <c r="F70" s="220" t="n"/>
      <c r="G70" s="221">
        <f>IF(COUNTA(A70:C70)=0,"",IF(C70&lt;0,"ERRO: matrícula negativa",IF(COUNTIFS($A$5:$A$1200,A70,$B$5:$B$1200,B70)&gt;1,"ERRO: período e curso duplicados","OK")))</f>
        <v/>
      </c>
    </row>
    <row r="71" ht="15" customHeight="1" s="131">
      <c r="A71" s="220" t="n"/>
      <c r="B71" s="222" t="n"/>
      <c r="C71" s="220" t="n"/>
      <c r="D71" s="179">
        <f>IFERROR(C71,"")</f>
        <v/>
      </c>
      <c r="E71" s="219" t="n"/>
      <c r="F71" s="220" t="n"/>
      <c r="G71" s="221">
        <f>IF(COUNTA(A71:C71)=0,"",IF(C71&lt;0,"ERRO: matrícula negativa",IF(COUNTIFS($A$5:$A$1200,A71,$B$5:$B$1200,B71)&gt;1,"ERRO: período e curso duplicados","OK")))</f>
        <v/>
      </c>
    </row>
    <row r="72" ht="15" customHeight="1" s="131">
      <c r="A72" s="220" t="n"/>
      <c r="B72" s="222" t="n"/>
      <c r="C72" s="220" t="n"/>
      <c r="D72" s="179">
        <f>IFERROR(C72,"")</f>
        <v/>
      </c>
      <c r="E72" s="219" t="n"/>
      <c r="F72" s="220" t="n"/>
      <c r="G72" s="221">
        <f>IF(COUNTA(A72:C72)=0,"",IF(C72&lt;0,"ERRO: matrícula negativa",IF(COUNTIFS($A$5:$A$1200,A72,$B$5:$B$1200,B72)&gt;1,"ERRO: período e curso duplicados","OK")))</f>
        <v/>
      </c>
    </row>
    <row r="73" ht="15" customHeight="1" s="131">
      <c r="A73" s="220" t="n"/>
      <c r="B73" s="222" t="n"/>
      <c r="C73" s="220" t="n"/>
      <c r="D73" s="179">
        <f>IFERROR(C73,"")</f>
        <v/>
      </c>
      <c r="E73" s="219" t="n"/>
      <c r="F73" s="220" t="n"/>
      <c r="G73" s="221">
        <f>IF(COUNTA(A73:C73)=0,"",IF(C73&lt;0,"ERRO: matrícula negativa",IF(COUNTIFS($A$5:$A$1200,A73,$B$5:$B$1200,B73)&gt;1,"ERRO: período e curso duplicados","OK")))</f>
        <v/>
      </c>
    </row>
    <row r="74" ht="15" customHeight="1" s="131">
      <c r="A74" s="220" t="n"/>
      <c r="B74" s="222" t="n"/>
      <c r="C74" s="220" t="n"/>
      <c r="D74" s="179">
        <f>IFERROR(C74,"")</f>
        <v/>
      </c>
      <c r="E74" s="219" t="n"/>
      <c r="F74" s="220" t="n"/>
      <c r="G74" s="221">
        <f>IF(COUNTA(A74:C74)=0,"",IF(C74&lt;0,"ERRO: matrícula negativa",IF(COUNTIFS($A$5:$A$1200,A74,$B$5:$B$1200,B74)&gt;1,"ERRO: período e curso duplicados","OK")))</f>
        <v/>
      </c>
    </row>
    <row r="75" ht="15" customHeight="1" s="131">
      <c r="A75" s="220" t="n"/>
      <c r="B75" s="222" t="n"/>
      <c r="C75" s="220" t="n"/>
      <c r="D75" s="179">
        <f>IFERROR(C75,"")</f>
        <v/>
      </c>
      <c r="E75" s="219" t="n"/>
      <c r="F75" s="220" t="n"/>
      <c r="G75" s="221">
        <f>IF(COUNTA(A75:C75)=0,"",IF(C75&lt;0,"ERRO: matrícula negativa",IF(COUNTIFS($A$5:$A$1200,A75,$B$5:$B$1200,B75)&gt;1,"ERRO: período e curso duplicados","OK")))</f>
        <v/>
      </c>
    </row>
    <row r="76" ht="15" customHeight="1" s="131">
      <c r="A76" s="220" t="n"/>
      <c r="B76" s="222" t="n"/>
      <c r="C76" s="220" t="n"/>
      <c r="D76" s="179">
        <f>IFERROR(C76,"")</f>
        <v/>
      </c>
      <c r="E76" s="219" t="n"/>
      <c r="F76" s="220" t="n"/>
      <c r="G76" s="221">
        <f>IF(COUNTA(A76:C76)=0,"",IF(C76&lt;0,"ERRO: matrícula negativa",IF(COUNTIFS($A$5:$A$1200,A76,$B$5:$B$1200,B76)&gt;1,"ERRO: período e curso duplicados","OK")))</f>
        <v/>
      </c>
    </row>
    <row r="77" ht="15" customHeight="1" s="131">
      <c r="A77" s="220" t="n"/>
      <c r="B77" s="222" t="n"/>
      <c r="C77" s="220" t="n"/>
      <c r="D77" s="179">
        <f>IFERROR(C77,"")</f>
        <v/>
      </c>
      <c r="E77" s="219" t="n"/>
      <c r="F77" s="220" t="n"/>
      <c r="G77" s="221">
        <f>IF(COUNTA(A77:C77)=0,"",IF(C77&lt;0,"ERRO: matrícula negativa",IF(COUNTIFS($A$5:$A$1200,A77,$B$5:$B$1200,B77)&gt;1,"ERRO: período e curso duplicados","OK")))</f>
        <v/>
      </c>
    </row>
    <row r="78" ht="15" customHeight="1" s="131">
      <c r="A78" s="220" t="n"/>
      <c r="B78" s="222" t="n"/>
      <c r="C78" s="220" t="n"/>
      <c r="D78" s="179">
        <f>IFERROR(C78,"")</f>
        <v/>
      </c>
      <c r="E78" s="219" t="n"/>
      <c r="F78" s="220" t="n"/>
      <c r="G78" s="221">
        <f>IF(COUNTA(A78:C78)=0,"",IF(C78&lt;0,"ERRO: matrícula negativa",IF(COUNTIFS($A$5:$A$1200,A78,$B$5:$B$1200,B78)&gt;1,"ERRO: período e curso duplicados","OK")))</f>
        <v/>
      </c>
    </row>
    <row r="79" ht="15" customHeight="1" s="131">
      <c r="A79" s="220" t="n"/>
      <c r="B79" s="222" t="n"/>
      <c r="C79" s="220" t="n"/>
      <c r="D79" s="179">
        <f>IFERROR(C79,"")</f>
        <v/>
      </c>
      <c r="E79" s="219" t="n"/>
      <c r="F79" s="220" t="n"/>
      <c r="G79" s="221">
        <f>IF(COUNTA(A79:C79)=0,"",IF(C79&lt;0,"ERRO: matrícula negativa",IF(COUNTIFS($A$5:$A$1200,A79,$B$5:$B$1200,B79)&gt;1,"ERRO: período e curso duplicados","OK")))</f>
        <v/>
      </c>
    </row>
    <row r="80" ht="15" customHeight="1" s="131">
      <c r="A80" s="220" t="n"/>
      <c r="B80" s="222" t="n"/>
      <c r="C80" s="220" t="n"/>
      <c r="D80" s="179">
        <f>IFERROR(C80,"")</f>
        <v/>
      </c>
      <c r="E80" s="219" t="n"/>
      <c r="F80" s="220" t="n"/>
      <c r="G80" s="221">
        <f>IF(COUNTA(A80:C80)=0,"",IF(C80&lt;0,"ERRO: matrícula negativa",IF(COUNTIFS($A$5:$A$1200,A80,$B$5:$B$1200,B80)&gt;1,"ERRO: período e curso duplicados","OK")))</f>
        <v/>
      </c>
    </row>
    <row r="81" ht="15" customHeight="1" s="131">
      <c r="A81" s="220" t="n"/>
      <c r="B81" s="222" t="n"/>
      <c r="C81" s="220" t="n"/>
      <c r="D81" s="179">
        <f>IFERROR(C81,"")</f>
        <v/>
      </c>
      <c r="E81" s="219" t="n"/>
      <c r="F81" s="220" t="n"/>
      <c r="G81" s="221">
        <f>IF(COUNTA(A81:C81)=0,"",IF(C81&lt;0,"ERRO: matrícula negativa",IF(COUNTIFS($A$5:$A$1200,A81,$B$5:$B$1200,B81)&gt;1,"ERRO: período e curso duplicados","OK")))</f>
        <v/>
      </c>
    </row>
    <row r="82" ht="15" customHeight="1" s="131">
      <c r="A82" s="220" t="n"/>
      <c r="B82" s="222" t="n"/>
      <c r="C82" s="220" t="n"/>
      <c r="D82" s="179">
        <f>IFERROR(C82,"")</f>
        <v/>
      </c>
      <c r="E82" s="219" t="n"/>
      <c r="F82" s="220" t="n"/>
      <c r="G82" s="221">
        <f>IF(COUNTA(A82:C82)=0,"",IF(C82&lt;0,"ERRO: matrícula negativa",IF(COUNTIFS($A$5:$A$1200,A82,$B$5:$B$1200,B82)&gt;1,"ERRO: período e curso duplicados","OK")))</f>
        <v/>
      </c>
    </row>
    <row r="83" ht="15" customHeight="1" s="131">
      <c r="A83" s="220" t="n"/>
      <c r="B83" s="222" t="n"/>
      <c r="C83" s="220" t="n"/>
      <c r="D83" s="179">
        <f>IFERROR(C83,"")</f>
        <v/>
      </c>
      <c r="E83" s="219" t="n"/>
      <c r="F83" s="220" t="n"/>
      <c r="G83" s="221">
        <f>IF(COUNTA(A83:C83)=0,"",IF(C83&lt;0,"ERRO: matrícula negativa",IF(COUNTIFS($A$5:$A$1200,A83,$B$5:$B$1200,B83)&gt;1,"ERRO: período e curso duplicados","OK")))</f>
        <v/>
      </c>
    </row>
    <row r="84" ht="15" customHeight="1" s="131">
      <c r="A84" s="220" t="n"/>
      <c r="B84" s="222" t="n"/>
      <c r="C84" s="220" t="n"/>
      <c r="D84" s="179">
        <f>IFERROR(C84,"")</f>
        <v/>
      </c>
      <c r="E84" s="219" t="n"/>
      <c r="F84" s="220" t="n"/>
      <c r="G84" s="221">
        <f>IF(COUNTA(A84:C84)=0,"",IF(C84&lt;0,"ERRO: matrícula negativa",IF(COUNTIFS($A$5:$A$1200,A84,$B$5:$B$1200,B84)&gt;1,"ERRO: período e curso duplicados","OK")))</f>
        <v/>
      </c>
    </row>
    <row r="85" ht="15" customHeight="1" s="131">
      <c r="A85" s="220" t="n"/>
      <c r="B85" s="222" t="n"/>
      <c r="C85" s="220" t="n"/>
      <c r="D85" s="179">
        <f>IFERROR(C85,"")</f>
        <v/>
      </c>
      <c r="E85" s="219" t="n"/>
      <c r="F85" s="220" t="n"/>
      <c r="G85" s="221">
        <f>IF(COUNTA(A85:C85)=0,"",IF(C85&lt;0,"ERRO: matrícula negativa",IF(COUNTIFS($A$5:$A$1200,A85,$B$5:$B$1200,B85)&gt;1,"ERRO: período e curso duplicados","OK")))</f>
        <v/>
      </c>
    </row>
    <row r="86" ht="15" customHeight="1" s="131">
      <c r="A86" s="220" t="n"/>
      <c r="B86" s="222" t="n"/>
      <c r="C86" s="220" t="n"/>
      <c r="D86" s="179">
        <f>IFERROR(C86,"")</f>
        <v/>
      </c>
      <c r="E86" s="219" t="n"/>
      <c r="F86" s="220" t="n"/>
      <c r="G86" s="221">
        <f>IF(COUNTA(A86:C86)=0,"",IF(C86&lt;0,"ERRO: matrícula negativa",IF(COUNTIFS($A$5:$A$1200,A86,$B$5:$B$1200,B86)&gt;1,"ERRO: período e curso duplicados","OK")))</f>
        <v/>
      </c>
    </row>
    <row r="87" ht="15" customHeight="1" s="131">
      <c r="A87" s="220" t="n"/>
      <c r="B87" s="222" t="n"/>
      <c r="C87" s="220" t="n"/>
      <c r="D87" s="179">
        <f>IFERROR(C87,"")</f>
        <v/>
      </c>
      <c r="E87" s="219" t="n"/>
      <c r="F87" s="220" t="n"/>
      <c r="G87" s="221">
        <f>IF(COUNTA(A87:C87)=0,"",IF(C87&lt;0,"ERRO: matrícula negativa",IF(COUNTIFS($A$5:$A$1200,A87,$B$5:$B$1200,B87)&gt;1,"ERRO: período e curso duplicados","OK")))</f>
        <v/>
      </c>
    </row>
    <row r="88" ht="15" customHeight="1" s="131">
      <c r="A88" s="220" t="n"/>
      <c r="B88" s="222" t="n"/>
      <c r="C88" s="220" t="n"/>
      <c r="D88" s="179">
        <f>IFERROR(C88,"")</f>
        <v/>
      </c>
      <c r="E88" s="219" t="n"/>
      <c r="F88" s="220" t="n"/>
      <c r="G88" s="221">
        <f>IF(COUNTA(A88:C88)=0,"",IF(C88&lt;0,"ERRO: matrícula negativa",IF(COUNTIFS($A$5:$A$1200,A88,$B$5:$B$1200,B88)&gt;1,"ERRO: período e curso duplicados","OK")))</f>
        <v/>
      </c>
    </row>
    <row r="89" ht="15" customHeight="1" s="131">
      <c r="A89" s="220" t="n"/>
      <c r="B89" s="222" t="n"/>
      <c r="C89" s="220" t="n"/>
      <c r="D89" s="179">
        <f>IFERROR(C89,"")</f>
        <v/>
      </c>
      <c r="E89" s="219" t="n"/>
      <c r="F89" s="220" t="n"/>
      <c r="G89" s="221">
        <f>IF(COUNTA(A89:C89)=0,"",IF(C89&lt;0,"ERRO: matrícula negativa",IF(COUNTIFS($A$5:$A$1200,A89,$B$5:$B$1200,B89)&gt;1,"ERRO: período e curso duplicados","OK")))</f>
        <v/>
      </c>
    </row>
    <row r="90" ht="15" customHeight="1" s="131">
      <c r="A90" s="220" t="n"/>
      <c r="B90" s="222" t="n"/>
      <c r="C90" s="220" t="n"/>
      <c r="D90" s="179">
        <f>IFERROR(C90,"")</f>
        <v/>
      </c>
      <c r="E90" s="219" t="n"/>
      <c r="F90" s="220" t="n"/>
      <c r="G90" s="221">
        <f>IF(COUNTA(A90:C90)=0,"",IF(C90&lt;0,"ERRO: matrícula negativa",IF(COUNTIFS($A$5:$A$1200,A90,$B$5:$B$1200,B90)&gt;1,"ERRO: período e curso duplicados","OK")))</f>
        <v/>
      </c>
    </row>
    <row r="91" ht="15" customHeight="1" s="131">
      <c r="A91" s="220" t="n"/>
      <c r="B91" s="222" t="n"/>
      <c r="C91" s="220" t="n"/>
      <c r="D91" s="179">
        <f>IFERROR(C91,"")</f>
        <v/>
      </c>
      <c r="E91" s="219" t="n"/>
      <c r="F91" s="220" t="n"/>
      <c r="G91" s="221">
        <f>IF(COUNTA(A91:C91)=0,"",IF(C91&lt;0,"ERRO: matrícula negativa",IF(COUNTIFS($A$5:$A$1200,A91,$B$5:$B$1200,B91)&gt;1,"ERRO: período e curso duplicados","OK")))</f>
        <v/>
      </c>
    </row>
    <row r="92" ht="15" customHeight="1" s="131">
      <c r="A92" s="220" t="n"/>
      <c r="B92" s="222" t="n"/>
      <c r="C92" s="220" t="n"/>
      <c r="D92" s="179">
        <f>IFERROR(C92,"")</f>
        <v/>
      </c>
      <c r="E92" s="219" t="n"/>
      <c r="F92" s="220" t="n"/>
      <c r="G92" s="221">
        <f>IF(COUNTA(A92:C92)=0,"",IF(C92&lt;0,"ERRO: matrícula negativa",IF(COUNTIFS($A$5:$A$1200,A92,$B$5:$B$1200,B92)&gt;1,"ERRO: período e curso duplicados","OK")))</f>
        <v/>
      </c>
    </row>
    <row r="93" ht="15" customHeight="1" s="131">
      <c r="A93" s="220" t="n"/>
      <c r="B93" s="222" t="n"/>
      <c r="C93" s="220" t="n"/>
      <c r="D93" s="179">
        <f>IFERROR(C93,"")</f>
        <v/>
      </c>
      <c r="E93" s="219" t="n"/>
      <c r="F93" s="220" t="n"/>
      <c r="G93" s="221">
        <f>IF(COUNTA(A93:C93)=0,"",IF(C93&lt;0,"ERRO: matrícula negativa",IF(COUNTIFS($A$5:$A$1200,A93,$B$5:$B$1200,B93)&gt;1,"ERRO: período e curso duplicados","OK")))</f>
        <v/>
      </c>
    </row>
    <row r="94" ht="15" customHeight="1" s="131">
      <c r="A94" s="220" t="n"/>
      <c r="B94" s="222" t="n"/>
      <c r="C94" s="220" t="n"/>
      <c r="D94" s="179">
        <f>IFERROR(C94,"")</f>
        <v/>
      </c>
      <c r="E94" s="219" t="n"/>
      <c r="F94" s="220" t="n"/>
      <c r="G94" s="221">
        <f>IF(COUNTA(A94:C94)=0,"",IF(C94&lt;0,"ERRO: matrícula negativa",IF(COUNTIFS($A$5:$A$1200,A94,$B$5:$B$1200,B94)&gt;1,"ERRO: período e curso duplicados","OK")))</f>
        <v/>
      </c>
    </row>
    <row r="95" ht="15" customHeight="1" s="131">
      <c r="A95" s="220" t="n"/>
      <c r="B95" s="222" t="n"/>
      <c r="C95" s="220" t="n"/>
      <c r="D95" s="179">
        <f>IFERROR(C95,"")</f>
        <v/>
      </c>
      <c r="E95" s="219" t="n"/>
      <c r="F95" s="220" t="n"/>
      <c r="G95" s="221">
        <f>IF(COUNTA(A95:C95)=0,"",IF(C95&lt;0,"ERRO: matrícula negativa",IF(COUNTIFS($A$5:$A$1200,A95,$B$5:$B$1200,B95)&gt;1,"ERRO: período e curso duplicados","OK")))</f>
        <v/>
      </c>
    </row>
    <row r="96" ht="15" customHeight="1" s="131">
      <c r="A96" s="220" t="n"/>
      <c r="B96" s="222" t="n"/>
      <c r="C96" s="220" t="n"/>
      <c r="D96" s="179">
        <f>IFERROR(C96,"")</f>
        <v/>
      </c>
      <c r="E96" s="219" t="n"/>
      <c r="F96" s="220" t="n"/>
      <c r="G96" s="221">
        <f>IF(COUNTA(A96:C96)=0,"",IF(C96&lt;0,"ERRO: matrícula negativa",IF(COUNTIFS($A$5:$A$1200,A96,$B$5:$B$1200,B96)&gt;1,"ERRO: período e curso duplicados","OK")))</f>
        <v/>
      </c>
    </row>
    <row r="97" ht="15" customHeight="1" s="131">
      <c r="A97" s="220" t="n"/>
      <c r="B97" s="222" t="n"/>
      <c r="C97" s="220" t="n"/>
      <c r="D97" s="179">
        <f>IFERROR(C97,"")</f>
        <v/>
      </c>
      <c r="E97" s="219" t="n"/>
      <c r="F97" s="220" t="n"/>
      <c r="G97" s="221">
        <f>IF(COUNTA(A97:C97)=0,"",IF(C97&lt;0,"ERRO: matrícula negativa",IF(COUNTIFS($A$5:$A$1200,A97,$B$5:$B$1200,B97)&gt;1,"ERRO: período e curso duplicados","OK")))</f>
        <v/>
      </c>
    </row>
    <row r="98" ht="15" customHeight="1" s="131">
      <c r="A98" s="220" t="n"/>
      <c r="B98" s="222" t="n"/>
      <c r="C98" s="220" t="n"/>
      <c r="D98" s="179">
        <f>IFERROR(C98,"")</f>
        <v/>
      </c>
      <c r="E98" s="219" t="n"/>
      <c r="F98" s="220" t="n"/>
      <c r="G98" s="221">
        <f>IF(COUNTA(A98:C98)=0,"",IF(C98&lt;0,"ERRO: matrícula negativa",IF(COUNTIFS($A$5:$A$1200,A98,$B$5:$B$1200,B98)&gt;1,"ERRO: período e curso duplicados","OK")))</f>
        <v/>
      </c>
    </row>
    <row r="99" ht="15" customHeight="1" s="131">
      <c r="A99" s="220" t="n"/>
      <c r="B99" s="222" t="n"/>
      <c r="C99" s="220" t="n"/>
      <c r="D99" s="179">
        <f>IFERROR(C99,"")</f>
        <v/>
      </c>
      <c r="E99" s="219" t="n"/>
      <c r="F99" s="220" t="n"/>
      <c r="G99" s="221">
        <f>IF(COUNTA(A99:C99)=0,"",IF(C99&lt;0,"ERRO: matrícula negativa",IF(COUNTIFS($A$5:$A$1200,A99,$B$5:$B$1200,B99)&gt;1,"ERRO: período e curso duplicados","OK")))</f>
        <v/>
      </c>
    </row>
    <row r="100" ht="15" customHeight="1" s="131">
      <c r="A100" s="220" t="n"/>
      <c r="B100" s="222" t="n"/>
      <c r="C100" s="220" t="n"/>
      <c r="D100" s="179">
        <f>IFERROR(C100,"")</f>
        <v/>
      </c>
      <c r="E100" s="219" t="n"/>
      <c r="F100" s="220" t="n"/>
      <c r="G100" s="221">
        <f>IF(COUNTA(A100:C100)=0,"",IF(C100&lt;0,"ERRO: matrícula negativa",IF(COUNTIFS($A$5:$A$1200,A100,$B$5:$B$1200,B100)&gt;1,"ERRO: período e curso duplicados","OK")))</f>
        <v/>
      </c>
    </row>
    <row r="101" ht="15" customHeight="1" s="131">
      <c r="A101" s="220" t="n"/>
      <c r="B101" s="222" t="n"/>
      <c r="C101" s="220" t="n"/>
      <c r="D101" s="179">
        <f>IFERROR(C101,"")</f>
        <v/>
      </c>
      <c r="E101" s="219" t="n"/>
      <c r="F101" s="220" t="n"/>
      <c r="G101" s="221">
        <f>IF(COUNTA(A101:C101)=0,"",IF(C101&lt;0,"ERRO: matrícula negativa",IF(COUNTIFS($A$5:$A$1200,A101,$B$5:$B$1200,B101)&gt;1,"ERRO: período e curso duplicados","OK")))</f>
        <v/>
      </c>
    </row>
    <row r="102" ht="15" customHeight="1" s="131">
      <c r="A102" s="220" t="n"/>
      <c r="B102" s="222" t="n"/>
      <c r="C102" s="220" t="n"/>
      <c r="D102" s="179">
        <f>IFERROR(C102,"")</f>
        <v/>
      </c>
      <c r="E102" s="219" t="n"/>
      <c r="F102" s="220" t="n"/>
      <c r="G102" s="221">
        <f>IF(COUNTA(A102:C102)=0,"",IF(C102&lt;0,"ERRO: matrícula negativa",IF(COUNTIFS($A$5:$A$1200,A102,$B$5:$B$1200,B102)&gt;1,"ERRO: período e curso duplicados","OK")))</f>
        <v/>
      </c>
    </row>
    <row r="103" ht="15" customHeight="1" s="131">
      <c r="A103" s="220" t="n"/>
      <c r="B103" s="222" t="n"/>
      <c r="C103" s="220" t="n"/>
      <c r="D103" s="179">
        <f>IFERROR(C103,"")</f>
        <v/>
      </c>
      <c r="E103" s="219" t="n"/>
      <c r="F103" s="220" t="n"/>
      <c r="G103" s="221">
        <f>IF(COUNTA(A103:C103)=0,"",IF(C103&lt;0,"ERRO: matrícula negativa",IF(COUNTIFS($A$5:$A$1200,A103,$B$5:$B$1200,B103)&gt;1,"ERRO: período e curso duplicados","OK")))</f>
        <v/>
      </c>
    </row>
    <row r="104" ht="15" customHeight="1" s="131">
      <c r="A104" s="220" t="n"/>
      <c r="B104" s="222" t="n"/>
      <c r="C104" s="220" t="n"/>
      <c r="D104" s="179">
        <f>IFERROR(C104,"")</f>
        <v/>
      </c>
      <c r="E104" s="219" t="n"/>
      <c r="F104" s="220" t="n"/>
      <c r="G104" s="221">
        <f>IF(COUNTA(A104:C104)=0,"",IF(C104&lt;0,"ERRO: matrícula negativa",IF(COUNTIFS($A$5:$A$1200,A104,$B$5:$B$1200,B104)&gt;1,"ERRO: período e curso duplicados","OK")))</f>
        <v/>
      </c>
    </row>
    <row r="105" ht="15" customHeight="1" s="131">
      <c r="A105" s="220" t="n"/>
      <c r="B105" s="222" t="n"/>
      <c r="C105" s="220" t="n"/>
      <c r="D105" s="179">
        <f>IFERROR(C105,"")</f>
        <v/>
      </c>
      <c r="E105" s="219" t="n"/>
      <c r="F105" s="220" t="n"/>
      <c r="G105" s="221">
        <f>IF(COUNTA(A105:C105)=0,"",IF(C105&lt;0,"ERRO: matrícula negativa",IF(COUNTIFS($A$5:$A$1200,A105,$B$5:$B$1200,B105)&gt;1,"ERRO: período e curso duplicados","OK")))</f>
        <v/>
      </c>
    </row>
    <row r="106" ht="15" customHeight="1" s="131">
      <c r="A106" s="220" t="n"/>
      <c r="B106" s="222" t="n"/>
      <c r="C106" s="220" t="n"/>
      <c r="D106" s="179">
        <f>IFERROR(C106,"")</f>
        <v/>
      </c>
      <c r="E106" s="219" t="n"/>
      <c r="F106" s="220" t="n"/>
      <c r="G106" s="221">
        <f>IF(COUNTA(A106:C106)=0,"",IF(C106&lt;0,"ERRO: matrícula negativa",IF(COUNTIFS($A$5:$A$1200,A106,$B$5:$B$1200,B106)&gt;1,"ERRO: período e curso duplicados","OK")))</f>
        <v/>
      </c>
    </row>
    <row r="107" ht="15" customHeight="1" s="131">
      <c r="A107" s="220" t="n"/>
      <c r="B107" s="222" t="n"/>
      <c r="C107" s="220" t="n"/>
      <c r="D107" s="179">
        <f>IFERROR(C107,"")</f>
        <v/>
      </c>
      <c r="E107" s="219" t="n"/>
      <c r="F107" s="220" t="n"/>
      <c r="G107" s="221">
        <f>IF(COUNTA(A107:C107)=0,"",IF(C107&lt;0,"ERRO: matrícula negativa",IF(COUNTIFS($A$5:$A$1200,A107,$B$5:$B$1200,B107)&gt;1,"ERRO: período e curso duplicados","OK")))</f>
        <v/>
      </c>
    </row>
    <row r="108" ht="15" customHeight="1" s="131">
      <c r="A108" s="220" t="n"/>
      <c r="B108" s="222" t="n"/>
      <c r="C108" s="220" t="n"/>
      <c r="D108" s="179">
        <f>IFERROR(C108,"")</f>
        <v/>
      </c>
      <c r="E108" s="219" t="n"/>
      <c r="F108" s="220" t="n"/>
      <c r="G108" s="221">
        <f>IF(COUNTA(A108:C108)=0,"",IF(C108&lt;0,"ERRO: matrícula negativa",IF(COUNTIFS($A$5:$A$1200,A108,$B$5:$B$1200,B108)&gt;1,"ERRO: período e curso duplicados","OK")))</f>
        <v/>
      </c>
    </row>
    <row r="109" ht="15" customHeight="1" s="131">
      <c r="A109" s="220" t="n"/>
      <c r="B109" s="222" t="n"/>
      <c r="C109" s="220" t="n"/>
      <c r="D109" s="179">
        <f>IFERROR(C109,"")</f>
        <v/>
      </c>
      <c r="E109" s="219" t="n"/>
      <c r="F109" s="220" t="n"/>
      <c r="G109" s="221">
        <f>IF(COUNTA(A109:C109)=0,"",IF(C109&lt;0,"ERRO: matrícula negativa",IF(COUNTIFS($A$5:$A$1200,A109,$B$5:$B$1200,B109)&gt;1,"ERRO: período e curso duplicados","OK")))</f>
        <v/>
      </c>
    </row>
    <row r="110" ht="15" customHeight="1" s="131">
      <c r="A110" s="220" t="n"/>
      <c r="B110" s="222" t="n"/>
      <c r="C110" s="220" t="n"/>
      <c r="D110" s="179">
        <f>IFERROR(C110,"")</f>
        <v/>
      </c>
      <c r="E110" s="219" t="n"/>
      <c r="F110" s="220" t="n"/>
      <c r="G110" s="221">
        <f>IF(COUNTA(A110:C110)=0,"",IF(C110&lt;0,"ERRO: matrícula negativa",IF(COUNTIFS($A$5:$A$1200,A110,$B$5:$B$1200,B110)&gt;1,"ERRO: período e curso duplicados","OK")))</f>
        <v/>
      </c>
    </row>
    <row r="111" ht="15" customHeight="1" s="131">
      <c r="A111" s="220" t="n"/>
      <c r="B111" s="222" t="n"/>
      <c r="C111" s="220" t="n"/>
      <c r="D111" s="179">
        <f>IFERROR(C111,"")</f>
        <v/>
      </c>
      <c r="E111" s="219" t="n"/>
      <c r="F111" s="220" t="n"/>
      <c r="G111" s="221">
        <f>IF(COUNTA(A111:C111)=0,"",IF(C111&lt;0,"ERRO: matrícula negativa",IF(COUNTIFS($A$5:$A$1200,A111,$B$5:$B$1200,B111)&gt;1,"ERRO: período e curso duplicados","OK")))</f>
        <v/>
      </c>
    </row>
    <row r="112" ht="15" customHeight="1" s="131">
      <c r="A112" s="220" t="n"/>
      <c r="B112" s="222" t="n"/>
      <c r="C112" s="220" t="n"/>
      <c r="D112" s="179">
        <f>IFERROR(C112,"")</f>
        <v/>
      </c>
      <c r="E112" s="219" t="n"/>
      <c r="F112" s="220" t="n"/>
      <c r="G112" s="221">
        <f>IF(COUNTA(A112:C112)=0,"",IF(C112&lt;0,"ERRO: matrícula negativa",IF(COUNTIFS($A$5:$A$1200,A112,$B$5:$B$1200,B112)&gt;1,"ERRO: período e curso duplicados","OK")))</f>
        <v/>
      </c>
    </row>
    <row r="113" ht="15" customHeight="1" s="131">
      <c r="A113" s="220" t="n"/>
      <c r="B113" s="222" t="n"/>
      <c r="C113" s="220" t="n"/>
      <c r="D113" s="179">
        <f>IFERROR(C113,"")</f>
        <v/>
      </c>
      <c r="E113" s="219" t="n"/>
      <c r="F113" s="220" t="n"/>
      <c r="G113" s="221">
        <f>IF(COUNTA(A113:C113)=0,"",IF(C113&lt;0,"ERRO: matrícula negativa",IF(COUNTIFS($A$5:$A$1200,A113,$B$5:$B$1200,B113)&gt;1,"ERRO: período e curso duplicados","OK")))</f>
        <v/>
      </c>
    </row>
    <row r="114" ht="15" customHeight="1" s="131">
      <c r="A114" s="220" t="n"/>
      <c r="B114" s="222" t="n"/>
      <c r="C114" s="220" t="n"/>
      <c r="D114" s="179">
        <f>IFERROR(C114,"")</f>
        <v/>
      </c>
      <c r="E114" s="219" t="n"/>
      <c r="F114" s="220" t="n"/>
      <c r="G114" s="221">
        <f>IF(COUNTA(A114:C114)=0,"",IF(C114&lt;0,"ERRO: matrícula negativa",IF(COUNTIFS($A$5:$A$1200,A114,$B$5:$B$1200,B114)&gt;1,"ERRO: período e curso duplicados","OK")))</f>
        <v/>
      </c>
    </row>
    <row r="115" ht="15" customHeight="1" s="131">
      <c r="A115" s="220" t="n"/>
      <c r="B115" s="222" t="n"/>
      <c r="C115" s="220" t="n"/>
      <c r="D115" s="179">
        <f>IFERROR(C115,"")</f>
        <v/>
      </c>
      <c r="E115" s="219" t="n"/>
      <c r="F115" s="220" t="n"/>
      <c r="G115" s="221">
        <f>IF(COUNTA(A115:C115)=0,"",IF(C115&lt;0,"ERRO: matrícula negativa",IF(COUNTIFS($A$5:$A$1200,A115,$B$5:$B$1200,B115)&gt;1,"ERRO: período e curso duplicados","OK")))</f>
        <v/>
      </c>
    </row>
    <row r="116" ht="15" customHeight="1" s="131">
      <c r="A116" s="220" t="n"/>
      <c r="B116" s="222" t="n"/>
      <c r="C116" s="220" t="n"/>
      <c r="D116" s="179">
        <f>IFERROR(C116,"")</f>
        <v/>
      </c>
      <c r="E116" s="219" t="n"/>
      <c r="F116" s="220" t="n"/>
      <c r="G116" s="221">
        <f>IF(COUNTA(A116:C116)=0,"",IF(C116&lt;0,"ERRO: matrícula negativa",IF(COUNTIFS($A$5:$A$1200,A116,$B$5:$B$1200,B116)&gt;1,"ERRO: período e curso duplicados","OK")))</f>
        <v/>
      </c>
    </row>
    <row r="117" ht="15" customHeight="1" s="131">
      <c r="A117" s="220" t="n"/>
      <c r="B117" s="222" t="n"/>
      <c r="C117" s="220" t="n"/>
      <c r="D117" s="179">
        <f>IFERROR(C117,"")</f>
        <v/>
      </c>
      <c r="E117" s="219" t="n"/>
      <c r="F117" s="220" t="n"/>
      <c r="G117" s="221">
        <f>IF(COUNTA(A117:C117)=0,"",IF(C117&lt;0,"ERRO: matrícula negativa",IF(COUNTIFS($A$5:$A$1200,A117,$B$5:$B$1200,B117)&gt;1,"ERRO: período e curso duplicados","OK")))</f>
        <v/>
      </c>
    </row>
    <row r="118" ht="15" customHeight="1" s="131">
      <c r="A118" s="220" t="n"/>
      <c r="B118" s="222" t="n"/>
      <c r="C118" s="220" t="n"/>
      <c r="D118" s="179">
        <f>IFERROR(C118,"")</f>
        <v/>
      </c>
      <c r="E118" s="219" t="n"/>
      <c r="F118" s="220" t="n"/>
      <c r="G118" s="221">
        <f>IF(COUNTA(A118:C118)=0,"",IF(C118&lt;0,"ERRO: matrícula negativa",IF(COUNTIFS($A$5:$A$1200,A118,$B$5:$B$1200,B118)&gt;1,"ERRO: período e curso duplicados","OK")))</f>
        <v/>
      </c>
    </row>
    <row r="119" ht="15" customHeight="1" s="131">
      <c r="A119" s="220" t="n"/>
      <c r="B119" s="222" t="n"/>
      <c r="C119" s="220" t="n"/>
      <c r="D119" s="179">
        <f>IFERROR(C119,"")</f>
        <v/>
      </c>
      <c r="E119" s="219" t="n"/>
      <c r="F119" s="220" t="n"/>
      <c r="G119" s="221">
        <f>IF(COUNTA(A119:C119)=0,"",IF(C119&lt;0,"ERRO: matrícula negativa",IF(COUNTIFS($A$5:$A$1200,A119,$B$5:$B$1200,B119)&gt;1,"ERRO: período e curso duplicados","OK")))</f>
        <v/>
      </c>
    </row>
    <row r="120" ht="15" customHeight="1" s="131">
      <c r="A120" s="220" t="n"/>
      <c r="B120" s="222" t="n"/>
      <c r="C120" s="220" t="n"/>
      <c r="D120" s="179">
        <f>IFERROR(C120,"")</f>
        <v/>
      </c>
      <c r="E120" s="219" t="n"/>
      <c r="F120" s="220" t="n"/>
      <c r="G120" s="221">
        <f>IF(COUNTA(A120:C120)=0,"",IF(C120&lt;0,"ERRO: matrícula negativa",IF(COUNTIFS($A$5:$A$1200,A120,$B$5:$B$1200,B120)&gt;1,"ERRO: período e curso duplicados","OK")))</f>
        <v/>
      </c>
    </row>
    <row r="121" ht="15" customHeight="1" s="131">
      <c r="A121" s="220" t="n"/>
      <c r="B121" s="222" t="n"/>
      <c r="C121" s="220" t="n"/>
      <c r="D121" s="179">
        <f>IFERROR(C121,"")</f>
        <v/>
      </c>
      <c r="E121" s="219" t="n"/>
      <c r="F121" s="220" t="n"/>
      <c r="G121" s="221">
        <f>IF(COUNTA(A121:C121)=0,"",IF(C121&lt;0,"ERRO: matrícula negativa",IF(COUNTIFS($A$5:$A$1200,A121,$B$5:$B$1200,B121)&gt;1,"ERRO: período e curso duplicados","OK")))</f>
        <v/>
      </c>
    </row>
    <row r="122" ht="15" customHeight="1" s="131">
      <c r="A122" s="220" t="n"/>
      <c r="B122" s="222" t="n"/>
      <c r="C122" s="220" t="n"/>
      <c r="D122" s="179">
        <f>IFERROR(C122,"")</f>
        <v/>
      </c>
      <c r="E122" s="219" t="n"/>
      <c r="F122" s="220" t="n"/>
      <c r="G122" s="221">
        <f>IF(COUNTA(A122:C122)=0,"",IF(C122&lt;0,"ERRO: matrícula negativa",IF(COUNTIFS($A$5:$A$1200,A122,$B$5:$B$1200,B122)&gt;1,"ERRO: período e curso duplicados","OK")))</f>
        <v/>
      </c>
    </row>
    <row r="123" ht="15" customHeight="1" s="131">
      <c r="A123" s="220" t="n"/>
      <c r="B123" s="222" t="n"/>
      <c r="C123" s="220" t="n"/>
      <c r="D123" s="179">
        <f>IFERROR(C123,"")</f>
        <v/>
      </c>
      <c r="E123" s="219" t="n"/>
      <c r="F123" s="220" t="n"/>
      <c r="G123" s="221">
        <f>IF(COUNTA(A123:C123)=0,"",IF(C123&lt;0,"ERRO: matrícula negativa",IF(COUNTIFS($A$5:$A$1200,A123,$B$5:$B$1200,B123)&gt;1,"ERRO: período e curso duplicados","OK")))</f>
        <v/>
      </c>
    </row>
    <row r="124" ht="15" customHeight="1" s="131">
      <c r="A124" s="220" t="n"/>
      <c r="B124" s="222" t="n"/>
      <c r="C124" s="220" t="n"/>
      <c r="D124" s="179">
        <f>IFERROR(C124,"")</f>
        <v/>
      </c>
      <c r="E124" s="219" t="n"/>
      <c r="F124" s="220" t="n"/>
      <c r="G124" s="221">
        <f>IF(COUNTA(A124:C124)=0,"",IF(C124&lt;0,"ERRO: matrícula negativa",IF(COUNTIFS($A$5:$A$1200,A124,$B$5:$B$1200,B124)&gt;1,"ERRO: período e curso duplicados","OK")))</f>
        <v/>
      </c>
    </row>
    <row r="125" ht="15" customHeight="1" s="131">
      <c r="A125" s="220" t="n"/>
      <c r="B125" s="222" t="n"/>
      <c r="C125" s="220" t="n"/>
      <c r="D125" s="179">
        <f>IFERROR(C125,"")</f>
        <v/>
      </c>
      <c r="E125" s="219" t="n"/>
      <c r="F125" s="220" t="n"/>
      <c r="G125" s="221">
        <f>IF(COUNTA(A125:C125)=0,"",IF(C125&lt;0,"ERRO: matrícula negativa",IF(COUNTIFS($A$5:$A$1200,A125,$B$5:$B$1200,B125)&gt;1,"ERRO: período e curso duplicados","OK")))</f>
        <v/>
      </c>
    </row>
    <row r="126" ht="15" customHeight="1" s="131">
      <c r="A126" s="220" t="n"/>
      <c r="B126" s="222" t="n"/>
      <c r="C126" s="220" t="n"/>
      <c r="D126" s="179">
        <f>IFERROR(C126,"")</f>
        <v/>
      </c>
      <c r="E126" s="219" t="n"/>
      <c r="F126" s="220" t="n"/>
      <c r="G126" s="221">
        <f>IF(COUNTA(A126:C126)=0,"",IF(C126&lt;0,"ERRO: matrícula negativa",IF(COUNTIFS($A$5:$A$1200,A126,$B$5:$B$1200,B126)&gt;1,"ERRO: período e curso duplicados","OK")))</f>
        <v/>
      </c>
    </row>
    <row r="127" ht="15" customHeight="1" s="131">
      <c r="A127" s="220" t="n"/>
      <c r="B127" s="222" t="n"/>
      <c r="C127" s="220" t="n"/>
      <c r="D127" s="179">
        <f>IFERROR(C127,"")</f>
        <v/>
      </c>
      <c r="E127" s="219" t="n"/>
      <c r="F127" s="220" t="n"/>
      <c r="G127" s="221">
        <f>IF(COUNTA(A127:C127)=0,"",IF(C127&lt;0,"ERRO: matrícula negativa",IF(COUNTIFS($A$5:$A$1200,A127,$B$5:$B$1200,B127)&gt;1,"ERRO: período e curso duplicados","OK")))</f>
        <v/>
      </c>
    </row>
    <row r="128" ht="15" customHeight="1" s="131">
      <c r="A128" s="220" t="n"/>
      <c r="B128" s="222" t="n"/>
      <c r="C128" s="220" t="n"/>
      <c r="D128" s="179">
        <f>IFERROR(C128,"")</f>
        <v/>
      </c>
      <c r="E128" s="219" t="n"/>
      <c r="F128" s="220" t="n"/>
      <c r="G128" s="221">
        <f>IF(COUNTA(A128:C128)=0,"",IF(C128&lt;0,"ERRO: matrícula negativa",IF(COUNTIFS($A$5:$A$1200,A128,$B$5:$B$1200,B128)&gt;1,"ERRO: período e curso duplicados","OK")))</f>
        <v/>
      </c>
    </row>
    <row r="129" ht="15" customHeight="1" s="131">
      <c r="A129" s="220" t="n"/>
      <c r="B129" s="222" t="n"/>
      <c r="C129" s="220" t="n"/>
      <c r="D129" s="179">
        <f>IFERROR(C129,"")</f>
        <v/>
      </c>
      <c r="E129" s="219" t="n"/>
      <c r="F129" s="220" t="n"/>
      <c r="G129" s="221">
        <f>IF(COUNTA(A129:C129)=0,"",IF(C129&lt;0,"ERRO: matrícula negativa",IF(COUNTIFS($A$5:$A$1200,A129,$B$5:$B$1200,B129)&gt;1,"ERRO: período e curso duplicados","OK")))</f>
        <v/>
      </c>
    </row>
    <row r="130" ht="15" customHeight="1" s="131">
      <c r="A130" s="220" t="n"/>
      <c r="B130" s="222" t="n"/>
      <c r="C130" s="220" t="n"/>
      <c r="D130" s="179">
        <f>IFERROR(C130,"")</f>
        <v/>
      </c>
      <c r="E130" s="219" t="n"/>
      <c r="F130" s="220" t="n"/>
      <c r="G130" s="221">
        <f>IF(COUNTA(A130:C130)=0,"",IF(C130&lt;0,"ERRO: matrícula negativa",IF(COUNTIFS($A$5:$A$1200,A130,$B$5:$B$1200,B130)&gt;1,"ERRO: período e curso duplicados","OK")))</f>
        <v/>
      </c>
    </row>
    <row r="131" ht="15" customHeight="1" s="131">
      <c r="A131" s="220" t="n"/>
      <c r="B131" s="222" t="n"/>
      <c r="C131" s="220" t="n"/>
      <c r="D131" s="179">
        <f>IFERROR(C131,"")</f>
        <v/>
      </c>
      <c r="E131" s="219" t="n"/>
      <c r="F131" s="220" t="n"/>
      <c r="G131" s="221">
        <f>IF(COUNTA(A131:C131)=0,"",IF(C131&lt;0,"ERRO: matrícula negativa",IF(COUNTIFS($A$5:$A$1200,A131,$B$5:$B$1200,B131)&gt;1,"ERRO: período e curso duplicados","OK")))</f>
        <v/>
      </c>
    </row>
    <row r="132" ht="15" customHeight="1" s="131">
      <c r="A132" s="220" t="n"/>
      <c r="B132" s="222" t="n"/>
      <c r="C132" s="220" t="n"/>
      <c r="D132" s="179">
        <f>IFERROR(C132,"")</f>
        <v/>
      </c>
      <c r="E132" s="219" t="n"/>
      <c r="F132" s="220" t="n"/>
      <c r="G132" s="221">
        <f>IF(COUNTA(A132:C132)=0,"",IF(C132&lt;0,"ERRO: matrícula negativa",IF(COUNTIFS($A$5:$A$1200,A132,$B$5:$B$1200,B132)&gt;1,"ERRO: período e curso duplicados","OK")))</f>
        <v/>
      </c>
    </row>
    <row r="133" ht="15" customHeight="1" s="131">
      <c r="A133" s="220" t="n"/>
      <c r="B133" s="222" t="n"/>
      <c r="C133" s="220" t="n"/>
      <c r="D133" s="179">
        <f>IFERROR(C133,"")</f>
        <v/>
      </c>
      <c r="E133" s="219" t="n"/>
      <c r="F133" s="220" t="n"/>
      <c r="G133" s="221">
        <f>IF(COUNTA(A133:C133)=0,"",IF(C133&lt;0,"ERRO: matrícula negativa",IF(COUNTIFS($A$5:$A$1200,A133,$B$5:$B$1200,B133)&gt;1,"ERRO: período e curso duplicados","OK")))</f>
        <v/>
      </c>
    </row>
    <row r="134" ht="15" customHeight="1" s="131">
      <c r="A134" s="220" t="n"/>
      <c r="B134" s="222" t="n"/>
      <c r="C134" s="220" t="n"/>
      <c r="D134" s="179">
        <f>IFERROR(C134,"")</f>
        <v/>
      </c>
      <c r="E134" s="219" t="n"/>
      <c r="F134" s="220" t="n"/>
      <c r="G134" s="221">
        <f>IF(COUNTA(A134:C134)=0,"",IF(C134&lt;0,"ERRO: matrícula negativa",IF(COUNTIFS($A$5:$A$1200,A134,$B$5:$B$1200,B134)&gt;1,"ERRO: período e curso duplicados","OK")))</f>
        <v/>
      </c>
    </row>
    <row r="135" ht="15" customHeight="1" s="131">
      <c r="A135" s="220" t="n"/>
      <c r="B135" s="222" t="n"/>
      <c r="C135" s="220" t="n"/>
      <c r="D135" s="179">
        <f>IFERROR(C135,"")</f>
        <v/>
      </c>
      <c r="E135" s="219" t="n"/>
      <c r="F135" s="220" t="n"/>
      <c r="G135" s="221">
        <f>IF(COUNTA(A135:C135)=0,"",IF(C135&lt;0,"ERRO: matrícula negativa",IF(COUNTIFS($A$5:$A$1200,A135,$B$5:$B$1200,B135)&gt;1,"ERRO: período e curso duplicados","OK")))</f>
        <v/>
      </c>
    </row>
    <row r="136" ht="15" customHeight="1" s="131">
      <c r="A136" s="220" t="n"/>
      <c r="B136" s="222" t="n"/>
      <c r="C136" s="220" t="n"/>
      <c r="D136" s="179">
        <f>IFERROR(C136,"")</f>
        <v/>
      </c>
      <c r="E136" s="219" t="n"/>
      <c r="F136" s="220" t="n"/>
      <c r="G136" s="221">
        <f>IF(COUNTA(A136:C136)=0,"",IF(C136&lt;0,"ERRO: matrícula negativa",IF(COUNTIFS($A$5:$A$1200,A136,$B$5:$B$1200,B136)&gt;1,"ERRO: período e curso duplicados","OK")))</f>
        <v/>
      </c>
    </row>
    <row r="137" ht="15" customHeight="1" s="131">
      <c r="A137" s="220" t="n"/>
      <c r="B137" s="222" t="n"/>
      <c r="C137" s="220" t="n"/>
      <c r="D137" s="179">
        <f>IFERROR(C137,"")</f>
        <v/>
      </c>
      <c r="E137" s="219" t="n"/>
      <c r="F137" s="220" t="n"/>
      <c r="G137" s="221">
        <f>IF(COUNTA(A137:C137)=0,"",IF(C137&lt;0,"ERRO: matrícula negativa",IF(COUNTIFS($A$5:$A$1200,A137,$B$5:$B$1200,B137)&gt;1,"ERRO: período e curso duplicados","OK")))</f>
        <v/>
      </c>
    </row>
    <row r="138" ht="15" customHeight="1" s="131">
      <c r="A138" s="220" t="n"/>
      <c r="B138" s="222" t="n"/>
      <c r="C138" s="220" t="n"/>
      <c r="D138" s="179">
        <f>IFERROR(C138,"")</f>
        <v/>
      </c>
      <c r="E138" s="219" t="n"/>
      <c r="F138" s="220" t="n"/>
      <c r="G138" s="221">
        <f>IF(COUNTA(A138:C138)=0,"",IF(C138&lt;0,"ERRO: matrícula negativa",IF(COUNTIFS($A$5:$A$1200,A138,$B$5:$B$1200,B138)&gt;1,"ERRO: período e curso duplicados","OK")))</f>
        <v/>
      </c>
    </row>
    <row r="139" ht="15" customHeight="1" s="131">
      <c r="A139" s="220" t="n"/>
      <c r="B139" s="222" t="n"/>
      <c r="C139" s="220" t="n"/>
      <c r="D139" s="179">
        <f>IFERROR(C139,"")</f>
        <v/>
      </c>
      <c r="E139" s="219" t="n"/>
      <c r="F139" s="220" t="n"/>
      <c r="G139" s="221">
        <f>IF(COUNTA(A139:C139)=0,"",IF(C139&lt;0,"ERRO: matrícula negativa",IF(COUNTIFS($A$5:$A$1200,A139,$B$5:$B$1200,B139)&gt;1,"ERRO: período e curso duplicados","OK")))</f>
        <v/>
      </c>
    </row>
    <row r="140" ht="15" customHeight="1" s="131">
      <c r="A140" s="220" t="n"/>
      <c r="B140" s="222" t="n"/>
      <c r="C140" s="220" t="n"/>
      <c r="D140" s="179">
        <f>IFERROR(C140,"")</f>
        <v/>
      </c>
      <c r="E140" s="219" t="n"/>
      <c r="F140" s="220" t="n"/>
      <c r="G140" s="221">
        <f>IF(COUNTA(A140:C140)=0,"",IF(C140&lt;0,"ERRO: matrícula negativa",IF(COUNTIFS($A$5:$A$1200,A140,$B$5:$B$1200,B140)&gt;1,"ERRO: período e curso duplicados","OK")))</f>
        <v/>
      </c>
    </row>
    <row r="141" ht="15" customHeight="1" s="131">
      <c r="A141" s="220" t="n"/>
      <c r="B141" s="222" t="n"/>
      <c r="C141" s="220" t="n"/>
      <c r="D141" s="179">
        <f>IFERROR(C141,"")</f>
        <v/>
      </c>
      <c r="E141" s="219" t="n"/>
      <c r="F141" s="220" t="n"/>
      <c r="G141" s="221">
        <f>IF(COUNTA(A141:C141)=0,"",IF(C141&lt;0,"ERRO: matrícula negativa",IF(COUNTIFS($A$5:$A$1200,A141,$B$5:$B$1200,B141)&gt;1,"ERRO: período e curso duplicados","OK")))</f>
        <v/>
      </c>
    </row>
    <row r="142" ht="15" customHeight="1" s="131">
      <c r="A142" s="220" t="n"/>
      <c r="B142" s="222" t="n"/>
      <c r="C142" s="220" t="n"/>
      <c r="D142" s="179">
        <f>IFERROR(C142,"")</f>
        <v/>
      </c>
      <c r="E142" s="219" t="n"/>
      <c r="F142" s="220" t="n"/>
      <c r="G142" s="221">
        <f>IF(COUNTA(A142:C142)=0,"",IF(C142&lt;0,"ERRO: matrícula negativa",IF(COUNTIFS($A$5:$A$1200,A142,$B$5:$B$1200,B142)&gt;1,"ERRO: período e curso duplicados","OK")))</f>
        <v/>
      </c>
    </row>
    <row r="143" ht="15" customHeight="1" s="131">
      <c r="A143" s="220" t="n"/>
      <c r="B143" s="222" t="n"/>
      <c r="C143" s="220" t="n"/>
      <c r="D143" s="179">
        <f>IFERROR(C143,"")</f>
        <v/>
      </c>
      <c r="E143" s="219" t="n"/>
      <c r="F143" s="220" t="n"/>
      <c r="G143" s="221">
        <f>IF(COUNTA(A143:C143)=0,"",IF(C143&lt;0,"ERRO: matrícula negativa",IF(COUNTIFS($A$5:$A$1200,A143,$B$5:$B$1200,B143)&gt;1,"ERRO: período e curso duplicados","OK")))</f>
        <v/>
      </c>
    </row>
    <row r="144" ht="15" customHeight="1" s="131">
      <c r="A144" s="220" t="n"/>
      <c r="B144" s="222" t="n"/>
      <c r="C144" s="220" t="n"/>
      <c r="D144" s="179">
        <f>IFERROR(C144,"")</f>
        <v/>
      </c>
      <c r="E144" s="219" t="n"/>
      <c r="F144" s="220" t="n"/>
      <c r="G144" s="221">
        <f>IF(COUNTA(A144:C144)=0,"",IF(C144&lt;0,"ERRO: matrícula negativa",IF(COUNTIFS($A$5:$A$1200,A144,$B$5:$B$1200,B144)&gt;1,"ERRO: período e curso duplicados","OK")))</f>
        <v/>
      </c>
    </row>
    <row r="145" ht="15" customHeight="1" s="131">
      <c r="A145" s="220" t="n"/>
      <c r="B145" s="222" t="n"/>
      <c r="C145" s="220" t="n"/>
      <c r="D145" s="179">
        <f>IFERROR(C145,"")</f>
        <v/>
      </c>
      <c r="E145" s="219" t="n"/>
      <c r="F145" s="220" t="n"/>
      <c r="G145" s="221">
        <f>IF(COUNTA(A145:C145)=0,"",IF(C145&lt;0,"ERRO: matrícula negativa",IF(COUNTIFS($A$5:$A$1200,A145,$B$5:$B$1200,B145)&gt;1,"ERRO: período e curso duplicados","OK")))</f>
        <v/>
      </c>
    </row>
    <row r="146" ht="15" customHeight="1" s="131">
      <c r="A146" s="220" t="n"/>
      <c r="B146" s="222" t="n"/>
      <c r="C146" s="220" t="n"/>
      <c r="D146" s="179">
        <f>IFERROR(C146,"")</f>
        <v/>
      </c>
      <c r="E146" s="219" t="n"/>
      <c r="F146" s="220" t="n"/>
      <c r="G146" s="221">
        <f>IF(COUNTA(A146:C146)=0,"",IF(C146&lt;0,"ERRO: matrícula negativa",IF(COUNTIFS($A$5:$A$1200,A146,$B$5:$B$1200,B146)&gt;1,"ERRO: período e curso duplicados","OK")))</f>
        <v/>
      </c>
    </row>
    <row r="147" ht="15" customHeight="1" s="131">
      <c r="A147" s="220" t="n"/>
      <c r="B147" s="222" t="n"/>
      <c r="C147" s="220" t="n"/>
      <c r="D147" s="179">
        <f>IFERROR(C147,"")</f>
        <v/>
      </c>
      <c r="E147" s="219" t="n"/>
      <c r="F147" s="220" t="n"/>
      <c r="G147" s="221">
        <f>IF(COUNTA(A147:C147)=0,"",IF(C147&lt;0,"ERRO: matrícula negativa",IF(COUNTIFS($A$5:$A$1200,A147,$B$5:$B$1200,B147)&gt;1,"ERRO: período e curso duplicados","OK")))</f>
        <v/>
      </c>
    </row>
    <row r="148" ht="15" customHeight="1" s="131">
      <c r="A148" s="220" t="n"/>
      <c r="B148" s="222" t="n"/>
      <c r="C148" s="220" t="n"/>
      <c r="D148" s="179">
        <f>IFERROR(C148,"")</f>
        <v/>
      </c>
      <c r="E148" s="219" t="n"/>
      <c r="F148" s="220" t="n"/>
      <c r="G148" s="221">
        <f>IF(COUNTA(A148:C148)=0,"",IF(C148&lt;0,"ERRO: matrícula negativa",IF(COUNTIFS($A$5:$A$1200,A148,$B$5:$B$1200,B148)&gt;1,"ERRO: período e curso duplicados","OK")))</f>
        <v/>
      </c>
    </row>
    <row r="149" ht="15" customHeight="1" s="131">
      <c r="A149" s="220" t="n"/>
      <c r="B149" s="222" t="n"/>
      <c r="C149" s="220" t="n"/>
      <c r="D149" s="179">
        <f>IFERROR(C149,"")</f>
        <v/>
      </c>
      <c r="E149" s="219" t="n"/>
      <c r="F149" s="220" t="n"/>
      <c r="G149" s="221">
        <f>IF(COUNTA(A149:C149)=0,"",IF(C149&lt;0,"ERRO: matrícula negativa",IF(COUNTIFS($A$5:$A$1200,A149,$B$5:$B$1200,B149)&gt;1,"ERRO: período e curso duplicados","OK")))</f>
        <v/>
      </c>
    </row>
    <row r="150" ht="15" customHeight="1" s="131">
      <c r="A150" s="220" t="n"/>
      <c r="B150" s="222" t="n"/>
      <c r="C150" s="220" t="n"/>
      <c r="D150" s="179">
        <f>IFERROR(C150,"")</f>
        <v/>
      </c>
      <c r="E150" s="219" t="n"/>
      <c r="F150" s="220" t="n"/>
      <c r="G150" s="221">
        <f>IF(COUNTA(A150:C150)=0,"",IF(C150&lt;0,"ERRO: matrícula negativa",IF(COUNTIFS($A$5:$A$1200,A150,$B$5:$B$1200,B150)&gt;1,"ERRO: período e curso duplicados","OK")))</f>
        <v/>
      </c>
    </row>
    <row r="151" ht="15" customHeight="1" s="131">
      <c r="A151" s="220" t="n"/>
      <c r="B151" s="222" t="n"/>
      <c r="C151" s="220" t="n"/>
      <c r="D151" s="179">
        <f>IFERROR(C151,"")</f>
        <v/>
      </c>
      <c r="E151" s="219" t="n"/>
      <c r="F151" s="220" t="n"/>
      <c r="G151" s="221">
        <f>IF(COUNTA(A151:C151)=0,"",IF(C151&lt;0,"ERRO: matrícula negativa",IF(COUNTIFS($A$5:$A$1200,A151,$B$5:$B$1200,B151)&gt;1,"ERRO: período e curso duplicados","OK")))</f>
        <v/>
      </c>
    </row>
    <row r="152" ht="15" customHeight="1" s="131">
      <c r="A152" s="220" t="n"/>
      <c r="B152" s="222" t="n"/>
      <c r="C152" s="220" t="n"/>
      <c r="D152" s="179">
        <f>IFERROR(C152,"")</f>
        <v/>
      </c>
      <c r="E152" s="219" t="n"/>
      <c r="F152" s="220" t="n"/>
      <c r="G152" s="221">
        <f>IF(COUNTA(A152:C152)=0,"",IF(C152&lt;0,"ERRO: matrícula negativa",IF(COUNTIFS($A$5:$A$1200,A152,$B$5:$B$1200,B152)&gt;1,"ERRO: período e curso duplicados","OK")))</f>
        <v/>
      </c>
    </row>
    <row r="153" ht="15" customHeight="1" s="131">
      <c r="A153" s="220" t="n"/>
      <c r="B153" s="222" t="n"/>
      <c r="C153" s="220" t="n"/>
      <c r="D153" s="179">
        <f>IFERROR(C153,"")</f>
        <v/>
      </c>
      <c r="E153" s="219" t="n"/>
      <c r="F153" s="220" t="n"/>
      <c r="G153" s="221">
        <f>IF(COUNTA(A153:C153)=0,"",IF(C153&lt;0,"ERRO: matrícula negativa",IF(COUNTIFS($A$5:$A$1200,A153,$B$5:$B$1200,B153)&gt;1,"ERRO: período e curso duplicados","OK")))</f>
        <v/>
      </c>
    </row>
    <row r="154" ht="15" customHeight="1" s="131">
      <c r="A154" s="220" t="n"/>
      <c r="B154" s="222" t="n"/>
      <c r="C154" s="220" t="n"/>
      <c r="D154" s="179">
        <f>IFERROR(C154,"")</f>
        <v/>
      </c>
      <c r="E154" s="219" t="n"/>
      <c r="F154" s="220" t="n"/>
      <c r="G154" s="221">
        <f>IF(COUNTA(A154:C154)=0,"",IF(C154&lt;0,"ERRO: matrícula negativa",IF(COUNTIFS($A$5:$A$1200,A154,$B$5:$B$1200,B154)&gt;1,"ERRO: período e curso duplicados","OK")))</f>
        <v/>
      </c>
    </row>
    <row r="155" ht="15" customHeight="1" s="131">
      <c r="A155" s="220" t="n"/>
      <c r="B155" s="222" t="n"/>
      <c r="C155" s="220" t="n"/>
      <c r="D155" s="179">
        <f>IFERROR(C155,"")</f>
        <v/>
      </c>
      <c r="E155" s="219" t="n"/>
      <c r="F155" s="220" t="n"/>
      <c r="G155" s="221">
        <f>IF(COUNTA(A155:C155)=0,"",IF(C155&lt;0,"ERRO: matrícula negativa",IF(COUNTIFS($A$5:$A$1200,A155,$B$5:$B$1200,B155)&gt;1,"ERRO: período e curso duplicados","OK")))</f>
        <v/>
      </c>
    </row>
    <row r="156" ht="15" customHeight="1" s="131">
      <c r="A156" s="220" t="n"/>
      <c r="B156" s="222" t="n"/>
      <c r="C156" s="220" t="n"/>
      <c r="D156" s="179">
        <f>IFERROR(C156,"")</f>
        <v/>
      </c>
      <c r="E156" s="219" t="n"/>
      <c r="F156" s="220" t="n"/>
      <c r="G156" s="221">
        <f>IF(COUNTA(A156:C156)=0,"",IF(C156&lt;0,"ERRO: matrícula negativa",IF(COUNTIFS($A$5:$A$1200,A156,$B$5:$B$1200,B156)&gt;1,"ERRO: período e curso duplicados","OK")))</f>
        <v/>
      </c>
    </row>
    <row r="157" ht="15" customHeight="1" s="131">
      <c r="A157" s="220" t="n"/>
      <c r="B157" s="222" t="n"/>
      <c r="C157" s="220" t="n"/>
      <c r="D157" s="179">
        <f>IFERROR(C157,"")</f>
        <v/>
      </c>
      <c r="E157" s="219" t="n"/>
      <c r="F157" s="220" t="n"/>
      <c r="G157" s="221">
        <f>IF(COUNTA(A157:C157)=0,"",IF(C157&lt;0,"ERRO: matrícula negativa",IF(COUNTIFS($A$5:$A$1200,A157,$B$5:$B$1200,B157)&gt;1,"ERRO: período e curso duplicados","OK")))</f>
        <v/>
      </c>
    </row>
    <row r="158" ht="15" customHeight="1" s="131">
      <c r="A158" s="220" t="n"/>
      <c r="B158" s="222" t="n"/>
      <c r="C158" s="220" t="n"/>
      <c r="D158" s="179">
        <f>IFERROR(C158,"")</f>
        <v/>
      </c>
      <c r="E158" s="219" t="n"/>
      <c r="F158" s="220" t="n"/>
      <c r="G158" s="221">
        <f>IF(COUNTA(A158:C158)=0,"",IF(C158&lt;0,"ERRO: matrícula negativa",IF(COUNTIFS($A$5:$A$1200,A158,$B$5:$B$1200,B158)&gt;1,"ERRO: período e curso duplicados","OK")))</f>
        <v/>
      </c>
    </row>
    <row r="159" ht="15" customHeight="1" s="131">
      <c r="A159" s="220" t="n"/>
      <c r="B159" s="222" t="n"/>
      <c r="C159" s="220" t="n"/>
      <c r="D159" s="179">
        <f>IFERROR(C159,"")</f>
        <v/>
      </c>
      <c r="E159" s="219" t="n"/>
      <c r="F159" s="220" t="n"/>
      <c r="G159" s="221">
        <f>IF(COUNTA(A159:C159)=0,"",IF(C159&lt;0,"ERRO: matrícula negativa",IF(COUNTIFS($A$5:$A$1200,A159,$B$5:$B$1200,B159)&gt;1,"ERRO: período e curso duplicados","OK")))</f>
        <v/>
      </c>
    </row>
    <row r="160" ht="15" customHeight="1" s="131">
      <c r="A160" s="220" t="n"/>
      <c r="B160" s="222" t="n"/>
      <c r="C160" s="220" t="n"/>
      <c r="D160" s="179">
        <f>IFERROR(C160,"")</f>
        <v/>
      </c>
      <c r="E160" s="219" t="n"/>
      <c r="F160" s="220" t="n"/>
      <c r="G160" s="221">
        <f>IF(COUNTA(A160:C160)=0,"",IF(C160&lt;0,"ERRO: matrícula negativa",IF(COUNTIFS($A$5:$A$1200,A160,$B$5:$B$1200,B160)&gt;1,"ERRO: período e curso duplicados","OK")))</f>
        <v/>
      </c>
    </row>
    <row r="161" ht="15" customHeight="1" s="131">
      <c r="A161" s="220" t="n"/>
      <c r="B161" s="222" t="n"/>
      <c r="C161" s="220" t="n"/>
      <c r="D161" s="179">
        <f>IFERROR(C161,"")</f>
        <v/>
      </c>
      <c r="E161" s="219" t="n"/>
      <c r="F161" s="220" t="n"/>
      <c r="G161" s="221">
        <f>IF(COUNTA(A161:C161)=0,"",IF(C161&lt;0,"ERRO: matrícula negativa",IF(COUNTIFS($A$5:$A$1200,A161,$B$5:$B$1200,B161)&gt;1,"ERRO: período e curso duplicados","OK")))</f>
        <v/>
      </c>
    </row>
    <row r="162" ht="15" customHeight="1" s="131">
      <c r="A162" s="220" t="n"/>
      <c r="B162" s="222" t="n"/>
      <c r="C162" s="220" t="n"/>
      <c r="D162" s="179">
        <f>IFERROR(C162,"")</f>
        <v/>
      </c>
      <c r="E162" s="219" t="n"/>
      <c r="F162" s="220" t="n"/>
      <c r="G162" s="221">
        <f>IF(COUNTA(A162:C162)=0,"",IF(C162&lt;0,"ERRO: matrícula negativa",IF(COUNTIFS($A$5:$A$1200,A162,$B$5:$B$1200,B162)&gt;1,"ERRO: período e curso duplicados","OK")))</f>
        <v/>
      </c>
    </row>
    <row r="163" ht="15" customHeight="1" s="131">
      <c r="A163" s="220" t="n"/>
      <c r="B163" s="222" t="n"/>
      <c r="C163" s="220" t="n"/>
      <c r="D163" s="179">
        <f>IFERROR(C163,"")</f>
        <v/>
      </c>
      <c r="E163" s="219" t="n"/>
      <c r="F163" s="220" t="n"/>
      <c r="G163" s="221">
        <f>IF(COUNTA(A163:C163)=0,"",IF(C163&lt;0,"ERRO: matrícula negativa",IF(COUNTIFS($A$5:$A$1200,A163,$B$5:$B$1200,B163)&gt;1,"ERRO: período e curso duplicados","OK")))</f>
        <v/>
      </c>
    </row>
    <row r="164" ht="15" customHeight="1" s="131">
      <c r="A164" s="220" t="n"/>
      <c r="B164" s="222" t="n"/>
      <c r="C164" s="220" t="n"/>
      <c r="D164" s="179">
        <f>IFERROR(C164,"")</f>
        <v/>
      </c>
      <c r="E164" s="219" t="n"/>
      <c r="F164" s="220" t="n"/>
      <c r="G164" s="221">
        <f>IF(COUNTA(A164:C164)=0,"",IF(C164&lt;0,"ERRO: matrícula negativa",IF(COUNTIFS($A$5:$A$1200,A164,$B$5:$B$1200,B164)&gt;1,"ERRO: período e curso duplicados","OK")))</f>
        <v/>
      </c>
    </row>
    <row r="165" ht="15" customHeight="1" s="131">
      <c r="A165" s="220" t="n"/>
      <c r="B165" s="222" t="n"/>
      <c r="C165" s="220" t="n"/>
      <c r="D165" s="179">
        <f>IFERROR(C165,"")</f>
        <v/>
      </c>
      <c r="E165" s="219" t="n"/>
      <c r="F165" s="220" t="n"/>
      <c r="G165" s="221">
        <f>IF(COUNTA(A165:C165)=0,"",IF(C165&lt;0,"ERRO: matrícula negativa",IF(COUNTIFS($A$5:$A$1200,A165,$B$5:$B$1200,B165)&gt;1,"ERRO: período e curso duplicados","OK")))</f>
        <v/>
      </c>
    </row>
    <row r="166" ht="15" customHeight="1" s="131">
      <c r="A166" s="220" t="n"/>
      <c r="B166" s="222" t="n"/>
      <c r="C166" s="220" t="n"/>
      <c r="D166" s="179">
        <f>IFERROR(C166,"")</f>
        <v/>
      </c>
      <c r="E166" s="219" t="n"/>
      <c r="F166" s="220" t="n"/>
      <c r="G166" s="221">
        <f>IF(COUNTA(A166:C166)=0,"",IF(C166&lt;0,"ERRO: matrícula negativa",IF(COUNTIFS($A$5:$A$1200,A166,$B$5:$B$1200,B166)&gt;1,"ERRO: período e curso duplicados","OK")))</f>
        <v/>
      </c>
    </row>
    <row r="167" ht="15" customHeight="1" s="131">
      <c r="A167" s="220" t="n"/>
      <c r="B167" s="222" t="n"/>
      <c r="C167" s="220" t="n"/>
      <c r="D167" s="179">
        <f>IFERROR(C167,"")</f>
        <v/>
      </c>
      <c r="E167" s="219" t="n"/>
      <c r="F167" s="220" t="n"/>
      <c r="G167" s="221">
        <f>IF(COUNTA(A167:C167)=0,"",IF(C167&lt;0,"ERRO: matrícula negativa",IF(COUNTIFS($A$5:$A$1200,A167,$B$5:$B$1200,B167)&gt;1,"ERRO: período e curso duplicados","OK")))</f>
        <v/>
      </c>
    </row>
    <row r="168" ht="15" customHeight="1" s="131">
      <c r="A168" s="220" t="n"/>
      <c r="B168" s="222" t="n"/>
      <c r="C168" s="220" t="n"/>
      <c r="D168" s="179">
        <f>IFERROR(C168,"")</f>
        <v/>
      </c>
      <c r="E168" s="219" t="n"/>
      <c r="F168" s="220" t="n"/>
      <c r="G168" s="221">
        <f>IF(COUNTA(A168:C168)=0,"",IF(C168&lt;0,"ERRO: matrícula negativa",IF(COUNTIFS($A$5:$A$1200,A168,$B$5:$B$1200,B168)&gt;1,"ERRO: período e curso duplicados","OK")))</f>
        <v/>
      </c>
    </row>
    <row r="169" ht="15" customHeight="1" s="131">
      <c r="A169" s="220" t="n"/>
      <c r="B169" s="222" t="n"/>
      <c r="C169" s="220" t="n"/>
      <c r="D169" s="179">
        <f>IFERROR(C169,"")</f>
        <v/>
      </c>
      <c r="E169" s="219" t="n"/>
      <c r="F169" s="220" t="n"/>
      <c r="G169" s="221">
        <f>IF(COUNTA(A169:C169)=0,"",IF(C169&lt;0,"ERRO: matrícula negativa",IF(COUNTIFS($A$5:$A$1200,A169,$B$5:$B$1200,B169)&gt;1,"ERRO: período e curso duplicados","OK")))</f>
        <v/>
      </c>
    </row>
    <row r="170" ht="15" customHeight="1" s="131">
      <c r="A170" s="220" t="n"/>
      <c r="B170" s="222" t="n"/>
      <c r="C170" s="220" t="n"/>
      <c r="D170" s="179">
        <f>IFERROR(C170,"")</f>
        <v/>
      </c>
      <c r="E170" s="219" t="n"/>
      <c r="F170" s="220" t="n"/>
      <c r="G170" s="221">
        <f>IF(COUNTA(A170:C170)=0,"",IF(C170&lt;0,"ERRO: matrícula negativa",IF(COUNTIFS($A$5:$A$1200,A170,$B$5:$B$1200,B170)&gt;1,"ERRO: período e curso duplicados","OK")))</f>
        <v/>
      </c>
    </row>
    <row r="171" ht="15" customHeight="1" s="131">
      <c r="A171" s="220" t="n"/>
      <c r="B171" s="222" t="n"/>
      <c r="C171" s="220" t="n"/>
      <c r="D171" s="179">
        <f>IFERROR(C171,"")</f>
        <v/>
      </c>
      <c r="E171" s="219" t="n"/>
      <c r="F171" s="220" t="n"/>
      <c r="G171" s="221">
        <f>IF(COUNTA(A171:C171)=0,"",IF(C171&lt;0,"ERRO: matrícula negativa",IF(COUNTIFS($A$5:$A$1200,A171,$B$5:$B$1200,B171)&gt;1,"ERRO: período e curso duplicados","OK")))</f>
        <v/>
      </c>
    </row>
    <row r="172" ht="15" customHeight="1" s="131">
      <c r="A172" s="220" t="n"/>
      <c r="B172" s="222" t="n"/>
      <c r="C172" s="220" t="n"/>
      <c r="D172" s="179">
        <f>IFERROR(C172,"")</f>
        <v/>
      </c>
      <c r="E172" s="219" t="n"/>
      <c r="F172" s="220" t="n"/>
      <c r="G172" s="221">
        <f>IF(COUNTA(A172:C172)=0,"",IF(C172&lt;0,"ERRO: matrícula negativa",IF(COUNTIFS($A$5:$A$1200,A172,$B$5:$B$1200,B172)&gt;1,"ERRO: período e curso duplicados","OK")))</f>
        <v/>
      </c>
    </row>
    <row r="173" ht="15" customHeight="1" s="131">
      <c r="A173" s="220" t="n"/>
      <c r="B173" s="222" t="n"/>
      <c r="C173" s="220" t="n"/>
      <c r="D173" s="179">
        <f>IFERROR(C173,"")</f>
        <v/>
      </c>
      <c r="E173" s="219" t="n"/>
      <c r="F173" s="220" t="n"/>
      <c r="G173" s="221">
        <f>IF(COUNTA(A173:C173)=0,"",IF(C173&lt;0,"ERRO: matrícula negativa",IF(COUNTIFS($A$5:$A$1200,A173,$B$5:$B$1200,B173)&gt;1,"ERRO: período e curso duplicados","OK")))</f>
        <v/>
      </c>
    </row>
    <row r="174" ht="15" customHeight="1" s="131">
      <c r="A174" s="220" t="n"/>
      <c r="B174" s="222" t="n"/>
      <c r="C174" s="220" t="n"/>
      <c r="D174" s="179">
        <f>IFERROR(C174,"")</f>
        <v/>
      </c>
      <c r="E174" s="219" t="n"/>
      <c r="F174" s="220" t="n"/>
      <c r="G174" s="221">
        <f>IF(COUNTA(A174:C174)=0,"",IF(C174&lt;0,"ERRO: matrícula negativa",IF(COUNTIFS($A$5:$A$1200,A174,$B$5:$B$1200,B174)&gt;1,"ERRO: período e curso duplicados","OK")))</f>
        <v/>
      </c>
    </row>
    <row r="175" ht="15" customHeight="1" s="131">
      <c r="A175" s="220" t="n"/>
      <c r="B175" s="222" t="n"/>
      <c r="C175" s="220" t="n"/>
      <c r="D175" s="179">
        <f>IFERROR(C175,"")</f>
        <v/>
      </c>
      <c r="E175" s="219" t="n"/>
      <c r="F175" s="220" t="n"/>
      <c r="G175" s="221">
        <f>IF(COUNTA(A175:C175)=0,"",IF(C175&lt;0,"ERRO: matrícula negativa",IF(COUNTIFS($A$5:$A$1200,A175,$B$5:$B$1200,B175)&gt;1,"ERRO: período e curso duplicados","OK")))</f>
        <v/>
      </c>
    </row>
    <row r="176" ht="15" customHeight="1" s="131">
      <c r="A176" s="220" t="n"/>
      <c r="B176" s="222" t="n"/>
      <c r="C176" s="220" t="n"/>
      <c r="D176" s="179">
        <f>IFERROR(C176,"")</f>
        <v/>
      </c>
      <c r="E176" s="219" t="n"/>
      <c r="F176" s="220" t="n"/>
      <c r="G176" s="221">
        <f>IF(COUNTA(A176:C176)=0,"",IF(C176&lt;0,"ERRO: matrícula negativa",IF(COUNTIFS($A$5:$A$1200,A176,$B$5:$B$1200,B176)&gt;1,"ERRO: período e curso duplicados","OK")))</f>
        <v/>
      </c>
    </row>
    <row r="177" ht="15" customHeight="1" s="131">
      <c r="A177" s="220" t="n"/>
      <c r="B177" s="222" t="n"/>
      <c r="C177" s="220" t="n"/>
      <c r="D177" s="179">
        <f>IFERROR(C177,"")</f>
        <v/>
      </c>
      <c r="E177" s="219" t="n"/>
      <c r="F177" s="220" t="n"/>
      <c r="G177" s="221">
        <f>IF(COUNTA(A177:C177)=0,"",IF(C177&lt;0,"ERRO: matrícula negativa",IF(COUNTIFS($A$5:$A$1200,A177,$B$5:$B$1200,B177)&gt;1,"ERRO: período e curso duplicados","OK")))</f>
        <v/>
      </c>
    </row>
    <row r="178" ht="15" customHeight="1" s="131">
      <c r="A178" s="220" t="n"/>
      <c r="B178" s="222" t="n"/>
      <c r="C178" s="220" t="n"/>
      <c r="D178" s="179">
        <f>IFERROR(C178,"")</f>
        <v/>
      </c>
      <c r="E178" s="219" t="n"/>
      <c r="F178" s="220" t="n"/>
      <c r="G178" s="221">
        <f>IF(COUNTA(A178:C178)=0,"",IF(C178&lt;0,"ERRO: matrícula negativa",IF(COUNTIFS($A$5:$A$1200,A178,$B$5:$B$1200,B178)&gt;1,"ERRO: período e curso duplicados","OK")))</f>
        <v/>
      </c>
    </row>
    <row r="179" ht="15" customHeight="1" s="131">
      <c r="A179" s="220" t="n"/>
      <c r="B179" s="222" t="n"/>
      <c r="C179" s="220" t="n"/>
      <c r="D179" s="179">
        <f>IFERROR(C179,"")</f>
        <v/>
      </c>
      <c r="E179" s="219" t="n"/>
      <c r="F179" s="220" t="n"/>
      <c r="G179" s="221">
        <f>IF(COUNTA(A179:C179)=0,"",IF(C179&lt;0,"ERRO: matrícula negativa",IF(COUNTIFS($A$5:$A$1200,A179,$B$5:$B$1200,B179)&gt;1,"ERRO: período e curso duplicados","OK")))</f>
        <v/>
      </c>
    </row>
    <row r="180" ht="15" customHeight="1" s="131">
      <c r="A180" s="220" t="n"/>
      <c r="B180" s="222" t="n"/>
      <c r="C180" s="220" t="n"/>
      <c r="D180" s="179">
        <f>IFERROR(C180,"")</f>
        <v/>
      </c>
      <c r="E180" s="219" t="n"/>
      <c r="F180" s="220" t="n"/>
      <c r="G180" s="221">
        <f>IF(COUNTA(A180:C180)=0,"",IF(C180&lt;0,"ERRO: matrícula negativa",IF(COUNTIFS($A$5:$A$1200,A180,$B$5:$B$1200,B180)&gt;1,"ERRO: período e curso duplicados","OK")))</f>
        <v/>
      </c>
    </row>
    <row r="181" ht="15" customHeight="1" s="131">
      <c r="A181" s="220" t="n"/>
      <c r="B181" s="222" t="n"/>
      <c r="C181" s="220" t="n"/>
      <c r="D181" s="179">
        <f>IFERROR(C181,"")</f>
        <v/>
      </c>
      <c r="E181" s="219" t="n"/>
      <c r="F181" s="220" t="n"/>
      <c r="G181" s="221">
        <f>IF(COUNTA(A181:C181)=0,"",IF(C181&lt;0,"ERRO: matrícula negativa",IF(COUNTIFS($A$5:$A$1200,A181,$B$5:$B$1200,B181)&gt;1,"ERRO: período e curso duplicados","OK")))</f>
        <v/>
      </c>
    </row>
    <row r="182" ht="15" customHeight="1" s="131">
      <c r="A182" s="220" t="n"/>
      <c r="B182" s="222" t="n"/>
      <c r="C182" s="220" t="n"/>
      <c r="D182" s="179">
        <f>IFERROR(C182,"")</f>
        <v/>
      </c>
      <c r="E182" s="219" t="n"/>
      <c r="F182" s="220" t="n"/>
      <c r="G182" s="221">
        <f>IF(COUNTA(A182:C182)=0,"",IF(C182&lt;0,"ERRO: matrícula negativa",IF(COUNTIFS($A$5:$A$1200,A182,$B$5:$B$1200,B182)&gt;1,"ERRO: período e curso duplicados","OK")))</f>
        <v/>
      </c>
    </row>
    <row r="183" ht="15" customHeight="1" s="131">
      <c r="A183" s="220" t="n"/>
      <c r="B183" s="222" t="n"/>
      <c r="C183" s="220" t="n"/>
      <c r="D183" s="179">
        <f>IFERROR(C183,"")</f>
        <v/>
      </c>
      <c r="E183" s="219" t="n"/>
      <c r="F183" s="220" t="n"/>
      <c r="G183" s="221">
        <f>IF(COUNTA(A183:C183)=0,"",IF(C183&lt;0,"ERRO: matrícula negativa",IF(COUNTIFS($A$5:$A$1200,A183,$B$5:$B$1200,B183)&gt;1,"ERRO: período e curso duplicados","OK")))</f>
        <v/>
      </c>
    </row>
    <row r="184" ht="15" customHeight="1" s="131">
      <c r="A184" s="220" t="n"/>
      <c r="B184" s="222" t="n"/>
      <c r="C184" s="220" t="n"/>
      <c r="D184" s="179">
        <f>IFERROR(C184,"")</f>
        <v/>
      </c>
      <c r="E184" s="219" t="n"/>
      <c r="F184" s="220" t="n"/>
      <c r="G184" s="221">
        <f>IF(COUNTA(A184:C184)=0,"",IF(C184&lt;0,"ERRO: matrícula negativa",IF(COUNTIFS($A$5:$A$1200,A184,$B$5:$B$1200,B184)&gt;1,"ERRO: período e curso duplicados","OK")))</f>
        <v/>
      </c>
    </row>
    <row r="185" ht="15" customHeight="1" s="131">
      <c r="A185" s="220" t="n"/>
      <c r="B185" s="222" t="n"/>
      <c r="C185" s="220" t="n"/>
      <c r="D185" s="179">
        <f>IFERROR(C185,"")</f>
        <v/>
      </c>
      <c r="E185" s="219" t="n"/>
      <c r="F185" s="220" t="n"/>
      <c r="G185" s="221">
        <f>IF(COUNTA(A185:C185)=0,"",IF(C185&lt;0,"ERRO: matrícula negativa",IF(COUNTIFS($A$5:$A$1200,A185,$B$5:$B$1200,B185)&gt;1,"ERRO: período e curso duplicados","OK")))</f>
        <v/>
      </c>
    </row>
    <row r="186" ht="15" customHeight="1" s="131">
      <c r="A186" s="220" t="n"/>
      <c r="B186" s="222" t="n"/>
      <c r="C186" s="220" t="n"/>
      <c r="D186" s="179">
        <f>IFERROR(C186,"")</f>
        <v/>
      </c>
      <c r="E186" s="219" t="n"/>
      <c r="F186" s="220" t="n"/>
      <c r="G186" s="221">
        <f>IF(COUNTA(A186:C186)=0,"",IF(C186&lt;0,"ERRO: matrícula negativa",IF(COUNTIFS($A$5:$A$1200,A186,$B$5:$B$1200,B186)&gt;1,"ERRO: período e curso duplicados","OK")))</f>
        <v/>
      </c>
    </row>
    <row r="187" ht="15" customHeight="1" s="131">
      <c r="A187" s="220" t="n"/>
      <c r="B187" s="222" t="n"/>
      <c r="C187" s="220" t="n"/>
      <c r="D187" s="179">
        <f>IFERROR(C187,"")</f>
        <v/>
      </c>
      <c r="E187" s="219" t="n"/>
      <c r="F187" s="220" t="n"/>
      <c r="G187" s="221">
        <f>IF(COUNTA(A187:C187)=0,"",IF(C187&lt;0,"ERRO: matrícula negativa",IF(COUNTIFS($A$5:$A$1200,A187,$B$5:$B$1200,B187)&gt;1,"ERRO: período e curso duplicados","OK")))</f>
        <v/>
      </c>
    </row>
    <row r="188" ht="15" customHeight="1" s="131">
      <c r="A188" s="220" t="n"/>
      <c r="B188" s="222" t="n"/>
      <c r="C188" s="220" t="n"/>
      <c r="D188" s="179">
        <f>IFERROR(C188,"")</f>
        <v/>
      </c>
      <c r="E188" s="219" t="n"/>
      <c r="F188" s="220" t="n"/>
      <c r="G188" s="221">
        <f>IF(COUNTA(A188:C188)=0,"",IF(C188&lt;0,"ERRO: matrícula negativa",IF(COUNTIFS($A$5:$A$1200,A188,$B$5:$B$1200,B188)&gt;1,"ERRO: período e curso duplicados","OK")))</f>
        <v/>
      </c>
    </row>
    <row r="189" ht="15" customHeight="1" s="131">
      <c r="A189" s="220" t="n"/>
      <c r="B189" s="222" t="n"/>
      <c r="C189" s="220" t="n"/>
      <c r="D189" s="179">
        <f>IFERROR(C189,"")</f>
        <v/>
      </c>
      <c r="E189" s="219" t="n"/>
      <c r="F189" s="220" t="n"/>
      <c r="G189" s="221">
        <f>IF(COUNTA(A189:C189)=0,"",IF(C189&lt;0,"ERRO: matrícula negativa",IF(COUNTIFS($A$5:$A$1200,A189,$B$5:$B$1200,B189)&gt;1,"ERRO: período e curso duplicados","OK")))</f>
        <v/>
      </c>
    </row>
    <row r="190" ht="15" customHeight="1" s="131">
      <c r="A190" s="220" t="n"/>
      <c r="B190" s="222" t="n"/>
      <c r="C190" s="220" t="n"/>
      <c r="D190" s="179">
        <f>IFERROR(C190,"")</f>
        <v/>
      </c>
      <c r="E190" s="219" t="n"/>
      <c r="F190" s="220" t="n"/>
      <c r="G190" s="221">
        <f>IF(COUNTA(A190:C190)=0,"",IF(C190&lt;0,"ERRO: matrícula negativa",IF(COUNTIFS($A$5:$A$1200,A190,$B$5:$B$1200,B190)&gt;1,"ERRO: período e curso duplicados","OK")))</f>
        <v/>
      </c>
    </row>
    <row r="191" ht="15" customHeight="1" s="131">
      <c r="A191" s="220" t="n"/>
      <c r="B191" s="222" t="n"/>
      <c r="C191" s="220" t="n"/>
      <c r="D191" s="179">
        <f>IFERROR(C191,"")</f>
        <v/>
      </c>
      <c r="E191" s="219" t="n"/>
      <c r="F191" s="220" t="n"/>
      <c r="G191" s="221">
        <f>IF(COUNTA(A191:C191)=0,"",IF(C191&lt;0,"ERRO: matrícula negativa",IF(COUNTIFS($A$5:$A$1200,A191,$B$5:$B$1200,B191)&gt;1,"ERRO: período e curso duplicados","OK")))</f>
        <v/>
      </c>
    </row>
    <row r="192" ht="15" customHeight="1" s="131">
      <c r="A192" s="220" t="n"/>
      <c r="B192" s="222" t="n"/>
      <c r="C192" s="220" t="n"/>
      <c r="D192" s="179">
        <f>IFERROR(C192,"")</f>
        <v/>
      </c>
      <c r="E192" s="219" t="n"/>
      <c r="F192" s="220" t="n"/>
      <c r="G192" s="221">
        <f>IF(COUNTA(A192:C192)=0,"",IF(C192&lt;0,"ERRO: matrícula negativa",IF(COUNTIFS($A$5:$A$1200,A192,$B$5:$B$1200,B192)&gt;1,"ERRO: período e curso duplicados","OK")))</f>
        <v/>
      </c>
    </row>
    <row r="193" ht="15" customHeight="1" s="131">
      <c r="A193" s="220" t="n"/>
      <c r="B193" s="222" t="n"/>
      <c r="C193" s="220" t="n"/>
      <c r="D193" s="179">
        <f>IFERROR(C193,"")</f>
        <v/>
      </c>
      <c r="E193" s="219" t="n"/>
      <c r="F193" s="220" t="n"/>
      <c r="G193" s="221">
        <f>IF(COUNTA(A193:C193)=0,"",IF(C193&lt;0,"ERRO: matrícula negativa",IF(COUNTIFS($A$5:$A$1200,A193,$B$5:$B$1200,B193)&gt;1,"ERRO: período e curso duplicados","OK")))</f>
        <v/>
      </c>
    </row>
    <row r="194" ht="15" customHeight="1" s="131">
      <c r="A194" s="220" t="n"/>
      <c r="B194" s="222" t="n"/>
      <c r="C194" s="220" t="n"/>
      <c r="D194" s="179">
        <f>IFERROR(C194,"")</f>
        <v/>
      </c>
      <c r="E194" s="219" t="n"/>
      <c r="F194" s="220" t="n"/>
      <c r="G194" s="221">
        <f>IF(COUNTA(A194:C194)=0,"",IF(C194&lt;0,"ERRO: matrícula negativa",IF(COUNTIFS($A$5:$A$1200,A194,$B$5:$B$1200,B194)&gt;1,"ERRO: período e curso duplicados","OK")))</f>
        <v/>
      </c>
    </row>
    <row r="195" ht="15" customHeight="1" s="131">
      <c r="A195" s="220" t="n"/>
      <c r="B195" s="222" t="n"/>
      <c r="C195" s="220" t="n"/>
      <c r="D195" s="179">
        <f>IFERROR(C195,"")</f>
        <v/>
      </c>
      <c r="E195" s="219" t="n"/>
      <c r="F195" s="220" t="n"/>
      <c r="G195" s="221">
        <f>IF(COUNTA(A195:C195)=0,"",IF(C195&lt;0,"ERRO: matrícula negativa",IF(COUNTIFS($A$5:$A$1200,A195,$B$5:$B$1200,B195)&gt;1,"ERRO: período e curso duplicados","OK")))</f>
        <v/>
      </c>
    </row>
    <row r="196" ht="15" customHeight="1" s="131">
      <c r="A196" s="220" t="n"/>
      <c r="B196" s="222" t="n"/>
      <c r="C196" s="220" t="n"/>
      <c r="D196" s="179">
        <f>IFERROR(C196,"")</f>
        <v/>
      </c>
      <c r="E196" s="219" t="n"/>
      <c r="F196" s="220" t="n"/>
      <c r="G196" s="221">
        <f>IF(COUNTA(A196:C196)=0,"",IF(C196&lt;0,"ERRO: matrícula negativa",IF(COUNTIFS($A$5:$A$1200,A196,$B$5:$B$1200,B196)&gt;1,"ERRO: período e curso duplicados","OK")))</f>
        <v/>
      </c>
    </row>
    <row r="197" ht="15" customHeight="1" s="131">
      <c r="A197" s="220" t="n"/>
      <c r="B197" s="222" t="n"/>
      <c r="C197" s="220" t="n"/>
      <c r="D197" s="179">
        <f>IFERROR(C197,"")</f>
        <v/>
      </c>
      <c r="E197" s="219" t="n"/>
      <c r="F197" s="220" t="n"/>
      <c r="G197" s="221">
        <f>IF(COUNTA(A197:C197)=0,"",IF(C197&lt;0,"ERRO: matrícula negativa",IF(COUNTIFS($A$5:$A$1200,A197,$B$5:$B$1200,B197)&gt;1,"ERRO: período e curso duplicados","OK")))</f>
        <v/>
      </c>
    </row>
    <row r="198" ht="15" customHeight="1" s="131">
      <c r="A198" s="220" t="n"/>
      <c r="B198" s="222" t="n"/>
      <c r="C198" s="220" t="n"/>
      <c r="D198" s="179">
        <f>IFERROR(C198,"")</f>
        <v/>
      </c>
      <c r="E198" s="219" t="n"/>
      <c r="F198" s="220" t="n"/>
      <c r="G198" s="221">
        <f>IF(COUNTA(A198:C198)=0,"",IF(C198&lt;0,"ERRO: matrícula negativa",IF(COUNTIFS($A$5:$A$1200,A198,$B$5:$B$1200,B198)&gt;1,"ERRO: período e curso duplicados","OK")))</f>
        <v/>
      </c>
    </row>
    <row r="199" ht="15" customHeight="1" s="131">
      <c r="A199" s="220" t="n"/>
      <c r="B199" s="222" t="n"/>
      <c r="C199" s="220" t="n"/>
      <c r="D199" s="179">
        <f>IFERROR(C199,"")</f>
        <v/>
      </c>
      <c r="E199" s="219" t="n"/>
      <c r="F199" s="220" t="n"/>
      <c r="G199" s="221">
        <f>IF(COUNTA(A199:C199)=0,"",IF(C199&lt;0,"ERRO: matrícula negativa",IF(COUNTIFS($A$5:$A$1200,A199,$B$5:$B$1200,B199)&gt;1,"ERRO: período e curso duplicados","OK")))</f>
        <v/>
      </c>
    </row>
    <row r="200" ht="15" customHeight="1" s="131">
      <c r="A200" s="220" t="n"/>
      <c r="B200" s="222" t="n"/>
      <c r="C200" s="220" t="n"/>
      <c r="D200" s="179">
        <f>IFERROR(C200,"")</f>
        <v/>
      </c>
      <c r="E200" s="219" t="n"/>
      <c r="F200" s="220" t="n"/>
      <c r="G200" s="221">
        <f>IF(COUNTA(A200:C200)=0,"",IF(C200&lt;0,"ERRO: matrícula negativa",IF(COUNTIFS($A$5:$A$1200,A200,$B$5:$B$1200,B200)&gt;1,"ERRO: período e curso duplicados","OK")))</f>
        <v/>
      </c>
    </row>
    <row r="201" ht="15" customHeight="1" s="131">
      <c r="A201" s="220" t="n"/>
      <c r="B201" s="222" t="n"/>
      <c r="C201" s="220" t="n"/>
      <c r="D201" s="179">
        <f>IFERROR(C201,"")</f>
        <v/>
      </c>
      <c r="E201" s="219" t="n"/>
      <c r="F201" s="220" t="n"/>
      <c r="G201" s="221">
        <f>IF(COUNTA(A201:C201)=0,"",IF(C201&lt;0,"ERRO: matrícula negativa",IF(COUNTIFS($A$5:$A$1200,A201,$B$5:$B$1200,B201)&gt;1,"ERRO: período e curso duplicados","OK")))</f>
        <v/>
      </c>
    </row>
    <row r="202" ht="15" customHeight="1" s="131">
      <c r="A202" s="220" t="n"/>
      <c r="B202" s="222" t="n"/>
      <c r="C202" s="220" t="n"/>
      <c r="D202" s="179">
        <f>IFERROR(C202,"")</f>
        <v/>
      </c>
      <c r="E202" s="219" t="n"/>
      <c r="F202" s="220" t="n"/>
      <c r="G202" s="221">
        <f>IF(COUNTA(A202:C202)=0,"",IF(C202&lt;0,"ERRO: matrícula negativa",IF(COUNTIFS($A$5:$A$1200,A202,$B$5:$B$1200,B202)&gt;1,"ERRO: período e curso duplicados","OK")))</f>
        <v/>
      </c>
    </row>
    <row r="203" ht="15" customHeight="1" s="131">
      <c r="A203" s="220" t="n"/>
      <c r="B203" s="222" t="n"/>
      <c r="C203" s="220" t="n"/>
      <c r="D203" s="179">
        <f>IFERROR(C203,"")</f>
        <v/>
      </c>
      <c r="E203" s="219" t="n"/>
      <c r="F203" s="220" t="n"/>
      <c r="G203" s="221">
        <f>IF(COUNTA(A203:C203)=0,"",IF(C203&lt;0,"ERRO: matrícula negativa",IF(COUNTIFS($A$5:$A$1200,A203,$B$5:$B$1200,B203)&gt;1,"ERRO: período e curso duplicados","OK")))</f>
        <v/>
      </c>
    </row>
    <row r="204" ht="15" customHeight="1" s="131">
      <c r="A204" s="220" t="n"/>
      <c r="B204" s="222" t="n"/>
      <c r="C204" s="220" t="n"/>
      <c r="D204" s="179">
        <f>IFERROR(C204,"")</f>
        <v/>
      </c>
      <c r="E204" s="219" t="n"/>
      <c r="F204" s="220" t="n"/>
      <c r="G204" s="221">
        <f>IF(COUNTA(A204:C204)=0,"",IF(C204&lt;0,"ERRO: matrícula negativa",IF(COUNTIFS($A$5:$A$1200,A204,$B$5:$B$1200,B204)&gt;1,"ERRO: período e curso duplicados","OK")))</f>
        <v/>
      </c>
    </row>
    <row r="205" ht="15" customHeight="1" s="131">
      <c r="A205" s="220" t="n"/>
      <c r="B205" s="222" t="n"/>
      <c r="C205" s="220" t="n"/>
      <c r="D205" s="179">
        <f>IFERROR(C205,"")</f>
        <v/>
      </c>
      <c r="E205" s="219" t="n"/>
      <c r="F205" s="220" t="n"/>
      <c r="G205" s="221">
        <f>IF(COUNTA(A205:C205)=0,"",IF(C205&lt;0,"ERRO: matrícula negativa",IF(COUNTIFS($A$5:$A$1200,A205,$B$5:$B$1200,B205)&gt;1,"ERRO: período e curso duplicados","OK")))</f>
        <v/>
      </c>
    </row>
    <row r="206" ht="15" customHeight="1" s="131">
      <c r="A206" s="220" t="n"/>
      <c r="B206" s="222" t="n"/>
      <c r="C206" s="220" t="n"/>
      <c r="D206" s="179">
        <f>IFERROR(C206,"")</f>
        <v/>
      </c>
      <c r="E206" s="219" t="n"/>
      <c r="F206" s="220" t="n"/>
      <c r="G206" s="221">
        <f>IF(COUNTA(A206:C206)=0,"",IF(C206&lt;0,"ERRO: matrícula negativa",IF(COUNTIFS($A$5:$A$1200,A206,$B$5:$B$1200,B206)&gt;1,"ERRO: período e curso duplicados","OK")))</f>
        <v/>
      </c>
    </row>
    <row r="207" ht="15" customHeight="1" s="131">
      <c r="A207" s="220" t="n"/>
      <c r="B207" s="222" t="n"/>
      <c r="C207" s="220" t="n"/>
      <c r="D207" s="179">
        <f>IFERROR(C207,"")</f>
        <v/>
      </c>
      <c r="E207" s="219" t="n"/>
      <c r="F207" s="220" t="n"/>
      <c r="G207" s="221">
        <f>IF(COUNTA(A207:C207)=0,"",IF(C207&lt;0,"ERRO: matrícula negativa",IF(COUNTIFS($A$5:$A$1200,A207,$B$5:$B$1200,B207)&gt;1,"ERRO: período e curso duplicados","OK")))</f>
        <v/>
      </c>
    </row>
    <row r="208" ht="15" customHeight="1" s="131">
      <c r="A208" s="220" t="n"/>
      <c r="B208" s="222" t="n"/>
      <c r="C208" s="220" t="n"/>
      <c r="D208" s="179">
        <f>IFERROR(C208,"")</f>
        <v/>
      </c>
      <c r="E208" s="219" t="n"/>
      <c r="F208" s="220" t="n"/>
      <c r="G208" s="221">
        <f>IF(COUNTA(A208:C208)=0,"",IF(C208&lt;0,"ERRO: matrícula negativa",IF(COUNTIFS($A$5:$A$1200,A208,$B$5:$B$1200,B208)&gt;1,"ERRO: período e curso duplicados","OK")))</f>
        <v/>
      </c>
    </row>
    <row r="209" ht="15" customHeight="1" s="131">
      <c r="A209" s="220" t="n"/>
      <c r="B209" s="222" t="n"/>
      <c r="C209" s="220" t="n"/>
      <c r="D209" s="179">
        <f>IFERROR(C209,"")</f>
        <v/>
      </c>
      <c r="E209" s="219" t="n"/>
      <c r="F209" s="220" t="n"/>
      <c r="G209" s="221">
        <f>IF(COUNTA(A209:C209)=0,"",IF(C209&lt;0,"ERRO: matrícula negativa",IF(COUNTIFS($A$5:$A$1200,A209,$B$5:$B$1200,B209)&gt;1,"ERRO: período e curso duplicados","OK")))</f>
        <v/>
      </c>
    </row>
    <row r="210" ht="15" customHeight="1" s="131">
      <c r="A210" s="220" t="n"/>
      <c r="B210" s="222" t="n"/>
      <c r="C210" s="220" t="n"/>
      <c r="D210" s="179">
        <f>IFERROR(C210,"")</f>
        <v/>
      </c>
      <c r="E210" s="219" t="n"/>
      <c r="F210" s="220" t="n"/>
      <c r="G210" s="221">
        <f>IF(COUNTA(A210:C210)=0,"",IF(C210&lt;0,"ERRO: matrícula negativa",IF(COUNTIFS($A$5:$A$1200,A210,$B$5:$B$1200,B210)&gt;1,"ERRO: período e curso duplicados","OK")))</f>
        <v/>
      </c>
    </row>
    <row r="211" ht="15" customHeight="1" s="131">
      <c r="A211" s="220" t="n"/>
      <c r="B211" s="222" t="n"/>
      <c r="C211" s="220" t="n"/>
      <c r="D211" s="179">
        <f>IFERROR(C211,"")</f>
        <v/>
      </c>
      <c r="E211" s="219" t="n"/>
      <c r="F211" s="220" t="n"/>
      <c r="G211" s="221">
        <f>IF(COUNTA(A211:C211)=0,"",IF(C211&lt;0,"ERRO: matrícula negativa",IF(COUNTIFS($A$5:$A$1200,A211,$B$5:$B$1200,B211)&gt;1,"ERRO: período e curso duplicados","OK")))</f>
        <v/>
      </c>
    </row>
    <row r="212" ht="15" customHeight="1" s="131">
      <c r="A212" s="220" t="n"/>
      <c r="B212" s="222" t="n"/>
      <c r="C212" s="220" t="n"/>
      <c r="D212" s="179">
        <f>IFERROR(C212,"")</f>
        <v/>
      </c>
      <c r="E212" s="219" t="n"/>
      <c r="F212" s="220" t="n"/>
      <c r="G212" s="221">
        <f>IF(COUNTA(A212:C212)=0,"",IF(C212&lt;0,"ERRO: matrícula negativa",IF(COUNTIFS($A$5:$A$1200,A212,$B$5:$B$1200,B212)&gt;1,"ERRO: período e curso duplicados","OK")))</f>
        <v/>
      </c>
    </row>
    <row r="213" ht="15" customHeight="1" s="131">
      <c r="A213" s="220" t="n"/>
      <c r="B213" s="222" t="n"/>
      <c r="C213" s="220" t="n"/>
      <c r="D213" s="179">
        <f>IFERROR(C213,"")</f>
        <v/>
      </c>
      <c r="E213" s="219" t="n"/>
      <c r="F213" s="220" t="n"/>
      <c r="G213" s="221">
        <f>IF(COUNTA(A213:C213)=0,"",IF(C213&lt;0,"ERRO: matrícula negativa",IF(COUNTIFS($A$5:$A$1200,A213,$B$5:$B$1200,B213)&gt;1,"ERRO: período e curso duplicados","OK")))</f>
        <v/>
      </c>
    </row>
    <row r="214" ht="15" customHeight="1" s="131">
      <c r="A214" s="220" t="n"/>
      <c r="B214" s="222" t="n"/>
      <c r="C214" s="220" t="n"/>
      <c r="D214" s="179">
        <f>IFERROR(C214,"")</f>
        <v/>
      </c>
      <c r="E214" s="219" t="n"/>
      <c r="F214" s="220" t="n"/>
      <c r="G214" s="221">
        <f>IF(COUNTA(A214:C214)=0,"",IF(C214&lt;0,"ERRO: matrícula negativa",IF(COUNTIFS($A$5:$A$1200,A214,$B$5:$B$1200,B214)&gt;1,"ERRO: período e curso duplicados","OK")))</f>
        <v/>
      </c>
    </row>
    <row r="215" ht="15" customHeight="1" s="131">
      <c r="A215" s="220" t="n"/>
      <c r="B215" s="222" t="n"/>
      <c r="C215" s="220" t="n"/>
      <c r="D215" s="179">
        <f>IFERROR(C215,"")</f>
        <v/>
      </c>
      <c r="E215" s="219" t="n"/>
      <c r="F215" s="220" t="n"/>
      <c r="G215" s="221">
        <f>IF(COUNTA(A215:C215)=0,"",IF(C215&lt;0,"ERRO: matrícula negativa",IF(COUNTIFS($A$5:$A$1200,A215,$B$5:$B$1200,B215)&gt;1,"ERRO: período e curso duplicados","OK")))</f>
        <v/>
      </c>
    </row>
    <row r="216" ht="15" customHeight="1" s="131">
      <c r="A216" s="220" t="n"/>
      <c r="B216" s="222" t="n"/>
      <c r="C216" s="220" t="n"/>
      <c r="D216" s="179">
        <f>IFERROR(C216,"")</f>
        <v/>
      </c>
      <c r="E216" s="219" t="n"/>
      <c r="F216" s="220" t="n"/>
      <c r="G216" s="221">
        <f>IF(COUNTA(A216:C216)=0,"",IF(C216&lt;0,"ERRO: matrícula negativa",IF(COUNTIFS($A$5:$A$1200,A216,$B$5:$B$1200,B216)&gt;1,"ERRO: período e curso duplicados","OK")))</f>
        <v/>
      </c>
    </row>
    <row r="217" ht="15" customHeight="1" s="131">
      <c r="A217" s="220" t="n"/>
      <c r="B217" s="222" t="n"/>
      <c r="C217" s="220" t="n"/>
      <c r="D217" s="179">
        <f>IFERROR(C217,"")</f>
        <v/>
      </c>
      <c r="E217" s="219" t="n"/>
      <c r="F217" s="220" t="n"/>
      <c r="G217" s="221">
        <f>IF(COUNTA(A217:C217)=0,"",IF(C217&lt;0,"ERRO: matrícula negativa",IF(COUNTIFS($A$5:$A$1200,A217,$B$5:$B$1200,B217)&gt;1,"ERRO: período e curso duplicados","OK")))</f>
        <v/>
      </c>
    </row>
    <row r="218" ht="15" customHeight="1" s="131">
      <c r="A218" s="220" t="n"/>
      <c r="B218" s="222" t="n"/>
      <c r="C218" s="220" t="n"/>
      <c r="D218" s="179">
        <f>IFERROR(C218,"")</f>
        <v/>
      </c>
      <c r="E218" s="219" t="n"/>
      <c r="F218" s="220" t="n"/>
      <c r="G218" s="221">
        <f>IF(COUNTA(A218:C218)=0,"",IF(C218&lt;0,"ERRO: matrícula negativa",IF(COUNTIFS($A$5:$A$1200,A218,$B$5:$B$1200,B218)&gt;1,"ERRO: período e curso duplicados","OK")))</f>
        <v/>
      </c>
    </row>
    <row r="219" ht="15" customHeight="1" s="131">
      <c r="A219" s="220" t="n"/>
      <c r="B219" s="222" t="n"/>
      <c r="C219" s="220" t="n"/>
      <c r="D219" s="179">
        <f>IFERROR(C219,"")</f>
        <v/>
      </c>
      <c r="E219" s="219" t="n"/>
      <c r="F219" s="220" t="n"/>
      <c r="G219" s="221">
        <f>IF(COUNTA(A219:C219)=0,"",IF(C219&lt;0,"ERRO: matrícula negativa",IF(COUNTIFS($A$5:$A$1200,A219,$B$5:$B$1200,B219)&gt;1,"ERRO: período e curso duplicados","OK")))</f>
        <v/>
      </c>
    </row>
    <row r="220" ht="15" customHeight="1" s="131">
      <c r="A220" s="220" t="n"/>
      <c r="B220" s="222" t="n"/>
      <c r="C220" s="220" t="n"/>
      <c r="D220" s="179">
        <f>IFERROR(C220,"")</f>
        <v/>
      </c>
      <c r="E220" s="219" t="n"/>
      <c r="F220" s="220" t="n"/>
      <c r="G220" s="221">
        <f>IF(COUNTA(A220:C220)=0,"",IF(C220&lt;0,"ERRO: matrícula negativa",IF(COUNTIFS($A$5:$A$1200,A220,$B$5:$B$1200,B220)&gt;1,"ERRO: período e curso duplicados","OK")))</f>
        <v/>
      </c>
    </row>
    <row r="221" ht="15" customHeight="1" s="131">
      <c r="A221" s="220" t="n"/>
      <c r="B221" s="222" t="n"/>
      <c r="C221" s="220" t="n"/>
      <c r="D221" s="179">
        <f>IFERROR(C221,"")</f>
        <v/>
      </c>
      <c r="E221" s="219" t="n"/>
      <c r="F221" s="220" t="n"/>
      <c r="G221" s="221">
        <f>IF(COUNTA(A221:C221)=0,"",IF(C221&lt;0,"ERRO: matrícula negativa",IF(COUNTIFS($A$5:$A$1200,A221,$B$5:$B$1200,B221)&gt;1,"ERRO: período e curso duplicados","OK")))</f>
        <v/>
      </c>
    </row>
    <row r="222" ht="15" customHeight="1" s="131">
      <c r="A222" s="220" t="n"/>
      <c r="B222" s="222" t="n"/>
      <c r="C222" s="220" t="n"/>
      <c r="D222" s="179">
        <f>IFERROR(C222,"")</f>
        <v/>
      </c>
      <c r="E222" s="219" t="n"/>
      <c r="F222" s="220" t="n"/>
      <c r="G222" s="221">
        <f>IF(COUNTA(A222:C222)=0,"",IF(C222&lt;0,"ERRO: matrícula negativa",IF(COUNTIFS($A$5:$A$1200,A222,$B$5:$B$1200,B222)&gt;1,"ERRO: período e curso duplicados","OK")))</f>
        <v/>
      </c>
    </row>
    <row r="223" ht="15" customHeight="1" s="131">
      <c r="A223" s="220" t="n"/>
      <c r="B223" s="222" t="n"/>
      <c r="C223" s="220" t="n"/>
      <c r="D223" s="179">
        <f>IFERROR(C223,"")</f>
        <v/>
      </c>
      <c r="E223" s="219" t="n"/>
      <c r="F223" s="220" t="n"/>
      <c r="G223" s="221">
        <f>IF(COUNTA(A223:C223)=0,"",IF(C223&lt;0,"ERRO: matrícula negativa",IF(COUNTIFS($A$5:$A$1200,A223,$B$5:$B$1200,B223)&gt;1,"ERRO: período e curso duplicados","OK")))</f>
        <v/>
      </c>
    </row>
    <row r="224" ht="15" customHeight="1" s="131">
      <c r="A224" s="220" t="n"/>
      <c r="B224" s="222" t="n"/>
      <c r="C224" s="220" t="n"/>
      <c r="D224" s="179">
        <f>IFERROR(C224,"")</f>
        <v/>
      </c>
      <c r="E224" s="219" t="n"/>
      <c r="F224" s="220" t="n"/>
      <c r="G224" s="221">
        <f>IF(COUNTA(A224:C224)=0,"",IF(C224&lt;0,"ERRO: matrícula negativa",IF(COUNTIFS($A$5:$A$1200,A224,$B$5:$B$1200,B224)&gt;1,"ERRO: período e curso duplicados","OK")))</f>
        <v/>
      </c>
    </row>
    <row r="225" ht="15" customHeight="1" s="131">
      <c r="A225" s="220" t="n"/>
      <c r="B225" s="222" t="n"/>
      <c r="C225" s="220" t="n"/>
      <c r="D225" s="179">
        <f>IFERROR(C225,"")</f>
        <v/>
      </c>
      <c r="E225" s="219" t="n"/>
      <c r="F225" s="220" t="n"/>
      <c r="G225" s="221">
        <f>IF(COUNTA(A225:C225)=0,"",IF(C225&lt;0,"ERRO: matrícula negativa",IF(COUNTIFS($A$5:$A$1200,A225,$B$5:$B$1200,B225)&gt;1,"ERRO: período e curso duplicados","OK")))</f>
        <v/>
      </c>
    </row>
    <row r="226" ht="15" customHeight="1" s="131">
      <c r="A226" s="220" t="n"/>
      <c r="B226" s="222" t="n"/>
      <c r="C226" s="220" t="n"/>
      <c r="D226" s="179">
        <f>IFERROR(C226,"")</f>
        <v/>
      </c>
      <c r="E226" s="219" t="n"/>
      <c r="F226" s="220" t="n"/>
      <c r="G226" s="221">
        <f>IF(COUNTA(A226:C226)=0,"",IF(C226&lt;0,"ERRO: matrícula negativa",IF(COUNTIFS($A$5:$A$1200,A226,$B$5:$B$1200,B226)&gt;1,"ERRO: período e curso duplicados","OK")))</f>
        <v/>
      </c>
    </row>
    <row r="227" ht="15" customHeight="1" s="131">
      <c r="A227" s="220" t="n"/>
      <c r="B227" s="222" t="n"/>
      <c r="C227" s="220" t="n"/>
      <c r="D227" s="179">
        <f>IFERROR(C227,"")</f>
        <v/>
      </c>
      <c r="E227" s="219" t="n"/>
      <c r="F227" s="220" t="n"/>
      <c r="G227" s="221">
        <f>IF(COUNTA(A227:C227)=0,"",IF(C227&lt;0,"ERRO: matrícula negativa",IF(COUNTIFS($A$5:$A$1200,A227,$B$5:$B$1200,B227)&gt;1,"ERRO: período e curso duplicados","OK")))</f>
        <v/>
      </c>
    </row>
    <row r="228" ht="15" customHeight="1" s="131">
      <c r="A228" s="220" t="n"/>
      <c r="B228" s="222" t="n"/>
      <c r="C228" s="220" t="n"/>
      <c r="D228" s="179">
        <f>IFERROR(C228,"")</f>
        <v/>
      </c>
      <c r="E228" s="219" t="n"/>
      <c r="F228" s="220" t="n"/>
      <c r="G228" s="221">
        <f>IF(COUNTA(A228:C228)=0,"",IF(C228&lt;0,"ERRO: matrícula negativa",IF(COUNTIFS($A$5:$A$1200,A228,$B$5:$B$1200,B228)&gt;1,"ERRO: período e curso duplicados","OK")))</f>
        <v/>
      </c>
    </row>
    <row r="229" ht="15" customHeight="1" s="131">
      <c r="A229" s="220" t="n"/>
      <c r="B229" s="222" t="n"/>
      <c r="C229" s="220" t="n"/>
      <c r="D229" s="179">
        <f>IFERROR(C229,"")</f>
        <v/>
      </c>
      <c r="E229" s="219" t="n"/>
      <c r="F229" s="220" t="n"/>
      <c r="G229" s="221">
        <f>IF(COUNTA(A229:C229)=0,"",IF(C229&lt;0,"ERRO: matrícula negativa",IF(COUNTIFS($A$5:$A$1200,A229,$B$5:$B$1200,B229)&gt;1,"ERRO: período e curso duplicados","OK")))</f>
        <v/>
      </c>
    </row>
    <row r="230" ht="15" customHeight="1" s="131">
      <c r="A230" s="220" t="n"/>
      <c r="B230" s="222" t="n"/>
      <c r="C230" s="220" t="n"/>
      <c r="D230" s="179">
        <f>IFERROR(C230,"")</f>
        <v/>
      </c>
      <c r="E230" s="219" t="n"/>
      <c r="F230" s="220" t="n"/>
      <c r="G230" s="221">
        <f>IF(COUNTA(A230:C230)=0,"",IF(C230&lt;0,"ERRO: matrícula negativa",IF(COUNTIFS($A$5:$A$1200,A230,$B$5:$B$1200,B230)&gt;1,"ERRO: período e curso duplicados","OK")))</f>
        <v/>
      </c>
    </row>
    <row r="231" ht="15" customHeight="1" s="131">
      <c r="A231" s="220" t="n"/>
      <c r="B231" s="222" t="n"/>
      <c r="C231" s="220" t="n"/>
      <c r="D231" s="179">
        <f>IFERROR(C231,"")</f>
        <v/>
      </c>
      <c r="E231" s="219" t="n"/>
      <c r="F231" s="220" t="n"/>
      <c r="G231" s="221">
        <f>IF(COUNTA(A231:C231)=0,"",IF(C231&lt;0,"ERRO: matrícula negativa",IF(COUNTIFS($A$5:$A$1200,A231,$B$5:$B$1200,B231)&gt;1,"ERRO: período e curso duplicados","OK")))</f>
        <v/>
      </c>
    </row>
    <row r="232" ht="15" customHeight="1" s="131">
      <c r="A232" s="220" t="n"/>
      <c r="B232" s="222" t="n"/>
      <c r="C232" s="220" t="n"/>
      <c r="D232" s="179">
        <f>IFERROR(C232,"")</f>
        <v/>
      </c>
      <c r="E232" s="219" t="n"/>
      <c r="F232" s="220" t="n"/>
      <c r="G232" s="221">
        <f>IF(COUNTA(A232:C232)=0,"",IF(C232&lt;0,"ERRO: matrícula negativa",IF(COUNTIFS($A$5:$A$1200,A232,$B$5:$B$1200,B232)&gt;1,"ERRO: período e curso duplicados","OK")))</f>
        <v/>
      </c>
    </row>
    <row r="233" ht="15" customHeight="1" s="131">
      <c r="A233" s="220" t="n"/>
      <c r="B233" s="222" t="n"/>
      <c r="C233" s="220" t="n"/>
      <c r="D233" s="179">
        <f>IFERROR(C233,"")</f>
        <v/>
      </c>
      <c r="E233" s="219" t="n"/>
      <c r="F233" s="220" t="n"/>
      <c r="G233" s="221">
        <f>IF(COUNTA(A233:C233)=0,"",IF(C233&lt;0,"ERRO: matrícula negativa",IF(COUNTIFS($A$5:$A$1200,A233,$B$5:$B$1200,B233)&gt;1,"ERRO: período e curso duplicados","OK")))</f>
        <v/>
      </c>
    </row>
    <row r="234" ht="15" customHeight="1" s="131">
      <c r="A234" s="220" t="n"/>
      <c r="B234" s="222" t="n"/>
      <c r="C234" s="220" t="n"/>
      <c r="D234" s="179">
        <f>IFERROR(C234,"")</f>
        <v/>
      </c>
      <c r="E234" s="219" t="n"/>
      <c r="F234" s="220" t="n"/>
      <c r="G234" s="221">
        <f>IF(COUNTA(A234:C234)=0,"",IF(C234&lt;0,"ERRO: matrícula negativa",IF(COUNTIFS($A$5:$A$1200,A234,$B$5:$B$1200,B234)&gt;1,"ERRO: período e curso duplicados","OK")))</f>
        <v/>
      </c>
    </row>
    <row r="235" ht="15" customHeight="1" s="131">
      <c r="A235" s="220" t="n"/>
      <c r="B235" s="222" t="n"/>
      <c r="C235" s="220" t="n"/>
      <c r="D235" s="179">
        <f>IFERROR(C235,"")</f>
        <v/>
      </c>
      <c r="E235" s="219" t="n"/>
      <c r="F235" s="220" t="n"/>
      <c r="G235" s="221">
        <f>IF(COUNTA(A235:C235)=0,"",IF(C235&lt;0,"ERRO: matrícula negativa",IF(COUNTIFS($A$5:$A$1200,A235,$B$5:$B$1200,B235)&gt;1,"ERRO: período e curso duplicados","OK")))</f>
        <v/>
      </c>
    </row>
    <row r="236" ht="15" customHeight="1" s="131">
      <c r="A236" s="220" t="n"/>
      <c r="B236" s="222" t="n"/>
      <c r="C236" s="220" t="n"/>
      <c r="D236" s="179">
        <f>IFERROR(C236,"")</f>
        <v/>
      </c>
      <c r="E236" s="219" t="n"/>
      <c r="F236" s="220" t="n"/>
      <c r="G236" s="221">
        <f>IF(COUNTA(A236:C236)=0,"",IF(C236&lt;0,"ERRO: matrícula negativa",IF(COUNTIFS($A$5:$A$1200,A236,$B$5:$B$1200,B236)&gt;1,"ERRO: período e curso duplicados","OK")))</f>
        <v/>
      </c>
    </row>
    <row r="237" ht="15" customHeight="1" s="131">
      <c r="A237" s="220" t="n"/>
      <c r="B237" s="222" t="n"/>
      <c r="C237" s="220" t="n"/>
      <c r="D237" s="179">
        <f>IFERROR(C237,"")</f>
        <v/>
      </c>
      <c r="E237" s="219" t="n"/>
      <c r="F237" s="220" t="n"/>
      <c r="G237" s="221">
        <f>IF(COUNTA(A237:C237)=0,"",IF(C237&lt;0,"ERRO: matrícula negativa",IF(COUNTIFS($A$5:$A$1200,A237,$B$5:$B$1200,B237)&gt;1,"ERRO: período e curso duplicados","OK")))</f>
        <v/>
      </c>
    </row>
    <row r="238" ht="15" customHeight="1" s="131">
      <c r="A238" s="220" t="n"/>
      <c r="B238" s="222" t="n"/>
      <c r="C238" s="220" t="n"/>
      <c r="D238" s="179">
        <f>IFERROR(C238,"")</f>
        <v/>
      </c>
      <c r="E238" s="219" t="n"/>
      <c r="F238" s="220" t="n"/>
      <c r="G238" s="221">
        <f>IF(COUNTA(A238:C238)=0,"",IF(C238&lt;0,"ERRO: matrícula negativa",IF(COUNTIFS($A$5:$A$1200,A238,$B$5:$B$1200,B238)&gt;1,"ERRO: período e curso duplicados","OK")))</f>
        <v/>
      </c>
    </row>
    <row r="239" ht="15" customHeight="1" s="131">
      <c r="A239" s="220" t="n"/>
      <c r="B239" s="222" t="n"/>
      <c r="C239" s="220" t="n"/>
      <c r="D239" s="179">
        <f>IFERROR(C239,"")</f>
        <v/>
      </c>
      <c r="E239" s="219" t="n"/>
      <c r="F239" s="220" t="n"/>
      <c r="G239" s="221">
        <f>IF(COUNTA(A239:C239)=0,"",IF(C239&lt;0,"ERRO: matrícula negativa",IF(COUNTIFS($A$5:$A$1200,A239,$B$5:$B$1200,B239)&gt;1,"ERRO: período e curso duplicados","OK")))</f>
        <v/>
      </c>
    </row>
    <row r="240" ht="15" customHeight="1" s="131">
      <c r="A240" s="220" t="n"/>
      <c r="B240" s="222" t="n"/>
      <c r="C240" s="220" t="n"/>
      <c r="D240" s="179">
        <f>IFERROR(C240,"")</f>
        <v/>
      </c>
      <c r="E240" s="219" t="n"/>
      <c r="F240" s="220" t="n"/>
      <c r="G240" s="221">
        <f>IF(COUNTA(A240:C240)=0,"",IF(C240&lt;0,"ERRO: matrícula negativa",IF(COUNTIFS($A$5:$A$1200,A240,$B$5:$B$1200,B240)&gt;1,"ERRO: período e curso duplicados","OK")))</f>
        <v/>
      </c>
    </row>
    <row r="241" ht="15" customHeight="1" s="131">
      <c r="A241" s="220" t="n"/>
      <c r="B241" s="222" t="n"/>
      <c r="C241" s="220" t="n"/>
      <c r="D241" s="179">
        <f>IFERROR(C241,"")</f>
        <v/>
      </c>
      <c r="E241" s="219" t="n"/>
      <c r="F241" s="220" t="n"/>
      <c r="G241" s="221">
        <f>IF(COUNTA(A241:C241)=0,"",IF(C241&lt;0,"ERRO: matrícula negativa",IF(COUNTIFS($A$5:$A$1200,A241,$B$5:$B$1200,B241)&gt;1,"ERRO: período e curso duplicados","OK")))</f>
        <v/>
      </c>
    </row>
    <row r="242" ht="15" customHeight="1" s="131">
      <c r="A242" s="220" t="n"/>
      <c r="B242" s="222" t="n"/>
      <c r="C242" s="220" t="n"/>
      <c r="D242" s="179">
        <f>IFERROR(C242,"")</f>
        <v/>
      </c>
      <c r="E242" s="219" t="n"/>
      <c r="F242" s="220" t="n"/>
      <c r="G242" s="221">
        <f>IF(COUNTA(A242:C242)=0,"",IF(C242&lt;0,"ERRO: matrícula negativa",IF(COUNTIFS($A$5:$A$1200,A242,$B$5:$B$1200,B242)&gt;1,"ERRO: período e curso duplicados","OK")))</f>
        <v/>
      </c>
    </row>
    <row r="243" ht="15" customHeight="1" s="131">
      <c r="A243" s="220" t="n"/>
      <c r="B243" s="222" t="n"/>
      <c r="C243" s="220" t="n"/>
      <c r="D243" s="179">
        <f>IFERROR(C243,"")</f>
        <v/>
      </c>
      <c r="E243" s="219" t="n"/>
      <c r="F243" s="220" t="n"/>
      <c r="G243" s="221">
        <f>IF(COUNTA(A243:C243)=0,"",IF(C243&lt;0,"ERRO: matrícula negativa",IF(COUNTIFS($A$5:$A$1200,A243,$B$5:$B$1200,B243)&gt;1,"ERRO: período e curso duplicados","OK")))</f>
        <v/>
      </c>
    </row>
    <row r="244" ht="15" customHeight="1" s="131">
      <c r="A244" s="220" t="n"/>
      <c r="B244" s="222" t="n"/>
      <c r="C244" s="220" t="n"/>
      <c r="D244" s="179">
        <f>IFERROR(C244,"")</f>
        <v/>
      </c>
      <c r="E244" s="219" t="n"/>
      <c r="F244" s="220" t="n"/>
      <c r="G244" s="221">
        <f>IF(COUNTA(A244:C244)=0,"",IF(C244&lt;0,"ERRO: matrícula negativa",IF(COUNTIFS($A$5:$A$1200,A244,$B$5:$B$1200,B244)&gt;1,"ERRO: período e curso duplicados","OK")))</f>
        <v/>
      </c>
    </row>
    <row r="245" ht="15" customHeight="1" s="131">
      <c r="A245" s="220" t="n"/>
      <c r="B245" s="222" t="n"/>
      <c r="C245" s="220" t="n"/>
      <c r="D245" s="179">
        <f>IFERROR(C245,"")</f>
        <v/>
      </c>
      <c r="E245" s="219" t="n"/>
      <c r="F245" s="220" t="n"/>
      <c r="G245" s="221">
        <f>IF(COUNTA(A245:C245)=0,"",IF(C245&lt;0,"ERRO: matrícula negativa",IF(COUNTIFS($A$5:$A$1200,A245,$B$5:$B$1200,B245)&gt;1,"ERRO: período e curso duplicados","OK")))</f>
        <v/>
      </c>
    </row>
    <row r="246" ht="15" customHeight="1" s="131">
      <c r="A246" s="220" t="n"/>
      <c r="B246" s="222" t="n"/>
      <c r="C246" s="220" t="n"/>
      <c r="D246" s="179">
        <f>IFERROR(C246,"")</f>
        <v/>
      </c>
      <c r="E246" s="219" t="n"/>
      <c r="F246" s="220" t="n"/>
      <c r="G246" s="221">
        <f>IF(COUNTA(A246:C246)=0,"",IF(C246&lt;0,"ERRO: matrícula negativa",IF(COUNTIFS($A$5:$A$1200,A246,$B$5:$B$1200,B246)&gt;1,"ERRO: período e curso duplicados","OK")))</f>
        <v/>
      </c>
    </row>
    <row r="247" ht="15" customHeight="1" s="131">
      <c r="A247" s="220" t="n"/>
      <c r="B247" s="222" t="n"/>
      <c r="C247" s="220" t="n"/>
      <c r="D247" s="179">
        <f>IFERROR(C247,"")</f>
        <v/>
      </c>
      <c r="E247" s="219" t="n"/>
      <c r="F247" s="220" t="n"/>
      <c r="G247" s="221">
        <f>IF(COUNTA(A247:C247)=0,"",IF(C247&lt;0,"ERRO: matrícula negativa",IF(COUNTIFS($A$5:$A$1200,A247,$B$5:$B$1200,B247)&gt;1,"ERRO: período e curso duplicados","OK")))</f>
        <v/>
      </c>
    </row>
    <row r="248" ht="15" customHeight="1" s="131">
      <c r="A248" s="220" t="n"/>
      <c r="B248" s="222" t="n"/>
      <c r="C248" s="220" t="n"/>
      <c r="D248" s="179">
        <f>IFERROR(C248,"")</f>
        <v/>
      </c>
      <c r="E248" s="219" t="n"/>
      <c r="F248" s="220" t="n"/>
      <c r="G248" s="221">
        <f>IF(COUNTA(A248:C248)=0,"",IF(C248&lt;0,"ERRO: matrícula negativa",IF(COUNTIFS($A$5:$A$1200,A248,$B$5:$B$1200,B248)&gt;1,"ERRO: período e curso duplicados","OK")))</f>
        <v/>
      </c>
    </row>
    <row r="249" ht="15" customHeight="1" s="131">
      <c r="A249" s="220" t="n"/>
      <c r="B249" s="222" t="n"/>
      <c r="C249" s="220" t="n"/>
      <c r="D249" s="179">
        <f>IFERROR(C249,"")</f>
        <v/>
      </c>
      <c r="E249" s="219" t="n"/>
      <c r="F249" s="220" t="n"/>
      <c r="G249" s="221">
        <f>IF(COUNTA(A249:C249)=0,"",IF(C249&lt;0,"ERRO: matrícula negativa",IF(COUNTIFS($A$5:$A$1200,A249,$B$5:$B$1200,B249)&gt;1,"ERRO: período e curso duplicados","OK")))</f>
        <v/>
      </c>
    </row>
    <row r="250" ht="15" customHeight="1" s="131">
      <c r="A250" s="220" t="n"/>
      <c r="B250" s="222" t="n"/>
      <c r="C250" s="220" t="n"/>
      <c r="D250" s="179">
        <f>IFERROR(C250,"")</f>
        <v/>
      </c>
      <c r="E250" s="219" t="n"/>
      <c r="F250" s="220" t="n"/>
      <c r="G250" s="221">
        <f>IF(COUNTA(A250:C250)=0,"",IF(C250&lt;0,"ERRO: matrícula negativa",IF(COUNTIFS($A$5:$A$1200,A250,$B$5:$B$1200,B250)&gt;1,"ERRO: período e curso duplicados","OK")))</f>
        <v/>
      </c>
    </row>
    <row r="251" ht="15" customHeight="1" s="131">
      <c r="A251" s="220" t="n"/>
      <c r="B251" s="222" t="n"/>
      <c r="C251" s="220" t="n"/>
      <c r="D251" s="179">
        <f>IFERROR(C251,"")</f>
        <v/>
      </c>
      <c r="E251" s="219" t="n"/>
      <c r="F251" s="220" t="n"/>
      <c r="G251" s="221">
        <f>IF(COUNTA(A251:C251)=0,"",IF(C251&lt;0,"ERRO: matrícula negativa",IF(COUNTIFS($A$5:$A$1200,A251,$B$5:$B$1200,B251)&gt;1,"ERRO: período e curso duplicados","OK")))</f>
        <v/>
      </c>
    </row>
    <row r="252" ht="15" customHeight="1" s="131">
      <c r="A252" s="220" t="n"/>
      <c r="B252" s="222" t="n"/>
      <c r="C252" s="220" t="n"/>
      <c r="D252" s="179">
        <f>IFERROR(C252,"")</f>
        <v/>
      </c>
      <c r="E252" s="219" t="n"/>
      <c r="F252" s="220" t="n"/>
      <c r="G252" s="221">
        <f>IF(COUNTA(A252:C252)=0,"",IF(C252&lt;0,"ERRO: matrícula negativa",IF(COUNTIFS($A$5:$A$1200,A252,$B$5:$B$1200,B252)&gt;1,"ERRO: período e curso duplicados","OK")))</f>
        <v/>
      </c>
    </row>
    <row r="253" ht="15" customHeight="1" s="131">
      <c r="A253" s="220" t="n"/>
      <c r="B253" s="222" t="n"/>
      <c r="C253" s="220" t="n"/>
      <c r="D253" s="179">
        <f>IFERROR(C253,"")</f>
        <v/>
      </c>
      <c r="E253" s="219" t="n"/>
      <c r="F253" s="220" t="n"/>
      <c r="G253" s="221">
        <f>IF(COUNTA(A253:C253)=0,"",IF(C253&lt;0,"ERRO: matrícula negativa",IF(COUNTIFS($A$5:$A$1200,A253,$B$5:$B$1200,B253)&gt;1,"ERRO: período e curso duplicados","OK")))</f>
        <v/>
      </c>
    </row>
    <row r="254" ht="15" customHeight="1" s="131">
      <c r="A254" s="220" t="n"/>
      <c r="B254" s="222" t="n"/>
      <c r="C254" s="220" t="n"/>
      <c r="D254" s="179">
        <f>IFERROR(C254,"")</f>
        <v/>
      </c>
      <c r="E254" s="219" t="n"/>
      <c r="F254" s="220" t="n"/>
      <c r="G254" s="221">
        <f>IF(COUNTA(A254:C254)=0,"",IF(C254&lt;0,"ERRO: matrícula negativa",IF(COUNTIFS($A$5:$A$1200,A254,$B$5:$B$1200,B254)&gt;1,"ERRO: período e curso duplicados","OK")))</f>
        <v/>
      </c>
    </row>
    <row r="255" ht="15" customHeight="1" s="131">
      <c r="A255" s="220" t="n"/>
      <c r="B255" s="222" t="n"/>
      <c r="C255" s="220" t="n"/>
      <c r="D255" s="179">
        <f>IFERROR(C255,"")</f>
        <v/>
      </c>
      <c r="E255" s="219" t="n"/>
      <c r="F255" s="220" t="n"/>
      <c r="G255" s="221">
        <f>IF(COUNTA(A255:C255)=0,"",IF(C255&lt;0,"ERRO: matrícula negativa",IF(COUNTIFS($A$5:$A$1200,A255,$B$5:$B$1200,B255)&gt;1,"ERRO: período e curso duplicados","OK")))</f>
        <v/>
      </c>
    </row>
    <row r="256" ht="15" customHeight="1" s="131">
      <c r="A256" s="220" t="n"/>
      <c r="B256" s="222" t="n"/>
      <c r="C256" s="220" t="n"/>
      <c r="D256" s="179">
        <f>IFERROR(C256,"")</f>
        <v/>
      </c>
      <c r="E256" s="219" t="n"/>
      <c r="F256" s="220" t="n"/>
      <c r="G256" s="221">
        <f>IF(COUNTA(A256:C256)=0,"",IF(C256&lt;0,"ERRO: matrícula negativa",IF(COUNTIFS($A$5:$A$1200,A256,$B$5:$B$1200,B256)&gt;1,"ERRO: período e curso duplicados","OK")))</f>
        <v/>
      </c>
    </row>
    <row r="257" ht="15" customHeight="1" s="131">
      <c r="A257" s="220" t="n"/>
      <c r="B257" s="222" t="n"/>
      <c r="C257" s="220" t="n"/>
      <c r="D257" s="179">
        <f>IFERROR(C257,"")</f>
        <v/>
      </c>
      <c r="E257" s="219" t="n"/>
      <c r="F257" s="220" t="n"/>
      <c r="G257" s="221">
        <f>IF(COUNTA(A257:C257)=0,"",IF(C257&lt;0,"ERRO: matrícula negativa",IF(COUNTIFS($A$5:$A$1200,A257,$B$5:$B$1200,B257)&gt;1,"ERRO: período e curso duplicados","OK")))</f>
        <v/>
      </c>
    </row>
    <row r="258" ht="15" customHeight="1" s="131">
      <c r="A258" s="220" t="n"/>
      <c r="B258" s="222" t="n"/>
      <c r="C258" s="220" t="n"/>
      <c r="D258" s="179">
        <f>IFERROR(C258,"")</f>
        <v/>
      </c>
      <c r="E258" s="219" t="n"/>
      <c r="F258" s="220" t="n"/>
      <c r="G258" s="221">
        <f>IF(COUNTA(A258:C258)=0,"",IF(C258&lt;0,"ERRO: matrícula negativa",IF(COUNTIFS($A$5:$A$1200,A258,$B$5:$B$1200,B258)&gt;1,"ERRO: período e curso duplicados","OK")))</f>
        <v/>
      </c>
    </row>
    <row r="259" ht="15" customHeight="1" s="131">
      <c r="A259" s="220" t="n"/>
      <c r="B259" s="222" t="n"/>
      <c r="C259" s="220" t="n"/>
      <c r="D259" s="179">
        <f>IFERROR(C259,"")</f>
        <v/>
      </c>
      <c r="E259" s="219" t="n"/>
      <c r="F259" s="220" t="n"/>
      <c r="G259" s="221">
        <f>IF(COUNTA(A259:C259)=0,"",IF(C259&lt;0,"ERRO: matrícula negativa",IF(COUNTIFS($A$5:$A$1200,A259,$B$5:$B$1200,B259)&gt;1,"ERRO: período e curso duplicados","OK")))</f>
        <v/>
      </c>
    </row>
    <row r="260" ht="15" customHeight="1" s="131">
      <c r="A260" s="220" t="n"/>
      <c r="B260" s="222" t="n"/>
      <c r="C260" s="220" t="n"/>
      <c r="D260" s="179">
        <f>IFERROR(C260,"")</f>
        <v/>
      </c>
      <c r="E260" s="219" t="n"/>
      <c r="F260" s="220" t="n"/>
      <c r="G260" s="221">
        <f>IF(COUNTA(A260:C260)=0,"",IF(C260&lt;0,"ERRO: matrícula negativa",IF(COUNTIFS($A$5:$A$1200,A260,$B$5:$B$1200,B260)&gt;1,"ERRO: período e curso duplicados","OK")))</f>
        <v/>
      </c>
    </row>
    <row r="261" ht="15" customHeight="1" s="131">
      <c r="A261" s="220" t="n"/>
      <c r="B261" s="222" t="n"/>
      <c r="C261" s="220" t="n"/>
      <c r="D261" s="179">
        <f>IFERROR(C261,"")</f>
        <v/>
      </c>
      <c r="E261" s="219" t="n"/>
      <c r="F261" s="220" t="n"/>
      <c r="G261" s="221">
        <f>IF(COUNTA(A261:C261)=0,"",IF(C261&lt;0,"ERRO: matrícula negativa",IF(COUNTIFS($A$5:$A$1200,A261,$B$5:$B$1200,B261)&gt;1,"ERRO: período e curso duplicados","OK")))</f>
        <v/>
      </c>
    </row>
    <row r="262" ht="15" customHeight="1" s="131">
      <c r="A262" s="220" t="n"/>
      <c r="B262" s="222" t="n"/>
      <c r="C262" s="220" t="n"/>
      <c r="D262" s="179">
        <f>IFERROR(C262,"")</f>
        <v/>
      </c>
      <c r="E262" s="219" t="n"/>
      <c r="F262" s="220" t="n"/>
      <c r="G262" s="221">
        <f>IF(COUNTA(A262:C262)=0,"",IF(C262&lt;0,"ERRO: matrícula negativa",IF(COUNTIFS($A$5:$A$1200,A262,$B$5:$B$1200,B262)&gt;1,"ERRO: período e curso duplicados","OK")))</f>
        <v/>
      </c>
    </row>
    <row r="263" ht="15" customHeight="1" s="131">
      <c r="A263" s="220" t="n"/>
      <c r="B263" s="222" t="n"/>
      <c r="C263" s="220" t="n"/>
      <c r="D263" s="179">
        <f>IFERROR(C263,"")</f>
        <v/>
      </c>
      <c r="E263" s="219" t="n"/>
      <c r="F263" s="220" t="n"/>
      <c r="G263" s="221">
        <f>IF(COUNTA(A263:C263)=0,"",IF(C263&lt;0,"ERRO: matrícula negativa",IF(COUNTIFS($A$5:$A$1200,A263,$B$5:$B$1200,B263)&gt;1,"ERRO: período e curso duplicados","OK")))</f>
        <v/>
      </c>
    </row>
    <row r="264" ht="15" customHeight="1" s="131">
      <c r="A264" s="220" t="n"/>
      <c r="B264" s="222" t="n"/>
      <c r="C264" s="220" t="n"/>
      <c r="D264" s="179">
        <f>IFERROR(C264,"")</f>
        <v/>
      </c>
      <c r="E264" s="219" t="n"/>
      <c r="F264" s="220" t="n"/>
      <c r="G264" s="221">
        <f>IF(COUNTA(A264:C264)=0,"",IF(C264&lt;0,"ERRO: matrícula negativa",IF(COUNTIFS($A$5:$A$1200,A264,$B$5:$B$1200,B264)&gt;1,"ERRO: período e curso duplicados","OK")))</f>
        <v/>
      </c>
    </row>
    <row r="265" ht="15" customHeight="1" s="131">
      <c r="A265" s="220" t="n"/>
      <c r="B265" s="222" t="n"/>
      <c r="C265" s="220" t="n"/>
      <c r="D265" s="179">
        <f>IFERROR(C265,"")</f>
        <v/>
      </c>
      <c r="E265" s="219" t="n"/>
      <c r="F265" s="220" t="n"/>
      <c r="G265" s="221">
        <f>IF(COUNTA(A265:C265)=0,"",IF(C265&lt;0,"ERRO: matrícula negativa",IF(COUNTIFS($A$5:$A$1200,A265,$B$5:$B$1200,B265)&gt;1,"ERRO: período e curso duplicados","OK")))</f>
        <v/>
      </c>
    </row>
    <row r="266" ht="15" customHeight="1" s="131">
      <c r="A266" s="220" t="n"/>
      <c r="B266" s="222" t="n"/>
      <c r="C266" s="220" t="n"/>
      <c r="D266" s="179">
        <f>IFERROR(C266,"")</f>
        <v/>
      </c>
      <c r="E266" s="219" t="n"/>
      <c r="F266" s="220" t="n"/>
      <c r="G266" s="221">
        <f>IF(COUNTA(A266:C266)=0,"",IF(C266&lt;0,"ERRO: matrícula negativa",IF(COUNTIFS($A$5:$A$1200,A266,$B$5:$B$1200,B266)&gt;1,"ERRO: período e curso duplicados","OK")))</f>
        <v/>
      </c>
    </row>
    <row r="267" ht="15" customHeight="1" s="131">
      <c r="A267" s="220" t="n"/>
      <c r="B267" s="222" t="n"/>
      <c r="C267" s="220" t="n"/>
      <c r="D267" s="179">
        <f>IFERROR(C267,"")</f>
        <v/>
      </c>
      <c r="E267" s="219" t="n"/>
      <c r="F267" s="220" t="n"/>
      <c r="G267" s="221">
        <f>IF(COUNTA(A267:C267)=0,"",IF(C267&lt;0,"ERRO: matrícula negativa",IF(COUNTIFS($A$5:$A$1200,A267,$B$5:$B$1200,B267)&gt;1,"ERRO: período e curso duplicados","OK")))</f>
        <v/>
      </c>
    </row>
    <row r="268" ht="15" customHeight="1" s="131">
      <c r="A268" s="220" t="n"/>
      <c r="B268" s="222" t="n"/>
      <c r="C268" s="220" t="n"/>
      <c r="D268" s="179">
        <f>IFERROR(C268,"")</f>
        <v/>
      </c>
      <c r="E268" s="219" t="n"/>
      <c r="F268" s="220" t="n"/>
      <c r="G268" s="221">
        <f>IF(COUNTA(A268:C268)=0,"",IF(C268&lt;0,"ERRO: matrícula negativa",IF(COUNTIFS($A$5:$A$1200,A268,$B$5:$B$1200,B268)&gt;1,"ERRO: período e curso duplicados","OK")))</f>
        <v/>
      </c>
    </row>
    <row r="269" ht="15" customHeight="1" s="131">
      <c r="A269" s="220" t="n"/>
      <c r="B269" s="222" t="n"/>
      <c r="C269" s="220" t="n"/>
      <c r="D269" s="179">
        <f>IFERROR(C269,"")</f>
        <v/>
      </c>
      <c r="E269" s="219" t="n"/>
      <c r="F269" s="220" t="n"/>
      <c r="G269" s="221">
        <f>IF(COUNTA(A269:C269)=0,"",IF(C269&lt;0,"ERRO: matrícula negativa",IF(COUNTIFS($A$5:$A$1200,A269,$B$5:$B$1200,B269)&gt;1,"ERRO: período e curso duplicados","OK")))</f>
        <v/>
      </c>
    </row>
    <row r="270" ht="15" customHeight="1" s="131">
      <c r="A270" s="220" t="n"/>
      <c r="B270" s="222" t="n"/>
      <c r="C270" s="220" t="n"/>
      <c r="D270" s="179">
        <f>IFERROR(C270,"")</f>
        <v/>
      </c>
      <c r="E270" s="219" t="n"/>
      <c r="F270" s="220" t="n"/>
      <c r="G270" s="221">
        <f>IF(COUNTA(A270:C270)=0,"",IF(C270&lt;0,"ERRO: matrícula negativa",IF(COUNTIFS($A$5:$A$1200,A270,$B$5:$B$1200,B270)&gt;1,"ERRO: período e curso duplicados","OK")))</f>
        <v/>
      </c>
    </row>
    <row r="271" ht="15" customHeight="1" s="131">
      <c r="A271" s="220" t="n"/>
      <c r="B271" s="222" t="n"/>
      <c r="C271" s="220" t="n"/>
      <c r="D271" s="179">
        <f>IFERROR(C271,"")</f>
        <v/>
      </c>
      <c r="E271" s="219" t="n"/>
      <c r="F271" s="220" t="n"/>
      <c r="G271" s="221">
        <f>IF(COUNTA(A271:C271)=0,"",IF(C271&lt;0,"ERRO: matrícula negativa",IF(COUNTIFS($A$5:$A$1200,A271,$B$5:$B$1200,B271)&gt;1,"ERRO: período e curso duplicados","OK")))</f>
        <v/>
      </c>
    </row>
    <row r="272" ht="15" customHeight="1" s="131">
      <c r="A272" s="220" t="n"/>
      <c r="B272" s="222" t="n"/>
      <c r="C272" s="220" t="n"/>
      <c r="D272" s="179">
        <f>IFERROR(C272,"")</f>
        <v/>
      </c>
      <c r="E272" s="219" t="n"/>
      <c r="F272" s="220" t="n"/>
      <c r="G272" s="221">
        <f>IF(COUNTA(A272:C272)=0,"",IF(C272&lt;0,"ERRO: matrícula negativa",IF(COUNTIFS($A$5:$A$1200,A272,$B$5:$B$1200,B272)&gt;1,"ERRO: período e curso duplicados","OK")))</f>
        <v/>
      </c>
    </row>
    <row r="273" ht="15" customHeight="1" s="131">
      <c r="A273" s="220" t="n"/>
      <c r="B273" s="222" t="n"/>
      <c r="C273" s="220" t="n"/>
      <c r="D273" s="179">
        <f>IFERROR(C273,"")</f>
        <v/>
      </c>
      <c r="E273" s="219" t="n"/>
      <c r="F273" s="220" t="n"/>
      <c r="G273" s="221">
        <f>IF(COUNTA(A273:C273)=0,"",IF(C273&lt;0,"ERRO: matrícula negativa",IF(COUNTIFS($A$5:$A$1200,A273,$B$5:$B$1200,B273)&gt;1,"ERRO: período e curso duplicados","OK")))</f>
        <v/>
      </c>
    </row>
    <row r="274" ht="15" customHeight="1" s="131">
      <c r="A274" s="220" t="n"/>
      <c r="B274" s="222" t="n"/>
      <c r="C274" s="220" t="n"/>
      <c r="D274" s="179">
        <f>IFERROR(C274,"")</f>
        <v/>
      </c>
      <c r="E274" s="219" t="n"/>
      <c r="F274" s="220" t="n"/>
      <c r="G274" s="221">
        <f>IF(COUNTA(A274:C274)=0,"",IF(C274&lt;0,"ERRO: matrícula negativa",IF(COUNTIFS($A$5:$A$1200,A274,$B$5:$B$1200,B274)&gt;1,"ERRO: período e curso duplicados","OK")))</f>
        <v/>
      </c>
    </row>
    <row r="275" ht="15" customHeight="1" s="131">
      <c r="A275" s="220" t="n"/>
      <c r="B275" s="222" t="n"/>
      <c r="C275" s="220" t="n"/>
      <c r="D275" s="179">
        <f>IFERROR(C275,"")</f>
        <v/>
      </c>
      <c r="E275" s="219" t="n"/>
      <c r="F275" s="220" t="n"/>
      <c r="G275" s="221">
        <f>IF(COUNTA(A275:C275)=0,"",IF(C275&lt;0,"ERRO: matrícula negativa",IF(COUNTIFS($A$5:$A$1200,A275,$B$5:$B$1200,B275)&gt;1,"ERRO: período e curso duplicados","OK")))</f>
        <v/>
      </c>
    </row>
    <row r="276" ht="15" customHeight="1" s="131">
      <c r="A276" s="220" t="n"/>
      <c r="B276" s="222" t="n"/>
      <c r="C276" s="220" t="n"/>
      <c r="D276" s="179">
        <f>IFERROR(C276,"")</f>
        <v/>
      </c>
      <c r="E276" s="219" t="n"/>
      <c r="F276" s="220" t="n"/>
      <c r="G276" s="221">
        <f>IF(COUNTA(A276:C276)=0,"",IF(C276&lt;0,"ERRO: matrícula negativa",IF(COUNTIFS($A$5:$A$1200,A276,$B$5:$B$1200,B276)&gt;1,"ERRO: período e curso duplicados","OK")))</f>
        <v/>
      </c>
    </row>
    <row r="277" ht="15" customHeight="1" s="131">
      <c r="A277" s="220" t="n"/>
      <c r="B277" s="222" t="n"/>
      <c r="C277" s="220" t="n"/>
      <c r="D277" s="179">
        <f>IFERROR(C277,"")</f>
        <v/>
      </c>
      <c r="E277" s="219" t="n"/>
      <c r="F277" s="220" t="n"/>
      <c r="G277" s="221">
        <f>IF(COUNTA(A277:C277)=0,"",IF(C277&lt;0,"ERRO: matrícula negativa",IF(COUNTIFS($A$5:$A$1200,A277,$B$5:$B$1200,B277)&gt;1,"ERRO: período e curso duplicados","OK")))</f>
        <v/>
      </c>
    </row>
    <row r="278" ht="15" customHeight="1" s="131">
      <c r="A278" s="220" t="n"/>
      <c r="B278" s="222" t="n"/>
      <c r="C278" s="220" t="n"/>
      <c r="D278" s="179">
        <f>IFERROR(C278,"")</f>
        <v/>
      </c>
      <c r="E278" s="219" t="n"/>
      <c r="F278" s="220" t="n"/>
      <c r="G278" s="221">
        <f>IF(COUNTA(A278:C278)=0,"",IF(C278&lt;0,"ERRO: matrícula negativa",IF(COUNTIFS($A$5:$A$1200,A278,$B$5:$B$1200,B278)&gt;1,"ERRO: período e curso duplicados","OK")))</f>
        <v/>
      </c>
    </row>
    <row r="279" ht="15" customHeight="1" s="131">
      <c r="A279" s="220" t="n"/>
      <c r="B279" s="222" t="n"/>
      <c r="C279" s="220" t="n"/>
      <c r="D279" s="179">
        <f>IFERROR(C279,"")</f>
        <v/>
      </c>
      <c r="E279" s="219" t="n"/>
      <c r="F279" s="220" t="n"/>
      <c r="G279" s="221">
        <f>IF(COUNTA(A279:C279)=0,"",IF(C279&lt;0,"ERRO: matrícula negativa",IF(COUNTIFS($A$5:$A$1200,A279,$B$5:$B$1200,B279)&gt;1,"ERRO: período e curso duplicados","OK")))</f>
        <v/>
      </c>
    </row>
    <row r="280" ht="15" customHeight="1" s="131">
      <c r="A280" s="220" t="n"/>
      <c r="B280" s="222" t="n"/>
      <c r="C280" s="220" t="n"/>
      <c r="D280" s="179">
        <f>IFERROR(C280,"")</f>
        <v/>
      </c>
      <c r="E280" s="219" t="n"/>
      <c r="F280" s="220" t="n"/>
      <c r="G280" s="221">
        <f>IF(COUNTA(A280:C280)=0,"",IF(C280&lt;0,"ERRO: matrícula negativa",IF(COUNTIFS($A$5:$A$1200,A280,$B$5:$B$1200,B280)&gt;1,"ERRO: período e curso duplicados","OK")))</f>
        <v/>
      </c>
    </row>
    <row r="281" ht="15" customHeight="1" s="131">
      <c r="A281" s="220" t="n"/>
      <c r="B281" s="222" t="n"/>
      <c r="C281" s="220" t="n"/>
      <c r="D281" s="179">
        <f>IFERROR(C281,"")</f>
        <v/>
      </c>
      <c r="E281" s="219" t="n"/>
      <c r="F281" s="220" t="n"/>
      <c r="G281" s="221">
        <f>IF(COUNTA(A281:C281)=0,"",IF(C281&lt;0,"ERRO: matrícula negativa",IF(COUNTIFS($A$5:$A$1200,A281,$B$5:$B$1200,B281)&gt;1,"ERRO: período e curso duplicados","OK")))</f>
        <v/>
      </c>
    </row>
    <row r="282" ht="15" customHeight="1" s="131">
      <c r="A282" s="220" t="n"/>
      <c r="B282" s="222" t="n"/>
      <c r="C282" s="220" t="n"/>
      <c r="D282" s="179">
        <f>IFERROR(C282,"")</f>
        <v/>
      </c>
      <c r="E282" s="219" t="n"/>
      <c r="F282" s="220" t="n"/>
      <c r="G282" s="221">
        <f>IF(COUNTA(A282:C282)=0,"",IF(C282&lt;0,"ERRO: matrícula negativa",IF(COUNTIFS($A$5:$A$1200,A282,$B$5:$B$1200,B282)&gt;1,"ERRO: período e curso duplicados","OK")))</f>
        <v/>
      </c>
    </row>
    <row r="283" ht="15" customHeight="1" s="131">
      <c r="A283" s="220" t="n"/>
      <c r="B283" s="222" t="n"/>
      <c r="C283" s="220" t="n"/>
      <c r="D283" s="179">
        <f>IFERROR(C283,"")</f>
        <v/>
      </c>
      <c r="E283" s="219" t="n"/>
      <c r="F283" s="220" t="n"/>
      <c r="G283" s="221">
        <f>IF(COUNTA(A283:C283)=0,"",IF(C283&lt;0,"ERRO: matrícula negativa",IF(COUNTIFS($A$5:$A$1200,A283,$B$5:$B$1200,B283)&gt;1,"ERRO: período e curso duplicados","OK")))</f>
        <v/>
      </c>
    </row>
    <row r="284" ht="15" customHeight="1" s="131">
      <c r="A284" s="220" t="n"/>
      <c r="B284" s="222" t="n"/>
      <c r="C284" s="220" t="n"/>
      <c r="D284" s="179">
        <f>IFERROR(C284,"")</f>
        <v/>
      </c>
      <c r="E284" s="219" t="n"/>
      <c r="F284" s="220" t="n"/>
      <c r="G284" s="221">
        <f>IF(COUNTA(A284:C284)=0,"",IF(C284&lt;0,"ERRO: matrícula negativa",IF(COUNTIFS($A$5:$A$1200,A284,$B$5:$B$1200,B284)&gt;1,"ERRO: período e curso duplicados","OK")))</f>
        <v/>
      </c>
    </row>
    <row r="285" ht="15" customHeight="1" s="131">
      <c r="A285" s="220" t="n"/>
      <c r="B285" s="222" t="n"/>
      <c r="C285" s="220" t="n"/>
      <c r="D285" s="179">
        <f>IFERROR(C285,"")</f>
        <v/>
      </c>
      <c r="E285" s="219" t="n"/>
      <c r="F285" s="220" t="n"/>
      <c r="G285" s="221">
        <f>IF(COUNTA(A285:C285)=0,"",IF(C285&lt;0,"ERRO: matrícula negativa",IF(COUNTIFS($A$5:$A$1200,A285,$B$5:$B$1200,B285)&gt;1,"ERRO: período e curso duplicados","OK")))</f>
        <v/>
      </c>
    </row>
    <row r="286" ht="15" customHeight="1" s="131">
      <c r="A286" s="220" t="n"/>
      <c r="B286" s="222" t="n"/>
      <c r="C286" s="220" t="n"/>
      <c r="D286" s="179">
        <f>IFERROR(C286,"")</f>
        <v/>
      </c>
      <c r="E286" s="219" t="n"/>
      <c r="F286" s="220" t="n"/>
      <c r="G286" s="221">
        <f>IF(COUNTA(A286:C286)=0,"",IF(C286&lt;0,"ERRO: matrícula negativa",IF(COUNTIFS($A$5:$A$1200,A286,$B$5:$B$1200,B286)&gt;1,"ERRO: período e curso duplicados","OK")))</f>
        <v/>
      </c>
    </row>
    <row r="287" ht="15" customHeight="1" s="131">
      <c r="A287" s="220" t="n"/>
      <c r="B287" s="222" t="n"/>
      <c r="C287" s="220" t="n"/>
      <c r="D287" s="179">
        <f>IFERROR(C287,"")</f>
        <v/>
      </c>
      <c r="E287" s="219" t="n"/>
      <c r="F287" s="220" t="n"/>
      <c r="G287" s="221">
        <f>IF(COUNTA(A287:C287)=0,"",IF(C287&lt;0,"ERRO: matrícula negativa",IF(COUNTIFS($A$5:$A$1200,A287,$B$5:$B$1200,B287)&gt;1,"ERRO: período e curso duplicados","OK")))</f>
        <v/>
      </c>
    </row>
    <row r="288" ht="15" customHeight="1" s="131">
      <c r="A288" s="220" t="n"/>
      <c r="B288" s="222" t="n"/>
      <c r="C288" s="220" t="n"/>
      <c r="D288" s="179">
        <f>IFERROR(C288,"")</f>
        <v/>
      </c>
      <c r="E288" s="219" t="n"/>
      <c r="F288" s="220" t="n"/>
      <c r="G288" s="221">
        <f>IF(COUNTA(A288:C288)=0,"",IF(C288&lt;0,"ERRO: matrícula negativa",IF(COUNTIFS($A$5:$A$1200,A288,$B$5:$B$1200,B288)&gt;1,"ERRO: período e curso duplicados","OK")))</f>
        <v/>
      </c>
    </row>
    <row r="289" ht="15" customHeight="1" s="131">
      <c r="A289" s="220" t="n"/>
      <c r="B289" s="222" t="n"/>
      <c r="C289" s="220" t="n"/>
      <c r="D289" s="179">
        <f>IFERROR(C289,"")</f>
        <v/>
      </c>
      <c r="E289" s="219" t="n"/>
      <c r="F289" s="220" t="n"/>
      <c r="G289" s="221">
        <f>IF(COUNTA(A289:C289)=0,"",IF(C289&lt;0,"ERRO: matrícula negativa",IF(COUNTIFS($A$5:$A$1200,A289,$B$5:$B$1200,B289)&gt;1,"ERRO: período e curso duplicados","OK")))</f>
        <v/>
      </c>
    </row>
    <row r="290" ht="15" customHeight="1" s="131">
      <c r="A290" s="220" t="n"/>
      <c r="B290" s="222" t="n"/>
      <c r="C290" s="220" t="n"/>
      <c r="D290" s="179">
        <f>IFERROR(C290,"")</f>
        <v/>
      </c>
      <c r="E290" s="219" t="n"/>
      <c r="F290" s="220" t="n"/>
      <c r="G290" s="221">
        <f>IF(COUNTA(A290:C290)=0,"",IF(C290&lt;0,"ERRO: matrícula negativa",IF(COUNTIFS($A$5:$A$1200,A290,$B$5:$B$1200,B290)&gt;1,"ERRO: período e curso duplicados","OK")))</f>
        <v/>
      </c>
    </row>
    <row r="291" ht="15" customHeight="1" s="131">
      <c r="A291" s="220" t="n"/>
      <c r="B291" s="222" t="n"/>
      <c r="C291" s="220" t="n"/>
      <c r="D291" s="179">
        <f>IFERROR(C291,"")</f>
        <v/>
      </c>
      <c r="E291" s="219" t="n"/>
      <c r="F291" s="220" t="n"/>
      <c r="G291" s="221">
        <f>IF(COUNTA(A291:C291)=0,"",IF(C291&lt;0,"ERRO: matrícula negativa",IF(COUNTIFS($A$5:$A$1200,A291,$B$5:$B$1200,B291)&gt;1,"ERRO: período e curso duplicados","OK")))</f>
        <v/>
      </c>
    </row>
    <row r="292" ht="15" customHeight="1" s="131">
      <c r="A292" s="220" t="n"/>
      <c r="B292" s="222" t="n"/>
      <c r="C292" s="220" t="n"/>
      <c r="D292" s="179">
        <f>IFERROR(C292,"")</f>
        <v/>
      </c>
      <c r="E292" s="219" t="n"/>
      <c r="F292" s="220" t="n"/>
      <c r="G292" s="221">
        <f>IF(COUNTA(A292:C292)=0,"",IF(C292&lt;0,"ERRO: matrícula negativa",IF(COUNTIFS($A$5:$A$1200,A292,$B$5:$B$1200,B292)&gt;1,"ERRO: período e curso duplicados","OK")))</f>
        <v/>
      </c>
    </row>
    <row r="293" ht="15" customHeight="1" s="131">
      <c r="A293" s="220" t="n"/>
      <c r="B293" s="222" t="n"/>
      <c r="C293" s="220" t="n"/>
      <c r="D293" s="179">
        <f>IFERROR(C293,"")</f>
        <v/>
      </c>
      <c r="E293" s="219" t="n"/>
      <c r="F293" s="220" t="n"/>
      <c r="G293" s="221">
        <f>IF(COUNTA(A293:C293)=0,"",IF(C293&lt;0,"ERRO: matrícula negativa",IF(COUNTIFS($A$5:$A$1200,A293,$B$5:$B$1200,B293)&gt;1,"ERRO: período e curso duplicados","OK")))</f>
        <v/>
      </c>
    </row>
    <row r="294" ht="15" customHeight="1" s="131">
      <c r="A294" s="220" t="n"/>
      <c r="B294" s="222" t="n"/>
      <c r="C294" s="220" t="n"/>
      <c r="D294" s="179">
        <f>IFERROR(C294,"")</f>
        <v/>
      </c>
      <c r="E294" s="219" t="n"/>
      <c r="F294" s="220" t="n"/>
      <c r="G294" s="221">
        <f>IF(COUNTA(A294:C294)=0,"",IF(C294&lt;0,"ERRO: matrícula negativa",IF(COUNTIFS($A$5:$A$1200,A294,$B$5:$B$1200,B294)&gt;1,"ERRO: período e curso duplicados","OK")))</f>
        <v/>
      </c>
    </row>
    <row r="295" ht="15" customHeight="1" s="131">
      <c r="A295" s="220" t="n"/>
      <c r="B295" s="222" t="n"/>
      <c r="C295" s="220" t="n"/>
      <c r="D295" s="179">
        <f>IFERROR(C295,"")</f>
        <v/>
      </c>
      <c r="E295" s="219" t="n"/>
      <c r="F295" s="220" t="n"/>
      <c r="G295" s="221">
        <f>IF(COUNTA(A295:C295)=0,"",IF(C295&lt;0,"ERRO: matrícula negativa",IF(COUNTIFS($A$5:$A$1200,A295,$B$5:$B$1200,B295)&gt;1,"ERRO: período e curso duplicados","OK")))</f>
        <v/>
      </c>
    </row>
    <row r="296" ht="15" customHeight="1" s="131">
      <c r="A296" s="220" t="n"/>
      <c r="B296" s="222" t="n"/>
      <c r="C296" s="220" t="n"/>
      <c r="D296" s="179">
        <f>IFERROR(C296,"")</f>
        <v/>
      </c>
      <c r="E296" s="219" t="n"/>
      <c r="F296" s="220" t="n"/>
      <c r="G296" s="221">
        <f>IF(COUNTA(A296:C296)=0,"",IF(C296&lt;0,"ERRO: matrícula negativa",IF(COUNTIFS($A$5:$A$1200,A296,$B$5:$B$1200,B296)&gt;1,"ERRO: período e curso duplicados","OK")))</f>
        <v/>
      </c>
    </row>
    <row r="297" ht="15" customHeight="1" s="131">
      <c r="A297" s="220" t="n"/>
      <c r="B297" s="222" t="n"/>
      <c r="C297" s="220" t="n"/>
      <c r="D297" s="179">
        <f>IFERROR(C297,"")</f>
        <v/>
      </c>
      <c r="E297" s="219" t="n"/>
      <c r="F297" s="220" t="n"/>
      <c r="G297" s="221">
        <f>IF(COUNTA(A297:C297)=0,"",IF(C297&lt;0,"ERRO: matrícula negativa",IF(COUNTIFS($A$5:$A$1200,A297,$B$5:$B$1200,B297)&gt;1,"ERRO: período e curso duplicados","OK")))</f>
        <v/>
      </c>
    </row>
    <row r="298" ht="15" customHeight="1" s="131">
      <c r="A298" s="220" t="n"/>
      <c r="B298" s="222" t="n"/>
      <c r="C298" s="220" t="n"/>
      <c r="D298" s="179">
        <f>IFERROR(C298,"")</f>
        <v/>
      </c>
      <c r="E298" s="219" t="n"/>
      <c r="F298" s="220" t="n"/>
      <c r="G298" s="221">
        <f>IF(COUNTA(A298:C298)=0,"",IF(C298&lt;0,"ERRO: matrícula negativa",IF(COUNTIFS($A$5:$A$1200,A298,$B$5:$B$1200,B298)&gt;1,"ERRO: período e curso duplicados","OK")))</f>
        <v/>
      </c>
    </row>
    <row r="299" ht="15" customHeight="1" s="131">
      <c r="A299" s="220" t="n"/>
      <c r="B299" s="222" t="n"/>
      <c r="C299" s="220" t="n"/>
      <c r="D299" s="179">
        <f>IFERROR(C299,"")</f>
        <v/>
      </c>
      <c r="E299" s="219" t="n"/>
      <c r="F299" s="220" t="n"/>
      <c r="G299" s="221">
        <f>IF(COUNTA(A299:C299)=0,"",IF(C299&lt;0,"ERRO: matrícula negativa",IF(COUNTIFS($A$5:$A$1200,A299,$B$5:$B$1200,B299)&gt;1,"ERRO: período e curso duplicados","OK")))</f>
        <v/>
      </c>
    </row>
    <row r="300" ht="15" customHeight="1" s="131">
      <c r="A300" s="220" t="n"/>
      <c r="B300" s="222" t="n"/>
      <c r="C300" s="220" t="n"/>
      <c r="D300" s="179">
        <f>IFERROR(C300,"")</f>
        <v/>
      </c>
      <c r="E300" s="219" t="n"/>
      <c r="F300" s="220" t="n"/>
      <c r="G300" s="221">
        <f>IF(COUNTA(A300:C300)=0,"",IF(C300&lt;0,"ERRO: matrícula negativa",IF(COUNTIFS($A$5:$A$1200,A300,$B$5:$B$1200,B300)&gt;1,"ERRO: período e curso duplicados","OK")))</f>
        <v/>
      </c>
    </row>
    <row r="301" ht="15" customHeight="1" s="131">
      <c r="A301" s="220" t="n"/>
      <c r="B301" s="222" t="n"/>
      <c r="C301" s="220" t="n"/>
      <c r="D301" s="179">
        <f>IFERROR(C301,"")</f>
        <v/>
      </c>
      <c r="E301" s="219" t="n"/>
      <c r="F301" s="220" t="n"/>
      <c r="G301" s="221">
        <f>IF(COUNTA(A301:C301)=0,"",IF(C301&lt;0,"ERRO: matrícula negativa",IF(COUNTIFS($A$5:$A$1200,A301,$B$5:$B$1200,B301)&gt;1,"ERRO: período e curso duplicados","OK")))</f>
        <v/>
      </c>
    </row>
    <row r="302" ht="15" customHeight="1" s="131">
      <c r="A302" s="220" t="n"/>
      <c r="B302" s="222" t="n"/>
      <c r="C302" s="220" t="n"/>
      <c r="D302" s="179">
        <f>IFERROR(C302,"")</f>
        <v/>
      </c>
      <c r="E302" s="219" t="n"/>
      <c r="F302" s="220" t="n"/>
      <c r="G302" s="221">
        <f>IF(COUNTA(A302:C302)=0,"",IF(C302&lt;0,"ERRO: matrícula negativa",IF(COUNTIFS($A$5:$A$1200,A302,$B$5:$B$1200,B302)&gt;1,"ERRO: período e curso duplicados","OK")))</f>
        <v/>
      </c>
    </row>
    <row r="303" ht="15" customHeight="1" s="131">
      <c r="A303" s="220" t="n"/>
      <c r="B303" s="222" t="n"/>
      <c r="C303" s="220" t="n"/>
      <c r="D303" s="179">
        <f>IFERROR(C303,"")</f>
        <v/>
      </c>
      <c r="E303" s="219" t="n"/>
      <c r="F303" s="220" t="n"/>
      <c r="G303" s="221">
        <f>IF(COUNTA(A303:C303)=0,"",IF(C303&lt;0,"ERRO: matrícula negativa",IF(COUNTIFS($A$5:$A$1200,A303,$B$5:$B$1200,B303)&gt;1,"ERRO: período e curso duplicados","OK")))</f>
        <v/>
      </c>
    </row>
    <row r="304" ht="15" customHeight="1" s="131">
      <c r="A304" s="220" t="n"/>
      <c r="B304" s="222" t="n"/>
      <c r="C304" s="220" t="n"/>
      <c r="D304" s="179">
        <f>IFERROR(C304,"")</f>
        <v/>
      </c>
      <c r="E304" s="219" t="n"/>
      <c r="F304" s="220" t="n"/>
      <c r="G304" s="221">
        <f>IF(COUNTA(A304:C304)=0,"",IF(C304&lt;0,"ERRO: matrícula negativa",IF(COUNTIFS($A$5:$A$1200,A304,$B$5:$B$1200,B304)&gt;1,"ERRO: período e curso duplicados","OK")))</f>
        <v/>
      </c>
    </row>
    <row r="305" ht="15" customHeight="1" s="131">
      <c r="A305" s="220" t="n"/>
      <c r="B305" s="222" t="n"/>
      <c r="C305" s="220" t="n"/>
      <c r="D305" s="179">
        <f>IFERROR(C305,"")</f>
        <v/>
      </c>
      <c r="E305" s="219" t="n"/>
      <c r="F305" s="220" t="n"/>
      <c r="G305" s="221">
        <f>IF(COUNTA(A305:C305)=0,"",IF(C305&lt;0,"ERRO: matrícula negativa",IF(COUNTIFS($A$5:$A$1200,A305,$B$5:$B$1200,B305)&gt;1,"ERRO: período e curso duplicados","OK")))</f>
        <v/>
      </c>
    </row>
    <row r="306" ht="15" customHeight="1" s="131">
      <c r="A306" s="220" t="n"/>
      <c r="B306" s="222" t="n"/>
      <c r="C306" s="220" t="n"/>
      <c r="D306" s="179">
        <f>IFERROR(C306,"")</f>
        <v/>
      </c>
      <c r="E306" s="219" t="n"/>
      <c r="F306" s="220" t="n"/>
      <c r="G306" s="221">
        <f>IF(COUNTA(A306:C306)=0,"",IF(C306&lt;0,"ERRO: matrícula negativa",IF(COUNTIFS($A$5:$A$1200,A306,$B$5:$B$1200,B306)&gt;1,"ERRO: período e curso duplicados","OK")))</f>
        <v/>
      </c>
    </row>
    <row r="307" ht="15" customHeight="1" s="131">
      <c r="A307" s="220" t="n"/>
      <c r="B307" s="222" t="n"/>
      <c r="C307" s="220" t="n"/>
      <c r="D307" s="179">
        <f>IFERROR(C307,"")</f>
        <v/>
      </c>
      <c r="E307" s="219" t="n"/>
      <c r="F307" s="220" t="n"/>
      <c r="G307" s="221">
        <f>IF(COUNTA(A307:C307)=0,"",IF(C307&lt;0,"ERRO: matrícula negativa",IF(COUNTIFS($A$5:$A$1200,A307,$B$5:$B$1200,B307)&gt;1,"ERRO: período e curso duplicados","OK")))</f>
        <v/>
      </c>
    </row>
    <row r="308" ht="15" customHeight="1" s="131">
      <c r="A308" s="220" t="n"/>
      <c r="B308" s="222" t="n"/>
      <c r="C308" s="220" t="n"/>
      <c r="D308" s="179">
        <f>IFERROR(C308,"")</f>
        <v/>
      </c>
      <c r="E308" s="219" t="n"/>
      <c r="F308" s="220" t="n"/>
      <c r="G308" s="221">
        <f>IF(COUNTA(A308:C308)=0,"",IF(C308&lt;0,"ERRO: matrícula negativa",IF(COUNTIFS($A$5:$A$1200,A308,$B$5:$B$1200,B308)&gt;1,"ERRO: período e curso duplicados","OK")))</f>
        <v/>
      </c>
    </row>
    <row r="309" ht="15" customHeight="1" s="131">
      <c r="A309" s="220" t="n"/>
      <c r="B309" s="222" t="n"/>
      <c r="C309" s="220" t="n"/>
      <c r="D309" s="179">
        <f>IFERROR(C309,"")</f>
        <v/>
      </c>
      <c r="E309" s="219" t="n"/>
      <c r="F309" s="220" t="n"/>
      <c r="G309" s="221">
        <f>IF(COUNTA(A309:C309)=0,"",IF(C309&lt;0,"ERRO: matrícula negativa",IF(COUNTIFS($A$5:$A$1200,A309,$B$5:$B$1200,B309)&gt;1,"ERRO: período e curso duplicados","OK")))</f>
        <v/>
      </c>
    </row>
    <row r="310" ht="15" customHeight="1" s="131">
      <c r="A310" s="220" t="n"/>
      <c r="B310" s="222" t="n"/>
      <c r="C310" s="220" t="n"/>
      <c r="D310" s="179">
        <f>IFERROR(C310,"")</f>
        <v/>
      </c>
      <c r="E310" s="219" t="n"/>
      <c r="F310" s="220" t="n"/>
      <c r="G310" s="221">
        <f>IF(COUNTA(A310:C310)=0,"",IF(C310&lt;0,"ERRO: matrícula negativa",IF(COUNTIFS($A$5:$A$1200,A310,$B$5:$B$1200,B310)&gt;1,"ERRO: período e curso duplicados","OK")))</f>
        <v/>
      </c>
    </row>
    <row r="311" ht="15" customHeight="1" s="131">
      <c r="A311" s="220" t="n"/>
      <c r="B311" s="222" t="n"/>
      <c r="C311" s="220" t="n"/>
      <c r="D311" s="179">
        <f>IFERROR(C311,"")</f>
        <v/>
      </c>
      <c r="E311" s="219" t="n"/>
      <c r="F311" s="220" t="n"/>
      <c r="G311" s="221">
        <f>IF(COUNTA(A311:C311)=0,"",IF(C311&lt;0,"ERRO: matrícula negativa",IF(COUNTIFS($A$5:$A$1200,A311,$B$5:$B$1200,B311)&gt;1,"ERRO: período e curso duplicados","OK")))</f>
        <v/>
      </c>
    </row>
    <row r="312" ht="15" customHeight="1" s="131">
      <c r="A312" s="220" t="n"/>
      <c r="B312" s="222" t="n"/>
      <c r="C312" s="220" t="n"/>
      <c r="D312" s="179">
        <f>IFERROR(C312,"")</f>
        <v/>
      </c>
      <c r="E312" s="219" t="n"/>
      <c r="F312" s="220" t="n"/>
      <c r="G312" s="221">
        <f>IF(COUNTA(A312:C312)=0,"",IF(C312&lt;0,"ERRO: matrícula negativa",IF(COUNTIFS($A$5:$A$1200,A312,$B$5:$B$1200,B312)&gt;1,"ERRO: período e curso duplicados","OK")))</f>
        <v/>
      </c>
    </row>
    <row r="313" ht="15" customHeight="1" s="131">
      <c r="A313" s="220" t="n"/>
      <c r="B313" s="222" t="n"/>
      <c r="C313" s="220" t="n"/>
      <c r="D313" s="179">
        <f>IFERROR(C313,"")</f>
        <v/>
      </c>
      <c r="E313" s="219" t="n"/>
      <c r="F313" s="220" t="n"/>
      <c r="G313" s="221">
        <f>IF(COUNTA(A313:C313)=0,"",IF(C313&lt;0,"ERRO: matrícula negativa",IF(COUNTIFS($A$5:$A$1200,A313,$B$5:$B$1200,B313)&gt;1,"ERRO: período e curso duplicados","OK")))</f>
        <v/>
      </c>
    </row>
    <row r="314" ht="15" customHeight="1" s="131">
      <c r="A314" s="220" t="n"/>
      <c r="B314" s="222" t="n"/>
      <c r="C314" s="220" t="n"/>
      <c r="D314" s="179">
        <f>IFERROR(C314,"")</f>
        <v/>
      </c>
      <c r="E314" s="219" t="n"/>
      <c r="F314" s="220" t="n"/>
      <c r="G314" s="221">
        <f>IF(COUNTA(A314:C314)=0,"",IF(C314&lt;0,"ERRO: matrícula negativa",IF(COUNTIFS($A$5:$A$1200,A314,$B$5:$B$1200,B314)&gt;1,"ERRO: período e curso duplicados","OK")))</f>
        <v/>
      </c>
    </row>
    <row r="315" ht="15" customHeight="1" s="131">
      <c r="A315" s="220" t="n"/>
      <c r="B315" s="222" t="n"/>
      <c r="C315" s="220" t="n"/>
      <c r="D315" s="179">
        <f>IFERROR(C315,"")</f>
        <v/>
      </c>
      <c r="E315" s="219" t="n"/>
      <c r="F315" s="220" t="n"/>
      <c r="G315" s="221">
        <f>IF(COUNTA(A315:C315)=0,"",IF(C315&lt;0,"ERRO: matrícula negativa",IF(COUNTIFS($A$5:$A$1200,A315,$B$5:$B$1200,B315)&gt;1,"ERRO: período e curso duplicados","OK")))</f>
        <v/>
      </c>
    </row>
    <row r="316" ht="15" customHeight="1" s="131">
      <c r="A316" s="220" t="n"/>
      <c r="B316" s="222" t="n"/>
      <c r="C316" s="220" t="n"/>
      <c r="D316" s="179">
        <f>IFERROR(C316,"")</f>
        <v/>
      </c>
      <c r="E316" s="219" t="n"/>
      <c r="F316" s="220" t="n"/>
      <c r="G316" s="221">
        <f>IF(COUNTA(A316:C316)=0,"",IF(C316&lt;0,"ERRO: matrícula negativa",IF(COUNTIFS($A$5:$A$1200,A316,$B$5:$B$1200,B316)&gt;1,"ERRO: período e curso duplicados","OK")))</f>
        <v/>
      </c>
    </row>
    <row r="317" ht="15" customHeight="1" s="131">
      <c r="A317" s="220" t="n"/>
      <c r="B317" s="222" t="n"/>
      <c r="C317" s="220" t="n"/>
      <c r="D317" s="179">
        <f>IFERROR(C317,"")</f>
        <v/>
      </c>
      <c r="E317" s="219" t="n"/>
      <c r="F317" s="220" t="n"/>
      <c r="G317" s="221">
        <f>IF(COUNTA(A317:C317)=0,"",IF(C317&lt;0,"ERRO: matrícula negativa",IF(COUNTIFS($A$5:$A$1200,A317,$B$5:$B$1200,B317)&gt;1,"ERRO: período e curso duplicados","OK")))</f>
        <v/>
      </c>
    </row>
    <row r="318" ht="15" customHeight="1" s="131">
      <c r="A318" s="220" t="n"/>
      <c r="B318" s="222" t="n"/>
      <c r="C318" s="220" t="n"/>
      <c r="D318" s="179">
        <f>IFERROR(C318,"")</f>
        <v/>
      </c>
      <c r="E318" s="219" t="n"/>
      <c r="F318" s="220" t="n"/>
      <c r="G318" s="221">
        <f>IF(COUNTA(A318:C318)=0,"",IF(C318&lt;0,"ERRO: matrícula negativa",IF(COUNTIFS($A$5:$A$1200,A318,$B$5:$B$1200,B318)&gt;1,"ERRO: período e curso duplicados","OK")))</f>
        <v/>
      </c>
    </row>
    <row r="319" ht="15" customHeight="1" s="131">
      <c r="A319" s="220" t="n"/>
      <c r="B319" s="222" t="n"/>
      <c r="C319" s="220" t="n"/>
      <c r="D319" s="179">
        <f>IFERROR(C319,"")</f>
        <v/>
      </c>
      <c r="E319" s="219" t="n"/>
      <c r="F319" s="220" t="n"/>
      <c r="G319" s="221">
        <f>IF(COUNTA(A319:C319)=0,"",IF(C319&lt;0,"ERRO: matrícula negativa",IF(COUNTIFS($A$5:$A$1200,A319,$B$5:$B$1200,B319)&gt;1,"ERRO: período e curso duplicados","OK")))</f>
        <v/>
      </c>
    </row>
    <row r="320" ht="15" customHeight="1" s="131">
      <c r="A320" s="220" t="n"/>
      <c r="B320" s="222" t="n"/>
      <c r="C320" s="220" t="n"/>
      <c r="D320" s="179">
        <f>IFERROR(C320,"")</f>
        <v/>
      </c>
      <c r="E320" s="219" t="n"/>
      <c r="F320" s="220" t="n"/>
      <c r="G320" s="221">
        <f>IF(COUNTA(A320:C320)=0,"",IF(C320&lt;0,"ERRO: matrícula negativa",IF(COUNTIFS($A$5:$A$1200,A320,$B$5:$B$1200,B320)&gt;1,"ERRO: período e curso duplicados","OK")))</f>
        <v/>
      </c>
    </row>
    <row r="321" ht="15" customHeight="1" s="131">
      <c r="A321" s="220" t="n"/>
      <c r="B321" s="222" t="n"/>
      <c r="C321" s="220" t="n"/>
      <c r="D321" s="179">
        <f>IFERROR(C321,"")</f>
        <v/>
      </c>
      <c r="E321" s="219" t="n"/>
      <c r="F321" s="220" t="n"/>
      <c r="G321" s="221">
        <f>IF(COUNTA(A321:C321)=0,"",IF(C321&lt;0,"ERRO: matrícula negativa",IF(COUNTIFS($A$5:$A$1200,A321,$B$5:$B$1200,B321)&gt;1,"ERRO: período e curso duplicados","OK")))</f>
        <v/>
      </c>
    </row>
    <row r="322" ht="15" customHeight="1" s="131">
      <c r="A322" s="220" t="n"/>
      <c r="B322" s="222" t="n"/>
      <c r="C322" s="220" t="n"/>
      <c r="D322" s="179">
        <f>IFERROR(C322,"")</f>
        <v/>
      </c>
      <c r="E322" s="219" t="n"/>
      <c r="F322" s="220" t="n"/>
      <c r="G322" s="221">
        <f>IF(COUNTA(A322:C322)=0,"",IF(C322&lt;0,"ERRO: matrícula negativa",IF(COUNTIFS($A$5:$A$1200,A322,$B$5:$B$1200,B322)&gt;1,"ERRO: período e curso duplicados","OK")))</f>
        <v/>
      </c>
    </row>
    <row r="323" ht="15" customHeight="1" s="131">
      <c r="A323" s="220" t="n"/>
      <c r="B323" s="222" t="n"/>
      <c r="C323" s="220" t="n"/>
      <c r="D323" s="179">
        <f>IFERROR(C323,"")</f>
        <v/>
      </c>
      <c r="E323" s="219" t="n"/>
      <c r="F323" s="220" t="n"/>
      <c r="G323" s="221">
        <f>IF(COUNTA(A323:C323)=0,"",IF(C323&lt;0,"ERRO: matrícula negativa",IF(COUNTIFS($A$5:$A$1200,A323,$B$5:$B$1200,B323)&gt;1,"ERRO: período e curso duplicados","OK")))</f>
        <v/>
      </c>
    </row>
    <row r="324" ht="15" customHeight="1" s="131">
      <c r="A324" s="220" t="n"/>
      <c r="B324" s="222" t="n"/>
      <c r="C324" s="220" t="n"/>
      <c r="D324" s="179">
        <f>IFERROR(C324,"")</f>
        <v/>
      </c>
      <c r="E324" s="219" t="n"/>
      <c r="F324" s="220" t="n"/>
      <c r="G324" s="221">
        <f>IF(COUNTA(A324:C324)=0,"",IF(C324&lt;0,"ERRO: matrícula negativa",IF(COUNTIFS($A$5:$A$1200,A324,$B$5:$B$1200,B324)&gt;1,"ERRO: período e curso duplicados","OK")))</f>
        <v/>
      </c>
    </row>
    <row r="325" ht="15" customHeight="1" s="131">
      <c r="A325" s="220" t="n"/>
      <c r="B325" s="222" t="n"/>
      <c r="C325" s="220" t="n"/>
      <c r="D325" s="179">
        <f>IFERROR(C325,"")</f>
        <v/>
      </c>
      <c r="E325" s="219" t="n"/>
      <c r="F325" s="220" t="n"/>
      <c r="G325" s="221">
        <f>IF(COUNTA(A325:C325)=0,"",IF(C325&lt;0,"ERRO: matrícula negativa",IF(COUNTIFS($A$5:$A$1200,A325,$B$5:$B$1200,B325)&gt;1,"ERRO: período e curso duplicados","OK")))</f>
        <v/>
      </c>
    </row>
    <row r="326" ht="15" customHeight="1" s="131">
      <c r="A326" s="220" t="n"/>
      <c r="B326" s="222" t="n"/>
      <c r="C326" s="220" t="n"/>
      <c r="D326" s="179">
        <f>IFERROR(C326,"")</f>
        <v/>
      </c>
      <c r="E326" s="219" t="n"/>
      <c r="F326" s="220" t="n"/>
      <c r="G326" s="221">
        <f>IF(COUNTA(A326:C326)=0,"",IF(C326&lt;0,"ERRO: matrícula negativa",IF(COUNTIFS($A$5:$A$1200,A326,$B$5:$B$1200,B326)&gt;1,"ERRO: período e curso duplicados","OK")))</f>
        <v/>
      </c>
    </row>
    <row r="327" ht="15" customHeight="1" s="131">
      <c r="A327" s="220" t="n"/>
      <c r="B327" s="222" t="n"/>
      <c r="C327" s="220" t="n"/>
      <c r="D327" s="179">
        <f>IFERROR(C327,"")</f>
        <v/>
      </c>
      <c r="E327" s="219" t="n"/>
      <c r="F327" s="220" t="n"/>
      <c r="G327" s="221">
        <f>IF(COUNTA(A327:C327)=0,"",IF(C327&lt;0,"ERRO: matrícula negativa",IF(COUNTIFS($A$5:$A$1200,A327,$B$5:$B$1200,B327)&gt;1,"ERRO: período e curso duplicados","OK")))</f>
        <v/>
      </c>
    </row>
    <row r="328" ht="15" customHeight="1" s="131">
      <c r="A328" s="220" t="n"/>
      <c r="B328" s="222" t="n"/>
      <c r="C328" s="220" t="n"/>
      <c r="D328" s="179">
        <f>IFERROR(C328,"")</f>
        <v/>
      </c>
      <c r="E328" s="219" t="n"/>
      <c r="F328" s="220" t="n"/>
      <c r="G328" s="221">
        <f>IF(COUNTA(A328:C328)=0,"",IF(C328&lt;0,"ERRO: matrícula negativa",IF(COUNTIFS($A$5:$A$1200,A328,$B$5:$B$1200,B328)&gt;1,"ERRO: período e curso duplicados","OK")))</f>
        <v/>
      </c>
    </row>
    <row r="329" ht="15" customHeight="1" s="131">
      <c r="A329" s="220" t="n"/>
      <c r="B329" s="222" t="n"/>
      <c r="C329" s="220" t="n"/>
      <c r="D329" s="179">
        <f>IFERROR(C329,"")</f>
        <v/>
      </c>
      <c r="E329" s="219" t="n"/>
      <c r="F329" s="220" t="n"/>
      <c r="G329" s="221">
        <f>IF(COUNTA(A329:C329)=0,"",IF(C329&lt;0,"ERRO: matrícula negativa",IF(COUNTIFS($A$5:$A$1200,A329,$B$5:$B$1200,B329)&gt;1,"ERRO: período e curso duplicados","OK")))</f>
        <v/>
      </c>
    </row>
    <row r="330" ht="15" customHeight="1" s="131">
      <c r="A330" s="220" t="n"/>
      <c r="B330" s="222" t="n"/>
      <c r="C330" s="220" t="n"/>
      <c r="D330" s="179">
        <f>IFERROR(C330,"")</f>
        <v/>
      </c>
      <c r="E330" s="219" t="n"/>
      <c r="F330" s="220" t="n"/>
      <c r="G330" s="221">
        <f>IF(COUNTA(A330:C330)=0,"",IF(C330&lt;0,"ERRO: matrícula negativa",IF(COUNTIFS($A$5:$A$1200,A330,$B$5:$B$1200,B330)&gt;1,"ERRO: período e curso duplicados","OK")))</f>
        <v/>
      </c>
    </row>
    <row r="331" ht="15" customHeight="1" s="131">
      <c r="A331" s="220" t="n"/>
      <c r="B331" s="222" t="n"/>
      <c r="C331" s="220" t="n"/>
      <c r="D331" s="179">
        <f>IFERROR(C331,"")</f>
        <v/>
      </c>
      <c r="E331" s="219" t="n"/>
      <c r="F331" s="220" t="n"/>
      <c r="G331" s="221">
        <f>IF(COUNTA(A331:C331)=0,"",IF(C331&lt;0,"ERRO: matrícula negativa",IF(COUNTIFS($A$5:$A$1200,A331,$B$5:$B$1200,B331)&gt;1,"ERRO: período e curso duplicados","OK")))</f>
        <v/>
      </c>
    </row>
    <row r="332" ht="15" customHeight="1" s="131">
      <c r="A332" s="220" t="n"/>
      <c r="B332" s="222" t="n"/>
      <c r="C332" s="220" t="n"/>
      <c r="D332" s="179">
        <f>IFERROR(C332,"")</f>
        <v/>
      </c>
      <c r="E332" s="219" t="n"/>
      <c r="F332" s="220" t="n"/>
      <c r="G332" s="221">
        <f>IF(COUNTA(A332:C332)=0,"",IF(C332&lt;0,"ERRO: matrícula negativa",IF(COUNTIFS($A$5:$A$1200,A332,$B$5:$B$1200,B332)&gt;1,"ERRO: período e curso duplicados","OK")))</f>
        <v/>
      </c>
    </row>
    <row r="333" ht="15" customHeight="1" s="131">
      <c r="A333" s="220" t="n"/>
      <c r="B333" s="222" t="n"/>
      <c r="C333" s="220" t="n"/>
      <c r="D333" s="179">
        <f>IFERROR(C333,"")</f>
        <v/>
      </c>
      <c r="E333" s="219" t="n"/>
      <c r="F333" s="220" t="n"/>
      <c r="G333" s="221">
        <f>IF(COUNTA(A333:C333)=0,"",IF(C333&lt;0,"ERRO: matrícula negativa",IF(COUNTIFS($A$5:$A$1200,A333,$B$5:$B$1200,B333)&gt;1,"ERRO: período e curso duplicados","OK")))</f>
        <v/>
      </c>
    </row>
    <row r="334" ht="15" customHeight="1" s="131">
      <c r="A334" s="220" t="n"/>
      <c r="B334" s="222" t="n"/>
      <c r="C334" s="220" t="n"/>
      <c r="D334" s="179">
        <f>IFERROR(C334,"")</f>
        <v/>
      </c>
      <c r="E334" s="219" t="n"/>
      <c r="F334" s="220" t="n"/>
      <c r="G334" s="221">
        <f>IF(COUNTA(A334:C334)=0,"",IF(C334&lt;0,"ERRO: matrícula negativa",IF(COUNTIFS($A$5:$A$1200,A334,$B$5:$B$1200,B334)&gt;1,"ERRO: período e curso duplicados","OK")))</f>
        <v/>
      </c>
    </row>
    <row r="335" ht="15" customHeight="1" s="131">
      <c r="A335" s="220" t="n"/>
      <c r="B335" s="222" t="n"/>
      <c r="C335" s="220" t="n"/>
      <c r="D335" s="179">
        <f>IFERROR(C335,"")</f>
        <v/>
      </c>
      <c r="E335" s="219" t="n"/>
      <c r="F335" s="220" t="n"/>
      <c r="G335" s="221">
        <f>IF(COUNTA(A335:C335)=0,"",IF(C335&lt;0,"ERRO: matrícula negativa",IF(COUNTIFS($A$5:$A$1200,A335,$B$5:$B$1200,B335)&gt;1,"ERRO: período e curso duplicados","OK")))</f>
        <v/>
      </c>
    </row>
    <row r="336" ht="15" customHeight="1" s="131">
      <c r="A336" s="220" t="n"/>
      <c r="B336" s="222" t="n"/>
      <c r="C336" s="220" t="n"/>
      <c r="D336" s="179">
        <f>IFERROR(C336,"")</f>
        <v/>
      </c>
      <c r="E336" s="219" t="n"/>
      <c r="F336" s="220" t="n"/>
      <c r="G336" s="221">
        <f>IF(COUNTA(A336:C336)=0,"",IF(C336&lt;0,"ERRO: matrícula negativa",IF(COUNTIFS($A$5:$A$1200,A336,$B$5:$B$1200,B336)&gt;1,"ERRO: período e curso duplicados","OK")))</f>
        <v/>
      </c>
    </row>
    <row r="337" ht="15" customHeight="1" s="131">
      <c r="A337" s="220" t="n"/>
      <c r="B337" s="222" t="n"/>
      <c r="C337" s="220" t="n"/>
      <c r="D337" s="179">
        <f>IFERROR(C337,"")</f>
        <v/>
      </c>
      <c r="E337" s="219" t="n"/>
      <c r="F337" s="220" t="n"/>
      <c r="G337" s="221">
        <f>IF(COUNTA(A337:C337)=0,"",IF(C337&lt;0,"ERRO: matrícula negativa",IF(COUNTIFS($A$5:$A$1200,A337,$B$5:$B$1200,B337)&gt;1,"ERRO: período e curso duplicados","OK")))</f>
        <v/>
      </c>
    </row>
    <row r="338" ht="15" customHeight="1" s="131">
      <c r="A338" s="220" t="n"/>
      <c r="B338" s="222" t="n"/>
      <c r="C338" s="220" t="n"/>
      <c r="D338" s="179">
        <f>IFERROR(C338,"")</f>
        <v/>
      </c>
      <c r="E338" s="219" t="n"/>
      <c r="F338" s="220" t="n"/>
      <c r="G338" s="221">
        <f>IF(COUNTA(A338:C338)=0,"",IF(C338&lt;0,"ERRO: matrícula negativa",IF(COUNTIFS($A$5:$A$1200,A338,$B$5:$B$1200,B338)&gt;1,"ERRO: período e curso duplicados","OK")))</f>
        <v/>
      </c>
    </row>
    <row r="339" ht="15" customHeight="1" s="131">
      <c r="A339" s="220" t="n"/>
      <c r="B339" s="222" t="n"/>
      <c r="C339" s="220" t="n"/>
      <c r="D339" s="179">
        <f>IFERROR(C339,"")</f>
        <v/>
      </c>
      <c r="E339" s="219" t="n"/>
      <c r="F339" s="220" t="n"/>
      <c r="G339" s="221">
        <f>IF(COUNTA(A339:C339)=0,"",IF(C339&lt;0,"ERRO: matrícula negativa",IF(COUNTIFS($A$5:$A$1200,A339,$B$5:$B$1200,B339)&gt;1,"ERRO: período e curso duplicados","OK")))</f>
        <v/>
      </c>
    </row>
    <row r="340" ht="15" customHeight="1" s="131">
      <c r="A340" s="220" t="n"/>
      <c r="B340" s="222" t="n"/>
      <c r="C340" s="220" t="n"/>
      <c r="D340" s="179">
        <f>IFERROR(C340,"")</f>
        <v/>
      </c>
      <c r="E340" s="219" t="n"/>
      <c r="F340" s="220" t="n"/>
      <c r="G340" s="221">
        <f>IF(COUNTA(A340:C340)=0,"",IF(C340&lt;0,"ERRO: matrícula negativa",IF(COUNTIFS($A$5:$A$1200,A340,$B$5:$B$1200,B340)&gt;1,"ERRO: período e curso duplicados","OK")))</f>
        <v/>
      </c>
    </row>
    <row r="341" ht="15" customHeight="1" s="131">
      <c r="A341" s="220" t="n"/>
      <c r="B341" s="222" t="n"/>
      <c r="C341" s="220" t="n"/>
      <c r="D341" s="179">
        <f>IFERROR(C341,"")</f>
        <v/>
      </c>
      <c r="E341" s="219" t="n"/>
      <c r="F341" s="220" t="n"/>
      <c r="G341" s="221">
        <f>IF(COUNTA(A341:C341)=0,"",IF(C341&lt;0,"ERRO: matrícula negativa",IF(COUNTIFS($A$5:$A$1200,A341,$B$5:$B$1200,B341)&gt;1,"ERRO: período e curso duplicados","OK")))</f>
        <v/>
      </c>
    </row>
    <row r="342" ht="15" customHeight="1" s="131">
      <c r="A342" s="220" t="n"/>
      <c r="B342" s="222" t="n"/>
      <c r="C342" s="220" t="n"/>
      <c r="D342" s="179">
        <f>IFERROR(C342,"")</f>
        <v/>
      </c>
      <c r="E342" s="219" t="n"/>
      <c r="F342" s="220" t="n"/>
      <c r="G342" s="221">
        <f>IF(COUNTA(A342:C342)=0,"",IF(C342&lt;0,"ERRO: matrícula negativa",IF(COUNTIFS($A$5:$A$1200,A342,$B$5:$B$1200,B342)&gt;1,"ERRO: período e curso duplicados","OK")))</f>
        <v/>
      </c>
    </row>
    <row r="343" ht="15" customHeight="1" s="131">
      <c r="A343" s="220" t="n"/>
      <c r="B343" s="222" t="n"/>
      <c r="C343" s="220" t="n"/>
      <c r="D343" s="179">
        <f>IFERROR(C343,"")</f>
        <v/>
      </c>
      <c r="E343" s="219" t="n"/>
      <c r="F343" s="220" t="n"/>
      <c r="G343" s="221">
        <f>IF(COUNTA(A343:C343)=0,"",IF(C343&lt;0,"ERRO: matrícula negativa",IF(COUNTIFS($A$5:$A$1200,A343,$B$5:$B$1200,B343)&gt;1,"ERRO: período e curso duplicados","OK")))</f>
        <v/>
      </c>
    </row>
    <row r="344" ht="15" customHeight="1" s="131">
      <c r="A344" s="220" t="n"/>
      <c r="B344" s="222" t="n"/>
      <c r="C344" s="220" t="n"/>
      <c r="D344" s="179">
        <f>IFERROR(C344,"")</f>
        <v/>
      </c>
      <c r="E344" s="219" t="n"/>
      <c r="F344" s="220" t="n"/>
      <c r="G344" s="221">
        <f>IF(COUNTA(A344:C344)=0,"",IF(C344&lt;0,"ERRO: matrícula negativa",IF(COUNTIFS($A$5:$A$1200,A344,$B$5:$B$1200,B344)&gt;1,"ERRO: período e curso duplicados","OK")))</f>
        <v/>
      </c>
    </row>
    <row r="345" ht="15" customHeight="1" s="131">
      <c r="A345" s="220" t="n"/>
      <c r="B345" s="222" t="n"/>
      <c r="C345" s="220" t="n"/>
      <c r="D345" s="179">
        <f>IFERROR(C345,"")</f>
        <v/>
      </c>
      <c r="E345" s="219" t="n"/>
      <c r="F345" s="220" t="n"/>
      <c r="G345" s="221">
        <f>IF(COUNTA(A345:C345)=0,"",IF(C345&lt;0,"ERRO: matrícula negativa",IF(COUNTIFS($A$5:$A$1200,A345,$B$5:$B$1200,B345)&gt;1,"ERRO: período e curso duplicados","OK")))</f>
        <v/>
      </c>
    </row>
    <row r="346" ht="15" customHeight="1" s="131">
      <c r="A346" s="220" t="n"/>
      <c r="B346" s="222" t="n"/>
      <c r="C346" s="220" t="n"/>
      <c r="D346" s="179">
        <f>IFERROR(C346,"")</f>
        <v/>
      </c>
      <c r="E346" s="219" t="n"/>
      <c r="F346" s="220" t="n"/>
      <c r="G346" s="221">
        <f>IF(COUNTA(A346:C346)=0,"",IF(C346&lt;0,"ERRO: matrícula negativa",IF(COUNTIFS($A$5:$A$1200,A346,$B$5:$B$1200,B346)&gt;1,"ERRO: período e curso duplicados","OK")))</f>
        <v/>
      </c>
    </row>
    <row r="347" ht="15" customHeight="1" s="131">
      <c r="A347" s="220" t="n"/>
      <c r="B347" s="222" t="n"/>
      <c r="C347" s="220" t="n"/>
      <c r="D347" s="179">
        <f>IFERROR(C347,"")</f>
        <v/>
      </c>
      <c r="E347" s="219" t="n"/>
      <c r="F347" s="220" t="n"/>
      <c r="G347" s="221">
        <f>IF(COUNTA(A347:C347)=0,"",IF(C347&lt;0,"ERRO: matrícula negativa",IF(COUNTIFS($A$5:$A$1200,A347,$B$5:$B$1200,B347)&gt;1,"ERRO: período e curso duplicados","OK")))</f>
        <v/>
      </c>
    </row>
    <row r="348" ht="15" customHeight="1" s="131">
      <c r="A348" s="220" t="n"/>
      <c r="B348" s="222" t="n"/>
      <c r="C348" s="220" t="n"/>
      <c r="D348" s="179">
        <f>IFERROR(C348,"")</f>
        <v/>
      </c>
      <c r="E348" s="219" t="n"/>
      <c r="F348" s="220" t="n"/>
      <c r="G348" s="221">
        <f>IF(COUNTA(A348:C348)=0,"",IF(C348&lt;0,"ERRO: matrícula negativa",IF(COUNTIFS($A$5:$A$1200,A348,$B$5:$B$1200,B348)&gt;1,"ERRO: período e curso duplicados","OK")))</f>
        <v/>
      </c>
    </row>
    <row r="349" ht="15" customHeight="1" s="131">
      <c r="A349" s="220" t="n"/>
      <c r="B349" s="222" t="n"/>
      <c r="C349" s="220" t="n"/>
      <c r="D349" s="179">
        <f>IFERROR(C349,"")</f>
        <v/>
      </c>
      <c r="E349" s="219" t="n"/>
      <c r="F349" s="220" t="n"/>
      <c r="G349" s="221">
        <f>IF(COUNTA(A349:C349)=0,"",IF(C349&lt;0,"ERRO: matrícula negativa",IF(COUNTIFS($A$5:$A$1200,A349,$B$5:$B$1200,B349)&gt;1,"ERRO: período e curso duplicados","OK")))</f>
        <v/>
      </c>
    </row>
    <row r="350" ht="15" customHeight="1" s="131">
      <c r="A350" s="220" t="n"/>
      <c r="B350" s="222" t="n"/>
      <c r="C350" s="220" t="n"/>
      <c r="D350" s="179">
        <f>IFERROR(C350,"")</f>
        <v/>
      </c>
      <c r="E350" s="219" t="n"/>
      <c r="F350" s="220" t="n"/>
      <c r="G350" s="221">
        <f>IF(COUNTA(A350:C350)=0,"",IF(C350&lt;0,"ERRO: matrícula negativa",IF(COUNTIFS($A$5:$A$1200,A350,$B$5:$B$1200,B350)&gt;1,"ERRO: período e curso duplicados","OK")))</f>
        <v/>
      </c>
    </row>
    <row r="351" ht="15" customHeight="1" s="131">
      <c r="A351" s="220" t="n"/>
      <c r="B351" s="222" t="n"/>
      <c r="C351" s="220" t="n"/>
      <c r="D351" s="179">
        <f>IFERROR(C351,"")</f>
        <v/>
      </c>
      <c r="E351" s="219" t="n"/>
      <c r="F351" s="220" t="n"/>
      <c r="G351" s="221">
        <f>IF(COUNTA(A351:C351)=0,"",IF(C351&lt;0,"ERRO: matrícula negativa",IF(COUNTIFS($A$5:$A$1200,A351,$B$5:$B$1200,B351)&gt;1,"ERRO: período e curso duplicados","OK")))</f>
        <v/>
      </c>
    </row>
    <row r="352" ht="15" customHeight="1" s="131">
      <c r="A352" s="220" t="n"/>
      <c r="B352" s="222" t="n"/>
      <c r="C352" s="220" t="n"/>
      <c r="D352" s="179">
        <f>IFERROR(C352,"")</f>
        <v/>
      </c>
      <c r="E352" s="219" t="n"/>
      <c r="F352" s="220" t="n"/>
      <c r="G352" s="221">
        <f>IF(COUNTA(A352:C352)=0,"",IF(C352&lt;0,"ERRO: matrícula negativa",IF(COUNTIFS($A$5:$A$1200,A352,$B$5:$B$1200,B352)&gt;1,"ERRO: período e curso duplicados","OK")))</f>
        <v/>
      </c>
    </row>
    <row r="353" ht="15" customHeight="1" s="131">
      <c r="A353" s="220" t="n"/>
      <c r="B353" s="222" t="n"/>
      <c r="C353" s="220" t="n"/>
      <c r="D353" s="179">
        <f>IFERROR(C353,"")</f>
        <v/>
      </c>
      <c r="E353" s="219" t="n"/>
      <c r="F353" s="220" t="n"/>
      <c r="G353" s="221">
        <f>IF(COUNTA(A353:C353)=0,"",IF(C353&lt;0,"ERRO: matrícula negativa",IF(COUNTIFS($A$5:$A$1200,A353,$B$5:$B$1200,B353)&gt;1,"ERRO: período e curso duplicados","OK")))</f>
        <v/>
      </c>
    </row>
    <row r="354" ht="15" customHeight="1" s="131">
      <c r="A354" s="220" t="n"/>
      <c r="B354" s="222" t="n"/>
      <c r="C354" s="220" t="n"/>
      <c r="D354" s="179">
        <f>IFERROR(C354,"")</f>
        <v/>
      </c>
      <c r="E354" s="219" t="n"/>
      <c r="F354" s="220" t="n"/>
      <c r="G354" s="221">
        <f>IF(COUNTA(A354:C354)=0,"",IF(C354&lt;0,"ERRO: matrícula negativa",IF(COUNTIFS($A$5:$A$1200,A354,$B$5:$B$1200,B354)&gt;1,"ERRO: período e curso duplicados","OK")))</f>
        <v/>
      </c>
    </row>
    <row r="355" ht="15" customHeight="1" s="131">
      <c r="A355" s="220" t="n"/>
      <c r="B355" s="222" t="n"/>
      <c r="C355" s="220" t="n"/>
      <c r="D355" s="179">
        <f>IFERROR(C355,"")</f>
        <v/>
      </c>
      <c r="E355" s="219" t="n"/>
      <c r="F355" s="220" t="n"/>
      <c r="G355" s="221">
        <f>IF(COUNTA(A355:C355)=0,"",IF(C355&lt;0,"ERRO: matrícula negativa",IF(COUNTIFS($A$5:$A$1200,A355,$B$5:$B$1200,B355)&gt;1,"ERRO: período e curso duplicados","OK")))</f>
        <v/>
      </c>
    </row>
    <row r="356" ht="15" customHeight="1" s="131">
      <c r="A356" s="220" t="n"/>
      <c r="B356" s="222" t="n"/>
      <c r="C356" s="220" t="n"/>
      <c r="D356" s="179">
        <f>IFERROR(C356,"")</f>
        <v/>
      </c>
      <c r="E356" s="219" t="n"/>
      <c r="F356" s="220" t="n"/>
      <c r="G356" s="221">
        <f>IF(COUNTA(A356:C356)=0,"",IF(C356&lt;0,"ERRO: matrícula negativa",IF(COUNTIFS($A$5:$A$1200,A356,$B$5:$B$1200,B356)&gt;1,"ERRO: período e curso duplicados","OK")))</f>
        <v/>
      </c>
    </row>
    <row r="357" ht="15" customHeight="1" s="131">
      <c r="A357" s="220" t="n"/>
      <c r="B357" s="222" t="n"/>
      <c r="C357" s="220" t="n"/>
      <c r="D357" s="179">
        <f>IFERROR(C357,"")</f>
        <v/>
      </c>
      <c r="E357" s="219" t="n"/>
      <c r="F357" s="220" t="n"/>
      <c r="G357" s="221">
        <f>IF(COUNTA(A357:C357)=0,"",IF(C357&lt;0,"ERRO: matrícula negativa",IF(COUNTIFS($A$5:$A$1200,A357,$B$5:$B$1200,B357)&gt;1,"ERRO: período e curso duplicados","OK")))</f>
        <v/>
      </c>
    </row>
    <row r="358" ht="15" customHeight="1" s="131">
      <c r="A358" s="220" t="n"/>
      <c r="B358" s="222" t="n"/>
      <c r="C358" s="220" t="n"/>
      <c r="D358" s="179">
        <f>IFERROR(C358,"")</f>
        <v/>
      </c>
      <c r="E358" s="219" t="n"/>
      <c r="F358" s="220" t="n"/>
      <c r="G358" s="221">
        <f>IF(COUNTA(A358:C358)=0,"",IF(C358&lt;0,"ERRO: matrícula negativa",IF(COUNTIFS($A$5:$A$1200,A358,$B$5:$B$1200,B358)&gt;1,"ERRO: período e curso duplicados","OK")))</f>
        <v/>
      </c>
    </row>
    <row r="359" ht="15" customHeight="1" s="131">
      <c r="A359" s="220" t="n"/>
      <c r="B359" s="222" t="n"/>
      <c r="C359" s="220" t="n"/>
      <c r="D359" s="179">
        <f>IFERROR(C359,"")</f>
        <v/>
      </c>
      <c r="E359" s="219" t="n"/>
      <c r="F359" s="220" t="n"/>
      <c r="G359" s="221">
        <f>IF(COUNTA(A359:C359)=0,"",IF(C359&lt;0,"ERRO: matrícula negativa",IF(COUNTIFS($A$5:$A$1200,A359,$B$5:$B$1200,B359)&gt;1,"ERRO: período e curso duplicados","OK")))</f>
        <v/>
      </c>
    </row>
    <row r="360" ht="15" customHeight="1" s="131">
      <c r="A360" s="220" t="n"/>
      <c r="B360" s="222" t="n"/>
      <c r="C360" s="220" t="n"/>
      <c r="D360" s="179">
        <f>IFERROR(C360,"")</f>
        <v/>
      </c>
      <c r="E360" s="219" t="n"/>
      <c r="F360" s="220" t="n"/>
      <c r="G360" s="221">
        <f>IF(COUNTA(A360:C360)=0,"",IF(C360&lt;0,"ERRO: matrícula negativa",IF(COUNTIFS($A$5:$A$1200,A360,$B$5:$B$1200,B360)&gt;1,"ERRO: período e curso duplicados","OK")))</f>
        <v/>
      </c>
    </row>
    <row r="361" ht="15" customHeight="1" s="131">
      <c r="A361" s="220" t="n"/>
      <c r="B361" s="222" t="n"/>
      <c r="C361" s="220" t="n"/>
      <c r="D361" s="179">
        <f>IFERROR(C361,"")</f>
        <v/>
      </c>
      <c r="E361" s="219" t="n"/>
      <c r="F361" s="220" t="n"/>
      <c r="G361" s="221">
        <f>IF(COUNTA(A361:C361)=0,"",IF(C361&lt;0,"ERRO: matrícula negativa",IF(COUNTIFS($A$5:$A$1200,A361,$B$5:$B$1200,B361)&gt;1,"ERRO: período e curso duplicados","OK")))</f>
        <v/>
      </c>
    </row>
    <row r="362" ht="15" customHeight="1" s="131">
      <c r="A362" s="220" t="n"/>
      <c r="B362" s="222" t="n"/>
      <c r="C362" s="220" t="n"/>
      <c r="D362" s="179">
        <f>IFERROR(C362,"")</f>
        <v/>
      </c>
      <c r="E362" s="219" t="n"/>
      <c r="F362" s="220" t="n"/>
      <c r="G362" s="221">
        <f>IF(COUNTA(A362:C362)=0,"",IF(C362&lt;0,"ERRO: matrícula negativa",IF(COUNTIFS($A$5:$A$1200,A362,$B$5:$B$1200,B362)&gt;1,"ERRO: período e curso duplicados","OK")))</f>
        <v/>
      </c>
    </row>
    <row r="363" ht="15" customHeight="1" s="131">
      <c r="A363" s="220" t="n"/>
      <c r="B363" s="222" t="n"/>
      <c r="C363" s="220" t="n"/>
      <c r="D363" s="179">
        <f>IFERROR(C363,"")</f>
        <v/>
      </c>
      <c r="E363" s="219" t="n"/>
      <c r="F363" s="220" t="n"/>
      <c r="G363" s="221">
        <f>IF(COUNTA(A363:C363)=0,"",IF(C363&lt;0,"ERRO: matrícula negativa",IF(COUNTIFS($A$5:$A$1200,A363,$B$5:$B$1200,B363)&gt;1,"ERRO: período e curso duplicados","OK")))</f>
        <v/>
      </c>
    </row>
    <row r="364" ht="15" customHeight="1" s="131">
      <c r="A364" s="220" t="n"/>
      <c r="B364" s="222" t="n"/>
      <c r="C364" s="220" t="n"/>
      <c r="D364" s="179">
        <f>IFERROR(C364,"")</f>
        <v/>
      </c>
      <c r="E364" s="219" t="n"/>
      <c r="F364" s="220" t="n"/>
      <c r="G364" s="221">
        <f>IF(COUNTA(A364:C364)=0,"",IF(C364&lt;0,"ERRO: matrícula negativa",IF(COUNTIFS($A$5:$A$1200,A364,$B$5:$B$1200,B364)&gt;1,"ERRO: período e curso duplicados","OK")))</f>
        <v/>
      </c>
    </row>
    <row r="365" ht="15" customHeight="1" s="131">
      <c r="A365" s="220" t="n"/>
      <c r="B365" s="222" t="n"/>
      <c r="C365" s="220" t="n"/>
      <c r="D365" s="179">
        <f>IFERROR(C365,"")</f>
        <v/>
      </c>
      <c r="E365" s="219" t="n"/>
      <c r="F365" s="220" t="n"/>
      <c r="G365" s="221">
        <f>IF(COUNTA(A365:C365)=0,"",IF(C365&lt;0,"ERRO: matrícula negativa",IF(COUNTIFS($A$5:$A$1200,A365,$B$5:$B$1200,B365)&gt;1,"ERRO: período e curso duplicados","OK")))</f>
        <v/>
      </c>
    </row>
    <row r="366" ht="15" customHeight="1" s="131">
      <c r="A366" s="220" t="n"/>
      <c r="B366" s="222" t="n"/>
      <c r="C366" s="220" t="n"/>
      <c r="D366" s="179">
        <f>IFERROR(C366,"")</f>
        <v/>
      </c>
      <c r="E366" s="219" t="n"/>
      <c r="F366" s="220" t="n"/>
      <c r="G366" s="221">
        <f>IF(COUNTA(A366:C366)=0,"",IF(C366&lt;0,"ERRO: matrícula negativa",IF(COUNTIFS($A$5:$A$1200,A366,$B$5:$B$1200,B366)&gt;1,"ERRO: período e curso duplicados","OK")))</f>
        <v/>
      </c>
    </row>
    <row r="367" ht="15" customHeight="1" s="131">
      <c r="A367" s="220" t="n"/>
      <c r="B367" s="222" t="n"/>
      <c r="C367" s="220" t="n"/>
      <c r="D367" s="179">
        <f>IFERROR(C367,"")</f>
        <v/>
      </c>
      <c r="E367" s="219" t="n"/>
      <c r="F367" s="220" t="n"/>
      <c r="G367" s="221">
        <f>IF(COUNTA(A367:C367)=0,"",IF(C367&lt;0,"ERRO: matrícula negativa",IF(COUNTIFS($A$5:$A$1200,A367,$B$5:$B$1200,B367)&gt;1,"ERRO: período e curso duplicados","OK")))</f>
        <v/>
      </c>
    </row>
    <row r="368" ht="15" customHeight="1" s="131">
      <c r="A368" s="220" t="n"/>
      <c r="B368" s="222" t="n"/>
      <c r="C368" s="220" t="n"/>
      <c r="D368" s="179">
        <f>IFERROR(C368,"")</f>
        <v/>
      </c>
      <c r="E368" s="219" t="n"/>
      <c r="F368" s="220" t="n"/>
      <c r="G368" s="221">
        <f>IF(COUNTA(A368:C368)=0,"",IF(C368&lt;0,"ERRO: matrícula negativa",IF(COUNTIFS($A$5:$A$1200,A368,$B$5:$B$1200,B368)&gt;1,"ERRO: período e curso duplicados","OK")))</f>
        <v/>
      </c>
    </row>
    <row r="369" ht="15" customHeight="1" s="131">
      <c r="A369" s="220" t="n"/>
      <c r="B369" s="222" t="n"/>
      <c r="C369" s="220" t="n"/>
      <c r="D369" s="179">
        <f>IFERROR(C369,"")</f>
        <v/>
      </c>
      <c r="E369" s="219" t="n"/>
      <c r="F369" s="220" t="n"/>
      <c r="G369" s="221">
        <f>IF(COUNTA(A369:C369)=0,"",IF(C369&lt;0,"ERRO: matrícula negativa",IF(COUNTIFS($A$5:$A$1200,A369,$B$5:$B$1200,B369)&gt;1,"ERRO: período e curso duplicados","OK")))</f>
        <v/>
      </c>
    </row>
    <row r="370" ht="15" customHeight="1" s="131">
      <c r="A370" s="220" t="n"/>
      <c r="B370" s="222" t="n"/>
      <c r="C370" s="220" t="n"/>
      <c r="D370" s="179">
        <f>IFERROR(C370,"")</f>
        <v/>
      </c>
      <c r="E370" s="219" t="n"/>
      <c r="F370" s="220" t="n"/>
      <c r="G370" s="221">
        <f>IF(COUNTA(A370:C370)=0,"",IF(C370&lt;0,"ERRO: matrícula negativa",IF(COUNTIFS($A$5:$A$1200,A370,$B$5:$B$1200,B370)&gt;1,"ERRO: período e curso duplicados","OK")))</f>
        <v/>
      </c>
    </row>
    <row r="371" ht="15" customHeight="1" s="131">
      <c r="A371" s="220" t="n"/>
      <c r="B371" s="222" t="n"/>
      <c r="C371" s="220" t="n"/>
      <c r="D371" s="179">
        <f>IFERROR(C371,"")</f>
        <v/>
      </c>
      <c r="E371" s="219" t="n"/>
      <c r="F371" s="220" t="n"/>
      <c r="G371" s="221">
        <f>IF(COUNTA(A371:C371)=0,"",IF(C371&lt;0,"ERRO: matrícula negativa",IF(COUNTIFS($A$5:$A$1200,A371,$B$5:$B$1200,B371)&gt;1,"ERRO: período e curso duplicados","OK")))</f>
        <v/>
      </c>
    </row>
    <row r="372" ht="15" customHeight="1" s="131">
      <c r="A372" s="220" t="n"/>
      <c r="B372" s="222" t="n"/>
      <c r="C372" s="220" t="n"/>
      <c r="D372" s="179">
        <f>IFERROR(C372,"")</f>
        <v/>
      </c>
      <c r="E372" s="219" t="n"/>
      <c r="F372" s="220" t="n"/>
      <c r="G372" s="221">
        <f>IF(COUNTA(A372:C372)=0,"",IF(C372&lt;0,"ERRO: matrícula negativa",IF(COUNTIFS($A$5:$A$1200,A372,$B$5:$B$1200,B372)&gt;1,"ERRO: período e curso duplicados","OK")))</f>
        <v/>
      </c>
    </row>
    <row r="373" ht="15" customHeight="1" s="131">
      <c r="A373" s="220" t="n"/>
      <c r="B373" s="222" t="n"/>
      <c r="C373" s="220" t="n"/>
      <c r="D373" s="179">
        <f>IFERROR(C373,"")</f>
        <v/>
      </c>
      <c r="E373" s="219" t="n"/>
      <c r="F373" s="220" t="n"/>
      <c r="G373" s="221">
        <f>IF(COUNTA(A373:C373)=0,"",IF(C373&lt;0,"ERRO: matrícula negativa",IF(COUNTIFS($A$5:$A$1200,A373,$B$5:$B$1200,B373)&gt;1,"ERRO: período e curso duplicados","OK")))</f>
        <v/>
      </c>
    </row>
    <row r="374" ht="15" customHeight="1" s="131">
      <c r="A374" s="220" t="n"/>
      <c r="B374" s="222" t="n"/>
      <c r="C374" s="220" t="n"/>
      <c r="D374" s="179">
        <f>IFERROR(C374,"")</f>
        <v/>
      </c>
      <c r="E374" s="219" t="n"/>
      <c r="F374" s="220" t="n"/>
      <c r="G374" s="221">
        <f>IF(COUNTA(A374:C374)=0,"",IF(C374&lt;0,"ERRO: matrícula negativa",IF(COUNTIFS($A$5:$A$1200,A374,$B$5:$B$1200,B374)&gt;1,"ERRO: período e curso duplicados","OK")))</f>
        <v/>
      </c>
    </row>
    <row r="375" ht="15" customHeight="1" s="131">
      <c r="A375" s="220" t="n"/>
      <c r="B375" s="222" t="n"/>
      <c r="C375" s="220" t="n"/>
      <c r="D375" s="179">
        <f>IFERROR(C375,"")</f>
        <v/>
      </c>
      <c r="E375" s="219" t="n"/>
      <c r="F375" s="220" t="n"/>
      <c r="G375" s="221">
        <f>IF(COUNTA(A375:C375)=0,"",IF(C375&lt;0,"ERRO: matrícula negativa",IF(COUNTIFS($A$5:$A$1200,A375,$B$5:$B$1200,B375)&gt;1,"ERRO: período e curso duplicados","OK")))</f>
        <v/>
      </c>
    </row>
    <row r="376" ht="15" customHeight="1" s="131">
      <c r="A376" s="220" t="n"/>
      <c r="B376" s="222" t="n"/>
      <c r="C376" s="220" t="n"/>
      <c r="D376" s="179">
        <f>IFERROR(C376,"")</f>
        <v/>
      </c>
      <c r="E376" s="219" t="n"/>
      <c r="F376" s="220" t="n"/>
      <c r="G376" s="221">
        <f>IF(COUNTA(A376:C376)=0,"",IF(C376&lt;0,"ERRO: matrícula negativa",IF(COUNTIFS($A$5:$A$1200,A376,$B$5:$B$1200,B376)&gt;1,"ERRO: período e curso duplicados","OK")))</f>
        <v/>
      </c>
    </row>
    <row r="377" ht="15" customHeight="1" s="131">
      <c r="A377" s="220" t="n"/>
      <c r="B377" s="222" t="n"/>
      <c r="C377" s="220" t="n"/>
      <c r="D377" s="179">
        <f>IFERROR(C377,"")</f>
        <v/>
      </c>
      <c r="E377" s="219" t="n"/>
      <c r="F377" s="220" t="n"/>
      <c r="G377" s="221">
        <f>IF(COUNTA(A377:C377)=0,"",IF(C377&lt;0,"ERRO: matrícula negativa",IF(COUNTIFS($A$5:$A$1200,A377,$B$5:$B$1200,B377)&gt;1,"ERRO: período e curso duplicados","OK")))</f>
        <v/>
      </c>
    </row>
    <row r="378" ht="15" customHeight="1" s="131">
      <c r="A378" s="220" t="n"/>
      <c r="B378" s="222" t="n"/>
      <c r="C378" s="220" t="n"/>
      <c r="D378" s="179">
        <f>IFERROR(C378,"")</f>
        <v/>
      </c>
      <c r="E378" s="219" t="n"/>
      <c r="F378" s="220" t="n"/>
      <c r="G378" s="221">
        <f>IF(COUNTA(A378:C378)=0,"",IF(C378&lt;0,"ERRO: matrícula negativa",IF(COUNTIFS($A$5:$A$1200,A378,$B$5:$B$1200,B378)&gt;1,"ERRO: período e curso duplicados","OK")))</f>
        <v/>
      </c>
    </row>
    <row r="379" ht="15" customHeight="1" s="131">
      <c r="A379" s="220" t="n"/>
      <c r="B379" s="222" t="n"/>
      <c r="C379" s="220" t="n"/>
      <c r="D379" s="179">
        <f>IFERROR(C379,"")</f>
        <v/>
      </c>
      <c r="E379" s="219" t="n"/>
      <c r="F379" s="220" t="n"/>
      <c r="G379" s="221">
        <f>IF(COUNTA(A379:C379)=0,"",IF(C379&lt;0,"ERRO: matrícula negativa",IF(COUNTIFS($A$5:$A$1200,A379,$B$5:$B$1200,B379)&gt;1,"ERRO: período e curso duplicados","OK")))</f>
        <v/>
      </c>
    </row>
    <row r="380" ht="15" customHeight="1" s="131">
      <c r="A380" s="220" t="n"/>
      <c r="B380" s="222" t="n"/>
      <c r="C380" s="220" t="n"/>
      <c r="D380" s="179">
        <f>IFERROR(C380,"")</f>
        <v/>
      </c>
      <c r="E380" s="219" t="n"/>
      <c r="F380" s="220" t="n"/>
      <c r="G380" s="221">
        <f>IF(COUNTA(A380:C380)=0,"",IF(C380&lt;0,"ERRO: matrícula negativa",IF(COUNTIFS($A$5:$A$1200,A380,$B$5:$B$1200,B380)&gt;1,"ERRO: período e curso duplicados","OK")))</f>
        <v/>
      </c>
    </row>
    <row r="381" ht="15" customHeight="1" s="131">
      <c r="A381" s="220" t="n"/>
      <c r="B381" s="222" t="n"/>
      <c r="C381" s="220" t="n"/>
      <c r="D381" s="179">
        <f>IFERROR(C381,"")</f>
        <v/>
      </c>
      <c r="E381" s="219" t="n"/>
      <c r="F381" s="220" t="n"/>
      <c r="G381" s="221">
        <f>IF(COUNTA(A381:C381)=0,"",IF(C381&lt;0,"ERRO: matrícula negativa",IF(COUNTIFS($A$5:$A$1200,A381,$B$5:$B$1200,B381)&gt;1,"ERRO: período e curso duplicados","OK")))</f>
        <v/>
      </c>
    </row>
    <row r="382" ht="15" customHeight="1" s="131">
      <c r="A382" s="220" t="n"/>
      <c r="B382" s="222" t="n"/>
      <c r="C382" s="220" t="n"/>
      <c r="D382" s="179">
        <f>IFERROR(C382,"")</f>
        <v/>
      </c>
      <c r="E382" s="219" t="n"/>
      <c r="F382" s="220" t="n"/>
      <c r="G382" s="221">
        <f>IF(COUNTA(A382:C382)=0,"",IF(C382&lt;0,"ERRO: matrícula negativa",IF(COUNTIFS($A$5:$A$1200,A382,$B$5:$B$1200,B382)&gt;1,"ERRO: período e curso duplicados","OK")))</f>
        <v/>
      </c>
    </row>
    <row r="383" ht="15" customHeight="1" s="131">
      <c r="A383" s="220" t="n"/>
      <c r="B383" s="222" t="n"/>
      <c r="C383" s="220" t="n"/>
      <c r="D383" s="179">
        <f>IFERROR(C383,"")</f>
        <v/>
      </c>
      <c r="E383" s="219" t="n"/>
      <c r="F383" s="220" t="n"/>
      <c r="G383" s="221">
        <f>IF(COUNTA(A383:C383)=0,"",IF(C383&lt;0,"ERRO: matrícula negativa",IF(COUNTIFS($A$5:$A$1200,A383,$B$5:$B$1200,B383)&gt;1,"ERRO: período e curso duplicados","OK")))</f>
        <v/>
      </c>
    </row>
    <row r="384" ht="15" customHeight="1" s="131">
      <c r="A384" s="220" t="n"/>
      <c r="B384" s="222" t="n"/>
      <c r="C384" s="220" t="n"/>
      <c r="D384" s="179">
        <f>IFERROR(C384,"")</f>
        <v/>
      </c>
      <c r="E384" s="219" t="n"/>
      <c r="F384" s="220" t="n"/>
      <c r="G384" s="221">
        <f>IF(COUNTA(A384:C384)=0,"",IF(C384&lt;0,"ERRO: matrícula negativa",IF(COUNTIFS($A$5:$A$1200,A384,$B$5:$B$1200,B384)&gt;1,"ERRO: período e curso duplicados","OK")))</f>
        <v/>
      </c>
    </row>
    <row r="385" ht="15" customHeight="1" s="131">
      <c r="A385" s="220" t="n"/>
      <c r="B385" s="222" t="n"/>
      <c r="C385" s="220" t="n"/>
      <c r="D385" s="179">
        <f>IFERROR(C385,"")</f>
        <v/>
      </c>
      <c r="E385" s="219" t="n"/>
      <c r="F385" s="220" t="n"/>
      <c r="G385" s="221">
        <f>IF(COUNTA(A385:C385)=0,"",IF(C385&lt;0,"ERRO: matrícula negativa",IF(COUNTIFS($A$5:$A$1200,A385,$B$5:$B$1200,B385)&gt;1,"ERRO: período e curso duplicados","OK")))</f>
        <v/>
      </c>
    </row>
    <row r="386" ht="15" customHeight="1" s="131">
      <c r="A386" s="220" t="n"/>
      <c r="B386" s="222" t="n"/>
      <c r="C386" s="220" t="n"/>
      <c r="D386" s="179">
        <f>IFERROR(C386,"")</f>
        <v/>
      </c>
      <c r="E386" s="219" t="n"/>
      <c r="F386" s="220" t="n"/>
      <c r="G386" s="221">
        <f>IF(COUNTA(A386:C386)=0,"",IF(C386&lt;0,"ERRO: matrícula negativa",IF(COUNTIFS($A$5:$A$1200,A386,$B$5:$B$1200,B386)&gt;1,"ERRO: período e curso duplicados","OK")))</f>
        <v/>
      </c>
    </row>
    <row r="387" ht="15" customHeight="1" s="131">
      <c r="A387" s="220" t="n"/>
      <c r="B387" s="222" t="n"/>
      <c r="C387" s="220" t="n"/>
      <c r="D387" s="179">
        <f>IFERROR(C387,"")</f>
        <v/>
      </c>
      <c r="E387" s="219" t="n"/>
      <c r="F387" s="220" t="n"/>
      <c r="G387" s="221">
        <f>IF(COUNTA(A387:C387)=0,"",IF(C387&lt;0,"ERRO: matrícula negativa",IF(COUNTIFS($A$5:$A$1200,A387,$B$5:$B$1200,B387)&gt;1,"ERRO: período e curso duplicados","OK")))</f>
        <v/>
      </c>
    </row>
    <row r="388" ht="15" customHeight="1" s="131">
      <c r="A388" s="220" t="n"/>
      <c r="B388" s="222" t="n"/>
      <c r="C388" s="220" t="n"/>
      <c r="D388" s="179">
        <f>IFERROR(C388,"")</f>
        <v/>
      </c>
      <c r="E388" s="219" t="n"/>
      <c r="F388" s="220" t="n"/>
      <c r="G388" s="221">
        <f>IF(COUNTA(A388:C388)=0,"",IF(C388&lt;0,"ERRO: matrícula negativa",IF(COUNTIFS($A$5:$A$1200,A388,$B$5:$B$1200,B388)&gt;1,"ERRO: período e curso duplicados","OK")))</f>
        <v/>
      </c>
    </row>
    <row r="389" ht="15" customHeight="1" s="131">
      <c r="A389" s="220" t="n"/>
      <c r="B389" s="222" t="n"/>
      <c r="C389" s="220" t="n"/>
      <c r="D389" s="179">
        <f>IFERROR(C389,"")</f>
        <v/>
      </c>
      <c r="E389" s="219" t="n"/>
      <c r="F389" s="220" t="n"/>
      <c r="G389" s="221">
        <f>IF(COUNTA(A389:C389)=0,"",IF(C389&lt;0,"ERRO: matrícula negativa",IF(COUNTIFS($A$5:$A$1200,A389,$B$5:$B$1200,B389)&gt;1,"ERRO: período e curso duplicados","OK")))</f>
        <v/>
      </c>
    </row>
    <row r="390" ht="15" customHeight="1" s="131">
      <c r="A390" s="220" t="n"/>
      <c r="B390" s="222" t="n"/>
      <c r="C390" s="220" t="n"/>
      <c r="D390" s="179">
        <f>IFERROR(C390,"")</f>
        <v/>
      </c>
      <c r="E390" s="219" t="n"/>
      <c r="F390" s="220" t="n"/>
      <c r="G390" s="221">
        <f>IF(COUNTA(A390:C390)=0,"",IF(C390&lt;0,"ERRO: matrícula negativa",IF(COUNTIFS($A$5:$A$1200,A390,$B$5:$B$1200,B390)&gt;1,"ERRO: período e curso duplicados","OK")))</f>
        <v/>
      </c>
    </row>
    <row r="391" ht="15" customHeight="1" s="131">
      <c r="A391" s="220" t="n"/>
      <c r="B391" s="222" t="n"/>
      <c r="C391" s="220" t="n"/>
      <c r="D391" s="179">
        <f>IFERROR(C391,"")</f>
        <v/>
      </c>
      <c r="E391" s="219" t="n"/>
      <c r="F391" s="220" t="n"/>
      <c r="G391" s="221">
        <f>IF(COUNTA(A391:C391)=0,"",IF(C391&lt;0,"ERRO: matrícula negativa",IF(COUNTIFS($A$5:$A$1200,A391,$B$5:$B$1200,B391)&gt;1,"ERRO: período e curso duplicados","OK")))</f>
        <v/>
      </c>
    </row>
    <row r="392" ht="15" customHeight="1" s="131">
      <c r="A392" s="220" t="n"/>
      <c r="B392" s="222" t="n"/>
      <c r="C392" s="220" t="n"/>
      <c r="D392" s="179">
        <f>IFERROR(C392,"")</f>
        <v/>
      </c>
      <c r="E392" s="219" t="n"/>
      <c r="F392" s="220" t="n"/>
      <c r="G392" s="221">
        <f>IF(COUNTA(A392:C392)=0,"",IF(C392&lt;0,"ERRO: matrícula negativa",IF(COUNTIFS($A$5:$A$1200,A392,$B$5:$B$1200,B392)&gt;1,"ERRO: período e curso duplicados","OK")))</f>
        <v/>
      </c>
    </row>
    <row r="393" ht="15" customHeight="1" s="131">
      <c r="A393" s="220" t="n"/>
      <c r="B393" s="222" t="n"/>
      <c r="C393" s="220" t="n"/>
      <c r="D393" s="179">
        <f>IFERROR(C393,"")</f>
        <v/>
      </c>
      <c r="E393" s="219" t="n"/>
      <c r="F393" s="220" t="n"/>
      <c r="G393" s="221">
        <f>IF(COUNTA(A393:C393)=0,"",IF(C393&lt;0,"ERRO: matrícula negativa",IF(COUNTIFS($A$5:$A$1200,A393,$B$5:$B$1200,B393)&gt;1,"ERRO: período e curso duplicados","OK")))</f>
        <v/>
      </c>
    </row>
    <row r="394" ht="15" customHeight="1" s="131">
      <c r="A394" s="220" t="n"/>
      <c r="B394" s="222" t="n"/>
      <c r="C394" s="220" t="n"/>
      <c r="D394" s="179">
        <f>IFERROR(C394,"")</f>
        <v/>
      </c>
      <c r="E394" s="219" t="n"/>
      <c r="F394" s="220" t="n"/>
      <c r="G394" s="221">
        <f>IF(COUNTA(A394:C394)=0,"",IF(C394&lt;0,"ERRO: matrícula negativa",IF(COUNTIFS($A$5:$A$1200,A394,$B$5:$B$1200,B394)&gt;1,"ERRO: período e curso duplicados","OK")))</f>
        <v/>
      </c>
    </row>
    <row r="395" ht="15" customHeight="1" s="131">
      <c r="A395" s="220" t="n"/>
      <c r="B395" s="222" t="n"/>
      <c r="C395" s="220" t="n"/>
      <c r="D395" s="179">
        <f>IFERROR(C395,"")</f>
        <v/>
      </c>
      <c r="E395" s="219" t="n"/>
      <c r="F395" s="220" t="n"/>
      <c r="G395" s="221">
        <f>IF(COUNTA(A395:C395)=0,"",IF(C395&lt;0,"ERRO: matrícula negativa",IF(COUNTIFS($A$5:$A$1200,A395,$B$5:$B$1200,B395)&gt;1,"ERRO: período e curso duplicados","OK")))</f>
        <v/>
      </c>
    </row>
    <row r="396" ht="15" customHeight="1" s="131">
      <c r="A396" s="220" t="n"/>
      <c r="B396" s="222" t="n"/>
      <c r="C396" s="220" t="n"/>
      <c r="D396" s="179">
        <f>IFERROR(C396,"")</f>
        <v/>
      </c>
      <c r="E396" s="219" t="n"/>
      <c r="F396" s="220" t="n"/>
      <c r="G396" s="221">
        <f>IF(COUNTA(A396:C396)=0,"",IF(C396&lt;0,"ERRO: matrícula negativa",IF(COUNTIFS($A$5:$A$1200,A396,$B$5:$B$1200,B396)&gt;1,"ERRO: período e curso duplicados","OK")))</f>
        <v/>
      </c>
    </row>
    <row r="397" ht="15" customHeight="1" s="131">
      <c r="A397" s="220" t="n"/>
      <c r="B397" s="222" t="n"/>
      <c r="C397" s="220" t="n"/>
      <c r="D397" s="179">
        <f>IFERROR(C397,"")</f>
        <v/>
      </c>
      <c r="E397" s="219" t="n"/>
      <c r="F397" s="220" t="n"/>
      <c r="G397" s="221">
        <f>IF(COUNTA(A397:C397)=0,"",IF(C397&lt;0,"ERRO: matrícula negativa",IF(COUNTIFS($A$5:$A$1200,A397,$B$5:$B$1200,B397)&gt;1,"ERRO: período e curso duplicados","OK")))</f>
        <v/>
      </c>
    </row>
    <row r="398" ht="15" customHeight="1" s="131">
      <c r="A398" s="220" t="n"/>
      <c r="B398" s="222" t="n"/>
      <c r="C398" s="220" t="n"/>
      <c r="D398" s="179">
        <f>IFERROR(C398,"")</f>
        <v/>
      </c>
      <c r="E398" s="219" t="n"/>
      <c r="F398" s="220" t="n"/>
      <c r="G398" s="221">
        <f>IF(COUNTA(A398:C398)=0,"",IF(C398&lt;0,"ERRO: matrícula negativa",IF(COUNTIFS($A$5:$A$1200,A398,$B$5:$B$1200,B398)&gt;1,"ERRO: período e curso duplicados","OK")))</f>
        <v/>
      </c>
    </row>
    <row r="399" ht="15" customHeight="1" s="131">
      <c r="A399" s="220" t="n"/>
      <c r="B399" s="222" t="n"/>
      <c r="C399" s="220" t="n"/>
      <c r="D399" s="179">
        <f>IFERROR(C399,"")</f>
        <v/>
      </c>
      <c r="E399" s="219" t="n"/>
      <c r="F399" s="220" t="n"/>
      <c r="G399" s="221">
        <f>IF(COUNTA(A399:C399)=0,"",IF(C399&lt;0,"ERRO: matrícula negativa",IF(COUNTIFS($A$5:$A$1200,A399,$B$5:$B$1200,B399)&gt;1,"ERRO: período e curso duplicados","OK")))</f>
        <v/>
      </c>
    </row>
    <row r="400" ht="15" customHeight="1" s="131">
      <c r="A400" s="220" t="n"/>
      <c r="B400" s="222" t="n"/>
      <c r="C400" s="220" t="n"/>
      <c r="D400" s="179">
        <f>IFERROR(C400,"")</f>
        <v/>
      </c>
      <c r="E400" s="219" t="n"/>
      <c r="F400" s="220" t="n"/>
      <c r="G400" s="221">
        <f>IF(COUNTA(A400:C400)=0,"",IF(C400&lt;0,"ERRO: matrícula negativa",IF(COUNTIFS($A$5:$A$1200,A400,$B$5:$B$1200,B400)&gt;1,"ERRO: período e curso duplicados","OK")))</f>
        <v/>
      </c>
    </row>
    <row r="401" ht="15" customHeight="1" s="131">
      <c r="A401" s="220" t="n"/>
      <c r="B401" s="222" t="n"/>
      <c r="C401" s="220" t="n"/>
      <c r="D401" s="179">
        <f>IFERROR(C401,"")</f>
        <v/>
      </c>
      <c r="E401" s="219" t="n"/>
      <c r="F401" s="220" t="n"/>
      <c r="G401" s="221">
        <f>IF(COUNTA(A401:C401)=0,"",IF(C401&lt;0,"ERRO: matrícula negativa",IF(COUNTIFS($A$5:$A$1200,A401,$B$5:$B$1200,B401)&gt;1,"ERRO: período e curso duplicados","OK")))</f>
        <v/>
      </c>
    </row>
    <row r="402" ht="15" customHeight="1" s="131">
      <c r="A402" s="220" t="n"/>
      <c r="B402" s="222" t="n"/>
      <c r="C402" s="220" t="n"/>
      <c r="D402" s="179">
        <f>IFERROR(C402,"")</f>
        <v/>
      </c>
      <c r="E402" s="219" t="n"/>
      <c r="F402" s="220" t="n"/>
      <c r="G402" s="221">
        <f>IF(COUNTA(A402:C402)=0,"",IF(C402&lt;0,"ERRO: matrícula negativa",IF(COUNTIFS($A$5:$A$1200,A402,$B$5:$B$1200,B402)&gt;1,"ERRO: período e curso duplicados","OK")))</f>
        <v/>
      </c>
    </row>
    <row r="403" ht="15" customHeight="1" s="131">
      <c r="A403" s="220" t="n"/>
      <c r="B403" s="222" t="n"/>
      <c r="C403" s="220" t="n"/>
      <c r="D403" s="179">
        <f>IFERROR(C403,"")</f>
        <v/>
      </c>
      <c r="E403" s="219" t="n"/>
      <c r="F403" s="220" t="n"/>
      <c r="G403" s="221">
        <f>IF(COUNTA(A403:C403)=0,"",IF(C403&lt;0,"ERRO: matrícula negativa",IF(COUNTIFS($A$5:$A$1200,A403,$B$5:$B$1200,B403)&gt;1,"ERRO: período e curso duplicados","OK")))</f>
        <v/>
      </c>
    </row>
    <row r="404" ht="15" customHeight="1" s="131">
      <c r="A404" s="220" t="n"/>
      <c r="B404" s="222" t="n"/>
      <c r="C404" s="220" t="n"/>
      <c r="D404" s="179">
        <f>IFERROR(C404,"")</f>
        <v/>
      </c>
      <c r="E404" s="219" t="n"/>
      <c r="F404" s="220" t="n"/>
      <c r="G404" s="221">
        <f>IF(COUNTA(A404:C404)=0,"",IF(C404&lt;0,"ERRO: matrícula negativa",IF(COUNTIFS($A$5:$A$1200,A404,$B$5:$B$1200,B404)&gt;1,"ERRO: período e curso duplicados","OK")))</f>
        <v/>
      </c>
    </row>
    <row r="405" ht="15" customHeight="1" s="131">
      <c r="A405" s="220" t="n"/>
      <c r="B405" s="222" t="n"/>
      <c r="C405" s="220" t="n"/>
      <c r="D405" s="179">
        <f>IFERROR(C405,"")</f>
        <v/>
      </c>
      <c r="E405" s="219" t="n"/>
      <c r="F405" s="220" t="n"/>
      <c r="G405" s="221">
        <f>IF(COUNTA(A405:C405)=0,"",IF(C405&lt;0,"ERRO: matrícula negativa",IF(COUNTIFS($A$5:$A$1200,A405,$B$5:$B$1200,B405)&gt;1,"ERRO: período e curso duplicados","OK")))</f>
        <v/>
      </c>
    </row>
    <row r="406" ht="15" customHeight="1" s="131">
      <c r="A406" s="220" t="n"/>
      <c r="B406" s="222" t="n"/>
      <c r="C406" s="220" t="n"/>
      <c r="D406" s="179">
        <f>IFERROR(C406,"")</f>
        <v/>
      </c>
      <c r="E406" s="219" t="n"/>
      <c r="F406" s="220" t="n"/>
      <c r="G406" s="221">
        <f>IF(COUNTA(A406:C406)=0,"",IF(C406&lt;0,"ERRO: matrícula negativa",IF(COUNTIFS($A$5:$A$1200,A406,$B$5:$B$1200,B406)&gt;1,"ERRO: período e curso duplicados","OK")))</f>
        <v/>
      </c>
    </row>
    <row r="407" ht="15" customHeight="1" s="131">
      <c r="A407" s="220" t="n"/>
      <c r="B407" s="222" t="n"/>
      <c r="C407" s="220" t="n"/>
      <c r="D407" s="179">
        <f>IFERROR(C407,"")</f>
        <v/>
      </c>
      <c r="E407" s="219" t="n"/>
      <c r="F407" s="220" t="n"/>
      <c r="G407" s="221">
        <f>IF(COUNTA(A407:C407)=0,"",IF(C407&lt;0,"ERRO: matrícula negativa",IF(COUNTIFS($A$5:$A$1200,A407,$B$5:$B$1200,B407)&gt;1,"ERRO: período e curso duplicados","OK")))</f>
        <v/>
      </c>
    </row>
    <row r="408" ht="15" customHeight="1" s="131">
      <c r="A408" s="220" t="n"/>
      <c r="B408" s="222" t="n"/>
      <c r="C408" s="220" t="n"/>
      <c r="D408" s="179">
        <f>IFERROR(C408,"")</f>
        <v/>
      </c>
      <c r="E408" s="219" t="n"/>
      <c r="F408" s="220" t="n"/>
      <c r="G408" s="221">
        <f>IF(COUNTA(A408:C408)=0,"",IF(C408&lt;0,"ERRO: matrícula negativa",IF(COUNTIFS($A$5:$A$1200,A408,$B$5:$B$1200,B408)&gt;1,"ERRO: período e curso duplicados","OK")))</f>
        <v/>
      </c>
    </row>
    <row r="409" ht="15" customHeight="1" s="131">
      <c r="A409" s="220" t="n"/>
      <c r="B409" s="222" t="n"/>
      <c r="C409" s="220" t="n"/>
      <c r="D409" s="179">
        <f>IFERROR(C409,"")</f>
        <v/>
      </c>
      <c r="E409" s="219" t="n"/>
      <c r="F409" s="220" t="n"/>
      <c r="G409" s="221">
        <f>IF(COUNTA(A409:C409)=0,"",IF(C409&lt;0,"ERRO: matrícula negativa",IF(COUNTIFS($A$5:$A$1200,A409,$B$5:$B$1200,B409)&gt;1,"ERRO: período e curso duplicados","OK")))</f>
        <v/>
      </c>
    </row>
    <row r="410" ht="15" customHeight="1" s="131">
      <c r="A410" s="220" t="n"/>
      <c r="B410" s="222" t="n"/>
      <c r="C410" s="220" t="n"/>
      <c r="D410" s="179">
        <f>IFERROR(C410,"")</f>
        <v/>
      </c>
      <c r="E410" s="219" t="n"/>
      <c r="F410" s="220" t="n"/>
      <c r="G410" s="221">
        <f>IF(COUNTA(A410:C410)=0,"",IF(C410&lt;0,"ERRO: matrícula negativa",IF(COUNTIFS($A$5:$A$1200,A410,$B$5:$B$1200,B410)&gt;1,"ERRO: período e curso duplicados","OK")))</f>
        <v/>
      </c>
    </row>
    <row r="411" ht="15" customHeight="1" s="131">
      <c r="A411" s="220" t="n"/>
      <c r="B411" s="222" t="n"/>
      <c r="C411" s="220" t="n"/>
      <c r="D411" s="179">
        <f>IFERROR(C411,"")</f>
        <v/>
      </c>
      <c r="E411" s="219" t="n"/>
      <c r="F411" s="220" t="n"/>
      <c r="G411" s="221">
        <f>IF(COUNTA(A411:C411)=0,"",IF(C411&lt;0,"ERRO: matrícula negativa",IF(COUNTIFS($A$5:$A$1200,A411,$B$5:$B$1200,B411)&gt;1,"ERRO: período e curso duplicados","OK")))</f>
        <v/>
      </c>
    </row>
    <row r="412" ht="15" customHeight="1" s="131">
      <c r="A412" s="220" t="n"/>
      <c r="B412" s="222" t="n"/>
      <c r="C412" s="220" t="n"/>
      <c r="D412" s="179">
        <f>IFERROR(C412,"")</f>
        <v/>
      </c>
      <c r="E412" s="219" t="n"/>
      <c r="F412" s="220" t="n"/>
      <c r="G412" s="221">
        <f>IF(COUNTA(A412:C412)=0,"",IF(C412&lt;0,"ERRO: matrícula negativa",IF(COUNTIFS($A$5:$A$1200,A412,$B$5:$B$1200,B412)&gt;1,"ERRO: período e curso duplicados","OK")))</f>
        <v/>
      </c>
    </row>
    <row r="413" ht="15" customHeight="1" s="131">
      <c r="A413" s="220" t="n"/>
      <c r="B413" s="222" t="n"/>
      <c r="C413" s="220" t="n"/>
      <c r="D413" s="179">
        <f>IFERROR(C413,"")</f>
        <v/>
      </c>
      <c r="E413" s="219" t="n"/>
      <c r="F413" s="220" t="n"/>
      <c r="G413" s="221">
        <f>IF(COUNTA(A413:C413)=0,"",IF(C413&lt;0,"ERRO: matrícula negativa",IF(COUNTIFS($A$5:$A$1200,A413,$B$5:$B$1200,B413)&gt;1,"ERRO: período e curso duplicados","OK")))</f>
        <v/>
      </c>
    </row>
    <row r="414" ht="15" customHeight="1" s="131">
      <c r="A414" s="220" t="n"/>
      <c r="B414" s="222" t="n"/>
      <c r="C414" s="220" t="n"/>
      <c r="D414" s="179">
        <f>IFERROR(C414,"")</f>
        <v/>
      </c>
      <c r="E414" s="219" t="n"/>
      <c r="F414" s="220" t="n"/>
      <c r="G414" s="221">
        <f>IF(COUNTA(A414:C414)=0,"",IF(C414&lt;0,"ERRO: matrícula negativa",IF(COUNTIFS($A$5:$A$1200,A414,$B$5:$B$1200,B414)&gt;1,"ERRO: período e curso duplicados","OK")))</f>
        <v/>
      </c>
    </row>
    <row r="415" ht="15" customHeight="1" s="131">
      <c r="A415" s="220" t="n"/>
      <c r="B415" s="222" t="n"/>
      <c r="C415" s="220" t="n"/>
      <c r="D415" s="179">
        <f>IFERROR(C415,"")</f>
        <v/>
      </c>
      <c r="E415" s="219" t="n"/>
      <c r="F415" s="220" t="n"/>
      <c r="G415" s="221">
        <f>IF(COUNTA(A415:C415)=0,"",IF(C415&lt;0,"ERRO: matrícula negativa",IF(COUNTIFS($A$5:$A$1200,A415,$B$5:$B$1200,B415)&gt;1,"ERRO: período e curso duplicados","OK")))</f>
        <v/>
      </c>
    </row>
    <row r="416" ht="15" customHeight="1" s="131">
      <c r="A416" s="220" t="n"/>
      <c r="B416" s="222" t="n"/>
      <c r="C416" s="220" t="n"/>
      <c r="D416" s="179">
        <f>IFERROR(C416,"")</f>
        <v/>
      </c>
      <c r="E416" s="219" t="n"/>
      <c r="F416" s="220" t="n"/>
      <c r="G416" s="221">
        <f>IF(COUNTA(A416:C416)=0,"",IF(C416&lt;0,"ERRO: matrícula negativa",IF(COUNTIFS($A$5:$A$1200,A416,$B$5:$B$1200,B416)&gt;1,"ERRO: período e curso duplicados","OK")))</f>
        <v/>
      </c>
    </row>
    <row r="417" ht="15" customHeight="1" s="131">
      <c r="A417" s="220" t="n"/>
      <c r="B417" s="222" t="n"/>
      <c r="C417" s="220" t="n"/>
      <c r="D417" s="179">
        <f>IFERROR(C417,"")</f>
        <v/>
      </c>
      <c r="E417" s="219" t="n"/>
      <c r="F417" s="220" t="n"/>
      <c r="G417" s="221">
        <f>IF(COUNTA(A417:C417)=0,"",IF(C417&lt;0,"ERRO: matrícula negativa",IF(COUNTIFS($A$5:$A$1200,A417,$B$5:$B$1200,B417)&gt;1,"ERRO: período e curso duplicados","OK")))</f>
        <v/>
      </c>
    </row>
    <row r="418" ht="15" customHeight="1" s="131">
      <c r="A418" s="220" t="n"/>
      <c r="B418" s="222" t="n"/>
      <c r="C418" s="220" t="n"/>
      <c r="D418" s="179">
        <f>IFERROR(C418,"")</f>
        <v/>
      </c>
      <c r="E418" s="219" t="n"/>
      <c r="F418" s="220" t="n"/>
      <c r="G418" s="221">
        <f>IF(COUNTA(A418:C418)=0,"",IF(C418&lt;0,"ERRO: matrícula negativa",IF(COUNTIFS($A$5:$A$1200,A418,$B$5:$B$1200,B418)&gt;1,"ERRO: período e curso duplicados","OK")))</f>
        <v/>
      </c>
    </row>
    <row r="419" ht="15" customHeight="1" s="131">
      <c r="A419" s="220" t="n"/>
      <c r="B419" s="222" t="n"/>
      <c r="C419" s="220" t="n"/>
      <c r="D419" s="179">
        <f>IFERROR(C419,"")</f>
        <v/>
      </c>
      <c r="E419" s="219" t="n"/>
      <c r="F419" s="220" t="n"/>
      <c r="G419" s="221">
        <f>IF(COUNTA(A419:C419)=0,"",IF(C419&lt;0,"ERRO: matrícula negativa",IF(COUNTIFS($A$5:$A$1200,A419,$B$5:$B$1200,B419)&gt;1,"ERRO: período e curso duplicados","OK")))</f>
        <v/>
      </c>
    </row>
    <row r="420" ht="15" customHeight="1" s="131">
      <c r="A420" s="220" t="n"/>
      <c r="B420" s="222" t="n"/>
      <c r="C420" s="220" t="n"/>
      <c r="D420" s="179">
        <f>IFERROR(C420,"")</f>
        <v/>
      </c>
      <c r="E420" s="219" t="n"/>
      <c r="F420" s="220" t="n"/>
      <c r="G420" s="221">
        <f>IF(COUNTA(A420:C420)=0,"",IF(C420&lt;0,"ERRO: matrícula negativa",IF(COUNTIFS($A$5:$A$1200,A420,$B$5:$B$1200,B420)&gt;1,"ERRO: período e curso duplicados","OK")))</f>
        <v/>
      </c>
    </row>
    <row r="421" ht="15" customHeight="1" s="131">
      <c r="A421" s="220" t="n"/>
      <c r="B421" s="222" t="n"/>
      <c r="C421" s="220" t="n"/>
      <c r="D421" s="179">
        <f>IFERROR(C421,"")</f>
        <v/>
      </c>
      <c r="E421" s="219" t="n"/>
      <c r="F421" s="220" t="n"/>
      <c r="G421" s="221">
        <f>IF(COUNTA(A421:C421)=0,"",IF(C421&lt;0,"ERRO: matrícula negativa",IF(COUNTIFS($A$5:$A$1200,A421,$B$5:$B$1200,B421)&gt;1,"ERRO: período e curso duplicados","OK")))</f>
        <v/>
      </c>
    </row>
    <row r="422" ht="15" customHeight="1" s="131">
      <c r="A422" s="220" t="n"/>
      <c r="B422" s="222" t="n"/>
      <c r="C422" s="220" t="n"/>
      <c r="D422" s="179">
        <f>IFERROR(C422,"")</f>
        <v/>
      </c>
      <c r="E422" s="219" t="n"/>
      <c r="F422" s="220" t="n"/>
      <c r="G422" s="221">
        <f>IF(COUNTA(A422:C422)=0,"",IF(C422&lt;0,"ERRO: matrícula negativa",IF(COUNTIFS($A$5:$A$1200,A422,$B$5:$B$1200,B422)&gt;1,"ERRO: período e curso duplicados","OK")))</f>
        <v/>
      </c>
    </row>
    <row r="423" ht="15" customHeight="1" s="131">
      <c r="A423" s="220" t="n"/>
      <c r="B423" s="222" t="n"/>
      <c r="C423" s="220" t="n"/>
      <c r="D423" s="179">
        <f>IFERROR(C423,"")</f>
        <v/>
      </c>
      <c r="E423" s="219" t="n"/>
      <c r="F423" s="220" t="n"/>
      <c r="G423" s="221">
        <f>IF(COUNTA(A423:C423)=0,"",IF(C423&lt;0,"ERRO: matrícula negativa",IF(COUNTIFS($A$5:$A$1200,A423,$B$5:$B$1200,B423)&gt;1,"ERRO: período e curso duplicados","OK")))</f>
        <v/>
      </c>
    </row>
    <row r="424" ht="15" customHeight="1" s="131">
      <c r="A424" s="220" t="n"/>
      <c r="B424" s="222" t="n"/>
      <c r="C424" s="220" t="n"/>
      <c r="D424" s="179">
        <f>IFERROR(C424,"")</f>
        <v/>
      </c>
      <c r="E424" s="219" t="n"/>
      <c r="F424" s="220" t="n"/>
      <c r="G424" s="221">
        <f>IF(COUNTA(A424:C424)=0,"",IF(C424&lt;0,"ERRO: matrícula negativa",IF(COUNTIFS($A$5:$A$1200,A424,$B$5:$B$1200,B424)&gt;1,"ERRO: período e curso duplicados","OK")))</f>
        <v/>
      </c>
    </row>
    <row r="425" ht="15" customHeight="1" s="131">
      <c r="A425" s="220" t="n"/>
      <c r="B425" s="222" t="n"/>
      <c r="C425" s="220" t="n"/>
      <c r="D425" s="179">
        <f>IFERROR(C425,"")</f>
        <v/>
      </c>
      <c r="E425" s="219" t="n"/>
      <c r="F425" s="220" t="n"/>
      <c r="G425" s="221">
        <f>IF(COUNTA(A425:C425)=0,"",IF(C425&lt;0,"ERRO: matrícula negativa",IF(COUNTIFS($A$5:$A$1200,A425,$B$5:$B$1200,B425)&gt;1,"ERRO: período e curso duplicados","OK")))</f>
        <v/>
      </c>
    </row>
    <row r="426" ht="15" customHeight="1" s="131">
      <c r="A426" s="220" t="n"/>
      <c r="B426" s="222" t="n"/>
      <c r="C426" s="220" t="n"/>
      <c r="D426" s="179">
        <f>IFERROR(C426,"")</f>
        <v/>
      </c>
      <c r="E426" s="219" t="n"/>
      <c r="F426" s="220" t="n"/>
      <c r="G426" s="221">
        <f>IF(COUNTA(A426:C426)=0,"",IF(C426&lt;0,"ERRO: matrícula negativa",IF(COUNTIFS($A$5:$A$1200,A426,$B$5:$B$1200,B426)&gt;1,"ERRO: período e curso duplicados","OK")))</f>
        <v/>
      </c>
    </row>
    <row r="427" ht="15" customHeight="1" s="131">
      <c r="A427" s="220" t="n"/>
      <c r="B427" s="222" t="n"/>
      <c r="C427" s="220" t="n"/>
      <c r="D427" s="179">
        <f>IFERROR(C427,"")</f>
        <v/>
      </c>
      <c r="E427" s="219" t="n"/>
      <c r="F427" s="220" t="n"/>
      <c r="G427" s="221">
        <f>IF(COUNTA(A427:C427)=0,"",IF(C427&lt;0,"ERRO: matrícula negativa",IF(COUNTIFS($A$5:$A$1200,A427,$B$5:$B$1200,B427)&gt;1,"ERRO: período e curso duplicados","OK")))</f>
        <v/>
      </c>
    </row>
    <row r="428" ht="15" customHeight="1" s="131">
      <c r="A428" s="220" t="n"/>
      <c r="B428" s="222" t="n"/>
      <c r="C428" s="220" t="n"/>
      <c r="D428" s="179">
        <f>IFERROR(C428,"")</f>
        <v/>
      </c>
      <c r="E428" s="219" t="n"/>
      <c r="F428" s="220" t="n"/>
      <c r="G428" s="221">
        <f>IF(COUNTA(A428:C428)=0,"",IF(C428&lt;0,"ERRO: matrícula negativa",IF(COUNTIFS($A$5:$A$1200,A428,$B$5:$B$1200,B428)&gt;1,"ERRO: período e curso duplicados","OK")))</f>
        <v/>
      </c>
    </row>
    <row r="429" ht="15" customHeight="1" s="131">
      <c r="A429" s="220" t="n"/>
      <c r="B429" s="222" t="n"/>
      <c r="C429" s="220" t="n"/>
      <c r="D429" s="179">
        <f>IFERROR(C429,"")</f>
        <v/>
      </c>
      <c r="E429" s="219" t="n"/>
      <c r="F429" s="220" t="n"/>
      <c r="G429" s="221">
        <f>IF(COUNTA(A429:C429)=0,"",IF(C429&lt;0,"ERRO: matrícula negativa",IF(COUNTIFS($A$5:$A$1200,A429,$B$5:$B$1200,B429)&gt;1,"ERRO: período e curso duplicados","OK")))</f>
        <v/>
      </c>
    </row>
    <row r="430" ht="15" customHeight="1" s="131">
      <c r="A430" s="220" t="n"/>
      <c r="B430" s="222" t="n"/>
      <c r="C430" s="220" t="n"/>
      <c r="D430" s="179">
        <f>IFERROR(C430,"")</f>
        <v/>
      </c>
      <c r="E430" s="219" t="n"/>
      <c r="F430" s="220" t="n"/>
      <c r="G430" s="221">
        <f>IF(COUNTA(A430:C430)=0,"",IF(C430&lt;0,"ERRO: matrícula negativa",IF(COUNTIFS($A$5:$A$1200,A430,$B$5:$B$1200,B430)&gt;1,"ERRO: período e curso duplicados","OK")))</f>
        <v/>
      </c>
    </row>
    <row r="431" ht="15" customHeight="1" s="131">
      <c r="A431" s="220" t="n"/>
      <c r="B431" s="222" t="n"/>
      <c r="C431" s="220" t="n"/>
      <c r="D431" s="179">
        <f>IFERROR(C431,"")</f>
        <v/>
      </c>
      <c r="E431" s="219" t="n"/>
      <c r="F431" s="220" t="n"/>
      <c r="G431" s="221">
        <f>IF(COUNTA(A431:C431)=0,"",IF(C431&lt;0,"ERRO: matrícula negativa",IF(COUNTIFS($A$5:$A$1200,A431,$B$5:$B$1200,B431)&gt;1,"ERRO: período e curso duplicados","OK")))</f>
        <v/>
      </c>
    </row>
    <row r="432" ht="15" customHeight="1" s="131">
      <c r="A432" s="220" t="n"/>
      <c r="B432" s="222" t="n"/>
      <c r="C432" s="220" t="n"/>
      <c r="D432" s="179">
        <f>IFERROR(C432,"")</f>
        <v/>
      </c>
      <c r="E432" s="219" t="n"/>
      <c r="F432" s="220" t="n"/>
      <c r="G432" s="221">
        <f>IF(COUNTA(A432:C432)=0,"",IF(C432&lt;0,"ERRO: matrícula negativa",IF(COUNTIFS($A$5:$A$1200,A432,$B$5:$B$1200,B432)&gt;1,"ERRO: período e curso duplicados","OK")))</f>
        <v/>
      </c>
    </row>
    <row r="433" ht="15" customHeight="1" s="131">
      <c r="A433" s="220" t="n"/>
      <c r="B433" s="222" t="n"/>
      <c r="C433" s="220" t="n"/>
      <c r="D433" s="179">
        <f>IFERROR(C433,"")</f>
        <v/>
      </c>
      <c r="E433" s="219" t="n"/>
      <c r="F433" s="220" t="n"/>
      <c r="G433" s="221">
        <f>IF(COUNTA(A433:C433)=0,"",IF(C433&lt;0,"ERRO: matrícula negativa",IF(COUNTIFS($A$5:$A$1200,A433,$B$5:$B$1200,B433)&gt;1,"ERRO: período e curso duplicados","OK")))</f>
        <v/>
      </c>
    </row>
    <row r="434" ht="15" customHeight="1" s="131">
      <c r="A434" s="220" t="n"/>
      <c r="B434" s="222" t="n"/>
      <c r="C434" s="220" t="n"/>
      <c r="D434" s="179">
        <f>IFERROR(C434,"")</f>
        <v/>
      </c>
      <c r="E434" s="219" t="n"/>
      <c r="F434" s="220" t="n"/>
      <c r="G434" s="221">
        <f>IF(COUNTA(A434:C434)=0,"",IF(C434&lt;0,"ERRO: matrícula negativa",IF(COUNTIFS($A$5:$A$1200,A434,$B$5:$B$1200,B434)&gt;1,"ERRO: período e curso duplicados","OK")))</f>
        <v/>
      </c>
    </row>
    <row r="435" ht="15" customHeight="1" s="131">
      <c r="A435" s="220" t="n"/>
      <c r="B435" s="222" t="n"/>
      <c r="C435" s="220" t="n"/>
      <c r="D435" s="179">
        <f>IFERROR(C435,"")</f>
        <v/>
      </c>
      <c r="E435" s="219" t="n"/>
      <c r="F435" s="220" t="n"/>
      <c r="G435" s="221">
        <f>IF(COUNTA(A435:C435)=0,"",IF(C435&lt;0,"ERRO: matrícula negativa",IF(COUNTIFS($A$5:$A$1200,A435,$B$5:$B$1200,B435)&gt;1,"ERRO: período e curso duplicados","OK")))</f>
        <v/>
      </c>
    </row>
    <row r="436" ht="15" customHeight="1" s="131">
      <c r="A436" s="220" t="n"/>
      <c r="B436" s="222" t="n"/>
      <c r="C436" s="220" t="n"/>
      <c r="D436" s="179">
        <f>IFERROR(C436,"")</f>
        <v/>
      </c>
      <c r="E436" s="219" t="n"/>
      <c r="F436" s="220" t="n"/>
      <c r="G436" s="221">
        <f>IF(COUNTA(A436:C436)=0,"",IF(C436&lt;0,"ERRO: matrícula negativa",IF(COUNTIFS($A$5:$A$1200,A436,$B$5:$B$1200,B436)&gt;1,"ERRO: período e curso duplicados","OK")))</f>
        <v/>
      </c>
    </row>
    <row r="437" ht="15" customHeight="1" s="131">
      <c r="A437" s="220" t="n"/>
      <c r="B437" s="222" t="n"/>
      <c r="C437" s="220" t="n"/>
      <c r="D437" s="179">
        <f>IFERROR(C437,"")</f>
        <v/>
      </c>
      <c r="E437" s="219" t="n"/>
      <c r="F437" s="220" t="n"/>
      <c r="G437" s="221">
        <f>IF(COUNTA(A437:C437)=0,"",IF(C437&lt;0,"ERRO: matrícula negativa",IF(COUNTIFS($A$5:$A$1200,A437,$B$5:$B$1200,B437)&gt;1,"ERRO: período e curso duplicados","OK")))</f>
        <v/>
      </c>
    </row>
    <row r="438" ht="15" customHeight="1" s="131">
      <c r="A438" s="220" t="n"/>
      <c r="B438" s="222" t="n"/>
      <c r="C438" s="220" t="n"/>
      <c r="D438" s="179">
        <f>IFERROR(C438,"")</f>
        <v/>
      </c>
      <c r="E438" s="219" t="n"/>
      <c r="F438" s="220" t="n"/>
      <c r="G438" s="221">
        <f>IF(COUNTA(A438:C438)=0,"",IF(C438&lt;0,"ERRO: matrícula negativa",IF(COUNTIFS($A$5:$A$1200,A438,$B$5:$B$1200,B438)&gt;1,"ERRO: período e curso duplicados","OK")))</f>
        <v/>
      </c>
    </row>
    <row r="439" ht="15" customHeight="1" s="131">
      <c r="A439" s="220" t="n"/>
      <c r="B439" s="222" t="n"/>
      <c r="C439" s="220" t="n"/>
      <c r="D439" s="179">
        <f>IFERROR(C439,"")</f>
        <v/>
      </c>
      <c r="E439" s="219" t="n"/>
      <c r="F439" s="220" t="n"/>
      <c r="G439" s="221">
        <f>IF(COUNTA(A439:C439)=0,"",IF(C439&lt;0,"ERRO: matrícula negativa",IF(COUNTIFS($A$5:$A$1200,A439,$B$5:$B$1200,B439)&gt;1,"ERRO: período e curso duplicados","OK")))</f>
        <v/>
      </c>
    </row>
    <row r="440" ht="15" customHeight="1" s="131">
      <c r="A440" s="220" t="n"/>
      <c r="B440" s="222" t="n"/>
      <c r="C440" s="220" t="n"/>
      <c r="D440" s="179">
        <f>IFERROR(C440,"")</f>
        <v/>
      </c>
      <c r="E440" s="219" t="n"/>
      <c r="F440" s="220" t="n"/>
      <c r="G440" s="221">
        <f>IF(COUNTA(A440:C440)=0,"",IF(C440&lt;0,"ERRO: matrícula negativa",IF(COUNTIFS($A$5:$A$1200,A440,$B$5:$B$1200,B440)&gt;1,"ERRO: período e curso duplicados","OK")))</f>
        <v/>
      </c>
    </row>
    <row r="441" ht="15" customHeight="1" s="131">
      <c r="A441" s="220" t="n"/>
      <c r="B441" s="222" t="n"/>
      <c r="C441" s="220" t="n"/>
      <c r="D441" s="179">
        <f>IFERROR(C441,"")</f>
        <v/>
      </c>
      <c r="E441" s="219" t="n"/>
      <c r="F441" s="220" t="n"/>
      <c r="G441" s="221">
        <f>IF(COUNTA(A441:C441)=0,"",IF(C441&lt;0,"ERRO: matrícula negativa",IF(COUNTIFS($A$5:$A$1200,A441,$B$5:$B$1200,B441)&gt;1,"ERRO: período e curso duplicados","OK")))</f>
        <v/>
      </c>
    </row>
    <row r="442" ht="15" customHeight="1" s="131">
      <c r="A442" s="220" t="n"/>
      <c r="B442" s="222" t="n"/>
      <c r="C442" s="220" t="n"/>
      <c r="D442" s="179">
        <f>IFERROR(C442,"")</f>
        <v/>
      </c>
      <c r="E442" s="219" t="n"/>
      <c r="F442" s="220" t="n"/>
      <c r="G442" s="221">
        <f>IF(COUNTA(A442:C442)=0,"",IF(C442&lt;0,"ERRO: matrícula negativa",IF(COUNTIFS($A$5:$A$1200,A442,$B$5:$B$1200,B442)&gt;1,"ERRO: período e curso duplicados","OK")))</f>
        <v/>
      </c>
    </row>
    <row r="443" ht="15" customHeight="1" s="131">
      <c r="A443" s="220" t="n"/>
      <c r="B443" s="222" t="n"/>
      <c r="C443" s="220" t="n"/>
      <c r="D443" s="179">
        <f>IFERROR(C443,"")</f>
        <v/>
      </c>
      <c r="E443" s="219" t="n"/>
      <c r="F443" s="220" t="n"/>
      <c r="G443" s="221">
        <f>IF(COUNTA(A443:C443)=0,"",IF(C443&lt;0,"ERRO: matrícula negativa",IF(COUNTIFS($A$5:$A$1200,A443,$B$5:$B$1200,B443)&gt;1,"ERRO: período e curso duplicados","OK")))</f>
        <v/>
      </c>
    </row>
    <row r="444" ht="15" customHeight="1" s="131">
      <c r="A444" s="220" t="n"/>
      <c r="B444" s="222" t="n"/>
      <c r="C444" s="220" t="n"/>
      <c r="D444" s="179">
        <f>IFERROR(C444,"")</f>
        <v/>
      </c>
      <c r="E444" s="219" t="n"/>
      <c r="F444" s="220" t="n"/>
      <c r="G444" s="221">
        <f>IF(COUNTA(A444:C444)=0,"",IF(C444&lt;0,"ERRO: matrícula negativa",IF(COUNTIFS($A$5:$A$1200,A444,$B$5:$B$1200,B444)&gt;1,"ERRO: período e curso duplicados","OK")))</f>
        <v/>
      </c>
    </row>
    <row r="445" ht="15" customHeight="1" s="131">
      <c r="A445" s="220" t="n"/>
      <c r="B445" s="222" t="n"/>
      <c r="C445" s="220" t="n"/>
      <c r="D445" s="179">
        <f>IFERROR(C445,"")</f>
        <v/>
      </c>
      <c r="E445" s="219" t="n"/>
      <c r="F445" s="220" t="n"/>
      <c r="G445" s="221">
        <f>IF(COUNTA(A445:C445)=0,"",IF(C445&lt;0,"ERRO: matrícula negativa",IF(COUNTIFS($A$5:$A$1200,A445,$B$5:$B$1200,B445)&gt;1,"ERRO: período e curso duplicados","OK")))</f>
        <v/>
      </c>
    </row>
    <row r="446" ht="15" customHeight="1" s="131">
      <c r="A446" s="220" t="n"/>
      <c r="B446" s="222" t="n"/>
      <c r="C446" s="220" t="n"/>
      <c r="D446" s="179">
        <f>IFERROR(C446,"")</f>
        <v/>
      </c>
      <c r="E446" s="219" t="n"/>
      <c r="F446" s="220" t="n"/>
      <c r="G446" s="221">
        <f>IF(COUNTA(A446:C446)=0,"",IF(C446&lt;0,"ERRO: matrícula negativa",IF(COUNTIFS($A$5:$A$1200,A446,$B$5:$B$1200,B446)&gt;1,"ERRO: período e curso duplicados","OK")))</f>
        <v/>
      </c>
    </row>
    <row r="447" ht="15" customHeight="1" s="131">
      <c r="A447" s="220" t="n"/>
      <c r="B447" s="222" t="n"/>
      <c r="C447" s="220" t="n"/>
      <c r="D447" s="179">
        <f>IFERROR(C447,"")</f>
        <v/>
      </c>
      <c r="E447" s="219" t="n"/>
      <c r="F447" s="220" t="n"/>
      <c r="G447" s="221">
        <f>IF(COUNTA(A447:C447)=0,"",IF(C447&lt;0,"ERRO: matrícula negativa",IF(COUNTIFS($A$5:$A$1200,A447,$B$5:$B$1200,B447)&gt;1,"ERRO: período e curso duplicados","OK")))</f>
        <v/>
      </c>
    </row>
    <row r="448" ht="15" customHeight="1" s="131">
      <c r="A448" s="220" t="n"/>
      <c r="B448" s="222" t="n"/>
      <c r="C448" s="220" t="n"/>
      <c r="D448" s="179">
        <f>IFERROR(C448,"")</f>
        <v/>
      </c>
      <c r="E448" s="219" t="n"/>
      <c r="F448" s="220" t="n"/>
      <c r="G448" s="221">
        <f>IF(COUNTA(A448:C448)=0,"",IF(C448&lt;0,"ERRO: matrícula negativa",IF(COUNTIFS($A$5:$A$1200,A448,$B$5:$B$1200,B448)&gt;1,"ERRO: período e curso duplicados","OK")))</f>
        <v/>
      </c>
    </row>
    <row r="449" ht="15" customHeight="1" s="131">
      <c r="A449" s="220" t="n"/>
      <c r="B449" s="222" t="n"/>
      <c r="C449" s="220" t="n"/>
      <c r="D449" s="179">
        <f>IFERROR(C449,"")</f>
        <v/>
      </c>
      <c r="E449" s="219" t="n"/>
      <c r="F449" s="220" t="n"/>
      <c r="G449" s="221">
        <f>IF(COUNTA(A449:C449)=0,"",IF(C449&lt;0,"ERRO: matrícula negativa",IF(COUNTIFS($A$5:$A$1200,A449,$B$5:$B$1200,B449)&gt;1,"ERRO: período e curso duplicados","OK")))</f>
        <v/>
      </c>
    </row>
    <row r="450" ht="15" customHeight="1" s="131">
      <c r="A450" s="220" t="n"/>
      <c r="B450" s="222" t="n"/>
      <c r="C450" s="220" t="n"/>
      <c r="D450" s="179">
        <f>IFERROR(C450,"")</f>
        <v/>
      </c>
      <c r="E450" s="219" t="n"/>
      <c r="F450" s="220" t="n"/>
      <c r="G450" s="221">
        <f>IF(COUNTA(A450:C450)=0,"",IF(C450&lt;0,"ERRO: matrícula negativa",IF(COUNTIFS($A$5:$A$1200,A450,$B$5:$B$1200,B450)&gt;1,"ERRO: período e curso duplicados","OK")))</f>
        <v/>
      </c>
    </row>
    <row r="451" ht="15" customHeight="1" s="131">
      <c r="A451" s="220" t="n"/>
      <c r="B451" s="222" t="n"/>
      <c r="C451" s="220" t="n"/>
      <c r="D451" s="179">
        <f>IFERROR(C451,"")</f>
        <v/>
      </c>
      <c r="E451" s="219" t="n"/>
      <c r="F451" s="220" t="n"/>
      <c r="G451" s="221">
        <f>IF(COUNTA(A451:C451)=0,"",IF(C451&lt;0,"ERRO: matrícula negativa",IF(COUNTIFS($A$5:$A$1200,A451,$B$5:$B$1200,B451)&gt;1,"ERRO: período e curso duplicados","OK")))</f>
        <v/>
      </c>
    </row>
    <row r="452" ht="15" customHeight="1" s="131">
      <c r="A452" s="220" t="n"/>
      <c r="B452" s="222" t="n"/>
      <c r="C452" s="220" t="n"/>
      <c r="D452" s="179">
        <f>IFERROR(C452,"")</f>
        <v/>
      </c>
      <c r="E452" s="219" t="n"/>
      <c r="F452" s="220" t="n"/>
      <c r="G452" s="221">
        <f>IF(COUNTA(A452:C452)=0,"",IF(C452&lt;0,"ERRO: matrícula negativa",IF(COUNTIFS($A$5:$A$1200,A452,$B$5:$B$1200,B452)&gt;1,"ERRO: período e curso duplicados","OK")))</f>
        <v/>
      </c>
    </row>
    <row r="453" ht="15" customHeight="1" s="131">
      <c r="A453" s="220" t="n"/>
      <c r="B453" s="222" t="n"/>
      <c r="C453" s="220" t="n"/>
      <c r="D453" s="179">
        <f>IFERROR(C453,"")</f>
        <v/>
      </c>
      <c r="E453" s="219" t="n"/>
      <c r="F453" s="220" t="n"/>
      <c r="G453" s="221">
        <f>IF(COUNTA(A453:C453)=0,"",IF(C453&lt;0,"ERRO: matrícula negativa",IF(COUNTIFS($A$5:$A$1200,A453,$B$5:$B$1200,B453)&gt;1,"ERRO: período e curso duplicados","OK")))</f>
        <v/>
      </c>
    </row>
    <row r="454" ht="15" customHeight="1" s="131">
      <c r="A454" s="220" t="n"/>
      <c r="B454" s="222" t="n"/>
      <c r="C454" s="220" t="n"/>
      <c r="D454" s="179">
        <f>IFERROR(C454,"")</f>
        <v/>
      </c>
      <c r="E454" s="219" t="n"/>
      <c r="F454" s="220" t="n"/>
      <c r="G454" s="221">
        <f>IF(COUNTA(A454:C454)=0,"",IF(C454&lt;0,"ERRO: matrícula negativa",IF(COUNTIFS($A$5:$A$1200,A454,$B$5:$B$1200,B454)&gt;1,"ERRO: período e curso duplicados","OK")))</f>
        <v/>
      </c>
    </row>
    <row r="455" ht="15" customHeight="1" s="131">
      <c r="A455" s="220" t="n"/>
      <c r="B455" s="222" t="n"/>
      <c r="C455" s="220" t="n"/>
      <c r="D455" s="179">
        <f>IFERROR(C455,"")</f>
        <v/>
      </c>
      <c r="E455" s="219" t="n"/>
      <c r="F455" s="220" t="n"/>
      <c r="G455" s="221">
        <f>IF(COUNTA(A455:C455)=0,"",IF(C455&lt;0,"ERRO: matrícula negativa",IF(COUNTIFS($A$5:$A$1200,A455,$B$5:$B$1200,B455)&gt;1,"ERRO: período e curso duplicados","OK")))</f>
        <v/>
      </c>
    </row>
    <row r="456" ht="15" customHeight="1" s="131">
      <c r="A456" s="220" t="n"/>
      <c r="B456" s="222" t="n"/>
      <c r="C456" s="220" t="n"/>
      <c r="D456" s="179">
        <f>IFERROR(C456,"")</f>
        <v/>
      </c>
      <c r="E456" s="219" t="n"/>
      <c r="F456" s="220" t="n"/>
      <c r="G456" s="221">
        <f>IF(COUNTA(A456:C456)=0,"",IF(C456&lt;0,"ERRO: matrícula negativa",IF(COUNTIFS($A$5:$A$1200,A456,$B$5:$B$1200,B456)&gt;1,"ERRO: período e curso duplicados","OK")))</f>
        <v/>
      </c>
    </row>
    <row r="457" ht="15" customHeight="1" s="131">
      <c r="A457" s="220" t="n"/>
      <c r="B457" s="222" t="n"/>
      <c r="C457" s="220" t="n"/>
      <c r="D457" s="179">
        <f>IFERROR(C457,"")</f>
        <v/>
      </c>
      <c r="E457" s="219" t="n"/>
      <c r="F457" s="220" t="n"/>
      <c r="G457" s="221">
        <f>IF(COUNTA(A457:C457)=0,"",IF(C457&lt;0,"ERRO: matrícula negativa",IF(COUNTIFS($A$5:$A$1200,A457,$B$5:$B$1200,B457)&gt;1,"ERRO: período e curso duplicados","OK")))</f>
        <v/>
      </c>
    </row>
    <row r="458" ht="15" customHeight="1" s="131">
      <c r="A458" s="220" t="n"/>
      <c r="B458" s="222" t="n"/>
      <c r="C458" s="220" t="n"/>
      <c r="D458" s="179">
        <f>IFERROR(C458,"")</f>
        <v/>
      </c>
      <c r="E458" s="219" t="n"/>
      <c r="F458" s="220" t="n"/>
      <c r="G458" s="221">
        <f>IF(COUNTA(A458:C458)=0,"",IF(C458&lt;0,"ERRO: matrícula negativa",IF(COUNTIFS($A$5:$A$1200,A458,$B$5:$B$1200,B458)&gt;1,"ERRO: período e curso duplicados","OK")))</f>
        <v/>
      </c>
    </row>
    <row r="459" ht="15" customHeight="1" s="131">
      <c r="A459" s="220" t="n"/>
      <c r="B459" s="222" t="n"/>
      <c r="C459" s="220" t="n"/>
      <c r="D459" s="179">
        <f>IFERROR(C459,"")</f>
        <v/>
      </c>
      <c r="E459" s="219" t="n"/>
      <c r="F459" s="220" t="n"/>
      <c r="G459" s="221">
        <f>IF(COUNTA(A459:C459)=0,"",IF(C459&lt;0,"ERRO: matrícula negativa",IF(COUNTIFS($A$5:$A$1200,A459,$B$5:$B$1200,B459)&gt;1,"ERRO: período e curso duplicados","OK")))</f>
        <v/>
      </c>
    </row>
    <row r="460" ht="15" customHeight="1" s="131">
      <c r="A460" s="220" t="n"/>
      <c r="B460" s="222" t="n"/>
      <c r="C460" s="220" t="n"/>
      <c r="D460" s="179">
        <f>IFERROR(C460,"")</f>
        <v/>
      </c>
      <c r="E460" s="219" t="n"/>
      <c r="F460" s="220" t="n"/>
      <c r="G460" s="221">
        <f>IF(COUNTA(A460:C460)=0,"",IF(C460&lt;0,"ERRO: matrícula negativa",IF(COUNTIFS($A$5:$A$1200,A460,$B$5:$B$1200,B460)&gt;1,"ERRO: período e curso duplicados","OK")))</f>
        <v/>
      </c>
    </row>
    <row r="461" ht="15" customHeight="1" s="131">
      <c r="A461" s="220" t="n"/>
      <c r="B461" s="222" t="n"/>
      <c r="C461" s="220" t="n"/>
      <c r="D461" s="179">
        <f>IFERROR(C461,"")</f>
        <v/>
      </c>
      <c r="E461" s="219" t="n"/>
      <c r="F461" s="220" t="n"/>
      <c r="G461" s="221">
        <f>IF(COUNTA(A461:C461)=0,"",IF(C461&lt;0,"ERRO: matrícula negativa",IF(COUNTIFS($A$5:$A$1200,A461,$B$5:$B$1200,B461)&gt;1,"ERRO: período e curso duplicados","OK")))</f>
        <v/>
      </c>
    </row>
    <row r="462" ht="15" customHeight="1" s="131">
      <c r="A462" s="220" t="n"/>
      <c r="B462" s="222" t="n"/>
      <c r="C462" s="220" t="n"/>
      <c r="D462" s="179">
        <f>IFERROR(C462,"")</f>
        <v/>
      </c>
      <c r="E462" s="219" t="n"/>
      <c r="F462" s="220" t="n"/>
      <c r="G462" s="221">
        <f>IF(COUNTA(A462:C462)=0,"",IF(C462&lt;0,"ERRO: matrícula negativa",IF(COUNTIFS($A$5:$A$1200,A462,$B$5:$B$1200,B462)&gt;1,"ERRO: período e curso duplicados","OK")))</f>
        <v/>
      </c>
    </row>
    <row r="463" ht="15" customHeight="1" s="131">
      <c r="A463" s="220" t="n"/>
      <c r="B463" s="222" t="n"/>
      <c r="C463" s="220" t="n"/>
      <c r="D463" s="179">
        <f>IFERROR(C463,"")</f>
        <v/>
      </c>
      <c r="E463" s="219" t="n"/>
      <c r="F463" s="220" t="n"/>
      <c r="G463" s="221">
        <f>IF(COUNTA(A463:C463)=0,"",IF(C463&lt;0,"ERRO: matrícula negativa",IF(COUNTIFS($A$5:$A$1200,A463,$B$5:$B$1200,B463)&gt;1,"ERRO: período e curso duplicados","OK")))</f>
        <v/>
      </c>
    </row>
    <row r="464" ht="15" customHeight="1" s="131">
      <c r="A464" s="220" t="n"/>
      <c r="B464" s="222" t="n"/>
      <c r="C464" s="220" t="n"/>
      <c r="D464" s="179">
        <f>IFERROR(C464,"")</f>
        <v/>
      </c>
      <c r="E464" s="219" t="n"/>
      <c r="F464" s="220" t="n"/>
      <c r="G464" s="221">
        <f>IF(COUNTA(A464:C464)=0,"",IF(C464&lt;0,"ERRO: matrícula negativa",IF(COUNTIFS($A$5:$A$1200,A464,$B$5:$B$1200,B464)&gt;1,"ERRO: período e curso duplicados","OK")))</f>
        <v/>
      </c>
    </row>
    <row r="465" ht="15" customHeight="1" s="131">
      <c r="A465" s="220" t="n"/>
      <c r="B465" s="222" t="n"/>
      <c r="C465" s="220" t="n"/>
      <c r="D465" s="179">
        <f>IFERROR(C465,"")</f>
        <v/>
      </c>
      <c r="E465" s="219" t="n"/>
      <c r="F465" s="220" t="n"/>
      <c r="G465" s="221">
        <f>IF(COUNTA(A465:C465)=0,"",IF(C465&lt;0,"ERRO: matrícula negativa",IF(COUNTIFS($A$5:$A$1200,A465,$B$5:$B$1200,B465)&gt;1,"ERRO: período e curso duplicados","OK")))</f>
        <v/>
      </c>
    </row>
    <row r="466" ht="15" customHeight="1" s="131">
      <c r="A466" s="220" t="n"/>
      <c r="B466" s="222" t="n"/>
      <c r="C466" s="220" t="n"/>
      <c r="D466" s="179">
        <f>IFERROR(C466,"")</f>
        <v/>
      </c>
      <c r="E466" s="219" t="n"/>
      <c r="F466" s="220" t="n"/>
      <c r="G466" s="221">
        <f>IF(COUNTA(A466:C466)=0,"",IF(C466&lt;0,"ERRO: matrícula negativa",IF(COUNTIFS($A$5:$A$1200,A466,$B$5:$B$1200,B466)&gt;1,"ERRO: período e curso duplicados","OK")))</f>
        <v/>
      </c>
    </row>
    <row r="467" ht="15" customHeight="1" s="131">
      <c r="A467" s="220" t="n"/>
      <c r="B467" s="222" t="n"/>
      <c r="C467" s="220" t="n"/>
      <c r="D467" s="179">
        <f>IFERROR(C467,"")</f>
        <v/>
      </c>
      <c r="E467" s="219" t="n"/>
      <c r="F467" s="220" t="n"/>
      <c r="G467" s="221">
        <f>IF(COUNTA(A467:C467)=0,"",IF(C467&lt;0,"ERRO: matrícula negativa",IF(COUNTIFS($A$5:$A$1200,A467,$B$5:$B$1200,B467)&gt;1,"ERRO: período e curso duplicados","OK")))</f>
        <v/>
      </c>
    </row>
    <row r="468" ht="15" customHeight="1" s="131">
      <c r="A468" s="220" t="n"/>
      <c r="B468" s="222" t="n"/>
      <c r="C468" s="220" t="n"/>
      <c r="D468" s="179">
        <f>IFERROR(C468,"")</f>
        <v/>
      </c>
      <c r="E468" s="219" t="n"/>
      <c r="F468" s="220" t="n"/>
      <c r="G468" s="221">
        <f>IF(COUNTA(A468:C468)=0,"",IF(C468&lt;0,"ERRO: matrícula negativa",IF(COUNTIFS($A$5:$A$1200,A468,$B$5:$B$1200,B468)&gt;1,"ERRO: período e curso duplicados","OK")))</f>
        <v/>
      </c>
    </row>
    <row r="469" ht="15" customHeight="1" s="131">
      <c r="A469" s="220" t="n"/>
      <c r="B469" s="222" t="n"/>
      <c r="C469" s="220" t="n"/>
      <c r="D469" s="179">
        <f>IFERROR(C469,"")</f>
        <v/>
      </c>
      <c r="E469" s="219" t="n"/>
      <c r="F469" s="220" t="n"/>
      <c r="G469" s="221">
        <f>IF(COUNTA(A469:C469)=0,"",IF(C469&lt;0,"ERRO: matrícula negativa",IF(COUNTIFS($A$5:$A$1200,A469,$B$5:$B$1200,B469)&gt;1,"ERRO: período e curso duplicados","OK")))</f>
        <v/>
      </c>
    </row>
    <row r="470" ht="15" customHeight="1" s="131">
      <c r="A470" s="220" t="n"/>
      <c r="B470" s="222" t="n"/>
      <c r="C470" s="220" t="n"/>
      <c r="D470" s="179">
        <f>IFERROR(C470,"")</f>
        <v/>
      </c>
      <c r="E470" s="219" t="n"/>
      <c r="F470" s="220" t="n"/>
      <c r="G470" s="221">
        <f>IF(COUNTA(A470:C470)=0,"",IF(C470&lt;0,"ERRO: matrícula negativa",IF(COUNTIFS($A$5:$A$1200,A470,$B$5:$B$1200,B470)&gt;1,"ERRO: período e curso duplicados","OK")))</f>
        <v/>
      </c>
    </row>
    <row r="471" ht="15" customHeight="1" s="131">
      <c r="A471" s="220" t="n"/>
      <c r="B471" s="222" t="n"/>
      <c r="C471" s="220" t="n"/>
      <c r="D471" s="179">
        <f>IFERROR(C471,"")</f>
        <v/>
      </c>
      <c r="E471" s="219" t="n"/>
      <c r="F471" s="220" t="n"/>
      <c r="G471" s="221">
        <f>IF(COUNTA(A471:C471)=0,"",IF(C471&lt;0,"ERRO: matrícula negativa",IF(COUNTIFS($A$5:$A$1200,A471,$B$5:$B$1200,B471)&gt;1,"ERRO: período e curso duplicados","OK")))</f>
        <v/>
      </c>
    </row>
    <row r="472" ht="15" customHeight="1" s="131">
      <c r="A472" s="220" t="n"/>
      <c r="B472" s="222" t="n"/>
      <c r="C472" s="220" t="n"/>
      <c r="D472" s="179">
        <f>IFERROR(C472,"")</f>
        <v/>
      </c>
      <c r="E472" s="219" t="n"/>
      <c r="F472" s="220" t="n"/>
      <c r="G472" s="221">
        <f>IF(COUNTA(A472:C472)=0,"",IF(C472&lt;0,"ERRO: matrícula negativa",IF(COUNTIFS($A$5:$A$1200,A472,$B$5:$B$1200,B472)&gt;1,"ERRO: período e curso duplicados","OK")))</f>
        <v/>
      </c>
    </row>
    <row r="473" ht="15" customHeight="1" s="131">
      <c r="A473" s="220" t="n"/>
      <c r="B473" s="222" t="n"/>
      <c r="C473" s="220" t="n"/>
      <c r="D473" s="179">
        <f>IFERROR(C473,"")</f>
        <v/>
      </c>
      <c r="E473" s="219" t="n"/>
      <c r="F473" s="220" t="n"/>
      <c r="G473" s="221">
        <f>IF(COUNTA(A473:C473)=0,"",IF(C473&lt;0,"ERRO: matrícula negativa",IF(COUNTIFS($A$5:$A$1200,A473,$B$5:$B$1200,B473)&gt;1,"ERRO: período e curso duplicados","OK")))</f>
        <v/>
      </c>
    </row>
    <row r="474" ht="15" customHeight="1" s="131">
      <c r="A474" s="220" t="n"/>
      <c r="B474" s="222" t="n"/>
      <c r="C474" s="220" t="n"/>
      <c r="D474" s="179">
        <f>IFERROR(C474,"")</f>
        <v/>
      </c>
      <c r="E474" s="219" t="n"/>
      <c r="F474" s="220" t="n"/>
      <c r="G474" s="221">
        <f>IF(COUNTA(A474:C474)=0,"",IF(C474&lt;0,"ERRO: matrícula negativa",IF(COUNTIFS($A$5:$A$1200,A474,$B$5:$B$1200,B474)&gt;1,"ERRO: período e curso duplicados","OK")))</f>
        <v/>
      </c>
    </row>
    <row r="475" ht="15" customHeight="1" s="131">
      <c r="A475" s="220" t="n"/>
      <c r="B475" s="222" t="n"/>
      <c r="C475" s="220" t="n"/>
      <c r="D475" s="179">
        <f>IFERROR(C475,"")</f>
        <v/>
      </c>
      <c r="E475" s="219" t="n"/>
      <c r="F475" s="220" t="n"/>
      <c r="G475" s="221">
        <f>IF(COUNTA(A475:C475)=0,"",IF(C475&lt;0,"ERRO: matrícula negativa",IF(COUNTIFS($A$5:$A$1200,A475,$B$5:$B$1200,B475)&gt;1,"ERRO: período e curso duplicados","OK")))</f>
        <v/>
      </c>
    </row>
    <row r="476" ht="15" customHeight="1" s="131">
      <c r="A476" s="220" t="n"/>
      <c r="B476" s="222" t="n"/>
      <c r="C476" s="220" t="n"/>
      <c r="D476" s="179">
        <f>IFERROR(C476,"")</f>
        <v/>
      </c>
      <c r="E476" s="219" t="n"/>
      <c r="F476" s="220" t="n"/>
      <c r="G476" s="221">
        <f>IF(COUNTA(A476:C476)=0,"",IF(C476&lt;0,"ERRO: matrícula negativa",IF(COUNTIFS($A$5:$A$1200,A476,$B$5:$B$1200,B476)&gt;1,"ERRO: período e curso duplicados","OK")))</f>
        <v/>
      </c>
    </row>
    <row r="477" ht="15" customHeight="1" s="131">
      <c r="A477" s="220" t="n"/>
      <c r="B477" s="222" t="n"/>
      <c r="C477" s="220" t="n"/>
      <c r="D477" s="179">
        <f>IFERROR(C477,"")</f>
        <v/>
      </c>
      <c r="E477" s="219" t="n"/>
      <c r="F477" s="220" t="n"/>
      <c r="G477" s="221">
        <f>IF(COUNTA(A477:C477)=0,"",IF(C477&lt;0,"ERRO: matrícula negativa",IF(COUNTIFS($A$5:$A$1200,A477,$B$5:$B$1200,B477)&gt;1,"ERRO: período e curso duplicados","OK")))</f>
        <v/>
      </c>
    </row>
    <row r="478" ht="15" customHeight="1" s="131">
      <c r="A478" s="220" t="n"/>
      <c r="B478" s="222" t="n"/>
      <c r="C478" s="220" t="n"/>
      <c r="D478" s="179">
        <f>IFERROR(C478,"")</f>
        <v/>
      </c>
      <c r="E478" s="219" t="n"/>
      <c r="F478" s="220" t="n"/>
      <c r="G478" s="221">
        <f>IF(COUNTA(A478:C478)=0,"",IF(C478&lt;0,"ERRO: matrícula negativa",IF(COUNTIFS($A$5:$A$1200,A478,$B$5:$B$1200,B478)&gt;1,"ERRO: período e curso duplicados","OK")))</f>
        <v/>
      </c>
    </row>
    <row r="479" ht="15" customHeight="1" s="131">
      <c r="A479" s="220" t="n"/>
      <c r="B479" s="222" t="n"/>
      <c r="C479" s="220" t="n"/>
      <c r="D479" s="179">
        <f>IFERROR(C479,"")</f>
        <v/>
      </c>
      <c r="E479" s="219" t="n"/>
      <c r="F479" s="220" t="n"/>
      <c r="G479" s="221">
        <f>IF(COUNTA(A479:C479)=0,"",IF(C479&lt;0,"ERRO: matrícula negativa",IF(COUNTIFS($A$5:$A$1200,A479,$B$5:$B$1200,B479)&gt;1,"ERRO: período e curso duplicados","OK")))</f>
        <v/>
      </c>
    </row>
    <row r="480" ht="15" customHeight="1" s="131">
      <c r="A480" s="220" t="n"/>
      <c r="B480" s="222" t="n"/>
      <c r="C480" s="220" t="n"/>
      <c r="D480" s="179">
        <f>IFERROR(C480,"")</f>
        <v/>
      </c>
      <c r="E480" s="219" t="n"/>
      <c r="F480" s="220" t="n"/>
      <c r="G480" s="221">
        <f>IF(COUNTA(A480:C480)=0,"",IF(C480&lt;0,"ERRO: matrícula negativa",IF(COUNTIFS($A$5:$A$1200,A480,$B$5:$B$1200,B480)&gt;1,"ERRO: período e curso duplicados","OK")))</f>
        <v/>
      </c>
    </row>
    <row r="481" ht="15" customHeight="1" s="131">
      <c r="A481" s="220" t="n"/>
      <c r="B481" s="222" t="n"/>
      <c r="C481" s="220" t="n"/>
      <c r="D481" s="179">
        <f>IFERROR(C481,"")</f>
        <v/>
      </c>
      <c r="E481" s="219" t="n"/>
      <c r="F481" s="220" t="n"/>
      <c r="G481" s="221">
        <f>IF(COUNTA(A481:C481)=0,"",IF(C481&lt;0,"ERRO: matrícula negativa",IF(COUNTIFS($A$5:$A$1200,A481,$B$5:$B$1200,B481)&gt;1,"ERRO: período e curso duplicados","OK")))</f>
        <v/>
      </c>
    </row>
    <row r="482" ht="15" customHeight="1" s="131">
      <c r="A482" s="220" t="n"/>
      <c r="B482" s="222" t="n"/>
      <c r="C482" s="220" t="n"/>
      <c r="D482" s="179">
        <f>IFERROR(C482,"")</f>
        <v/>
      </c>
      <c r="E482" s="219" t="n"/>
      <c r="F482" s="220" t="n"/>
      <c r="G482" s="221">
        <f>IF(COUNTA(A482:C482)=0,"",IF(C482&lt;0,"ERRO: matrícula negativa",IF(COUNTIFS($A$5:$A$1200,A482,$B$5:$B$1200,B482)&gt;1,"ERRO: período e curso duplicados","OK")))</f>
        <v/>
      </c>
    </row>
    <row r="483" ht="15" customHeight="1" s="131">
      <c r="A483" s="220" t="n"/>
      <c r="B483" s="222" t="n"/>
      <c r="C483" s="220" t="n"/>
      <c r="D483" s="179">
        <f>IFERROR(C483,"")</f>
        <v/>
      </c>
      <c r="E483" s="219" t="n"/>
      <c r="F483" s="220" t="n"/>
      <c r="G483" s="221">
        <f>IF(COUNTA(A483:C483)=0,"",IF(C483&lt;0,"ERRO: matrícula negativa",IF(COUNTIFS($A$5:$A$1200,A483,$B$5:$B$1200,B483)&gt;1,"ERRO: período e curso duplicados","OK")))</f>
        <v/>
      </c>
    </row>
    <row r="484" ht="15" customHeight="1" s="131">
      <c r="A484" s="220" t="n"/>
      <c r="B484" s="222" t="n"/>
      <c r="C484" s="220" t="n"/>
      <c r="D484" s="179">
        <f>IFERROR(C484,"")</f>
        <v/>
      </c>
      <c r="E484" s="219" t="n"/>
      <c r="F484" s="220" t="n"/>
      <c r="G484" s="221">
        <f>IF(COUNTA(A484:C484)=0,"",IF(C484&lt;0,"ERRO: matrícula negativa",IF(COUNTIFS($A$5:$A$1200,A484,$B$5:$B$1200,B484)&gt;1,"ERRO: período e curso duplicados","OK")))</f>
        <v/>
      </c>
    </row>
    <row r="485" ht="15" customHeight="1" s="131">
      <c r="A485" s="220" t="n"/>
      <c r="B485" s="222" t="n"/>
      <c r="C485" s="220" t="n"/>
      <c r="D485" s="179">
        <f>IFERROR(C485,"")</f>
        <v/>
      </c>
      <c r="E485" s="219" t="n"/>
      <c r="F485" s="220" t="n"/>
      <c r="G485" s="221">
        <f>IF(COUNTA(A485:C485)=0,"",IF(C485&lt;0,"ERRO: matrícula negativa",IF(COUNTIFS($A$5:$A$1200,A485,$B$5:$B$1200,B485)&gt;1,"ERRO: período e curso duplicados","OK")))</f>
        <v/>
      </c>
    </row>
    <row r="486" ht="15" customHeight="1" s="131">
      <c r="A486" s="220" t="n"/>
      <c r="B486" s="222" t="n"/>
      <c r="C486" s="220" t="n"/>
      <c r="D486" s="179">
        <f>IFERROR(C486,"")</f>
        <v/>
      </c>
      <c r="E486" s="219" t="n"/>
      <c r="F486" s="220" t="n"/>
      <c r="G486" s="221">
        <f>IF(COUNTA(A486:C486)=0,"",IF(C486&lt;0,"ERRO: matrícula negativa",IF(COUNTIFS($A$5:$A$1200,A486,$B$5:$B$1200,B486)&gt;1,"ERRO: período e curso duplicados","OK")))</f>
        <v/>
      </c>
    </row>
    <row r="487" ht="15" customHeight="1" s="131">
      <c r="A487" s="220" t="n"/>
      <c r="B487" s="222" t="n"/>
      <c r="C487" s="220" t="n"/>
      <c r="D487" s="179">
        <f>IFERROR(C487,"")</f>
        <v/>
      </c>
      <c r="E487" s="219" t="n"/>
      <c r="F487" s="220" t="n"/>
      <c r="G487" s="221">
        <f>IF(COUNTA(A487:C487)=0,"",IF(C487&lt;0,"ERRO: matrícula negativa",IF(COUNTIFS($A$5:$A$1200,A487,$B$5:$B$1200,B487)&gt;1,"ERRO: período e curso duplicados","OK")))</f>
        <v/>
      </c>
    </row>
    <row r="488" ht="15" customHeight="1" s="131">
      <c r="A488" s="220" t="n"/>
      <c r="B488" s="222" t="n"/>
      <c r="C488" s="220" t="n"/>
      <c r="D488" s="179">
        <f>IFERROR(C488,"")</f>
        <v/>
      </c>
      <c r="E488" s="219" t="n"/>
      <c r="F488" s="220" t="n"/>
      <c r="G488" s="221">
        <f>IF(COUNTA(A488:C488)=0,"",IF(C488&lt;0,"ERRO: matrícula negativa",IF(COUNTIFS($A$5:$A$1200,A488,$B$5:$B$1200,B488)&gt;1,"ERRO: período e curso duplicados","OK")))</f>
        <v/>
      </c>
    </row>
    <row r="489" ht="15" customHeight="1" s="131">
      <c r="A489" s="220" t="n"/>
      <c r="B489" s="222" t="n"/>
      <c r="C489" s="220" t="n"/>
      <c r="D489" s="179">
        <f>IFERROR(C489,"")</f>
        <v/>
      </c>
      <c r="E489" s="219" t="n"/>
      <c r="F489" s="220" t="n"/>
      <c r="G489" s="221">
        <f>IF(COUNTA(A489:C489)=0,"",IF(C489&lt;0,"ERRO: matrícula negativa",IF(COUNTIFS($A$5:$A$1200,A489,$B$5:$B$1200,B489)&gt;1,"ERRO: período e curso duplicados","OK")))</f>
        <v/>
      </c>
    </row>
    <row r="490" ht="15" customHeight="1" s="131">
      <c r="A490" s="220" t="n"/>
      <c r="B490" s="222" t="n"/>
      <c r="C490" s="220" t="n"/>
      <c r="D490" s="179">
        <f>IFERROR(C490,"")</f>
        <v/>
      </c>
      <c r="E490" s="219" t="n"/>
      <c r="F490" s="220" t="n"/>
      <c r="G490" s="221">
        <f>IF(COUNTA(A490:C490)=0,"",IF(C490&lt;0,"ERRO: matrícula negativa",IF(COUNTIFS($A$5:$A$1200,A490,$B$5:$B$1200,B490)&gt;1,"ERRO: período e curso duplicados","OK")))</f>
        <v/>
      </c>
    </row>
    <row r="491" ht="15" customHeight="1" s="131">
      <c r="A491" s="220" t="n"/>
      <c r="B491" s="222" t="n"/>
      <c r="C491" s="220" t="n"/>
      <c r="D491" s="179">
        <f>IFERROR(C491,"")</f>
        <v/>
      </c>
      <c r="E491" s="219" t="n"/>
      <c r="F491" s="220" t="n"/>
      <c r="G491" s="221">
        <f>IF(COUNTA(A491:C491)=0,"",IF(C491&lt;0,"ERRO: matrícula negativa",IF(COUNTIFS($A$5:$A$1200,A491,$B$5:$B$1200,B491)&gt;1,"ERRO: período e curso duplicados","OK")))</f>
        <v/>
      </c>
    </row>
    <row r="492" ht="15" customHeight="1" s="131">
      <c r="A492" s="220" t="n"/>
      <c r="B492" s="222" t="n"/>
      <c r="C492" s="220" t="n"/>
      <c r="D492" s="179">
        <f>IFERROR(C492,"")</f>
        <v/>
      </c>
      <c r="E492" s="219" t="n"/>
      <c r="F492" s="220" t="n"/>
      <c r="G492" s="221">
        <f>IF(COUNTA(A492:C492)=0,"",IF(C492&lt;0,"ERRO: matrícula negativa",IF(COUNTIFS($A$5:$A$1200,A492,$B$5:$B$1200,B492)&gt;1,"ERRO: período e curso duplicados","OK")))</f>
        <v/>
      </c>
    </row>
    <row r="493" ht="15" customHeight="1" s="131">
      <c r="A493" s="220" t="n"/>
      <c r="B493" s="222" t="n"/>
      <c r="C493" s="220" t="n"/>
      <c r="D493" s="179">
        <f>IFERROR(C493,"")</f>
        <v/>
      </c>
      <c r="E493" s="219" t="n"/>
      <c r="F493" s="220" t="n"/>
      <c r="G493" s="221">
        <f>IF(COUNTA(A493:C493)=0,"",IF(C493&lt;0,"ERRO: matrícula negativa",IF(COUNTIFS($A$5:$A$1200,A493,$B$5:$B$1200,B493)&gt;1,"ERRO: período e curso duplicados","OK")))</f>
        <v/>
      </c>
    </row>
    <row r="494" ht="15" customHeight="1" s="131">
      <c r="A494" s="220" t="n"/>
      <c r="B494" s="222" t="n"/>
      <c r="C494" s="220" t="n"/>
      <c r="D494" s="179">
        <f>IFERROR(C494,"")</f>
        <v/>
      </c>
      <c r="E494" s="219" t="n"/>
      <c r="F494" s="220" t="n"/>
      <c r="G494" s="221">
        <f>IF(COUNTA(A494:C494)=0,"",IF(C494&lt;0,"ERRO: matrícula negativa",IF(COUNTIFS($A$5:$A$1200,A494,$B$5:$B$1200,B494)&gt;1,"ERRO: período e curso duplicados","OK")))</f>
        <v/>
      </c>
    </row>
    <row r="495" ht="15" customHeight="1" s="131">
      <c r="A495" s="220" t="n"/>
      <c r="B495" s="222" t="n"/>
      <c r="C495" s="220" t="n"/>
      <c r="D495" s="179">
        <f>IFERROR(C495,"")</f>
        <v/>
      </c>
      <c r="E495" s="219" t="n"/>
      <c r="F495" s="220" t="n"/>
      <c r="G495" s="221">
        <f>IF(COUNTA(A495:C495)=0,"",IF(C495&lt;0,"ERRO: matrícula negativa",IF(COUNTIFS($A$5:$A$1200,A495,$B$5:$B$1200,B495)&gt;1,"ERRO: período e curso duplicados","OK")))</f>
        <v/>
      </c>
    </row>
    <row r="496" ht="15" customHeight="1" s="131">
      <c r="A496" s="220" t="n"/>
      <c r="B496" s="222" t="n"/>
      <c r="C496" s="220" t="n"/>
      <c r="D496" s="179">
        <f>IFERROR(C496,"")</f>
        <v/>
      </c>
      <c r="E496" s="219" t="n"/>
      <c r="F496" s="220" t="n"/>
      <c r="G496" s="221">
        <f>IF(COUNTA(A496:C496)=0,"",IF(C496&lt;0,"ERRO: matrícula negativa",IF(COUNTIFS($A$5:$A$1200,A496,$B$5:$B$1200,B496)&gt;1,"ERRO: período e curso duplicados","OK")))</f>
        <v/>
      </c>
    </row>
    <row r="497" ht="15" customHeight="1" s="131">
      <c r="A497" s="220" t="n"/>
      <c r="B497" s="222" t="n"/>
      <c r="C497" s="220" t="n"/>
      <c r="D497" s="179">
        <f>IFERROR(C497,"")</f>
        <v/>
      </c>
      <c r="E497" s="219" t="n"/>
      <c r="F497" s="220" t="n"/>
      <c r="G497" s="221">
        <f>IF(COUNTA(A497:C497)=0,"",IF(C497&lt;0,"ERRO: matrícula negativa",IF(COUNTIFS($A$5:$A$1200,A497,$B$5:$B$1200,B497)&gt;1,"ERRO: período e curso duplicados","OK")))</f>
        <v/>
      </c>
    </row>
    <row r="498" ht="15" customHeight="1" s="131">
      <c r="A498" s="220" t="n"/>
      <c r="B498" s="222" t="n"/>
      <c r="C498" s="220" t="n"/>
      <c r="D498" s="179">
        <f>IFERROR(C498,"")</f>
        <v/>
      </c>
      <c r="E498" s="219" t="n"/>
      <c r="F498" s="220" t="n"/>
      <c r="G498" s="221">
        <f>IF(COUNTA(A498:C498)=0,"",IF(C498&lt;0,"ERRO: matrícula negativa",IF(COUNTIFS($A$5:$A$1200,A498,$B$5:$B$1200,B498)&gt;1,"ERRO: período e curso duplicados","OK")))</f>
        <v/>
      </c>
    </row>
    <row r="499" ht="15" customHeight="1" s="131">
      <c r="A499" s="220" t="n"/>
      <c r="B499" s="222" t="n"/>
      <c r="C499" s="220" t="n"/>
      <c r="D499" s="179">
        <f>IFERROR(C499,"")</f>
        <v/>
      </c>
      <c r="E499" s="219" t="n"/>
      <c r="F499" s="220" t="n"/>
      <c r="G499" s="221">
        <f>IF(COUNTA(A499:C499)=0,"",IF(C499&lt;0,"ERRO: matrícula negativa",IF(COUNTIFS($A$5:$A$1200,A499,$B$5:$B$1200,B499)&gt;1,"ERRO: período e curso duplicados","OK")))</f>
        <v/>
      </c>
    </row>
    <row r="500" ht="15" customHeight="1" s="131">
      <c r="A500" s="220" t="n"/>
      <c r="B500" s="222" t="n"/>
      <c r="C500" s="220" t="n"/>
      <c r="D500" s="179">
        <f>IFERROR(C500,"")</f>
        <v/>
      </c>
      <c r="E500" s="219" t="n"/>
      <c r="F500" s="220" t="n"/>
      <c r="G500" s="221">
        <f>IF(COUNTA(A500:C500)=0,"",IF(C500&lt;0,"ERRO: matrícula negativa",IF(COUNTIFS($A$5:$A$1200,A500,$B$5:$B$1200,B500)&gt;1,"ERRO: período e curso duplicados","OK")))</f>
        <v/>
      </c>
    </row>
    <row r="501" ht="15" customHeight="1" s="131">
      <c r="A501" s="220" t="n"/>
      <c r="B501" s="222" t="n"/>
      <c r="C501" s="220" t="n"/>
      <c r="D501" s="179">
        <f>IFERROR(C501,"")</f>
        <v/>
      </c>
      <c r="E501" s="219" t="n"/>
      <c r="F501" s="220" t="n"/>
      <c r="G501" s="221">
        <f>IF(COUNTA(A501:C501)=0,"",IF(C501&lt;0,"ERRO: matrícula negativa",IF(COUNTIFS($A$5:$A$1200,A501,$B$5:$B$1200,B501)&gt;1,"ERRO: período e curso duplicados","OK")))</f>
        <v/>
      </c>
    </row>
    <row r="502" ht="15" customHeight="1" s="131">
      <c r="A502" s="220" t="n"/>
      <c r="B502" s="222" t="n"/>
      <c r="C502" s="220" t="n"/>
      <c r="D502" s="179">
        <f>IFERROR(C502,"")</f>
        <v/>
      </c>
      <c r="E502" s="219" t="n"/>
      <c r="F502" s="220" t="n"/>
      <c r="G502" s="221">
        <f>IF(COUNTA(A502:C502)=0,"",IF(C502&lt;0,"ERRO: matrícula negativa",IF(COUNTIFS($A$5:$A$1200,A502,$B$5:$B$1200,B502)&gt;1,"ERRO: período e curso duplicados","OK")))</f>
        <v/>
      </c>
    </row>
    <row r="503" ht="15" customHeight="1" s="131">
      <c r="A503" s="220" t="n"/>
      <c r="B503" s="222" t="n"/>
      <c r="C503" s="220" t="n"/>
      <c r="D503" s="179">
        <f>IFERROR(C503,"")</f>
        <v/>
      </c>
      <c r="E503" s="219" t="n"/>
      <c r="F503" s="220" t="n"/>
      <c r="G503" s="221">
        <f>IF(COUNTA(A503:C503)=0,"",IF(C503&lt;0,"ERRO: matrícula negativa",IF(COUNTIFS($A$5:$A$1200,A503,$B$5:$B$1200,B503)&gt;1,"ERRO: período e curso duplicados","OK")))</f>
        <v/>
      </c>
    </row>
    <row r="504" ht="15" customHeight="1" s="131">
      <c r="A504" s="220" t="n"/>
      <c r="B504" s="222" t="n"/>
      <c r="C504" s="220" t="n"/>
      <c r="D504" s="179">
        <f>IFERROR(C504,"")</f>
        <v/>
      </c>
      <c r="E504" s="219" t="n"/>
      <c r="F504" s="220" t="n"/>
      <c r="G504" s="221">
        <f>IF(COUNTA(A504:C504)=0,"",IF(C504&lt;0,"ERRO: matrícula negativa",IF(COUNTIFS($A$5:$A$1200,A504,$B$5:$B$1200,B504)&gt;1,"ERRO: período e curso duplicados","OK")))</f>
        <v/>
      </c>
    </row>
    <row r="505" ht="15" customHeight="1" s="131">
      <c r="A505" s="220" t="n"/>
      <c r="B505" s="222" t="n"/>
      <c r="C505" s="220" t="n"/>
      <c r="D505" s="179">
        <f>IFERROR(C505,"")</f>
        <v/>
      </c>
      <c r="E505" s="219" t="n"/>
      <c r="F505" s="220" t="n"/>
      <c r="G505" s="221">
        <f>IF(COUNTA(A505:C505)=0,"",IF(C505&lt;0,"ERRO: matrícula negativa",IF(COUNTIFS($A$5:$A$1200,A505,$B$5:$B$1200,B505)&gt;1,"ERRO: período e curso duplicados","OK")))</f>
        <v/>
      </c>
    </row>
    <row r="506" ht="15" customHeight="1" s="131">
      <c r="A506" s="220" t="n"/>
      <c r="B506" s="222" t="n"/>
      <c r="C506" s="220" t="n"/>
      <c r="D506" s="179">
        <f>IFERROR(C506,"")</f>
        <v/>
      </c>
      <c r="E506" s="219" t="n"/>
      <c r="F506" s="220" t="n"/>
      <c r="G506" s="221">
        <f>IF(COUNTA(A506:C506)=0,"",IF(C506&lt;0,"ERRO: matrícula negativa",IF(COUNTIFS($A$5:$A$1200,A506,$B$5:$B$1200,B506)&gt;1,"ERRO: período e curso duplicados","OK")))</f>
        <v/>
      </c>
    </row>
    <row r="507" ht="15" customHeight="1" s="131">
      <c r="A507" s="220" t="n"/>
      <c r="B507" s="222" t="n"/>
      <c r="C507" s="220" t="n"/>
      <c r="D507" s="179">
        <f>IFERROR(C507,"")</f>
        <v/>
      </c>
      <c r="E507" s="219" t="n"/>
      <c r="F507" s="220" t="n"/>
      <c r="G507" s="221">
        <f>IF(COUNTA(A507:C507)=0,"",IF(C507&lt;0,"ERRO: matrícula negativa",IF(COUNTIFS($A$5:$A$1200,A507,$B$5:$B$1200,B507)&gt;1,"ERRO: período e curso duplicados","OK")))</f>
        <v/>
      </c>
    </row>
    <row r="508" ht="15" customHeight="1" s="131">
      <c r="A508" s="220" t="n"/>
      <c r="B508" s="222" t="n"/>
      <c r="C508" s="220" t="n"/>
      <c r="D508" s="179">
        <f>IFERROR(C508,"")</f>
        <v/>
      </c>
      <c r="E508" s="219" t="n"/>
      <c r="F508" s="220" t="n"/>
      <c r="G508" s="221">
        <f>IF(COUNTA(A508:C508)=0,"",IF(C508&lt;0,"ERRO: matrícula negativa",IF(COUNTIFS($A$5:$A$1200,A508,$B$5:$B$1200,B508)&gt;1,"ERRO: período e curso duplicados","OK")))</f>
        <v/>
      </c>
    </row>
    <row r="509" ht="15" customHeight="1" s="131">
      <c r="A509" s="220" t="n"/>
      <c r="B509" s="222" t="n"/>
      <c r="C509" s="220" t="n"/>
      <c r="D509" s="179">
        <f>IFERROR(C509,"")</f>
        <v/>
      </c>
      <c r="E509" s="219" t="n"/>
      <c r="F509" s="220" t="n"/>
      <c r="G509" s="221">
        <f>IF(COUNTA(A509:C509)=0,"",IF(C509&lt;0,"ERRO: matrícula negativa",IF(COUNTIFS($A$5:$A$1200,A509,$B$5:$B$1200,B509)&gt;1,"ERRO: período e curso duplicados","OK")))</f>
        <v/>
      </c>
    </row>
    <row r="510" ht="15" customHeight="1" s="131">
      <c r="A510" s="220" t="n"/>
      <c r="B510" s="222" t="n"/>
      <c r="C510" s="220" t="n"/>
      <c r="D510" s="179">
        <f>IFERROR(C510,"")</f>
        <v/>
      </c>
      <c r="E510" s="219" t="n"/>
      <c r="F510" s="220" t="n"/>
      <c r="G510" s="221">
        <f>IF(COUNTA(A510:C510)=0,"",IF(C510&lt;0,"ERRO: matrícula negativa",IF(COUNTIFS($A$5:$A$1200,A510,$B$5:$B$1200,B510)&gt;1,"ERRO: período e curso duplicados","OK")))</f>
        <v/>
      </c>
    </row>
    <row r="511" ht="15" customHeight="1" s="131">
      <c r="A511" s="220" t="n"/>
      <c r="B511" s="222" t="n"/>
      <c r="C511" s="220" t="n"/>
      <c r="D511" s="179">
        <f>IFERROR(C511,"")</f>
        <v/>
      </c>
      <c r="E511" s="219" t="n"/>
      <c r="F511" s="220" t="n"/>
      <c r="G511" s="221">
        <f>IF(COUNTA(A511:C511)=0,"",IF(C511&lt;0,"ERRO: matrícula negativa",IF(COUNTIFS($A$5:$A$1200,A511,$B$5:$B$1200,B511)&gt;1,"ERRO: período e curso duplicados","OK")))</f>
        <v/>
      </c>
    </row>
    <row r="512" ht="15" customHeight="1" s="131">
      <c r="A512" s="220" t="n"/>
      <c r="B512" s="222" t="n"/>
      <c r="C512" s="220" t="n"/>
      <c r="D512" s="179">
        <f>IFERROR(C512,"")</f>
        <v/>
      </c>
      <c r="E512" s="219" t="n"/>
      <c r="F512" s="220" t="n"/>
      <c r="G512" s="221">
        <f>IF(COUNTA(A512:C512)=0,"",IF(C512&lt;0,"ERRO: matrícula negativa",IF(COUNTIFS($A$5:$A$1200,A512,$B$5:$B$1200,B512)&gt;1,"ERRO: período e curso duplicados","OK")))</f>
        <v/>
      </c>
    </row>
    <row r="513" ht="15" customHeight="1" s="131">
      <c r="A513" s="220" t="n"/>
      <c r="B513" s="222" t="n"/>
      <c r="C513" s="220" t="n"/>
      <c r="D513" s="179">
        <f>IFERROR(C513,"")</f>
        <v/>
      </c>
      <c r="E513" s="219" t="n"/>
      <c r="F513" s="220" t="n"/>
      <c r="G513" s="221">
        <f>IF(COUNTA(A513:C513)=0,"",IF(C513&lt;0,"ERRO: matrícula negativa",IF(COUNTIFS($A$5:$A$1200,A513,$B$5:$B$1200,B513)&gt;1,"ERRO: período e curso duplicados","OK")))</f>
        <v/>
      </c>
    </row>
    <row r="514" ht="15" customHeight="1" s="131">
      <c r="A514" s="220" t="n"/>
      <c r="B514" s="222" t="n"/>
      <c r="C514" s="220" t="n"/>
      <c r="D514" s="179">
        <f>IFERROR(C514,"")</f>
        <v/>
      </c>
      <c r="E514" s="219" t="n"/>
      <c r="F514" s="220" t="n"/>
      <c r="G514" s="221">
        <f>IF(COUNTA(A514:C514)=0,"",IF(C514&lt;0,"ERRO: matrícula negativa",IF(COUNTIFS($A$5:$A$1200,A514,$B$5:$B$1200,B514)&gt;1,"ERRO: período e curso duplicados","OK")))</f>
        <v/>
      </c>
    </row>
    <row r="515" ht="15" customHeight="1" s="131">
      <c r="A515" s="220" t="n"/>
      <c r="B515" s="222" t="n"/>
      <c r="C515" s="220" t="n"/>
      <c r="D515" s="179">
        <f>IFERROR(C515,"")</f>
        <v/>
      </c>
      <c r="E515" s="219" t="n"/>
      <c r="F515" s="220" t="n"/>
      <c r="G515" s="221">
        <f>IF(COUNTA(A515:C515)=0,"",IF(C515&lt;0,"ERRO: matrícula negativa",IF(COUNTIFS($A$5:$A$1200,A515,$B$5:$B$1200,B515)&gt;1,"ERRO: período e curso duplicados","OK")))</f>
        <v/>
      </c>
    </row>
    <row r="516" ht="15" customHeight="1" s="131">
      <c r="A516" s="220" t="n"/>
      <c r="B516" s="222" t="n"/>
      <c r="C516" s="220" t="n"/>
      <c r="D516" s="179">
        <f>IFERROR(C516,"")</f>
        <v/>
      </c>
      <c r="E516" s="219" t="n"/>
      <c r="F516" s="220" t="n"/>
      <c r="G516" s="221">
        <f>IF(COUNTA(A516:C516)=0,"",IF(C516&lt;0,"ERRO: matrícula negativa",IF(COUNTIFS($A$5:$A$1200,A516,$B$5:$B$1200,B516)&gt;1,"ERRO: período e curso duplicados","OK")))</f>
        <v/>
      </c>
    </row>
    <row r="517" ht="15" customHeight="1" s="131">
      <c r="A517" s="220" t="n"/>
      <c r="B517" s="222" t="n"/>
      <c r="C517" s="220" t="n"/>
      <c r="D517" s="179">
        <f>IFERROR(C517,"")</f>
        <v/>
      </c>
      <c r="E517" s="219" t="n"/>
      <c r="F517" s="220" t="n"/>
      <c r="G517" s="221">
        <f>IF(COUNTA(A517:C517)=0,"",IF(C517&lt;0,"ERRO: matrícula negativa",IF(COUNTIFS($A$5:$A$1200,A517,$B$5:$B$1200,B517)&gt;1,"ERRO: período e curso duplicados","OK")))</f>
        <v/>
      </c>
    </row>
    <row r="518" ht="15" customHeight="1" s="131">
      <c r="A518" s="220" t="n"/>
      <c r="B518" s="222" t="n"/>
      <c r="C518" s="220" t="n"/>
      <c r="D518" s="179">
        <f>IFERROR(C518,"")</f>
        <v/>
      </c>
      <c r="E518" s="219" t="n"/>
      <c r="F518" s="220" t="n"/>
      <c r="G518" s="221">
        <f>IF(COUNTA(A518:C518)=0,"",IF(C518&lt;0,"ERRO: matrícula negativa",IF(COUNTIFS($A$5:$A$1200,A518,$B$5:$B$1200,B518)&gt;1,"ERRO: período e curso duplicados","OK")))</f>
        <v/>
      </c>
    </row>
    <row r="519" ht="15" customHeight="1" s="131">
      <c r="A519" s="220" t="n"/>
      <c r="B519" s="222" t="n"/>
      <c r="C519" s="220" t="n"/>
      <c r="D519" s="179">
        <f>IFERROR(C519,"")</f>
        <v/>
      </c>
      <c r="E519" s="219" t="n"/>
      <c r="F519" s="220" t="n"/>
      <c r="G519" s="221">
        <f>IF(COUNTA(A519:C519)=0,"",IF(C519&lt;0,"ERRO: matrícula negativa",IF(COUNTIFS($A$5:$A$1200,A519,$B$5:$B$1200,B519)&gt;1,"ERRO: período e curso duplicados","OK")))</f>
        <v/>
      </c>
    </row>
    <row r="520" ht="15" customHeight="1" s="131">
      <c r="A520" s="220" t="n"/>
      <c r="B520" s="222" t="n"/>
      <c r="C520" s="220" t="n"/>
      <c r="D520" s="179">
        <f>IFERROR(C520,"")</f>
        <v/>
      </c>
      <c r="E520" s="219" t="n"/>
      <c r="F520" s="220" t="n"/>
      <c r="G520" s="221">
        <f>IF(COUNTA(A520:C520)=0,"",IF(C520&lt;0,"ERRO: matrícula negativa",IF(COUNTIFS($A$5:$A$1200,A520,$B$5:$B$1200,B520)&gt;1,"ERRO: período e curso duplicados","OK")))</f>
        <v/>
      </c>
    </row>
    <row r="521" ht="15" customHeight="1" s="131">
      <c r="A521" s="220" t="n"/>
      <c r="B521" s="222" t="n"/>
      <c r="C521" s="220" t="n"/>
      <c r="D521" s="179">
        <f>IFERROR(C521,"")</f>
        <v/>
      </c>
      <c r="E521" s="219" t="n"/>
      <c r="F521" s="220" t="n"/>
      <c r="G521" s="221">
        <f>IF(COUNTA(A521:C521)=0,"",IF(C521&lt;0,"ERRO: matrícula negativa",IF(COUNTIFS($A$5:$A$1200,A521,$B$5:$B$1200,B521)&gt;1,"ERRO: período e curso duplicados","OK")))</f>
        <v/>
      </c>
    </row>
    <row r="522" ht="15" customHeight="1" s="131">
      <c r="A522" s="220" t="n"/>
      <c r="B522" s="222" t="n"/>
      <c r="C522" s="220" t="n"/>
      <c r="D522" s="179">
        <f>IFERROR(C522,"")</f>
        <v/>
      </c>
      <c r="E522" s="219" t="n"/>
      <c r="F522" s="220" t="n"/>
      <c r="G522" s="221">
        <f>IF(COUNTA(A522:C522)=0,"",IF(C522&lt;0,"ERRO: matrícula negativa",IF(COUNTIFS($A$5:$A$1200,A522,$B$5:$B$1200,B522)&gt;1,"ERRO: período e curso duplicados","OK")))</f>
        <v/>
      </c>
    </row>
    <row r="523" ht="15" customHeight="1" s="131">
      <c r="A523" s="220" t="n"/>
      <c r="B523" s="222" t="n"/>
      <c r="C523" s="220" t="n"/>
      <c r="D523" s="179">
        <f>IFERROR(C523,"")</f>
        <v/>
      </c>
      <c r="E523" s="219" t="n"/>
      <c r="F523" s="220" t="n"/>
      <c r="G523" s="221">
        <f>IF(COUNTA(A523:C523)=0,"",IF(C523&lt;0,"ERRO: matrícula negativa",IF(COUNTIFS($A$5:$A$1200,A523,$B$5:$B$1200,B523)&gt;1,"ERRO: período e curso duplicados","OK")))</f>
        <v/>
      </c>
    </row>
    <row r="524" ht="15" customHeight="1" s="131">
      <c r="A524" s="220" t="n"/>
      <c r="B524" s="222" t="n"/>
      <c r="C524" s="220" t="n"/>
      <c r="D524" s="179">
        <f>IFERROR(C524,"")</f>
        <v/>
      </c>
      <c r="E524" s="219" t="n"/>
      <c r="F524" s="220" t="n"/>
      <c r="G524" s="221">
        <f>IF(COUNTA(A524:C524)=0,"",IF(C524&lt;0,"ERRO: matrícula negativa",IF(COUNTIFS($A$5:$A$1200,A524,$B$5:$B$1200,B524)&gt;1,"ERRO: período e curso duplicados","OK")))</f>
        <v/>
      </c>
    </row>
    <row r="525" ht="15" customHeight="1" s="131">
      <c r="A525" s="220" t="n"/>
      <c r="B525" s="222" t="n"/>
      <c r="C525" s="220" t="n"/>
      <c r="D525" s="179">
        <f>IFERROR(C525,"")</f>
        <v/>
      </c>
      <c r="E525" s="219" t="n"/>
      <c r="F525" s="220" t="n"/>
      <c r="G525" s="221">
        <f>IF(COUNTA(A525:C525)=0,"",IF(C525&lt;0,"ERRO: matrícula negativa",IF(COUNTIFS($A$5:$A$1200,A525,$B$5:$B$1200,B525)&gt;1,"ERRO: período e curso duplicados","OK")))</f>
        <v/>
      </c>
    </row>
    <row r="526" ht="15" customHeight="1" s="131">
      <c r="A526" s="220" t="n"/>
      <c r="B526" s="222" t="n"/>
      <c r="C526" s="220" t="n"/>
      <c r="D526" s="179">
        <f>IFERROR(C526,"")</f>
        <v/>
      </c>
      <c r="E526" s="219" t="n"/>
      <c r="F526" s="220" t="n"/>
      <c r="G526" s="221">
        <f>IF(COUNTA(A526:C526)=0,"",IF(C526&lt;0,"ERRO: matrícula negativa",IF(COUNTIFS($A$5:$A$1200,A526,$B$5:$B$1200,B526)&gt;1,"ERRO: período e curso duplicados","OK")))</f>
        <v/>
      </c>
    </row>
    <row r="527" ht="15" customHeight="1" s="131">
      <c r="A527" s="220" t="n"/>
      <c r="B527" s="222" t="n"/>
      <c r="C527" s="220" t="n"/>
      <c r="D527" s="179">
        <f>IFERROR(C527,"")</f>
        <v/>
      </c>
      <c r="E527" s="219" t="n"/>
      <c r="F527" s="220" t="n"/>
      <c r="G527" s="221">
        <f>IF(COUNTA(A527:C527)=0,"",IF(C527&lt;0,"ERRO: matrícula negativa",IF(COUNTIFS($A$5:$A$1200,A527,$B$5:$B$1200,B527)&gt;1,"ERRO: período e curso duplicados","OK")))</f>
        <v/>
      </c>
    </row>
    <row r="528" ht="15" customHeight="1" s="131">
      <c r="A528" s="220" t="n"/>
      <c r="B528" s="222" t="n"/>
      <c r="C528" s="220" t="n"/>
      <c r="D528" s="179">
        <f>IFERROR(C528,"")</f>
        <v/>
      </c>
      <c r="E528" s="219" t="n"/>
      <c r="F528" s="220" t="n"/>
      <c r="G528" s="221">
        <f>IF(COUNTA(A528:C528)=0,"",IF(C528&lt;0,"ERRO: matrícula negativa",IF(COUNTIFS($A$5:$A$1200,A528,$B$5:$B$1200,B528)&gt;1,"ERRO: período e curso duplicados","OK")))</f>
        <v/>
      </c>
    </row>
    <row r="529" ht="15" customHeight="1" s="131">
      <c r="A529" s="220" t="n"/>
      <c r="B529" s="222" t="n"/>
      <c r="C529" s="220" t="n"/>
      <c r="D529" s="179">
        <f>IFERROR(C529,"")</f>
        <v/>
      </c>
      <c r="E529" s="219" t="n"/>
      <c r="F529" s="220" t="n"/>
      <c r="G529" s="221">
        <f>IF(COUNTA(A529:C529)=0,"",IF(C529&lt;0,"ERRO: matrícula negativa",IF(COUNTIFS($A$5:$A$1200,A529,$B$5:$B$1200,B529)&gt;1,"ERRO: período e curso duplicados","OK")))</f>
        <v/>
      </c>
    </row>
    <row r="530" ht="15" customHeight="1" s="131">
      <c r="A530" s="220" t="n"/>
      <c r="B530" s="222" t="n"/>
      <c r="C530" s="220" t="n"/>
      <c r="D530" s="179">
        <f>IFERROR(C530,"")</f>
        <v/>
      </c>
      <c r="E530" s="219" t="n"/>
      <c r="F530" s="220" t="n"/>
      <c r="G530" s="221">
        <f>IF(COUNTA(A530:C530)=0,"",IF(C530&lt;0,"ERRO: matrícula negativa",IF(COUNTIFS($A$5:$A$1200,A530,$B$5:$B$1200,B530)&gt;1,"ERRO: período e curso duplicados","OK")))</f>
        <v/>
      </c>
    </row>
    <row r="531" ht="15" customHeight="1" s="131">
      <c r="A531" s="220" t="n"/>
      <c r="B531" s="222" t="n"/>
      <c r="C531" s="220" t="n"/>
      <c r="D531" s="179">
        <f>IFERROR(C531,"")</f>
        <v/>
      </c>
      <c r="E531" s="219" t="n"/>
      <c r="F531" s="220" t="n"/>
      <c r="G531" s="221">
        <f>IF(COUNTA(A531:C531)=0,"",IF(C531&lt;0,"ERRO: matrícula negativa",IF(COUNTIFS($A$5:$A$1200,A531,$B$5:$B$1200,B531)&gt;1,"ERRO: período e curso duplicados","OK")))</f>
        <v/>
      </c>
    </row>
    <row r="532" ht="15" customHeight="1" s="131">
      <c r="A532" s="220" t="n"/>
      <c r="B532" s="222" t="n"/>
      <c r="C532" s="220" t="n"/>
      <c r="D532" s="179">
        <f>IFERROR(C532,"")</f>
        <v/>
      </c>
      <c r="E532" s="219" t="n"/>
      <c r="F532" s="220" t="n"/>
      <c r="G532" s="221">
        <f>IF(COUNTA(A532:C532)=0,"",IF(C532&lt;0,"ERRO: matrícula negativa",IF(COUNTIFS($A$5:$A$1200,A532,$B$5:$B$1200,B532)&gt;1,"ERRO: período e curso duplicados","OK")))</f>
        <v/>
      </c>
    </row>
    <row r="533" ht="15" customHeight="1" s="131">
      <c r="A533" s="220" t="n"/>
      <c r="B533" s="222" t="n"/>
      <c r="C533" s="220" t="n"/>
      <c r="D533" s="179">
        <f>IFERROR(C533,"")</f>
        <v/>
      </c>
      <c r="E533" s="219" t="n"/>
      <c r="F533" s="220" t="n"/>
      <c r="G533" s="221">
        <f>IF(COUNTA(A533:C533)=0,"",IF(C533&lt;0,"ERRO: matrícula negativa",IF(COUNTIFS($A$5:$A$1200,A533,$B$5:$B$1200,B533)&gt;1,"ERRO: período e curso duplicados","OK")))</f>
        <v/>
      </c>
    </row>
    <row r="534" ht="15" customHeight="1" s="131">
      <c r="A534" s="220" t="n"/>
      <c r="B534" s="222" t="n"/>
      <c r="C534" s="220" t="n"/>
      <c r="D534" s="179">
        <f>IFERROR(C534,"")</f>
        <v/>
      </c>
      <c r="E534" s="219" t="n"/>
      <c r="F534" s="220" t="n"/>
      <c r="G534" s="221">
        <f>IF(COUNTA(A534:C534)=0,"",IF(C534&lt;0,"ERRO: matrícula negativa",IF(COUNTIFS($A$5:$A$1200,A534,$B$5:$B$1200,B534)&gt;1,"ERRO: período e curso duplicados","OK")))</f>
        <v/>
      </c>
    </row>
    <row r="535" ht="15" customHeight="1" s="131">
      <c r="A535" s="220" t="n"/>
      <c r="B535" s="222" t="n"/>
      <c r="C535" s="220" t="n"/>
      <c r="D535" s="179">
        <f>IFERROR(C535,"")</f>
        <v/>
      </c>
      <c r="E535" s="219" t="n"/>
      <c r="F535" s="220" t="n"/>
      <c r="G535" s="221">
        <f>IF(COUNTA(A535:C535)=0,"",IF(C535&lt;0,"ERRO: matrícula negativa",IF(COUNTIFS($A$5:$A$1200,A535,$B$5:$B$1200,B535)&gt;1,"ERRO: período e curso duplicados","OK")))</f>
        <v/>
      </c>
    </row>
    <row r="536" ht="15" customHeight="1" s="131">
      <c r="A536" s="220" t="n"/>
      <c r="B536" s="222" t="n"/>
      <c r="C536" s="220" t="n"/>
      <c r="D536" s="179">
        <f>IFERROR(C536,"")</f>
        <v/>
      </c>
      <c r="E536" s="219" t="n"/>
      <c r="F536" s="220" t="n"/>
      <c r="G536" s="221">
        <f>IF(COUNTA(A536:C536)=0,"",IF(C536&lt;0,"ERRO: matrícula negativa",IF(COUNTIFS($A$5:$A$1200,A536,$B$5:$B$1200,B536)&gt;1,"ERRO: período e curso duplicados","OK")))</f>
        <v/>
      </c>
    </row>
    <row r="537" ht="15" customHeight="1" s="131">
      <c r="A537" s="220" t="n"/>
      <c r="B537" s="222" t="n"/>
      <c r="C537" s="220" t="n"/>
      <c r="D537" s="179">
        <f>IFERROR(C537,"")</f>
        <v/>
      </c>
      <c r="E537" s="219" t="n"/>
      <c r="F537" s="220" t="n"/>
      <c r="G537" s="221">
        <f>IF(COUNTA(A537:C537)=0,"",IF(C537&lt;0,"ERRO: matrícula negativa",IF(COUNTIFS($A$5:$A$1200,A537,$B$5:$B$1200,B537)&gt;1,"ERRO: período e curso duplicados","OK")))</f>
        <v/>
      </c>
    </row>
    <row r="538" ht="15" customHeight="1" s="131">
      <c r="A538" s="220" t="n"/>
      <c r="B538" s="222" t="n"/>
      <c r="C538" s="220" t="n"/>
      <c r="D538" s="179">
        <f>IFERROR(C538,"")</f>
        <v/>
      </c>
      <c r="E538" s="219" t="n"/>
      <c r="F538" s="220" t="n"/>
      <c r="G538" s="221">
        <f>IF(COUNTA(A538:C538)=0,"",IF(C538&lt;0,"ERRO: matrícula negativa",IF(COUNTIFS($A$5:$A$1200,A538,$B$5:$B$1200,B538)&gt;1,"ERRO: período e curso duplicados","OK")))</f>
        <v/>
      </c>
    </row>
    <row r="539" ht="15" customHeight="1" s="131">
      <c r="A539" s="220" t="n"/>
      <c r="B539" s="222" t="n"/>
      <c r="C539" s="220" t="n"/>
      <c r="D539" s="179">
        <f>IFERROR(C539,"")</f>
        <v/>
      </c>
      <c r="E539" s="219" t="n"/>
      <c r="F539" s="220" t="n"/>
      <c r="G539" s="221">
        <f>IF(COUNTA(A539:C539)=0,"",IF(C539&lt;0,"ERRO: matrícula negativa",IF(COUNTIFS($A$5:$A$1200,A539,$B$5:$B$1200,B539)&gt;1,"ERRO: período e curso duplicados","OK")))</f>
        <v/>
      </c>
    </row>
    <row r="540" ht="15" customHeight="1" s="131">
      <c r="A540" s="220" t="n"/>
      <c r="B540" s="222" t="n"/>
      <c r="C540" s="220" t="n"/>
      <c r="D540" s="179">
        <f>IFERROR(C540,"")</f>
        <v/>
      </c>
      <c r="E540" s="219" t="n"/>
      <c r="F540" s="220" t="n"/>
      <c r="G540" s="221">
        <f>IF(COUNTA(A540:C540)=0,"",IF(C540&lt;0,"ERRO: matrícula negativa",IF(COUNTIFS($A$5:$A$1200,A540,$B$5:$B$1200,B540)&gt;1,"ERRO: período e curso duplicados","OK")))</f>
        <v/>
      </c>
    </row>
    <row r="541" ht="15" customHeight="1" s="131">
      <c r="A541" s="220" t="n"/>
      <c r="B541" s="222" t="n"/>
      <c r="C541" s="220" t="n"/>
      <c r="D541" s="179">
        <f>IFERROR(C541,"")</f>
        <v/>
      </c>
      <c r="E541" s="219" t="n"/>
      <c r="F541" s="220" t="n"/>
      <c r="G541" s="221">
        <f>IF(COUNTA(A541:C541)=0,"",IF(C541&lt;0,"ERRO: matrícula negativa",IF(COUNTIFS($A$5:$A$1200,A541,$B$5:$B$1200,B541)&gt;1,"ERRO: período e curso duplicados","OK")))</f>
        <v/>
      </c>
    </row>
    <row r="542" ht="15" customHeight="1" s="131">
      <c r="A542" s="220" t="n"/>
      <c r="B542" s="222" t="n"/>
      <c r="C542" s="220" t="n"/>
      <c r="D542" s="179">
        <f>IFERROR(C542,"")</f>
        <v/>
      </c>
      <c r="E542" s="219" t="n"/>
      <c r="F542" s="220" t="n"/>
      <c r="G542" s="221">
        <f>IF(COUNTA(A542:C542)=0,"",IF(C542&lt;0,"ERRO: matrícula negativa",IF(COUNTIFS($A$5:$A$1200,A542,$B$5:$B$1200,B542)&gt;1,"ERRO: período e curso duplicados","OK")))</f>
        <v/>
      </c>
    </row>
    <row r="543" ht="15" customHeight="1" s="131">
      <c r="A543" s="220" t="n"/>
      <c r="B543" s="222" t="n"/>
      <c r="C543" s="220" t="n"/>
      <c r="D543" s="179">
        <f>IFERROR(C543,"")</f>
        <v/>
      </c>
      <c r="E543" s="219" t="n"/>
      <c r="F543" s="220" t="n"/>
      <c r="G543" s="221">
        <f>IF(COUNTA(A543:C543)=0,"",IF(C543&lt;0,"ERRO: matrícula negativa",IF(COUNTIFS($A$5:$A$1200,A543,$B$5:$B$1200,B543)&gt;1,"ERRO: período e curso duplicados","OK")))</f>
        <v/>
      </c>
    </row>
    <row r="544" ht="15" customHeight="1" s="131">
      <c r="A544" s="220" t="n"/>
      <c r="B544" s="222" t="n"/>
      <c r="C544" s="220" t="n"/>
      <c r="D544" s="179">
        <f>IFERROR(C544,"")</f>
        <v/>
      </c>
      <c r="E544" s="219" t="n"/>
      <c r="F544" s="220" t="n"/>
      <c r="G544" s="221">
        <f>IF(COUNTA(A544:C544)=0,"",IF(C544&lt;0,"ERRO: matrícula negativa",IF(COUNTIFS($A$5:$A$1200,A544,$B$5:$B$1200,B544)&gt;1,"ERRO: período e curso duplicados","OK")))</f>
        <v/>
      </c>
    </row>
    <row r="545" ht="15" customHeight="1" s="131">
      <c r="A545" s="220" t="n"/>
      <c r="B545" s="222" t="n"/>
      <c r="C545" s="220" t="n"/>
      <c r="D545" s="179">
        <f>IFERROR(C545,"")</f>
        <v/>
      </c>
      <c r="E545" s="219" t="n"/>
      <c r="F545" s="220" t="n"/>
      <c r="G545" s="221">
        <f>IF(COUNTA(A545:C545)=0,"",IF(C545&lt;0,"ERRO: matrícula negativa",IF(COUNTIFS($A$5:$A$1200,A545,$B$5:$B$1200,B545)&gt;1,"ERRO: período e curso duplicados","OK")))</f>
        <v/>
      </c>
    </row>
    <row r="546" ht="15" customHeight="1" s="131">
      <c r="A546" s="220" t="n"/>
      <c r="B546" s="222" t="n"/>
      <c r="C546" s="220" t="n"/>
      <c r="D546" s="179">
        <f>IFERROR(C546,"")</f>
        <v/>
      </c>
      <c r="E546" s="219" t="n"/>
      <c r="F546" s="220" t="n"/>
      <c r="G546" s="221">
        <f>IF(COUNTA(A546:C546)=0,"",IF(C546&lt;0,"ERRO: matrícula negativa",IF(COUNTIFS($A$5:$A$1200,A546,$B$5:$B$1200,B546)&gt;1,"ERRO: período e curso duplicados","OK")))</f>
        <v/>
      </c>
    </row>
    <row r="547" ht="15" customHeight="1" s="131">
      <c r="A547" s="220" t="n"/>
      <c r="B547" s="222" t="n"/>
      <c r="C547" s="220" t="n"/>
      <c r="D547" s="179">
        <f>IFERROR(C547,"")</f>
        <v/>
      </c>
      <c r="E547" s="219" t="n"/>
      <c r="F547" s="220" t="n"/>
      <c r="G547" s="221">
        <f>IF(COUNTA(A547:C547)=0,"",IF(C547&lt;0,"ERRO: matrícula negativa",IF(COUNTIFS($A$5:$A$1200,A547,$B$5:$B$1200,B547)&gt;1,"ERRO: período e curso duplicados","OK")))</f>
        <v/>
      </c>
    </row>
    <row r="548" ht="15" customHeight="1" s="131">
      <c r="A548" s="220" t="n"/>
      <c r="B548" s="222" t="n"/>
      <c r="C548" s="220" t="n"/>
      <c r="D548" s="179">
        <f>IFERROR(C548,"")</f>
        <v/>
      </c>
      <c r="E548" s="219" t="n"/>
      <c r="F548" s="220" t="n"/>
      <c r="G548" s="221">
        <f>IF(COUNTA(A548:C548)=0,"",IF(C548&lt;0,"ERRO: matrícula negativa",IF(COUNTIFS($A$5:$A$1200,A548,$B$5:$B$1200,B548)&gt;1,"ERRO: período e curso duplicados","OK")))</f>
        <v/>
      </c>
    </row>
    <row r="549" ht="15" customHeight="1" s="131">
      <c r="A549" s="220" t="n"/>
      <c r="B549" s="222" t="n"/>
      <c r="C549" s="220" t="n"/>
      <c r="D549" s="179">
        <f>IFERROR(C549,"")</f>
        <v/>
      </c>
      <c r="E549" s="219" t="n"/>
      <c r="F549" s="220" t="n"/>
      <c r="G549" s="221">
        <f>IF(COUNTA(A549:C549)=0,"",IF(C549&lt;0,"ERRO: matrícula negativa",IF(COUNTIFS($A$5:$A$1200,A549,$B$5:$B$1200,B549)&gt;1,"ERRO: período e curso duplicados","OK")))</f>
        <v/>
      </c>
    </row>
    <row r="550" ht="15" customHeight="1" s="131">
      <c r="A550" s="220" t="n"/>
      <c r="B550" s="222" t="n"/>
      <c r="C550" s="220" t="n"/>
      <c r="D550" s="179">
        <f>IFERROR(C550,"")</f>
        <v/>
      </c>
      <c r="E550" s="219" t="n"/>
      <c r="F550" s="220" t="n"/>
      <c r="G550" s="221">
        <f>IF(COUNTA(A550:C550)=0,"",IF(C550&lt;0,"ERRO: matrícula negativa",IF(COUNTIFS($A$5:$A$1200,A550,$B$5:$B$1200,B550)&gt;1,"ERRO: período e curso duplicados","OK")))</f>
        <v/>
      </c>
    </row>
    <row r="551" ht="15" customHeight="1" s="131">
      <c r="A551" s="220" t="n"/>
      <c r="B551" s="222" t="n"/>
      <c r="C551" s="220" t="n"/>
      <c r="D551" s="179">
        <f>IFERROR(C551,"")</f>
        <v/>
      </c>
      <c r="E551" s="219" t="n"/>
      <c r="F551" s="220" t="n"/>
      <c r="G551" s="221">
        <f>IF(COUNTA(A551:C551)=0,"",IF(C551&lt;0,"ERRO: matrícula negativa",IF(COUNTIFS($A$5:$A$1200,A551,$B$5:$B$1200,B551)&gt;1,"ERRO: período e curso duplicados","OK")))</f>
        <v/>
      </c>
    </row>
    <row r="552" ht="15" customHeight="1" s="131">
      <c r="A552" s="220" t="n"/>
      <c r="B552" s="222" t="n"/>
      <c r="C552" s="220" t="n"/>
      <c r="D552" s="179">
        <f>IFERROR(C552,"")</f>
        <v/>
      </c>
      <c r="E552" s="219" t="n"/>
      <c r="F552" s="220" t="n"/>
      <c r="G552" s="221">
        <f>IF(COUNTA(A552:C552)=0,"",IF(C552&lt;0,"ERRO: matrícula negativa",IF(COUNTIFS($A$5:$A$1200,A552,$B$5:$B$1200,B552)&gt;1,"ERRO: período e curso duplicados","OK")))</f>
        <v/>
      </c>
    </row>
    <row r="553" ht="15" customHeight="1" s="131">
      <c r="A553" s="220" t="n"/>
      <c r="B553" s="222" t="n"/>
      <c r="C553" s="220" t="n"/>
      <c r="D553" s="179">
        <f>IFERROR(C553,"")</f>
        <v/>
      </c>
      <c r="E553" s="219" t="n"/>
      <c r="F553" s="220" t="n"/>
      <c r="G553" s="221">
        <f>IF(COUNTA(A553:C553)=0,"",IF(C553&lt;0,"ERRO: matrícula negativa",IF(COUNTIFS($A$5:$A$1200,A553,$B$5:$B$1200,B553)&gt;1,"ERRO: período e curso duplicados","OK")))</f>
        <v/>
      </c>
    </row>
    <row r="554" ht="15" customHeight="1" s="131">
      <c r="A554" s="220" t="n"/>
      <c r="B554" s="222" t="n"/>
      <c r="C554" s="220" t="n"/>
      <c r="D554" s="179">
        <f>IFERROR(C554,"")</f>
        <v/>
      </c>
      <c r="E554" s="219" t="n"/>
      <c r="F554" s="220" t="n"/>
      <c r="G554" s="221">
        <f>IF(COUNTA(A554:C554)=0,"",IF(C554&lt;0,"ERRO: matrícula negativa",IF(COUNTIFS($A$5:$A$1200,A554,$B$5:$B$1200,B554)&gt;1,"ERRO: período e curso duplicados","OK")))</f>
        <v/>
      </c>
    </row>
    <row r="555" ht="15" customHeight="1" s="131">
      <c r="A555" s="220" t="n"/>
      <c r="B555" s="222" t="n"/>
      <c r="C555" s="220" t="n"/>
      <c r="D555" s="179">
        <f>IFERROR(C555,"")</f>
        <v/>
      </c>
      <c r="E555" s="219" t="n"/>
      <c r="F555" s="220" t="n"/>
      <c r="G555" s="221">
        <f>IF(COUNTA(A555:C555)=0,"",IF(C555&lt;0,"ERRO: matrícula negativa",IF(COUNTIFS($A$5:$A$1200,A555,$B$5:$B$1200,B555)&gt;1,"ERRO: período e curso duplicados","OK")))</f>
        <v/>
      </c>
    </row>
    <row r="556" ht="15" customHeight="1" s="131">
      <c r="A556" s="220" t="n"/>
      <c r="B556" s="222" t="n"/>
      <c r="C556" s="220" t="n"/>
      <c r="D556" s="179">
        <f>IFERROR(C556,"")</f>
        <v/>
      </c>
      <c r="E556" s="219" t="n"/>
      <c r="F556" s="220" t="n"/>
      <c r="G556" s="221">
        <f>IF(COUNTA(A556:C556)=0,"",IF(C556&lt;0,"ERRO: matrícula negativa",IF(COUNTIFS($A$5:$A$1200,A556,$B$5:$B$1200,B556)&gt;1,"ERRO: período e curso duplicados","OK")))</f>
        <v/>
      </c>
    </row>
    <row r="557" ht="15" customHeight="1" s="131">
      <c r="A557" s="220" t="n"/>
      <c r="B557" s="222" t="n"/>
      <c r="C557" s="220" t="n"/>
      <c r="D557" s="179">
        <f>IFERROR(C557,"")</f>
        <v/>
      </c>
      <c r="E557" s="219" t="n"/>
      <c r="F557" s="220" t="n"/>
      <c r="G557" s="221">
        <f>IF(COUNTA(A557:C557)=0,"",IF(C557&lt;0,"ERRO: matrícula negativa",IF(COUNTIFS($A$5:$A$1200,A557,$B$5:$B$1200,B557)&gt;1,"ERRO: período e curso duplicados","OK")))</f>
        <v/>
      </c>
    </row>
    <row r="558" ht="15" customHeight="1" s="131">
      <c r="A558" s="220" t="n"/>
      <c r="B558" s="222" t="n"/>
      <c r="C558" s="220" t="n"/>
      <c r="D558" s="179">
        <f>IFERROR(C558,"")</f>
        <v/>
      </c>
      <c r="E558" s="219" t="n"/>
      <c r="F558" s="220" t="n"/>
      <c r="G558" s="221">
        <f>IF(COUNTA(A558:C558)=0,"",IF(C558&lt;0,"ERRO: matrícula negativa",IF(COUNTIFS($A$5:$A$1200,A558,$B$5:$B$1200,B558)&gt;1,"ERRO: período e curso duplicados","OK")))</f>
        <v/>
      </c>
    </row>
    <row r="559" ht="15" customHeight="1" s="131">
      <c r="A559" s="220" t="n"/>
      <c r="B559" s="222" t="n"/>
      <c r="C559" s="220" t="n"/>
      <c r="D559" s="179">
        <f>IFERROR(C559,"")</f>
        <v/>
      </c>
      <c r="E559" s="219" t="n"/>
      <c r="F559" s="220" t="n"/>
      <c r="G559" s="221">
        <f>IF(COUNTA(A559:C559)=0,"",IF(C559&lt;0,"ERRO: matrícula negativa",IF(COUNTIFS($A$5:$A$1200,A559,$B$5:$B$1200,B559)&gt;1,"ERRO: período e curso duplicados","OK")))</f>
        <v/>
      </c>
    </row>
    <row r="560" ht="15" customHeight="1" s="131">
      <c r="A560" s="220" t="n"/>
      <c r="B560" s="222" t="n"/>
      <c r="C560" s="220" t="n"/>
      <c r="D560" s="179">
        <f>IFERROR(C560,"")</f>
        <v/>
      </c>
      <c r="E560" s="219" t="n"/>
      <c r="F560" s="220" t="n"/>
      <c r="G560" s="221">
        <f>IF(COUNTA(A560:C560)=0,"",IF(C560&lt;0,"ERRO: matrícula negativa",IF(COUNTIFS($A$5:$A$1200,A560,$B$5:$B$1200,B560)&gt;1,"ERRO: período e curso duplicados","OK")))</f>
        <v/>
      </c>
    </row>
    <row r="561" ht="15" customHeight="1" s="131">
      <c r="A561" s="220" t="n"/>
      <c r="B561" s="222" t="n"/>
      <c r="C561" s="220" t="n"/>
      <c r="D561" s="179">
        <f>IFERROR(C561,"")</f>
        <v/>
      </c>
      <c r="E561" s="219" t="n"/>
      <c r="F561" s="220" t="n"/>
      <c r="G561" s="221">
        <f>IF(COUNTA(A561:C561)=0,"",IF(C561&lt;0,"ERRO: matrícula negativa",IF(COUNTIFS($A$5:$A$1200,A561,$B$5:$B$1200,B561)&gt;1,"ERRO: período e curso duplicados","OK")))</f>
        <v/>
      </c>
    </row>
    <row r="562" ht="15" customHeight="1" s="131">
      <c r="A562" s="220" t="n"/>
      <c r="B562" s="222" t="n"/>
      <c r="C562" s="220" t="n"/>
      <c r="D562" s="179">
        <f>IFERROR(C562,"")</f>
        <v/>
      </c>
      <c r="E562" s="219" t="n"/>
      <c r="F562" s="220" t="n"/>
      <c r="G562" s="221">
        <f>IF(COUNTA(A562:C562)=0,"",IF(C562&lt;0,"ERRO: matrícula negativa",IF(COUNTIFS($A$5:$A$1200,A562,$B$5:$B$1200,B562)&gt;1,"ERRO: período e curso duplicados","OK")))</f>
        <v/>
      </c>
    </row>
    <row r="563" ht="15" customHeight="1" s="131">
      <c r="A563" s="220" t="n"/>
      <c r="B563" s="222" t="n"/>
      <c r="C563" s="220" t="n"/>
      <c r="D563" s="179">
        <f>IFERROR(C563,"")</f>
        <v/>
      </c>
      <c r="E563" s="219" t="n"/>
      <c r="F563" s="220" t="n"/>
      <c r="G563" s="221">
        <f>IF(COUNTA(A563:C563)=0,"",IF(C563&lt;0,"ERRO: matrícula negativa",IF(COUNTIFS($A$5:$A$1200,A563,$B$5:$B$1200,B563)&gt;1,"ERRO: período e curso duplicados","OK")))</f>
        <v/>
      </c>
    </row>
    <row r="564" ht="15" customHeight="1" s="131">
      <c r="A564" s="220" t="n"/>
      <c r="B564" s="222" t="n"/>
      <c r="C564" s="220" t="n"/>
      <c r="D564" s="179">
        <f>IFERROR(C564,"")</f>
        <v/>
      </c>
      <c r="E564" s="219" t="n"/>
      <c r="F564" s="220" t="n"/>
      <c r="G564" s="221">
        <f>IF(COUNTA(A564:C564)=0,"",IF(C564&lt;0,"ERRO: matrícula negativa",IF(COUNTIFS($A$5:$A$1200,A564,$B$5:$B$1200,B564)&gt;1,"ERRO: período e curso duplicados","OK")))</f>
        <v/>
      </c>
    </row>
    <row r="565" ht="15" customHeight="1" s="131">
      <c r="A565" s="220" t="n"/>
      <c r="B565" s="222" t="n"/>
      <c r="C565" s="220" t="n"/>
      <c r="D565" s="179">
        <f>IFERROR(C565,"")</f>
        <v/>
      </c>
      <c r="E565" s="219" t="n"/>
      <c r="F565" s="220" t="n"/>
      <c r="G565" s="221">
        <f>IF(COUNTA(A565:C565)=0,"",IF(C565&lt;0,"ERRO: matrícula negativa",IF(COUNTIFS($A$5:$A$1200,A565,$B$5:$B$1200,B565)&gt;1,"ERRO: período e curso duplicados","OK")))</f>
        <v/>
      </c>
    </row>
    <row r="566" ht="15" customHeight="1" s="131">
      <c r="A566" s="220" t="n"/>
      <c r="B566" s="222" t="n"/>
      <c r="C566" s="220" t="n"/>
      <c r="D566" s="179">
        <f>IFERROR(C566,"")</f>
        <v/>
      </c>
      <c r="E566" s="219" t="n"/>
      <c r="F566" s="220" t="n"/>
      <c r="G566" s="221">
        <f>IF(COUNTA(A566:C566)=0,"",IF(C566&lt;0,"ERRO: matrícula negativa",IF(COUNTIFS($A$5:$A$1200,A566,$B$5:$B$1200,B566)&gt;1,"ERRO: período e curso duplicados","OK")))</f>
        <v/>
      </c>
    </row>
    <row r="567" ht="15" customHeight="1" s="131">
      <c r="A567" s="220" t="n"/>
      <c r="B567" s="222" t="n"/>
      <c r="C567" s="220" t="n"/>
      <c r="D567" s="179">
        <f>IFERROR(C567,"")</f>
        <v/>
      </c>
      <c r="E567" s="219" t="n"/>
      <c r="F567" s="220" t="n"/>
      <c r="G567" s="221">
        <f>IF(COUNTA(A567:C567)=0,"",IF(C567&lt;0,"ERRO: matrícula negativa",IF(COUNTIFS($A$5:$A$1200,A567,$B$5:$B$1200,B567)&gt;1,"ERRO: período e curso duplicados","OK")))</f>
        <v/>
      </c>
    </row>
    <row r="568" ht="15" customHeight="1" s="131">
      <c r="A568" s="220" t="n"/>
      <c r="B568" s="222" t="n"/>
      <c r="C568" s="220" t="n"/>
      <c r="D568" s="179">
        <f>IFERROR(C568,"")</f>
        <v/>
      </c>
      <c r="E568" s="219" t="n"/>
      <c r="F568" s="220" t="n"/>
      <c r="G568" s="221">
        <f>IF(COUNTA(A568:C568)=0,"",IF(C568&lt;0,"ERRO: matrícula negativa",IF(COUNTIFS($A$5:$A$1200,A568,$B$5:$B$1200,B568)&gt;1,"ERRO: período e curso duplicados","OK")))</f>
        <v/>
      </c>
    </row>
    <row r="569" ht="15" customHeight="1" s="131">
      <c r="A569" s="220" t="n"/>
      <c r="B569" s="222" t="n"/>
      <c r="C569" s="220" t="n"/>
      <c r="D569" s="179">
        <f>IFERROR(C569,"")</f>
        <v/>
      </c>
      <c r="E569" s="219" t="n"/>
      <c r="F569" s="220" t="n"/>
      <c r="G569" s="221">
        <f>IF(COUNTA(A569:C569)=0,"",IF(C569&lt;0,"ERRO: matrícula negativa",IF(COUNTIFS($A$5:$A$1200,A569,$B$5:$B$1200,B569)&gt;1,"ERRO: período e curso duplicados","OK")))</f>
        <v/>
      </c>
    </row>
    <row r="570" ht="15" customHeight="1" s="131">
      <c r="A570" s="220" t="n"/>
      <c r="B570" s="222" t="n"/>
      <c r="C570" s="220" t="n"/>
      <c r="D570" s="179">
        <f>IFERROR(C570,"")</f>
        <v/>
      </c>
      <c r="E570" s="219" t="n"/>
      <c r="F570" s="220" t="n"/>
      <c r="G570" s="221">
        <f>IF(COUNTA(A570:C570)=0,"",IF(C570&lt;0,"ERRO: matrícula negativa",IF(COUNTIFS($A$5:$A$1200,A570,$B$5:$B$1200,B570)&gt;1,"ERRO: período e curso duplicados","OK")))</f>
        <v/>
      </c>
    </row>
    <row r="571" ht="15" customHeight="1" s="131">
      <c r="A571" s="220" t="n"/>
      <c r="B571" s="222" t="n"/>
      <c r="C571" s="220" t="n"/>
      <c r="D571" s="179">
        <f>IFERROR(C571,"")</f>
        <v/>
      </c>
      <c r="E571" s="219" t="n"/>
      <c r="F571" s="220" t="n"/>
      <c r="G571" s="221">
        <f>IF(COUNTA(A571:C571)=0,"",IF(C571&lt;0,"ERRO: matrícula negativa",IF(COUNTIFS($A$5:$A$1200,A571,$B$5:$B$1200,B571)&gt;1,"ERRO: período e curso duplicados","OK")))</f>
        <v/>
      </c>
    </row>
    <row r="572" ht="15" customHeight="1" s="131">
      <c r="A572" s="220" t="n"/>
      <c r="B572" s="222" t="n"/>
      <c r="C572" s="220" t="n"/>
      <c r="D572" s="179">
        <f>IFERROR(C572,"")</f>
        <v/>
      </c>
      <c r="E572" s="219" t="n"/>
      <c r="F572" s="220" t="n"/>
      <c r="G572" s="221">
        <f>IF(COUNTA(A572:C572)=0,"",IF(C572&lt;0,"ERRO: matrícula negativa",IF(COUNTIFS($A$5:$A$1200,A572,$B$5:$B$1200,B572)&gt;1,"ERRO: período e curso duplicados","OK")))</f>
        <v/>
      </c>
    </row>
    <row r="573" ht="15" customHeight="1" s="131">
      <c r="A573" s="220" t="n"/>
      <c r="B573" s="222" t="n"/>
      <c r="C573" s="220" t="n"/>
      <c r="D573" s="179">
        <f>IFERROR(C573,"")</f>
        <v/>
      </c>
      <c r="E573" s="219" t="n"/>
      <c r="F573" s="220" t="n"/>
      <c r="G573" s="221">
        <f>IF(COUNTA(A573:C573)=0,"",IF(C573&lt;0,"ERRO: matrícula negativa",IF(COUNTIFS($A$5:$A$1200,A573,$B$5:$B$1200,B573)&gt;1,"ERRO: período e curso duplicados","OK")))</f>
        <v/>
      </c>
    </row>
    <row r="574" ht="15" customHeight="1" s="131">
      <c r="A574" s="220" t="n"/>
      <c r="B574" s="222" t="n"/>
      <c r="C574" s="220" t="n"/>
      <c r="D574" s="179">
        <f>IFERROR(C574,"")</f>
        <v/>
      </c>
      <c r="E574" s="219" t="n"/>
      <c r="F574" s="220" t="n"/>
      <c r="G574" s="221">
        <f>IF(COUNTA(A574:C574)=0,"",IF(C574&lt;0,"ERRO: matrícula negativa",IF(COUNTIFS($A$5:$A$1200,A574,$B$5:$B$1200,B574)&gt;1,"ERRO: período e curso duplicados","OK")))</f>
        <v/>
      </c>
    </row>
    <row r="575" ht="15" customHeight="1" s="131">
      <c r="A575" s="220" t="n"/>
      <c r="B575" s="222" t="n"/>
      <c r="C575" s="220" t="n"/>
      <c r="D575" s="179">
        <f>IFERROR(C575,"")</f>
        <v/>
      </c>
      <c r="E575" s="219" t="n"/>
      <c r="F575" s="220" t="n"/>
      <c r="G575" s="221">
        <f>IF(COUNTA(A575:C575)=0,"",IF(C575&lt;0,"ERRO: matrícula negativa",IF(COUNTIFS($A$5:$A$1200,A575,$B$5:$B$1200,B575)&gt;1,"ERRO: período e curso duplicados","OK")))</f>
        <v/>
      </c>
    </row>
    <row r="576" ht="15" customHeight="1" s="131">
      <c r="A576" s="220" t="n"/>
      <c r="B576" s="222" t="n"/>
      <c r="C576" s="220" t="n"/>
      <c r="D576" s="179">
        <f>IFERROR(C576,"")</f>
        <v/>
      </c>
      <c r="E576" s="219" t="n"/>
      <c r="F576" s="220" t="n"/>
      <c r="G576" s="221">
        <f>IF(COUNTA(A576:C576)=0,"",IF(C576&lt;0,"ERRO: matrícula negativa",IF(COUNTIFS($A$5:$A$1200,A576,$B$5:$B$1200,B576)&gt;1,"ERRO: período e curso duplicados","OK")))</f>
        <v/>
      </c>
    </row>
    <row r="577" ht="15" customHeight="1" s="131">
      <c r="A577" s="220" t="n"/>
      <c r="B577" s="222" t="n"/>
      <c r="C577" s="220" t="n"/>
      <c r="D577" s="179">
        <f>IFERROR(C577,"")</f>
        <v/>
      </c>
      <c r="E577" s="219" t="n"/>
      <c r="F577" s="220" t="n"/>
      <c r="G577" s="221">
        <f>IF(COUNTA(A577:C577)=0,"",IF(C577&lt;0,"ERRO: matrícula negativa",IF(COUNTIFS($A$5:$A$1200,A577,$B$5:$B$1200,B577)&gt;1,"ERRO: período e curso duplicados","OK")))</f>
        <v/>
      </c>
    </row>
    <row r="578" ht="15" customHeight="1" s="131">
      <c r="A578" s="220" t="n"/>
      <c r="B578" s="222" t="n"/>
      <c r="C578" s="220" t="n"/>
      <c r="D578" s="179">
        <f>IFERROR(C578,"")</f>
        <v/>
      </c>
      <c r="E578" s="219" t="n"/>
      <c r="F578" s="220" t="n"/>
      <c r="G578" s="221">
        <f>IF(COUNTA(A578:C578)=0,"",IF(C578&lt;0,"ERRO: matrícula negativa",IF(COUNTIFS($A$5:$A$1200,A578,$B$5:$B$1200,B578)&gt;1,"ERRO: período e curso duplicados","OK")))</f>
        <v/>
      </c>
    </row>
    <row r="579" ht="15" customHeight="1" s="131">
      <c r="A579" s="220" t="n"/>
      <c r="B579" s="222" t="n"/>
      <c r="C579" s="220" t="n"/>
      <c r="D579" s="179">
        <f>IFERROR(C579,"")</f>
        <v/>
      </c>
      <c r="E579" s="219" t="n"/>
      <c r="F579" s="220" t="n"/>
      <c r="G579" s="221">
        <f>IF(COUNTA(A579:C579)=0,"",IF(C579&lt;0,"ERRO: matrícula negativa",IF(COUNTIFS($A$5:$A$1200,A579,$B$5:$B$1200,B579)&gt;1,"ERRO: período e curso duplicados","OK")))</f>
        <v/>
      </c>
    </row>
    <row r="580" ht="15" customHeight="1" s="131">
      <c r="A580" s="220" t="n"/>
      <c r="B580" s="222" t="n"/>
      <c r="C580" s="220" t="n"/>
      <c r="D580" s="179">
        <f>IFERROR(C580,"")</f>
        <v/>
      </c>
      <c r="E580" s="219" t="n"/>
      <c r="F580" s="220" t="n"/>
      <c r="G580" s="221">
        <f>IF(COUNTA(A580:C580)=0,"",IF(C580&lt;0,"ERRO: matrícula negativa",IF(COUNTIFS($A$5:$A$1200,A580,$B$5:$B$1200,B580)&gt;1,"ERRO: período e curso duplicados","OK")))</f>
        <v/>
      </c>
    </row>
    <row r="581" ht="15" customHeight="1" s="131">
      <c r="A581" s="220" t="n"/>
      <c r="B581" s="222" t="n"/>
      <c r="C581" s="220" t="n"/>
      <c r="D581" s="179">
        <f>IFERROR(C581,"")</f>
        <v/>
      </c>
      <c r="E581" s="219" t="n"/>
      <c r="F581" s="220" t="n"/>
      <c r="G581" s="221">
        <f>IF(COUNTA(A581:C581)=0,"",IF(C581&lt;0,"ERRO: matrícula negativa",IF(COUNTIFS($A$5:$A$1200,A581,$B$5:$B$1200,B581)&gt;1,"ERRO: período e curso duplicados","OK")))</f>
        <v/>
      </c>
    </row>
    <row r="582" ht="15" customHeight="1" s="131">
      <c r="A582" s="220" t="n"/>
      <c r="B582" s="222" t="n"/>
      <c r="C582" s="220" t="n"/>
      <c r="D582" s="179">
        <f>IFERROR(C582,"")</f>
        <v/>
      </c>
      <c r="E582" s="219" t="n"/>
      <c r="F582" s="220" t="n"/>
      <c r="G582" s="221">
        <f>IF(COUNTA(A582:C582)=0,"",IF(C582&lt;0,"ERRO: matrícula negativa",IF(COUNTIFS($A$5:$A$1200,A582,$B$5:$B$1200,B582)&gt;1,"ERRO: período e curso duplicados","OK")))</f>
        <v/>
      </c>
    </row>
    <row r="583" ht="15" customHeight="1" s="131">
      <c r="A583" s="220" t="n"/>
      <c r="B583" s="222" t="n"/>
      <c r="C583" s="220" t="n"/>
      <c r="D583" s="179">
        <f>IFERROR(C583,"")</f>
        <v/>
      </c>
      <c r="E583" s="219" t="n"/>
      <c r="F583" s="220" t="n"/>
      <c r="G583" s="221">
        <f>IF(COUNTA(A583:C583)=0,"",IF(C583&lt;0,"ERRO: matrícula negativa",IF(COUNTIFS($A$5:$A$1200,A583,$B$5:$B$1200,B583)&gt;1,"ERRO: período e curso duplicados","OK")))</f>
        <v/>
      </c>
    </row>
    <row r="584" ht="15" customHeight="1" s="131">
      <c r="A584" s="220" t="n"/>
      <c r="B584" s="222" t="n"/>
      <c r="C584" s="220" t="n"/>
      <c r="D584" s="179">
        <f>IFERROR(C584,"")</f>
        <v/>
      </c>
      <c r="E584" s="219" t="n"/>
      <c r="F584" s="220" t="n"/>
      <c r="G584" s="221">
        <f>IF(COUNTA(A584:C584)=0,"",IF(C584&lt;0,"ERRO: matrícula negativa",IF(COUNTIFS($A$5:$A$1200,A584,$B$5:$B$1200,B584)&gt;1,"ERRO: período e curso duplicados","OK")))</f>
        <v/>
      </c>
    </row>
    <row r="585" ht="15" customHeight="1" s="131">
      <c r="A585" s="220" t="n"/>
      <c r="B585" s="222" t="n"/>
      <c r="C585" s="220" t="n"/>
      <c r="D585" s="179">
        <f>IFERROR(C585,"")</f>
        <v/>
      </c>
      <c r="E585" s="219" t="n"/>
      <c r="F585" s="220" t="n"/>
      <c r="G585" s="221">
        <f>IF(COUNTA(A585:C585)=0,"",IF(C585&lt;0,"ERRO: matrícula negativa",IF(COUNTIFS($A$5:$A$1200,A585,$B$5:$B$1200,B585)&gt;1,"ERRO: período e curso duplicados","OK")))</f>
        <v/>
      </c>
    </row>
    <row r="586" ht="15" customHeight="1" s="131">
      <c r="A586" s="220" t="n"/>
      <c r="B586" s="222" t="n"/>
      <c r="C586" s="220" t="n"/>
      <c r="D586" s="179">
        <f>IFERROR(C586,"")</f>
        <v/>
      </c>
      <c r="E586" s="219" t="n"/>
      <c r="F586" s="220" t="n"/>
      <c r="G586" s="221">
        <f>IF(COUNTA(A586:C586)=0,"",IF(C586&lt;0,"ERRO: matrícula negativa",IF(COUNTIFS($A$5:$A$1200,A586,$B$5:$B$1200,B586)&gt;1,"ERRO: período e curso duplicados","OK")))</f>
        <v/>
      </c>
    </row>
    <row r="587" ht="15" customHeight="1" s="131">
      <c r="A587" s="220" t="n"/>
      <c r="B587" s="222" t="n"/>
      <c r="C587" s="220" t="n"/>
      <c r="D587" s="179">
        <f>IFERROR(C587,"")</f>
        <v/>
      </c>
      <c r="E587" s="219" t="n"/>
      <c r="F587" s="220" t="n"/>
      <c r="G587" s="221">
        <f>IF(COUNTA(A587:C587)=0,"",IF(C587&lt;0,"ERRO: matrícula negativa",IF(COUNTIFS($A$5:$A$1200,A587,$B$5:$B$1200,B587)&gt;1,"ERRO: período e curso duplicados","OK")))</f>
        <v/>
      </c>
    </row>
    <row r="588" ht="15" customHeight="1" s="131">
      <c r="A588" s="220" t="n"/>
      <c r="B588" s="222" t="n"/>
      <c r="C588" s="220" t="n"/>
      <c r="D588" s="179">
        <f>IFERROR(C588,"")</f>
        <v/>
      </c>
      <c r="E588" s="219" t="n"/>
      <c r="F588" s="220" t="n"/>
      <c r="G588" s="221">
        <f>IF(COUNTA(A588:C588)=0,"",IF(C588&lt;0,"ERRO: matrícula negativa",IF(COUNTIFS($A$5:$A$1200,A588,$B$5:$B$1200,B588)&gt;1,"ERRO: período e curso duplicados","OK")))</f>
        <v/>
      </c>
    </row>
    <row r="589" ht="15" customHeight="1" s="131">
      <c r="A589" s="220" t="n"/>
      <c r="B589" s="222" t="n"/>
      <c r="C589" s="220" t="n"/>
      <c r="D589" s="179">
        <f>IFERROR(C589,"")</f>
        <v/>
      </c>
      <c r="E589" s="219" t="n"/>
      <c r="F589" s="220" t="n"/>
      <c r="G589" s="221">
        <f>IF(COUNTA(A589:C589)=0,"",IF(C589&lt;0,"ERRO: matrícula negativa",IF(COUNTIFS($A$5:$A$1200,A589,$B$5:$B$1200,B589)&gt;1,"ERRO: período e curso duplicados","OK")))</f>
        <v/>
      </c>
    </row>
    <row r="590" ht="15" customHeight="1" s="131">
      <c r="A590" s="220" t="n"/>
      <c r="B590" s="222" t="n"/>
      <c r="C590" s="220" t="n"/>
      <c r="D590" s="179">
        <f>IFERROR(C590,"")</f>
        <v/>
      </c>
      <c r="E590" s="219" t="n"/>
      <c r="F590" s="220" t="n"/>
      <c r="G590" s="221">
        <f>IF(COUNTA(A590:C590)=0,"",IF(C590&lt;0,"ERRO: matrícula negativa",IF(COUNTIFS($A$5:$A$1200,A590,$B$5:$B$1200,B590)&gt;1,"ERRO: período e curso duplicados","OK")))</f>
        <v/>
      </c>
    </row>
    <row r="591" ht="15" customHeight="1" s="131">
      <c r="A591" s="220" t="n"/>
      <c r="B591" s="222" t="n"/>
      <c r="C591" s="220" t="n"/>
      <c r="D591" s="179">
        <f>IFERROR(C591,"")</f>
        <v/>
      </c>
      <c r="E591" s="219" t="n"/>
      <c r="F591" s="220" t="n"/>
      <c r="G591" s="221">
        <f>IF(COUNTA(A591:C591)=0,"",IF(C591&lt;0,"ERRO: matrícula negativa",IF(COUNTIFS($A$5:$A$1200,A591,$B$5:$B$1200,B591)&gt;1,"ERRO: período e curso duplicados","OK")))</f>
        <v/>
      </c>
    </row>
    <row r="592" ht="15" customHeight="1" s="131">
      <c r="A592" s="220" t="n"/>
      <c r="B592" s="222" t="n"/>
      <c r="C592" s="220" t="n"/>
      <c r="D592" s="179">
        <f>IFERROR(C592,"")</f>
        <v/>
      </c>
      <c r="E592" s="219" t="n"/>
      <c r="F592" s="220" t="n"/>
      <c r="G592" s="221">
        <f>IF(COUNTA(A592:C592)=0,"",IF(C592&lt;0,"ERRO: matrícula negativa",IF(COUNTIFS($A$5:$A$1200,A592,$B$5:$B$1200,B592)&gt;1,"ERRO: período e curso duplicados","OK")))</f>
        <v/>
      </c>
    </row>
    <row r="593" ht="15" customHeight="1" s="131">
      <c r="A593" s="220" t="n"/>
      <c r="B593" s="222" t="n"/>
      <c r="C593" s="220" t="n"/>
      <c r="D593" s="179">
        <f>IFERROR(C593,"")</f>
        <v/>
      </c>
      <c r="E593" s="219" t="n"/>
      <c r="F593" s="220" t="n"/>
      <c r="G593" s="221">
        <f>IF(COUNTA(A593:C593)=0,"",IF(C593&lt;0,"ERRO: matrícula negativa",IF(COUNTIFS($A$5:$A$1200,A593,$B$5:$B$1200,B593)&gt;1,"ERRO: período e curso duplicados","OK")))</f>
        <v/>
      </c>
    </row>
    <row r="594" ht="15" customHeight="1" s="131">
      <c r="A594" s="220" t="n"/>
      <c r="B594" s="222" t="n"/>
      <c r="C594" s="220" t="n"/>
      <c r="D594" s="179">
        <f>IFERROR(C594,"")</f>
        <v/>
      </c>
      <c r="E594" s="219" t="n"/>
      <c r="F594" s="220" t="n"/>
      <c r="G594" s="221">
        <f>IF(COUNTA(A594:C594)=0,"",IF(C594&lt;0,"ERRO: matrícula negativa",IF(COUNTIFS($A$5:$A$1200,A594,$B$5:$B$1200,B594)&gt;1,"ERRO: período e curso duplicados","OK")))</f>
        <v/>
      </c>
    </row>
    <row r="595" ht="15" customHeight="1" s="131">
      <c r="A595" s="220" t="n"/>
      <c r="B595" s="222" t="n"/>
      <c r="C595" s="220" t="n"/>
      <c r="D595" s="179">
        <f>IFERROR(C595,"")</f>
        <v/>
      </c>
      <c r="E595" s="219" t="n"/>
      <c r="F595" s="220" t="n"/>
      <c r="G595" s="221">
        <f>IF(COUNTA(A595:C595)=0,"",IF(C595&lt;0,"ERRO: matrícula negativa",IF(COUNTIFS($A$5:$A$1200,A595,$B$5:$B$1200,B595)&gt;1,"ERRO: período e curso duplicados","OK")))</f>
        <v/>
      </c>
    </row>
    <row r="596" ht="15" customHeight="1" s="131">
      <c r="A596" s="220" t="n"/>
      <c r="B596" s="222" t="n"/>
      <c r="C596" s="220" t="n"/>
      <c r="D596" s="179">
        <f>IFERROR(C596,"")</f>
        <v/>
      </c>
      <c r="E596" s="219" t="n"/>
      <c r="F596" s="220" t="n"/>
      <c r="G596" s="221">
        <f>IF(COUNTA(A596:C596)=0,"",IF(C596&lt;0,"ERRO: matrícula negativa",IF(COUNTIFS($A$5:$A$1200,A596,$B$5:$B$1200,B596)&gt;1,"ERRO: período e curso duplicados","OK")))</f>
        <v/>
      </c>
    </row>
    <row r="597" ht="15" customHeight="1" s="131">
      <c r="A597" s="220" t="n"/>
      <c r="B597" s="222" t="n"/>
      <c r="C597" s="220" t="n"/>
      <c r="D597" s="179">
        <f>IFERROR(C597,"")</f>
        <v/>
      </c>
      <c r="E597" s="219" t="n"/>
      <c r="F597" s="220" t="n"/>
      <c r="G597" s="221">
        <f>IF(COUNTA(A597:C597)=0,"",IF(C597&lt;0,"ERRO: matrícula negativa",IF(COUNTIFS($A$5:$A$1200,A597,$B$5:$B$1200,B597)&gt;1,"ERRO: período e curso duplicados","OK")))</f>
        <v/>
      </c>
    </row>
    <row r="598" ht="15" customHeight="1" s="131">
      <c r="A598" s="220" t="n"/>
      <c r="B598" s="222" t="n"/>
      <c r="C598" s="220" t="n"/>
      <c r="D598" s="179">
        <f>IFERROR(C598,"")</f>
        <v/>
      </c>
      <c r="E598" s="219" t="n"/>
      <c r="F598" s="220" t="n"/>
      <c r="G598" s="221">
        <f>IF(COUNTA(A598:C598)=0,"",IF(C598&lt;0,"ERRO: matrícula negativa",IF(COUNTIFS($A$5:$A$1200,A598,$B$5:$B$1200,B598)&gt;1,"ERRO: período e curso duplicados","OK")))</f>
        <v/>
      </c>
    </row>
    <row r="599" ht="15" customHeight="1" s="131">
      <c r="A599" s="220" t="n"/>
      <c r="B599" s="222" t="n"/>
      <c r="C599" s="220" t="n"/>
      <c r="D599" s="179">
        <f>IFERROR(C599,"")</f>
        <v/>
      </c>
      <c r="E599" s="219" t="n"/>
      <c r="F599" s="220" t="n"/>
      <c r="G599" s="221">
        <f>IF(COUNTA(A599:C599)=0,"",IF(C599&lt;0,"ERRO: matrícula negativa",IF(COUNTIFS($A$5:$A$1200,A599,$B$5:$B$1200,B599)&gt;1,"ERRO: período e curso duplicados","OK")))</f>
        <v/>
      </c>
    </row>
    <row r="600" ht="15" customHeight="1" s="131">
      <c r="A600" s="220" t="n"/>
      <c r="B600" s="222" t="n"/>
      <c r="C600" s="220" t="n"/>
      <c r="D600" s="179">
        <f>IFERROR(C600,"")</f>
        <v/>
      </c>
      <c r="E600" s="219" t="n"/>
      <c r="F600" s="220" t="n"/>
      <c r="G600" s="221">
        <f>IF(COUNTA(A600:C600)=0,"",IF(C600&lt;0,"ERRO: matrícula negativa",IF(COUNTIFS($A$5:$A$1200,A600,$B$5:$B$1200,B600)&gt;1,"ERRO: período e curso duplicados","OK")))</f>
        <v/>
      </c>
    </row>
    <row r="601" ht="15" customHeight="1" s="131">
      <c r="A601" s="220" t="n"/>
      <c r="B601" s="222" t="n"/>
      <c r="C601" s="220" t="n"/>
      <c r="D601" s="179">
        <f>IFERROR(C601,"")</f>
        <v/>
      </c>
      <c r="E601" s="219" t="n"/>
      <c r="F601" s="220" t="n"/>
      <c r="G601" s="221">
        <f>IF(COUNTA(A601:C601)=0,"",IF(C601&lt;0,"ERRO: matrícula negativa",IF(COUNTIFS($A$5:$A$1200,A601,$B$5:$B$1200,B601)&gt;1,"ERRO: período e curso duplicados","OK")))</f>
        <v/>
      </c>
    </row>
    <row r="602" ht="15" customHeight="1" s="131">
      <c r="A602" s="220" t="n"/>
      <c r="B602" s="222" t="n"/>
      <c r="C602" s="220" t="n"/>
      <c r="D602" s="179">
        <f>IFERROR(C602,"")</f>
        <v/>
      </c>
      <c r="E602" s="219" t="n"/>
      <c r="F602" s="220" t="n"/>
      <c r="G602" s="221">
        <f>IF(COUNTA(A602:C602)=0,"",IF(C602&lt;0,"ERRO: matrícula negativa",IF(COUNTIFS($A$5:$A$1200,A602,$B$5:$B$1200,B602)&gt;1,"ERRO: período e curso duplicados","OK")))</f>
        <v/>
      </c>
    </row>
    <row r="603" ht="15" customHeight="1" s="131">
      <c r="A603" s="220" t="n"/>
      <c r="B603" s="222" t="n"/>
      <c r="C603" s="220" t="n"/>
      <c r="D603" s="179">
        <f>IFERROR(C603,"")</f>
        <v/>
      </c>
      <c r="E603" s="219" t="n"/>
      <c r="F603" s="220" t="n"/>
      <c r="G603" s="221">
        <f>IF(COUNTA(A603:C603)=0,"",IF(C603&lt;0,"ERRO: matrícula negativa",IF(COUNTIFS($A$5:$A$1200,A603,$B$5:$B$1200,B603)&gt;1,"ERRO: período e curso duplicados","OK")))</f>
        <v/>
      </c>
    </row>
    <row r="604" ht="15" customHeight="1" s="131">
      <c r="A604" s="220" t="n"/>
      <c r="B604" s="222" t="n"/>
      <c r="C604" s="220" t="n"/>
      <c r="D604" s="179">
        <f>IFERROR(C604,"")</f>
        <v/>
      </c>
      <c r="E604" s="219" t="n"/>
      <c r="F604" s="220" t="n"/>
      <c r="G604" s="221">
        <f>IF(COUNTA(A604:C604)=0,"",IF(C604&lt;0,"ERRO: matrícula negativa",IF(COUNTIFS($A$5:$A$1200,A604,$B$5:$B$1200,B604)&gt;1,"ERRO: período e curso duplicados","OK")))</f>
        <v/>
      </c>
    </row>
    <row r="605" ht="15" customHeight="1" s="131">
      <c r="A605" s="220" t="n"/>
      <c r="B605" s="222" t="n"/>
      <c r="C605" s="220" t="n"/>
      <c r="D605" s="179">
        <f>IFERROR(C605,"")</f>
        <v/>
      </c>
      <c r="E605" s="219" t="n"/>
      <c r="F605" s="220" t="n"/>
      <c r="G605" s="221">
        <f>IF(COUNTA(A605:C605)=0,"",IF(C605&lt;0,"ERRO: matrícula negativa",IF(COUNTIFS($A$5:$A$1200,A605,$B$5:$B$1200,B605)&gt;1,"ERRO: período e curso duplicados","OK")))</f>
        <v/>
      </c>
    </row>
    <row r="606" ht="15" customHeight="1" s="131">
      <c r="A606" s="220" t="n"/>
      <c r="B606" s="222" t="n"/>
      <c r="C606" s="220" t="n"/>
      <c r="D606" s="179">
        <f>IFERROR(C606,"")</f>
        <v/>
      </c>
      <c r="E606" s="219" t="n"/>
      <c r="F606" s="220" t="n"/>
      <c r="G606" s="221">
        <f>IF(COUNTA(A606:C606)=0,"",IF(C606&lt;0,"ERRO: matrícula negativa",IF(COUNTIFS($A$5:$A$1200,A606,$B$5:$B$1200,B606)&gt;1,"ERRO: período e curso duplicados","OK")))</f>
        <v/>
      </c>
    </row>
    <row r="607" ht="15" customHeight="1" s="131">
      <c r="A607" s="220" t="n"/>
      <c r="B607" s="222" t="n"/>
      <c r="C607" s="220" t="n"/>
      <c r="D607" s="179">
        <f>IFERROR(C607,"")</f>
        <v/>
      </c>
      <c r="E607" s="219" t="n"/>
      <c r="F607" s="220" t="n"/>
      <c r="G607" s="221">
        <f>IF(COUNTA(A607:C607)=0,"",IF(C607&lt;0,"ERRO: matrícula negativa",IF(COUNTIFS($A$5:$A$1200,A607,$B$5:$B$1200,B607)&gt;1,"ERRO: período e curso duplicados","OK")))</f>
        <v/>
      </c>
    </row>
    <row r="608" ht="15" customHeight="1" s="131">
      <c r="A608" s="220" t="n"/>
      <c r="B608" s="222" t="n"/>
      <c r="C608" s="220" t="n"/>
      <c r="D608" s="179">
        <f>IFERROR(C608,"")</f>
        <v/>
      </c>
      <c r="E608" s="219" t="n"/>
      <c r="F608" s="220" t="n"/>
      <c r="G608" s="221">
        <f>IF(COUNTA(A608:C608)=0,"",IF(C608&lt;0,"ERRO: matrícula negativa",IF(COUNTIFS($A$5:$A$1200,A608,$B$5:$B$1200,B608)&gt;1,"ERRO: período e curso duplicados","OK")))</f>
        <v/>
      </c>
    </row>
    <row r="609" ht="15" customHeight="1" s="131">
      <c r="A609" s="220" t="n"/>
      <c r="B609" s="222" t="n"/>
      <c r="C609" s="220" t="n"/>
      <c r="D609" s="179">
        <f>IFERROR(C609,"")</f>
        <v/>
      </c>
      <c r="E609" s="219" t="n"/>
      <c r="F609" s="220" t="n"/>
      <c r="G609" s="221">
        <f>IF(COUNTA(A609:C609)=0,"",IF(C609&lt;0,"ERRO: matrícula negativa",IF(COUNTIFS($A$5:$A$1200,A609,$B$5:$B$1200,B609)&gt;1,"ERRO: período e curso duplicados","OK")))</f>
        <v/>
      </c>
    </row>
    <row r="610" ht="15" customHeight="1" s="131">
      <c r="A610" s="220" t="n"/>
      <c r="B610" s="222" t="n"/>
      <c r="C610" s="220" t="n"/>
      <c r="D610" s="179">
        <f>IFERROR(C610,"")</f>
        <v/>
      </c>
      <c r="E610" s="219" t="n"/>
      <c r="F610" s="220" t="n"/>
      <c r="G610" s="221">
        <f>IF(COUNTA(A610:C610)=0,"",IF(C610&lt;0,"ERRO: matrícula negativa",IF(COUNTIFS($A$5:$A$1200,A610,$B$5:$B$1200,B610)&gt;1,"ERRO: período e curso duplicados","OK")))</f>
        <v/>
      </c>
    </row>
    <row r="611" ht="15" customHeight="1" s="131">
      <c r="A611" s="220" t="n"/>
      <c r="B611" s="222" t="n"/>
      <c r="C611" s="220" t="n"/>
      <c r="D611" s="179">
        <f>IFERROR(C611,"")</f>
        <v/>
      </c>
      <c r="E611" s="219" t="n"/>
      <c r="F611" s="220" t="n"/>
      <c r="G611" s="221">
        <f>IF(COUNTA(A611:C611)=0,"",IF(C611&lt;0,"ERRO: matrícula negativa",IF(COUNTIFS($A$5:$A$1200,A611,$B$5:$B$1200,B611)&gt;1,"ERRO: período e curso duplicados","OK")))</f>
        <v/>
      </c>
    </row>
    <row r="612" ht="15" customHeight="1" s="131">
      <c r="A612" s="220" t="n"/>
      <c r="B612" s="222" t="n"/>
      <c r="C612" s="220" t="n"/>
      <c r="D612" s="179">
        <f>IFERROR(C612,"")</f>
        <v/>
      </c>
      <c r="E612" s="219" t="n"/>
      <c r="F612" s="220" t="n"/>
      <c r="G612" s="221">
        <f>IF(COUNTA(A612:C612)=0,"",IF(C612&lt;0,"ERRO: matrícula negativa",IF(COUNTIFS($A$5:$A$1200,A612,$B$5:$B$1200,B612)&gt;1,"ERRO: período e curso duplicados","OK")))</f>
        <v/>
      </c>
    </row>
    <row r="613" ht="15" customHeight="1" s="131">
      <c r="A613" s="220" t="n"/>
      <c r="B613" s="222" t="n"/>
      <c r="C613" s="220" t="n"/>
      <c r="D613" s="179">
        <f>IFERROR(C613,"")</f>
        <v/>
      </c>
      <c r="E613" s="219" t="n"/>
      <c r="F613" s="220" t="n"/>
      <c r="G613" s="221">
        <f>IF(COUNTA(A613:C613)=0,"",IF(C613&lt;0,"ERRO: matrícula negativa",IF(COUNTIFS($A$5:$A$1200,A613,$B$5:$B$1200,B613)&gt;1,"ERRO: período e curso duplicados","OK")))</f>
        <v/>
      </c>
    </row>
    <row r="614" ht="15" customHeight="1" s="131">
      <c r="A614" s="220" t="n"/>
      <c r="B614" s="222" t="n"/>
      <c r="C614" s="220" t="n"/>
      <c r="D614" s="179">
        <f>IFERROR(C614,"")</f>
        <v/>
      </c>
      <c r="E614" s="219" t="n"/>
      <c r="F614" s="220" t="n"/>
      <c r="G614" s="221">
        <f>IF(COUNTA(A614:C614)=0,"",IF(C614&lt;0,"ERRO: matrícula negativa",IF(COUNTIFS($A$5:$A$1200,A614,$B$5:$B$1200,B614)&gt;1,"ERRO: período e curso duplicados","OK")))</f>
        <v/>
      </c>
    </row>
    <row r="615" ht="15" customHeight="1" s="131">
      <c r="A615" s="220" t="n"/>
      <c r="B615" s="222" t="n"/>
      <c r="C615" s="220" t="n"/>
      <c r="D615" s="179">
        <f>IFERROR(C615,"")</f>
        <v/>
      </c>
      <c r="E615" s="219" t="n"/>
      <c r="F615" s="220" t="n"/>
      <c r="G615" s="221">
        <f>IF(COUNTA(A615:C615)=0,"",IF(C615&lt;0,"ERRO: matrícula negativa",IF(COUNTIFS($A$5:$A$1200,A615,$B$5:$B$1200,B615)&gt;1,"ERRO: período e curso duplicados","OK")))</f>
        <v/>
      </c>
    </row>
    <row r="616" ht="15" customHeight="1" s="131">
      <c r="A616" s="220" t="n"/>
      <c r="B616" s="222" t="n"/>
      <c r="C616" s="220" t="n"/>
      <c r="D616" s="179">
        <f>IFERROR(C616,"")</f>
        <v/>
      </c>
      <c r="E616" s="219" t="n"/>
      <c r="F616" s="220" t="n"/>
      <c r="G616" s="221">
        <f>IF(COUNTA(A616:C616)=0,"",IF(C616&lt;0,"ERRO: matrícula negativa",IF(COUNTIFS($A$5:$A$1200,A616,$B$5:$B$1200,B616)&gt;1,"ERRO: período e curso duplicados","OK")))</f>
        <v/>
      </c>
    </row>
    <row r="617" ht="15" customHeight="1" s="131">
      <c r="A617" s="220" t="n"/>
      <c r="B617" s="222" t="n"/>
      <c r="C617" s="220" t="n"/>
      <c r="D617" s="179">
        <f>IFERROR(C617,"")</f>
        <v/>
      </c>
      <c r="E617" s="219" t="n"/>
      <c r="F617" s="220" t="n"/>
      <c r="G617" s="221">
        <f>IF(COUNTA(A617:C617)=0,"",IF(C617&lt;0,"ERRO: matrícula negativa",IF(COUNTIFS($A$5:$A$1200,A617,$B$5:$B$1200,B617)&gt;1,"ERRO: período e curso duplicados","OK")))</f>
        <v/>
      </c>
    </row>
    <row r="618" ht="15" customHeight="1" s="131">
      <c r="A618" s="220" t="n"/>
      <c r="B618" s="222" t="n"/>
      <c r="C618" s="220" t="n"/>
      <c r="D618" s="179">
        <f>IFERROR(C618,"")</f>
        <v/>
      </c>
      <c r="E618" s="219" t="n"/>
      <c r="F618" s="220" t="n"/>
      <c r="G618" s="221">
        <f>IF(COUNTA(A618:C618)=0,"",IF(C618&lt;0,"ERRO: matrícula negativa",IF(COUNTIFS($A$5:$A$1200,A618,$B$5:$B$1200,B618)&gt;1,"ERRO: período e curso duplicados","OK")))</f>
        <v/>
      </c>
    </row>
    <row r="619" ht="15" customHeight="1" s="131">
      <c r="A619" s="220" t="n"/>
      <c r="B619" s="222" t="n"/>
      <c r="C619" s="220" t="n"/>
      <c r="D619" s="179">
        <f>IFERROR(C619,"")</f>
        <v/>
      </c>
      <c r="E619" s="219" t="n"/>
      <c r="F619" s="220" t="n"/>
      <c r="G619" s="221">
        <f>IF(COUNTA(A619:C619)=0,"",IF(C619&lt;0,"ERRO: matrícula negativa",IF(COUNTIFS($A$5:$A$1200,A619,$B$5:$B$1200,B619)&gt;1,"ERRO: período e curso duplicados","OK")))</f>
        <v/>
      </c>
    </row>
    <row r="620" ht="15" customHeight="1" s="131">
      <c r="A620" s="220" t="n"/>
      <c r="B620" s="222" t="n"/>
      <c r="C620" s="220" t="n"/>
      <c r="D620" s="179">
        <f>IFERROR(C620,"")</f>
        <v/>
      </c>
      <c r="E620" s="219" t="n"/>
      <c r="F620" s="220" t="n"/>
      <c r="G620" s="221">
        <f>IF(COUNTA(A620:C620)=0,"",IF(C620&lt;0,"ERRO: matrícula negativa",IF(COUNTIFS($A$5:$A$1200,A620,$B$5:$B$1200,B620)&gt;1,"ERRO: período e curso duplicados","OK")))</f>
        <v/>
      </c>
    </row>
    <row r="621" ht="15" customHeight="1" s="131">
      <c r="A621" s="220" t="n"/>
      <c r="B621" s="222" t="n"/>
      <c r="C621" s="220" t="n"/>
      <c r="D621" s="179">
        <f>IFERROR(C621,"")</f>
        <v/>
      </c>
      <c r="E621" s="219" t="n"/>
      <c r="F621" s="220" t="n"/>
      <c r="G621" s="221">
        <f>IF(COUNTA(A621:C621)=0,"",IF(C621&lt;0,"ERRO: matrícula negativa",IF(COUNTIFS($A$5:$A$1200,A621,$B$5:$B$1200,B621)&gt;1,"ERRO: período e curso duplicados","OK")))</f>
        <v/>
      </c>
    </row>
    <row r="622" ht="15" customHeight="1" s="131">
      <c r="A622" s="220" t="n"/>
      <c r="B622" s="222" t="n"/>
      <c r="C622" s="220" t="n"/>
      <c r="D622" s="179">
        <f>IFERROR(C622,"")</f>
        <v/>
      </c>
      <c r="E622" s="219" t="n"/>
      <c r="F622" s="220" t="n"/>
      <c r="G622" s="221">
        <f>IF(COUNTA(A622:C622)=0,"",IF(C622&lt;0,"ERRO: matrícula negativa",IF(COUNTIFS($A$5:$A$1200,A622,$B$5:$B$1200,B622)&gt;1,"ERRO: período e curso duplicados","OK")))</f>
        <v/>
      </c>
    </row>
    <row r="623" ht="15" customHeight="1" s="131">
      <c r="A623" s="220" t="n"/>
      <c r="B623" s="222" t="n"/>
      <c r="C623" s="220" t="n"/>
      <c r="D623" s="179">
        <f>IFERROR(C623,"")</f>
        <v/>
      </c>
      <c r="E623" s="219" t="n"/>
      <c r="F623" s="220" t="n"/>
      <c r="G623" s="221">
        <f>IF(COUNTA(A623:C623)=0,"",IF(C623&lt;0,"ERRO: matrícula negativa",IF(COUNTIFS($A$5:$A$1200,A623,$B$5:$B$1200,B623)&gt;1,"ERRO: período e curso duplicados","OK")))</f>
        <v/>
      </c>
    </row>
    <row r="624" ht="15" customHeight="1" s="131">
      <c r="A624" s="220" t="n"/>
      <c r="B624" s="222" t="n"/>
      <c r="C624" s="220" t="n"/>
      <c r="D624" s="179">
        <f>IFERROR(C624,"")</f>
        <v/>
      </c>
      <c r="E624" s="219" t="n"/>
      <c r="F624" s="220" t="n"/>
      <c r="G624" s="221">
        <f>IF(COUNTA(A624:C624)=0,"",IF(C624&lt;0,"ERRO: matrícula negativa",IF(COUNTIFS($A$5:$A$1200,A624,$B$5:$B$1200,B624)&gt;1,"ERRO: período e curso duplicados","OK")))</f>
        <v/>
      </c>
    </row>
    <row r="625" ht="15" customHeight="1" s="131">
      <c r="A625" s="220" t="n"/>
      <c r="B625" s="222" t="n"/>
      <c r="C625" s="220" t="n"/>
      <c r="D625" s="179">
        <f>IFERROR(C625,"")</f>
        <v/>
      </c>
      <c r="E625" s="219" t="n"/>
      <c r="F625" s="220" t="n"/>
      <c r="G625" s="221">
        <f>IF(COUNTA(A625:C625)=0,"",IF(C625&lt;0,"ERRO: matrícula negativa",IF(COUNTIFS($A$5:$A$1200,A625,$B$5:$B$1200,B625)&gt;1,"ERRO: período e curso duplicados","OK")))</f>
        <v/>
      </c>
    </row>
    <row r="626" ht="15" customHeight="1" s="131">
      <c r="A626" s="220" t="n"/>
      <c r="B626" s="222" t="n"/>
      <c r="C626" s="220" t="n"/>
      <c r="D626" s="179">
        <f>IFERROR(C626,"")</f>
        <v/>
      </c>
      <c r="E626" s="219" t="n"/>
      <c r="F626" s="220" t="n"/>
      <c r="G626" s="221">
        <f>IF(COUNTA(A626:C626)=0,"",IF(C626&lt;0,"ERRO: matrícula negativa",IF(COUNTIFS($A$5:$A$1200,A626,$B$5:$B$1200,B626)&gt;1,"ERRO: período e curso duplicados","OK")))</f>
        <v/>
      </c>
    </row>
    <row r="627" ht="15" customHeight="1" s="131">
      <c r="A627" s="220" t="n"/>
      <c r="B627" s="222" t="n"/>
      <c r="C627" s="220" t="n"/>
      <c r="D627" s="179">
        <f>IFERROR(C627,"")</f>
        <v/>
      </c>
      <c r="E627" s="219" t="n"/>
      <c r="F627" s="220" t="n"/>
      <c r="G627" s="221">
        <f>IF(COUNTA(A627:C627)=0,"",IF(C627&lt;0,"ERRO: matrícula negativa",IF(COUNTIFS($A$5:$A$1200,A627,$B$5:$B$1200,B627)&gt;1,"ERRO: período e curso duplicados","OK")))</f>
        <v/>
      </c>
    </row>
    <row r="628" ht="15" customHeight="1" s="131">
      <c r="A628" s="220" t="n"/>
      <c r="B628" s="222" t="n"/>
      <c r="C628" s="220" t="n"/>
      <c r="D628" s="179">
        <f>IFERROR(C628,"")</f>
        <v/>
      </c>
      <c r="E628" s="219" t="n"/>
      <c r="F628" s="220" t="n"/>
      <c r="G628" s="221">
        <f>IF(COUNTA(A628:C628)=0,"",IF(C628&lt;0,"ERRO: matrícula negativa",IF(COUNTIFS($A$5:$A$1200,A628,$B$5:$B$1200,B628)&gt;1,"ERRO: período e curso duplicados","OK")))</f>
        <v/>
      </c>
    </row>
    <row r="629" ht="15" customHeight="1" s="131">
      <c r="A629" s="220" t="n"/>
      <c r="B629" s="222" t="n"/>
      <c r="C629" s="220" t="n"/>
      <c r="D629" s="179">
        <f>IFERROR(C629,"")</f>
        <v/>
      </c>
      <c r="E629" s="219" t="n"/>
      <c r="F629" s="220" t="n"/>
      <c r="G629" s="221">
        <f>IF(COUNTA(A629:C629)=0,"",IF(C629&lt;0,"ERRO: matrícula negativa",IF(COUNTIFS($A$5:$A$1200,A629,$B$5:$B$1200,B629)&gt;1,"ERRO: período e curso duplicados","OK")))</f>
        <v/>
      </c>
    </row>
    <row r="630" ht="15" customHeight="1" s="131">
      <c r="A630" s="220" t="n"/>
      <c r="B630" s="222" t="n"/>
      <c r="C630" s="220" t="n"/>
      <c r="D630" s="179">
        <f>IFERROR(C630,"")</f>
        <v/>
      </c>
      <c r="E630" s="219" t="n"/>
      <c r="F630" s="220" t="n"/>
      <c r="G630" s="221">
        <f>IF(COUNTA(A630:C630)=0,"",IF(C630&lt;0,"ERRO: matrícula negativa",IF(COUNTIFS($A$5:$A$1200,A630,$B$5:$B$1200,B630)&gt;1,"ERRO: período e curso duplicados","OK")))</f>
        <v/>
      </c>
    </row>
    <row r="631" ht="15" customHeight="1" s="131">
      <c r="A631" s="220" t="n"/>
      <c r="B631" s="222" t="n"/>
      <c r="C631" s="220" t="n"/>
      <c r="D631" s="179">
        <f>IFERROR(C631,"")</f>
        <v/>
      </c>
      <c r="E631" s="219" t="n"/>
      <c r="F631" s="220" t="n"/>
      <c r="G631" s="221">
        <f>IF(COUNTA(A631:C631)=0,"",IF(C631&lt;0,"ERRO: matrícula negativa",IF(COUNTIFS($A$5:$A$1200,A631,$B$5:$B$1200,B631)&gt;1,"ERRO: período e curso duplicados","OK")))</f>
        <v/>
      </c>
    </row>
    <row r="632" ht="15" customHeight="1" s="131">
      <c r="A632" s="220" t="n"/>
      <c r="B632" s="222" t="n"/>
      <c r="C632" s="220" t="n"/>
      <c r="D632" s="179">
        <f>IFERROR(C632,"")</f>
        <v/>
      </c>
      <c r="E632" s="219" t="n"/>
      <c r="F632" s="220" t="n"/>
      <c r="G632" s="221">
        <f>IF(COUNTA(A632:C632)=0,"",IF(C632&lt;0,"ERRO: matrícula negativa",IF(COUNTIFS($A$5:$A$1200,A632,$B$5:$B$1200,B632)&gt;1,"ERRO: período e curso duplicados","OK")))</f>
        <v/>
      </c>
    </row>
    <row r="633" ht="15" customHeight="1" s="131">
      <c r="A633" s="220" t="n"/>
      <c r="B633" s="222" t="n"/>
      <c r="C633" s="220" t="n"/>
      <c r="D633" s="179">
        <f>IFERROR(C633,"")</f>
        <v/>
      </c>
      <c r="E633" s="219" t="n"/>
      <c r="F633" s="220" t="n"/>
      <c r="G633" s="221">
        <f>IF(COUNTA(A633:C633)=0,"",IF(C633&lt;0,"ERRO: matrícula negativa",IF(COUNTIFS($A$5:$A$1200,A633,$B$5:$B$1200,B633)&gt;1,"ERRO: período e curso duplicados","OK")))</f>
        <v/>
      </c>
    </row>
    <row r="634" ht="15" customHeight="1" s="131">
      <c r="A634" s="220" t="n"/>
      <c r="B634" s="222" t="n"/>
      <c r="C634" s="220" t="n"/>
      <c r="D634" s="179">
        <f>IFERROR(C634,"")</f>
        <v/>
      </c>
      <c r="E634" s="219" t="n"/>
      <c r="F634" s="220" t="n"/>
      <c r="G634" s="221">
        <f>IF(COUNTA(A634:C634)=0,"",IF(C634&lt;0,"ERRO: matrícula negativa",IF(COUNTIFS($A$5:$A$1200,A634,$B$5:$B$1200,B634)&gt;1,"ERRO: período e curso duplicados","OK")))</f>
        <v/>
      </c>
    </row>
    <row r="635" ht="15" customHeight="1" s="131">
      <c r="A635" s="220" t="n"/>
      <c r="B635" s="222" t="n"/>
      <c r="C635" s="220" t="n"/>
      <c r="D635" s="179">
        <f>IFERROR(C635,"")</f>
        <v/>
      </c>
      <c r="E635" s="219" t="n"/>
      <c r="F635" s="220" t="n"/>
      <c r="G635" s="221">
        <f>IF(COUNTA(A635:C635)=0,"",IF(C635&lt;0,"ERRO: matrícula negativa",IF(COUNTIFS($A$5:$A$1200,A635,$B$5:$B$1200,B635)&gt;1,"ERRO: período e curso duplicados","OK")))</f>
        <v/>
      </c>
    </row>
    <row r="636" ht="15" customHeight="1" s="131">
      <c r="A636" s="220" t="n"/>
      <c r="B636" s="222" t="n"/>
      <c r="C636" s="220" t="n"/>
      <c r="D636" s="179">
        <f>IFERROR(C636,"")</f>
        <v/>
      </c>
      <c r="E636" s="219" t="n"/>
      <c r="F636" s="220" t="n"/>
      <c r="G636" s="221">
        <f>IF(COUNTA(A636:C636)=0,"",IF(C636&lt;0,"ERRO: matrícula negativa",IF(COUNTIFS($A$5:$A$1200,A636,$B$5:$B$1200,B636)&gt;1,"ERRO: período e curso duplicados","OK")))</f>
        <v/>
      </c>
    </row>
    <row r="637" ht="15" customHeight="1" s="131">
      <c r="A637" s="220" t="n"/>
      <c r="B637" s="222" t="n"/>
      <c r="C637" s="220" t="n"/>
      <c r="D637" s="179">
        <f>IFERROR(C637,"")</f>
        <v/>
      </c>
      <c r="E637" s="219" t="n"/>
      <c r="F637" s="220" t="n"/>
      <c r="G637" s="221">
        <f>IF(COUNTA(A637:C637)=0,"",IF(C637&lt;0,"ERRO: matrícula negativa",IF(COUNTIFS($A$5:$A$1200,A637,$B$5:$B$1200,B637)&gt;1,"ERRO: período e curso duplicados","OK")))</f>
        <v/>
      </c>
    </row>
    <row r="638" ht="15" customHeight="1" s="131">
      <c r="A638" s="220" t="n"/>
      <c r="B638" s="222" t="n"/>
      <c r="C638" s="220" t="n"/>
      <c r="D638" s="179">
        <f>IFERROR(C638,"")</f>
        <v/>
      </c>
      <c r="E638" s="219" t="n"/>
      <c r="F638" s="220" t="n"/>
      <c r="G638" s="221">
        <f>IF(COUNTA(A638:C638)=0,"",IF(C638&lt;0,"ERRO: matrícula negativa",IF(COUNTIFS($A$5:$A$1200,A638,$B$5:$B$1200,B638)&gt;1,"ERRO: período e curso duplicados","OK")))</f>
        <v/>
      </c>
    </row>
    <row r="639" ht="15" customHeight="1" s="131">
      <c r="A639" s="220" t="n"/>
      <c r="B639" s="222" t="n"/>
      <c r="C639" s="220" t="n"/>
      <c r="D639" s="179">
        <f>IFERROR(C639,"")</f>
        <v/>
      </c>
      <c r="E639" s="219" t="n"/>
      <c r="F639" s="220" t="n"/>
      <c r="G639" s="221">
        <f>IF(COUNTA(A639:C639)=0,"",IF(C639&lt;0,"ERRO: matrícula negativa",IF(COUNTIFS($A$5:$A$1200,A639,$B$5:$B$1200,B639)&gt;1,"ERRO: período e curso duplicados","OK")))</f>
        <v/>
      </c>
    </row>
    <row r="640" ht="15" customHeight="1" s="131">
      <c r="A640" s="220" t="n"/>
      <c r="B640" s="222" t="n"/>
      <c r="C640" s="220" t="n"/>
      <c r="D640" s="179">
        <f>IFERROR(C640,"")</f>
        <v/>
      </c>
      <c r="E640" s="219" t="n"/>
      <c r="F640" s="220" t="n"/>
      <c r="G640" s="221">
        <f>IF(COUNTA(A640:C640)=0,"",IF(C640&lt;0,"ERRO: matrícula negativa",IF(COUNTIFS($A$5:$A$1200,A640,$B$5:$B$1200,B640)&gt;1,"ERRO: período e curso duplicados","OK")))</f>
        <v/>
      </c>
    </row>
    <row r="641" ht="15" customHeight="1" s="131">
      <c r="A641" s="220" t="n"/>
      <c r="B641" s="222" t="n"/>
      <c r="C641" s="220" t="n"/>
      <c r="D641" s="179">
        <f>IFERROR(C641,"")</f>
        <v/>
      </c>
      <c r="E641" s="219" t="n"/>
      <c r="F641" s="220" t="n"/>
      <c r="G641" s="221">
        <f>IF(COUNTA(A641:C641)=0,"",IF(C641&lt;0,"ERRO: matrícula negativa",IF(COUNTIFS($A$5:$A$1200,A641,$B$5:$B$1200,B641)&gt;1,"ERRO: período e curso duplicados","OK")))</f>
        <v/>
      </c>
    </row>
    <row r="642" ht="15" customHeight="1" s="131">
      <c r="A642" s="220" t="n"/>
      <c r="B642" s="222" t="n"/>
      <c r="C642" s="220" t="n"/>
      <c r="D642" s="179">
        <f>IFERROR(C642,"")</f>
        <v/>
      </c>
      <c r="E642" s="219" t="n"/>
      <c r="F642" s="220" t="n"/>
      <c r="G642" s="221">
        <f>IF(COUNTA(A642:C642)=0,"",IF(C642&lt;0,"ERRO: matrícula negativa",IF(COUNTIFS($A$5:$A$1200,A642,$B$5:$B$1200,B642)&gt;1,"ERRO: período e curso duplicados","OK")))</f>
        <v/>
      </c>
    </row>
    <row r="643" ht="15" customHeight="1" s="131">
      <c r="A643" s="220" t="n"/>
      <c r="B643" s="222" t="n"/>
      <c r="C643" s="220" t="n"/>
      <c r="D643" s="179">
        <f>IFERROR(C643,"")</f>
        <v/>
      </c>
      <c r="E643" s="219" t="n"/>
      <c r="F643" s="220" t="n"/>
      <c r="G643" s="221">
        <f>IF(COUNTA(A643:C643)=0,"",IF(C643&lt;0,"ERRO: matrícula negativa",IF(COUNTIFS($A$5:$A$1200,A643,$B$5:$B$1200,B643)&gt;1,"ERRO: período e curso duplicados","OK")))</f>
        <v/>
      </c>
    </row>
    <row r="644" ht="15" customHeight="1" s="131">
      <c r="A644" s="220" t="n"/>
      <c r="B644" s="222" t="n"/>
      <c r="C644" s="220" t="n"/>
      <c r="D644" s="179">
        <f>IFERROR(C644,"")</f>
        <v/>
      </c>
      <c r="E644" s="219" t="n"/>
      <c r="F644" s="220" t="n"/>
      <c r="G644" s="221">
        <f>IF(COUNTA(A644:C644)=0,"",IF(C644&lt;0,"ERRO: matrícula negativa",IF(COUNTIFS($A$5:$A$1200,A644,$B$5:$B$1200,B644)&gt;1,"ERRO: período e curso duplicados","OK")))</f>
        <v/>
      </c>
    </row>
    <row r="645" ht="15" customHeight="1" s="131">
      <c r="A645" s="220" t="n"/>
      <c r="B645" s="222" t="n"/>
      <c r="C645" s="220" t="n"/>
      <c r="D645" s="179">
        <f>IFERROR(C645,"")</f>
        <v/>
      </c>
      <c r="E645" s="219" t="n"/>
      <c r="F645" s="220" t="n"/>
      <c r="G645" s="221">
        <f>IF(COUNTA(A645:C645)=0,"",IF(C645&lt;0,"ERRO: matrícula negativa",IF(COUNTIFS($A$5:$A$1200,A645,$B$5:$B$1200,B645)&gt;1,"ERRO: período e curso duplicados","OK")))</f>
        <v/>
      </c>
    </row>
    <row r="646" ht="15" customHeight="1" s="131">
      <c r="A646" s="220" t="n"/>
      <c r="B646" s="222" t="n"/>
      <c r="C646" s="220" t="n"/>
      <c r="D646" s="179">
        <f>IFERROR(C646,"")</f>
        <v/>
      </c>
      <c r="E646" s="219" t="n"/>
      <c r="F646" s="220" t="n"/>
      <c r="G646" s="221">
        <f>IF(COUNTA(A646:C646)=0,"",IF(C646&lt;0,"ERRO: matrícula negativa",IF(COUNTIFS($A$5:$A$1200,A646,$B$5:$B$1200,B646)&gt;1,"ERRO: período e curso duplicados","OK")))</f>
        <v/>
      </c>
    </row>
    <row r="647" ht="15" customHeight="1" s="131">
      <c r="A647" s="220" t="n"/>
      <c r="B647" s="222" t="n"/>
      <c r="C647" s="220" t="n"/>
      <c r="D647" s="179">
        <f>IFERROR(C647,"")</f>
        <v/>
      </c>
      <c r="E647" s="219" t="n"/>
      <c r="F647" s="220" t="n"/>
      <c r="G647" s="221">
        <f>IF(COUNTA(A647:C647)=0,"",IF(C647&lt;0,"ERRO: matrícula negativa",IF(COUNTIFS($A$5:$A$1200,A647,$B$5:$B$1200,B647)&gt;1,"ERRO: período e curso duplicados","OK")))</f>
        <v/>
      </c>
    </row>
    <row r="648" ht="15" customHeight="1" s="131">
      <c r="A648" s="220" t="n"/>
      <c r="B648" s="222" t="n"/>
      <c r="C648" s="220" t="n"/>
      <c r="D648" s="179">
        <f>IFERROR(C648,"")</f>
        <v/>
      </c>
      <c r="E648" s="219" t="n"/>
      <c r="F648" s="220" t="n"/>
      <c r="G648" s="221">
        <f>IF(COUNTA(A648:C648)=0,"",IF(C648&lt;0,"ERRO: matrícula negativa",IF(COUNTIFS($A$5:$A$1200,A648,$B$5:$B$1200,B648)&gt;1,"ERRO: período e curso duplicados","OK")))</f>
        <v/>
      </c>
    </row>
    <row r="649" ht="15" customHeight="1" s="131">
      <c r="A649" s="220" t="n"/>
      <c r="B649" s="222" t="n"/>
      <c r="C649" s="220" t="n"/>
      <c r="D649" s="179">
        <f>IFERROR(C649,"")</f>
        <v/>
      </c>
      <c r="E649" s="219" t="n"/>
      <c r="F649" s="220" t="n"/>
      <c r="G649" s="221">
        <f>IF(COUNTA(A649:C649)=0,"",IF(C649&lt;0,"ERRO: matrícula negativa",IF(COUNTIFS($A$5:$A$1200,A649,$B$5:$B$1200,B649)&gt;1,"ERRO: período e curso duplicados","OK")))</f>
        <v/>
      </c>
    </row>
    <row r="650" ht="15" customHeight="1" s="131">
      <c r="A650" s="220" t="n"/>
      <c r="B650" s="222" t="n"/>
      <c r="C650" s="220" t="n"/>
      <c r="D650" s="179">
        <f>IFERROR(C650,"")</f>
        <v/>
      </c>
      <c r="E650" s="219" t="n"/>
      <c r="F650" s="220" t="n"/>
      <c r="G650" s="221">
        <f>IF(COUNTA(A650:C650)=0,"",IF(C650&lt;0,"ERRO: matrícula negativa",IF(COUNTIFS($A$5:$A$1200,A650,$B$5:$B$1200,B650)&gt;1,"ERRO: período e curso duplicados","OK")))</f>
        <v/>
      </c>
    </row>
    <row r="651" ht="15" customHeight="1" s="131">
      <c r="A651" s="220" t="n"/>
      <c r="B651" s="222" t="n"/>
      <c r="C651" s="220" t="n"/>
      <c r="D651" s="179">
        <f>IFERROR(C651,"")</f>
        <v/>
      </c>
      <c r="E651" s="219" t="n"/>
      <c r="F651" s="220" t="n"/>
      <c r="G651" s="221">
        <f>IF(COUNTA(A651:C651)=0,"",IF(C651&lt;0,"ERRO: matrícula negativa",IF(COUNTIFS($A$5:$A$1200,A651,$B$5:$B$1200,B651)&gt;1,"ERRO: período e curso duplicados","OK")))</f>
        <v/>
      </c>
    </row>
    <row r="652" ht="15" customHeight="1" s="131">
      <c r="A652" s="220" t="n"/>
      <c r="B652" s="222" t="n"/>
      <c r="C652" s="220" t="n"/>
      <c r="D652" s="179">
        <f>IFERROR(C652,"")</f>
        <v/>
      </c>
      <c r="E652" s="219" t="n"/>
      <c r="F652" s="220" t="n"/>
      <c r="G652" s="221">
        <f>IF(COUNTA(A652:C652)=0,"",IF(C652&lt;0,"ERRO: matrícula negativa",IF(COUNTIFS($A$5:$A$1200,A652,$B$5:$B$1200,B652)&gt;1,"ERRO: período e curso duplicados","OK")))</f>
        <v/>
      </c>
    </row>
    <row r="653" ht="15" customHeight="1" s="131">
      <c r="A653" s="220" t="n"/>
      <c r="B653" s="222" t="n"/>
      <c r="C653" s="220" t="n"/>
      <c r="D653" s="179">
        <f>IFERROR(C653,"")</f>
        <v/>
      </c>
      <c r="E653" s="219" t="n"/>
      <c r="F653" s="220" t="n"/>
      <c r="G653" s="221">
        <f>IF(COUNTA(A653:C653)=0,"",IF(C653&lt;0,"ERRO: matrícula negativa",IF(COUNTIFS($A$5:$A$1200,A653,$B$5:$B$1200,B653)&gt;1,"ERRO: período e curso duplicados","OK")))</f>
        <v/>
      </c>
    </row>
    <row r="654" ht="15" customHeight="1" s="131">
      <c r="A654" s="220" t="n"/>
      <c r="B654" s="222" t="n"/>
      <c r="C654" s="220" t="n"/>
      <c r="D654" s="179">
        <f>IFERROR(C654,"")</f>
        <v/>
      </c>
      <c r="E654" s="219" t="n"/>
      <c r="F654" s="220" t="n"/>
      <c r="G654" s="221">
        <f>IF(COUNTA(A654:C654)=0,"",IF(C654&lt;0,"ERRO: matrícula negativa",IF(COUNTIFS($A$5:$A$1200,A654,$B$5:$B$1200,B654)&gt;1,"ERRO: período e curso duplicados","OK")))</f>
        <v/>
      </c>
    </row>
    <row r="655" ht="15" customHeight="1" s="131">
      <c r="A655" s="220" t="n"/>
      <c r="B655" s="222" t="n"/>
      <c r="C655" s="220" t="n"/>
      <c r="D655" s="179">
        <f>IFERROR(C655,"")</f>
        <v/>
      </c>
      <c r="E655" s="219" t="n"/>
      <c r="F655" s="220" t="n"/>
      <c r="G655" s="221">
        <f>IF(COUNTA(A655:C655)=0,"",IF(C655&lt;0,"ERRO: matrícula negativa",IF(COUNTIFS($A$5:$A$1200,A655,$B$5:$B$1200,B655)&gt;1,"ERRO: período e curso duplicados","OK")))</f>
        <v/>
      </c>
    </row>
    <row r="656" ht="15" customHeight="1" s="131">
      <c r="A656" s="220" t="n"/>
      <c r="B656" s="222" t="n"/>
      <c r="C656" s="220" t="n"/>
      <c r="D656" s="179">
        <f>IFERROR(C656,"")</f>
        <v/>
      </c>
      <c r="E656" s="219" t="n"/>
      <c r="F656" s="220" t="n"/>
      <c r="G656" s="221">
        <f>IF(COUNTA(A656:C656)=0,"",IF(C656&lt;0,"ERRO: matrícula negativa",IF(COUNTIFS($A$5:$A$1200,A656,$B$5:$B$1200,B656)&gt;1,"ERRO: período e curso duplicados","OK")))</f>
        <v/>
      </c>
    </row>
    <row r="657" ht="15" customHeight="1" s="131">
      <c r="A657" s="220" t="n"/>
      <c r="B657" s="222" t="n"/>
      <c r="C657" s="220" t="n"/>
      <c r="D657" s="179">
        <f>IFERROR(C657,"")</f>
        <v/>
      </c>
      <c r="E657" s="219" t="n"/>
      <c r="F657" s="220" t="n"/>
      <c r="G657" s="221">
        <f>IF(COUNTA(A657:C657)=0,"",IF(C657&lt;0,"ERRO: matrícula negativa",IF(COUNTIFS($A$5:$A$1200,A657,$B$5:$B$1200,B657)&gt;1,"ERRO: período e curso duplicados","OK")))</f>
        <v/>
      </c>
    </row>
    <row r="658" ht="15" customHeight="1" s="131">
      <c r="A658" s="220" t="n"/>
      <c r="B658" s="222" t="n"/>
      <c r="C658" s="220" t="n"/>
      <c r="D658" s="179">
        <f>IFERROR(C658,"")</f>
        <v/>
      </c>
      <c r="E658" s="219" t="n"/>
      <c r="F658" s="220" t="n"/>
      <c r="G658" s="221">
        <f>IF(COUNTA(A658:C658)=0,"",IF(C658&lt;0,"ERRO: matrícula negativa",IF(COUNTIFS($A$5:$A$1200,A658,$B$5:$B$1200,B658)&gt;1,"ERRO: período e curso duplicados","OK")))</f>
        <v/>
      </c>
    </row>
    <row r="659" ht="15" customHeight="1" s="131">
      <c r="A659" s="220" t="n"/>
      <c r="B659" s="222" t="n"/>
      <c r="C659" s="220" t="n"/>
      <c r="D659" s="179">
        <f>IFERROR(C659,"")</f>
        <v/>
      </c>
      <c r="E659" s="219" t="n"/>
      <c r="F659" s="220" t="n"/>
      <c r="G659" s="221">
        <f>IF(COUNTA(A659:C659)=0,"",IF(C659&lt;0,"ERRO: matrícula negativa",IF(COUNTIFS($A$5:$A$1200,A659,$B$5:$B$1200,B659)&gt;1,"ERRO: período e curso duplicados","OK")))</f>
        <v/>
      </c>
    </row>
    <row r="660" ht="15" customHeight="1" s="131">
      <c r="A660" s="220" t="n"/>
      <c r="B660" s="222" t="n"/>
      <c r="C660" s="220" t="n"/>
      <c r="D660" s="179">
        <f>IFERROR(C660,"")</f>
        <v/>
      </c>
      <c r="E660" s="219" t="n"/>
      <c r="F660" s="220" t="n"/>
      <c r="G660" s="221">
        <f>IF(COUNTA(A660:C660)=0,"",IF(C660&lt;0,"ERRO: matrícula negativa",IF(COUNTIFS($A$5:$A$1200,A660,$B$5:$B$1200,B660)&gt;1,"ERRO: período e curso duplicados","OK")))</f>
        <v/>
      </c>
    </row>
    <row r="661" ht="15" customHeight="1" s="131">
      <c r="A661" s="220" t="n"/>
      <c r="B661" s="222" t="n"/>
      <c r="C661" s="220" t="n"/>
      <c r="D661" s="179">
        <f>IFERROR(C661,"")</f>
        <v/>
      </c>
      <c r="E661" s="219" t="n"/>
      <c r="F661" s="220" t="n"/>
      <c r="G661" s="221">
        <f>IF(COUNTA(A661:C661)=0,"",IF(C661&lt;0,"ERRO: matrícula negativa",IF(COUNTIFS($A$5:$A$1200,A661,$B$5:$B$1200,B661)&gt;1,"ERRO: período e curso duplicados","OK")))</f>
        <v/>
      </c>
    </row>
    <row r="662" ht="15" customHeight="1" s="131">
      <c r="A662" s="220" t="n"/>
      <c r="B662" s="222" t="n"/>
      <c r="C662" s="220" t="n"/>
      <c r="D662" s="179">
        <f>IFERROR(C662,"")</f>
        <v/>
      </c>
      <c r="E662" s="219" t="n"/>
      <c r="F662" s="220" t="n"/>
      <c r="G662" s="221">
        <f>IF(COUNTA(A662:C662)=0,"",IF(C662&lt;0,"ERRO: matrícula negativa",IF(COUNTIFS($A$5:$A$1200,A662,$B$5:$B$1200,B662)&gt;1,"ERRO: período e curso duplicados","OK")))</f>
        <v/>
      </c>
    </row>
    <row r="663" ht="15" customHeight="1" s="131">
      <c r="A663" s="220" t="n"/>
      <c r="B663" s="222" t="n"/>
      <c r="C663" s="220" t="n"/>
      <c r="D663" s="179">
        <f>IFERROR(C663,"")</f>
        <v/>
      </c>
      <c r="E663" s="219" t="n"/>
      <c r="F663" s="220" t="n"/>
      <c r="G663" s="221">
        <f>IF(COUNTA(A663:C663)=0,"",IF(C663&lt;0,"ERRO: matrícula negativa",IF(COUNTIFS($A$5:$A$1200,A663,$B$5:$B$1200,B663)&gt;1,"ERRO: período e curso duplicados","OK")))</f>
        <v/>
      </c>
    </row>
    <row r="664" ht="15" customHeight="1" s="131">
      <c r="A664" s="220" t="n"/>
      <c r="B664" s="222" t="n"/>
      <c r="C664" s="220" t="n"/>
      <c r="D664" s="179">
        <f>IFERROR(C664,"")</f>
        <v/>
      </c>
      <c r="E664" s="219" t="n"/>
      <c r="F664" s="220" t="n"/>
      <c r="G664" s="221">
        <f>IF(COUNTA(A664:C664)=0,"",IF(C664&lt;0,"ERRO: matrícula negativa",IF(COUNTIFS($A$5:$A$1200,A664,$B$5:$B$1200,B664)&gt;1,"ERRO: período e curso duplicados","OK")))</f>
        <v/>
      </c>
    </row>
    <row r="665" ht="15" customHeight="1" s="131">
      <c r="A665" s="220" t="n"/>
      <c r="B665" s="222" t="n"/>
      <c r="C665" s="220" t="n"/>
      <c r="D665" s="179">
        <f>IFERROR(C665,"")</f>
        <v/>
      </c>
      <c r="E665" s="219" t="n"/>
      <c r="F665" s="220" t="n"/>
      <c r="G665" s="221">
        <f>IF(COUNTA(A665:C665)=0,"",IF(C665&lt;0,"ERRO: matrícula negativa",IF(COUNTIFS($A$5:$A$1200,A665,$B$5:$B$1200,B665)&gt;1,"ERRO: período e curso duplicados","OK")))</f>
        <v/>
      </c>
    </row>
    <row r="666" ht="15" customHeight="1" s="131">
      <c r="A666" s="220" t="n"/>
      <c r="B666" s="222" t="n"/>
      <c r="C666" s="220" t="n"/>
      <c r="D666" s="179">
        <f>IFERROR(C666,"")</f>
        <v/>
      </c>
      <c r="E666" s="219" t="n"/>
      <c r="F666" s="220" t="n"/>
      <c r="G666" s="221">
        <f>IF(COUNTA(A666:C666)=0,"",IF(C666&lt;0,"ERRO: matrícula negativa",IF(COUNTIFS($A$5:$A$1200,A666,$B$5:$B$1200,B666)&gt;1,"ERRO: período e curso duplicados","OK")))</f>
        <v/>
      </c>
    </row>
    <row r="667" ht="15" customHeight="1" s="131">
      <c r="A667" s="220" t="n"/>
      <c r="B667" s="222" t="n"/>
      <c r="C667" s="220" t="n"/>
      <c r="D667" s="179">
        <f>IFERROR(C667,"")</f>
        <v/>
      </c>
      <c r="E667" s="219" t="n"/>
      <c r="F667" s="220" t="n"/>
      <c r="G667" s="221">
        <f>IF(COUNTA(A667:C667)=0,"",IF(C667&lt;0,"ERRO: matrícula negativa",IF(COUNTIFS($A$5:$A$1200,A667,$B$5:$B$1200,B667)&gt;1,"ERRO: período e curso duplicados","OK")))</f>
        <v/>
      </c>
    </row>
    <row r="668" ht="15" customHeight="1" s="131">
      <c r="A668" s="220" t="n"/>
      <c r="B668" s="222" t="n"/>
      <c r="C668" s="220" t="n"/>
      <c r="D668" s="179">
        <f>IFERROR(C668,"")</f>
        <v/>
      </c>
      <c r="E668" s="219" t="n"/>
      <c r="F668" s="220" t="n"/>
      <c r="G668" s="221">
        <f>IF(COUNTA(A668:C668)=0,"",IF(C668&lt;0,"ERRO: matrícula negativa",IF(COUNTIFS($A$5:$A$1200,A668,$B$5:$B$1200,B668)&gt;1,"ERRO: período e curso duplicados","OK")))</f>
        <v/>
      </c>
    </row>
    <row r="669" ht="15" customHeight="1" s="131">
      <c r="A669" s="220" t="n"/>
      <c r="B669" s="222" t="n"/>
      <c r="C669" s="220" t="n"/>
      <c r="D669" s="179">
        <f>IFERROR(C669,"")</f>
        <v/>
      </c>
      <c r="E669" s="219" t="n"/>
      <c r="F669" s="220" t="n"/>
      <c r="G669" s="221">
        <f>IF(COUNTA(A669:C669)=0,"",IF(C669&lt;0,"ERRO: matrícula negativa",IF(COUNTIFS($A$5:$A$1200,A669,$B$5:$B$1200,B669)&gt;1,"ERRO: período e curso duplicados","OK")))</f>
        <v/>
      </c>
    </row>
    <row r="670" ht="15" customHeight="1" s="131">
      <c r="A670" s="220" t="n"/>
      <c r="B670" s="222" t="n"/>
      <c r="C670" s="220" t="n"/>
      <c r="D670" s="179">
        <f>IFERROR(C670,"")</f>
        <v/>
      </c>
      <c r="E670" s="219" t="n"/>
      <c r="F670" s="220" t="n"/>
      <c r="G670" s="221">
        <f>IF(COUNTA(A670:C670)=0,"",IF(C670&lt;0,"ERRO: matrícula negativa",IF(COUNTIFS($A$5:$A$1200,A670,$B$5:$B$1200,B670)&gt;1,"ERRO: período e curso duplicados","OK")))</f>
        <v/>
      </c>
    </row>
    <row r="671" ht="15" customHeight="1" s="131">
      <c r="A671" s="220" t="n"/>
      <c r="B671" s="222" t="n"/>
      <c r="C671" s="220" t="n"/>
      <c r="D671" s="179">
        <f>IFERROR(C671,"")</f>
        <v/>
      </c>
      <c r="E671" s="219" t="n"/>
      <c r="F671" s="220" t="n"/>
      <c r="G671" s="221">
        <f>IF(COUNTA(A671:C671)=0,"",IF(C671&lt;0,"ERRO: matrícula negativa",IF(COUNTIFS($A$5:$A$1200,A671,$B$5:$B$1200,B671)&gt;1,"ERRO: período e curso duplicados","OK")))</f>
        <v/>
      </c>
    </row>
    <row r="672" ht="15" customHeight="1" s="131">
      <c r="A672" s="220" t="n"/>
      <c r="B672" s="222" t="n"/>
      <c r="C672" s="220" t="n"/>
      <c r="D672" s="179">
        <f>IFERROR(C672,"")</f>
        <v/>
      </c>
      <c r="E672" s="219" t="n"/>
      <c r="F672" s="220" t="n"/>
      <c r="G672" s="221">
        <f>IF(COUNTA(A672:C672)=0,"",IF(C672&lt;0,"ERRO: matrícula negativa",IF(COUNTIFS($A$5:$A$1200,A672,$B$5:$B$1200,B672)&gt;1,"ERRO: período e curso duplicados","OK")))</f>
        <v/>
      </c>
    </row>
    <row r="673" ht="15" customHeight="1" s="131">
      <c r="A673" s="220" t="n"/>
      <c r="B673" s="222" t="n"/>
      <c r="C673" s="220" t="n"/>
      <c r="D673" s="179">
        <f>IFERROR(C673,"")</f>
        <v/>
      </c>
      <c r="E673" s="219" t="n"/>
      <c r="F673" s="220" t="n"/>
      <c r="G673" s="221">
        <f>IF(COUNTA(A673:C673)=0,"",IF(C673&lt;0,"ERRO: matrícula negativa",IF(COUNTIFS($A$5:$A$1200,A673,$B$5:$B$1200,B673)&gt;1,"ERRO: período e curso duplicados","OK")))</f>
        <v/>
      </c>
    </row>
    <row r="674" ht="15" customHeight="1" s="131">
      <c r="A674" s="220" t="n"/>
      <c r="B674" s="222" t="n"/>
      <c r="C674" s="220" t="n"/>
      <c r="D674" s="179">
        <f>IFERROR(C674,"")</f>
        <v/>
      </c>
      <c r="E674" s="219" t="n"/>
      <c r="F674" s="220" t="n"/>
      <c r="G674" s="221">
        <f>IF(COUNTA(A674:C674)=0,"",IF(C674&lt;0,"ERRO: matrícula negativa",IF(COUNTIFS($A$5:$A$1200,A674,$B$5:$B$1200,B674)&gt;1,"ERRO: período e curso duplicados","OK")))</f>
        <v/>
      </c>
    </row>
    <row r="675" ht="15" customHeight="1" s="131">
      <c r="A675" s="220" t="n"/>
      <c r="B675" s="222" t="n"/>
      <c r="C675" s="220" t="n"/>
      <c r="D675" s="179">
        <f>IFERROR(C675,"")</f>
        <v/>
      </c>
      <c r="E675" s="219" t="n"/>
      <c r="F675" s="220" t="n"/>
      <c r="G675" s="221">
        <f>IF(COUNTA(A675:C675)=0,"",IF(C675&lt;0,"ERRO: matrícula negativa",IF(COUNTIFS($A$5:$A$1200,A675,$B$5:$B$1200,B675)&gt;1,"ERRO: período e curso duplicados","OK")))</f>
        <v/>
      </c>
    </row>
    <row r="676" ht="15" customHeight="1" s="131">
      <c r="A676" s="220" t="n"/>
      <c r="B676" s="222" t="n"/>
      <c r="C676" s="220" t="n"/>
      <c r="D676" s="179">
        <f>IFERROR(C676,"")</f>
        <v/>
      </c>
      <c r="E676" s="219" t="n"/>
      <c r="F676" s="220" t="n"/>
      <c r="G676" s="221">
        <f>IF(COUNTA(A676:C676)=0,"",IF(C676&lt;0,"ERRO: matrícula negativa",IF(COUNTIFS($A$5:$A$1200,A676,$B$5:$B$1200,B676)&gt;1,"ERRO: período e curso duplicados","OK")))</f>
        <v/>
      </c>
    </row>
    <row r="677" ht="15" customHeight="1" s="131">
      <c r="A677" s="220" t="n"/>
      <c r="B677" s="222" t="n"/>
      <c r="C677" s="220" t="n"/>
      <c r="D677" s="179">
        <f>IFERROR(C677,"")</f>
        <v/>
      </c>
      <c r="E677" s="219" t="n"/>
      <c r="F677" s="220" t="n"/>
      <c r="G677" s="221">
        <f>IF(COUNTA(A677:C677)=0,"",IF(C677&lt;0,"ERRO: matrícula negativa",IF(COUNTIFS($A$5:$A$1200,A677,$B$5:$B$1200,B677)&gt;1,"ERRO: período e curso duplicados","OK")))</f>
        <v/>
      </c>
    </row>
    <row r="678" ht="15" customHeight="1" s="131">
      <c r="A678" s="220" t="n"/>
      <c r="B678" s="222" t="n"/>
      <c r="C678" s="220" t="n"/>
      <c r="D678" s="179">
        <f>IFERROR(C678,"")</f>
        <v/>
      </c>
      <c r="E678" s="219" t="n"/>
      <c r="F678" s="220" t="n"/>
      <c r="G678" s="221">
        <f>IF(COUNTA(A678:C678)=0,"",IF(C678&lt;0,"ERRO: matrícula negativa",IF(COUNTIFS($A$5:$A$1200,A678,$B$5:$B$1200,B678)&gt;1,"ERRO: período e curso duplicados","OK")))</f>
        <v/>
      </c>
    </row>
    <row r="679" ht="15" customHeight="1" s="131">
      <c r="A679" s="220" t="n"/>
      <c r="B679" s="222" t="n"/>
      <c r="C679" s="220" t="n"/>
      <c r="D679" s="179">
        <f>IFERROR(C679,"")</f>
        <v/>
      </c>
      <c r="E679" s="219" t="n"/>
      <c r="F679" s="220" t="n"/>
      <c r="G679" s="221">
        <f>IF(COUNTA(A679:C679)=0,"",IF(C679&lt;0,"ERRO: matrícula negativa",IF(COUNTIFS($A$5:$A$1200,A679,$B$5:$B$1200,B679)&gt;1,"ERRO: período e curso duplicados","OK")))</f>
        <v/>
      </c>
    </row>
    <row r="680" ht="15" customHeight="1" s="131">
      <c r="A680" s="220" t="n"/>
      <c r="B680" s="222" t="n"/>
      <c r="C680" s="220" t="n"/>
      <c r="D680" s="179">
        <f>IFERROR(C680,"")</f>
        <v/>
      </c>
      <c r="E680" s="219" t="n"/>
      <c r="F680" s="220" t="n"/>
      <c r="G680" s="221">
        <f>IF(COUNTA(A680:C680)=0,"",IF(C680&lt;0,"ERRO: matrícula negativa",IF(COUNTIFS($A$5:$A$1200,A680,$B$5:$B$1200,B680)&gt;1,"ERRO: período e curso duplicados","OK")))</f>
        <v/>
      </c>
    </row>
    <row r="681" ht="15" customHeight="1" s="131">
      <c r="A681" s="220" t="n"/>
      <c r="B681" s="222" t="n"/>
      <c r="C681" s="220" t="n"/>
      <c r="D681" s="179">
        <f>IFERROR(C681,"")</f>
        <v/>
      </c>
      <c r="E681" s="219" t="n"/>
      <c r="F681" s="220" t="n"/>
      <c r="G681" s="221">
        <f>IF(COUNTA(A681:C681)=0,"",IF(C681&lt;0,"ERRO: matrícula negativa",IF(COUNTIFS($A$5:$A$1200,A681,$B$5:$B$1200,B681)&gt;1,"ERRO: período e curso duplicados","OK")))</f>
        <v/>
      </c>
    </row>
    <row r="682" ht="15" customHeight="1" s="131">
      <c r="A682" s="220" t="n"/>
      <c r="B682" s="222" t="n"/>
      <c r="C682" s="220" t="n"/>
      <c r="D682" s="179">
        <f>IFERROR(C682,"")</f>
        <v/>
      </c>
      <c r="E682" s="219" t="n"/>
      <c r="F682" s="220" t="n"/>
      <c r="G682" s="221">
        <f>IF(COUNTA(A682:C682)=0,"",IF(C682&lt;0,"ERRO: matrícula negativa",IF(COUNTIFS($A$5:$A$1200,A682,$B$5:$B$1200,B682)&gt;1,"ERRO: período e curso duplicados","OK")))</f>
        <v/>
      </c>
    </row>
    <row r="683" ht="15" customHeight="1" s="131">
      <c r="A683" s="220" t="n"/>
      <c r="B683" s="222" t="n"/>
      <c r="C683" s="220" t="n"/>
      <c r="D683" s="179">
        <f>IFERROR(C683,"")</f>
        <v/>
      </c>
      <c r="E683" s="219" t="n"/>
      <c r="F683" s="220" t="n"/>
      <c r="G683" s="221">
        <f>IF(COUNTA(A683:C683)=0,"",IF(C683&lt;0,"ERRO: matrícula negativa",IF(COUNTIFS($A$5:$A$1200,A683,$B$5:$B$1200,B683)&gt;1,"ERRO: período e curso duplicados","OK")))</f>
        <v/>
      </c>
    </row>
    <row r="684" ht="15" customHeight="1" s="131">
      <c r="A684" s="220" t="n"/>
      <c r="B684" s="222" t="n"/>
      <c r="C684" s="220" t="n"/>
      <c r="D684" s="179">
        <f>IFERROR(C684,"")</f>
        <v/>
      </c>
      <c r="E684" s="219" t="n"/>
      <c r="F684" s="220" t="n"/>
      <c r="G684" s="221">
        <f>IF(COUNTA(A684:C684)=0,"",IF(C684&lt;0,"ERRO: matrícula negativa",IF(COUNTIFS($A$5:$A$1200,A684,$B$5:$B$1200,B684)&gt;1,"ERRO: período e curso duplicados","OK")))</f>
        <v/>
      </c>
    </row>
    <row r="685" ht="15" customHeight="1" s="131">
      <c r="A685" s="220" t="n"/>
      <c r="B685" s="222" t="n"/>
      <c r="C685" s="220" t="n"/>
      <c r="D685" s="179">
        <f>IFERROR(C685,"")</f>
        <v/>
      </c>
      <c r="E685" s="219" t="n"/>
      <c r="F685" s="220" t="n"/>
      <c r="G685" s="221">
        <f>IF(COUNTA(A685:C685)=0,"",IF(C685&lt;0,"ERRO: matrícula negativa",IF(COUNTIFS($A$5:$A$1200,A685,$B$5:$B$1200,B685)&gt;1,"ERRO: período e curso duplicados","OK")))</f>
        <v/>
      </c>
    </row>
    <row r="686" ht="15" customHeight="1" s="131">
      <c r="A686" s="220" t="n"/>
      <c r="B686" s="222" t="n"/>
      <c r="C686" s="220" t="n"/>
      <c r="D686" s="179">
        <f>IFERROR(C686,"")</f>
        <v/>
      </c>
      <c r="E686" s="219" t="n"/>
      <c r="F686" s="220" t="n"/>
      <c r="G686" s="221">
        <f>IF(COUNTA(A686:C686)=0,"",IF(C686&lt;0,"ERRO: matrícula negativa",IF(COUNTIFS($A$5:$A$1200,A686,$B$5:$B$1200,B686)&gt;1,"ERRO: período e curso duplicados","OK")))</f>
        <v/>
      </c>
    </row>
    <row r="687" ht="15" customHeight="1" s="131">
      <c r="A687" s="220" t="n"/>
      <c r="B687" s="222" t="n"/>
      <c r="C687" s="220" t="n"/>
      <c r="D687" s="179">
        <f>IFERROR(C687,"")</f>
        <v/>
      </c>
      <c r="E687" s="219" t="n"/>
      <c r="F687" s="220" t="n"/>
      <c r="G687" s="221">
        <f>IF(COUNTA(A687:C687)=0,"",IF(C687&lt;0,"ERRO: matrícula negativa",IF(COUNTIFS($A$5:$A$1200,A687,$B$5:$B$1200,B687)&gt;1,"ERRO: período e curso duplicados","OK")))</f>
        <v/>
      </c>
    </row>
    <row r="688" ht="15" customHeight="1" s="131">
      <c r="A688" s="220" t="n"/>
      <c r="B688" s="222" t="n"/>
      <c r="C688" s="220" t="n"/>
      <c r="D688" s="179">
        <f>IFERROR(C688,"")</f>
        <v/>
      </c>
      <c r="E688" s="219" t="n"/>
      <c r="F688" s="220" t="n"/>
      <c r="G688" s="221">
        <f>IF(COUNTA(A688:C688)=0,"",IF(C688&lt;0,"ERRO: matrícula negativa",IF(COUNTIFS($A$5:$A$1200,A688,$B$5:$B$1200,B688)&gt;1,"ERRO: período e curso duplicados","OK")))</f>
        <v/>
      </c>
    </row>
    <row r="689" ht="15" customHeight="1" s="131">
      <c r="A689" s="220" t="n"/>
      <c r="B689" s="222" t="n"/>
      <c r="C689" s="220" t="n"/>
      <c r="D689" s="179">
        <f>IFERROR(C689,"")</f>
        <v/>
      </c>
      <c r="E689" s="219" t="n"/>
      <c r="F689" s="220" t="n"/>
      <c r="G689" s="221">
        <f>IF(COUNTA(A689:C689)=0,"",IF(C689&lt;0,"ERRO: matrícula negativa",IF(COUNTIFS($A$5:$A$1200,A689,$B$5:$B$1200,B689)&gt;1,"ERRO: período e curso duplicados","OK")))</f>
        <v/>
      </c>
    </row>
    <row r="690" ht="15" customHeight="1" s="131">
      <c r="A690" s="220" t="n"/>
      <c r="B690" s="222" t="n"/>
      <c r="C690" s="220" t="n"/>
      <c r="D690" s="179">
        <f>IFERROR(C690,"")</f>
        <v/>
      </c>
      <c r="E690" s="219" t="n"/>
      <c r="F690" s="220" t="n"/>
      <c r="G690" s="221">
        <f>IF(COUNTA(A690:C690)=0,"",IF(C690&lt;0,"ERRO: matrícula negativa",IF(COUNTIFS($A$5:$A$1200,A690,$B$5:$B$1200,B690)&gt;1,"ERRO: período e curso duplicados","OK")))</f>
        <v/>
      </c>
    </row>
    <row r="691" ht="15" customHeight="1" s="131">
      <c r="A691" s="220" t="n"/>
      <c r="B691" s="222" t="n"/>
      <c r="C691" s="220" t="n"/>
      <c r="D691" s="179">
        <f>IFERROR(C691,"")</f>
        <v/>
      </c>
      <c r="E691" s="219" t="n"/>
      <c r="F691" s="220" t="n"/>
      <c r="G691" s="221">
        <f>IF(COUNTA(A691:C691)=0,"",IF(C691&lt;0,"ERRO: matrícula negativa",IF(COUNTIFS($A$5:$A$1200,A691,$B$5:$B$1200,B691)&gt;1,"ERRO: período e curso duplicados","OK")))</f>
        <v/>
      </c>
    </row>
    <row r="692" ht="15" customHeight="1" s="131">
      <c r="A692" s="220" t="n"/>
      <c r="B692" s="222" t="n"/>
      <c r="C692" s="220" t="n"/>
      <c r="D692" s="179">
        <f>IFERROR(C692,"")</f>
        <v/>
      </c>
      <c r="E692" s="219" t="n"/>
      <c r="F692" s="220" t="n"/>
      <c r="G692" s="221">
        <f>IF(COUNTA(A692:C692)=0,"",IF(C692&lt;0,"ERRO: matrícula negativa",IF(COUNTIFS($A$5:$A$1200,A692,$B$5:$B$1200,B692)&gt;1,"ERRO: período e curso duplicados","OK")))</f>
        <v/>
      </c>
    </row>
    <row r="693" ht="15" customHeight="1" s="131">
      <c r="A693" s="220" t="n"/>
      <c r="B693" s="222" t="n"/>
      <c r="C693" s="220" t="n"/>
      <c r="D693" s="179">
        <f>IFERROR(C693,"")</f>
        <v/>
      </c>
      <c r="E693" s="219" t="n"/>
      <c r="F693" s="220" t="n"/>
      <c r="G693" s="221">
        <f>IF(COUNTA(A693:C693)=0,"",IF(C693&lt;0,"ERRO: matrícula negativa",IF(COUNTIFS($A$5:$A$1200,A693,$B$5:$B$1200,B693)&gt;1,"ERRO: período e curso duplicados","OK")))</f>
        <v/>
      </c>
    </row>
    <row r="694" ht="15" customHeight="1" s="131">
      <c r="A694" s="220" t="n"/>
      <c r="B694" s="222" t="n"/>
      <c r="C694" s="220" t="n"/>
      <c r="D694" s="179">
        <f>IFERROR(C694,"")</f>
        <v/>
      </c>
      <c r="E694" s="219" t="n"/>
      <c r="F694" s="220" t="n"/>
      <c r="G694" s="221">
        <f>IF(COUNTA(A694:C694)=0,"",IF(C694&lt;0,"ERRO: matrícula negativa",IF(COUNTIFS($A$5:$A$1200,A694,$B$5:$B$1200,B694)&gt;1,"ERRO: período e curso duplicados","OK")))</f>
        <v/>
      </c>
    </row>
    <row r="695" ht="15" customHeight="1" s="131">
      <c r="A695" s="220" t="n"/>
      <c r="B695" s="222" t="n"/>
      <c r="C695" s="220" t="n"/>
      <c r="D695" s="179">
        <f>IFERROR(C695,"")</f>
        <v/>
      </c>
      <c r="E695" s="219" t="n"/>
      <c r="F695" s="220" t="n"/>
      <c r="G695" s="221">
        <f>IF(COUNTA(A695:C695)=0,"",IF(C695&lt;0,"ERRO: matrícula negativa",IF(COUNTIFS($A$5:$A$1200,A695,$B$5:$B$1200,B695)&gt;1,"ERRO: período e curso duplicados","OK")))</f>
        <v/>
      </c>
    </row>
    <row r="696" ht="15" customHeight="1" s="131">
      <c r="A696" s="220" t="n"/>
      <c r="B696" s="222" t="n"/>
      <c r="C696" s="220" t="n"/>
      <c r="D696" s="179">
        <f>IFERROR(C696,"")</f>
        <v/>
      </c>
      <c r="E696" s="219" t="n"/>
      <c r="F696" s="220" t="n"/>
      <c r="G696" s="221">
        <f>IF(COUNTA(A696:C696)=0,"",IF(C696&lt;0,"ERRO: matrícula negativa",IF(COUNTIFS($A$5:$A$1200,A696,$B$5:$B$1200,B696)&gt;1,"ERRO: período e curso duplicados","OK")))</f>
        <v/>
      </c>
    </row>
    <row r="697" ht="15" customHeight="1" s="131">
      <c r="A697" s="220" t="n"/>
      <c r="B697" s="222" t="n"/>
      <c r="C697" s="220" t="n"/>
      <c r="D697" s="179">
        <f>IFERROR(C697,"")</f>
        <v/>
      </c>
      <c r="E697" s="219" t="n"/>
      <c r="F697" s="220" t="n"/>
      <c r="G697" s="221">
        <f>IF(COUNTA(A697:C697)=0,"",IF(C697&lt;0,"ERRO: matrícula negativa",IF(COUNTIFS($A$5:$A$1200,A697,$B$5:$B$1200,B697)&gt;1,"ERRO: período e curso duplicados","OK")))</f>
        <v/>
      </c>
    </row>
    <row r="698" ht="15" customHeight="1" s="131">
      <c r="A698" s="220" t="n"/>
      <c r="B698" s="222" t="n"/>
      <c r="C698" s="220" t="n"/>
      <c r="D698" s="179">
        <f>IFERROR(C698,"")</f>
        <v/>
      </c>
      <c r="E698" s="219" t="n"/>
      <c r="F698" s="220" t="n"/>
      <c r="G698" s="221">
        <f>IF(COUNTA(A698:C698)=0,"",IF(C698&lt;0,"ERRO: matrícula negativa",IF(COUNTIFS($A$5:$A$1200,A698,$B$5:$B$1200,B698)&gt;1,"ERRO: período e curso duplicados","OK")))</f>
        <v/>
      </c>
    </row>
    <row r="699" ht="15" customHeight="1" s="131">
      <c r="A699" s="220" t="n"/>
      <c r="B699" s="222" t="n"/>
      <c r="C699" s="220" t="n"/>
      <c r="D699" s="179">
        <f>IFERROR(C699,"")</f>
        <v/>
      </c>
      <c r="E699" s="219" t="n"/>
      <c r="F699" s="220" t="n"/>
      <c r="G699" s="221">
        <f>IF(COUNTA(A699:C699)=0,"",IF(C699&lt;0,"ERRO: matrícula negativa",IF(COUNTIFS($A$5:$A$1200,A699,$B$5:$B$1200,B699)&gt;1,"ERRO: período e curso duplicados","OK")))</f>
        <v/>
      </c>
    </row>
    <row r="700" ht="15" customHeight="1" s="131">
      <c r="A700" s="220" t="n"/>
      <c r="B700" s="222" t="n"/>
      <c r="C700" s="220" t="n"/>
      <c r="D700" s="179">
        <f>IFERROR(C700,"")</f>
        <v/>
      </c>
      <c r="E700" s="219" t="n"/>
      <c r="F700" s="220" t="n"/>
      <c r="G700" s="221">
        <f>IF(COUNTA(A700:C700)=0,"",IF(C700&lt;0,"ERRO: matrícula negativa",IF(COUNTIFS($A$5:$A$1200,A700,$B$5:$B$1200,B700)&gt;1,"ERRO: período e curso duplicados","OK")))</f>
        <v/>
      </c>
    </row>
    <row r="701" ht="15" customHeight="1" s="131">
      <c r="A701" s="220" t="n"/>
      <c r="B701" s="222" t="n"/>
      <c r="C701" s="220" t="n"/>
      <c r="D701" s="179">
        <f>IFERROR(C701,"")</f>
        <v/>
      </c>
      <c r="E701" s="219" t="n"/>
      <c r="F701" s="220" t="n"/>
      <c r="G701" s="221">
        <f>IF(COUNTA(A701:C701)=0,"",IF(C701&lt;0,"ERRO: matrícula negativa",IF(COUNTIFS($A$5:$A$1200,A701,$B$5:$B$1200,B701)&gt;1,"ERRO: período e curso duplicados","OK")))</f>
        <v/>
      </c>
    </row>
    <row r="702" ht="15" customHeight="1" s="131">
      <c r="A702" s="220" t="n"/>
      <c r="B702" s="222" t="n"/>
      <c r="C702" s="220" t="n"/>
      <c r="D702" s="179">
        <f>IFERROR(C702,"")</f>
        <v/>
      </c>
      <c r="E702" s="219" t="n"/>
      <c r="F702" s="220" t="n"/>
      <c r="G702" s="221">
        <f>IF(COUNTA(A702:C702)=0,"",IF(C702&lt;0,"ERRO: matrícula negativa",IF(COUNTIFS($A$5:$A$1200,A702,$B$5:$B$1200,B702)&gt;1,"ERRO: período e curso duplicados","OK")))</f>
        <v/>
      </c>
    </row>
    <row r="703" ht="15" customHeight="1" s="131">
      <c r="A703" s="220" t="n"/>
      <c r="B703" s="222" t="n"/>
      <c r="C703" s="220" t="n"/>
      <c r="D703" s="179">
        <f>IFERROR(C703,"")</f>
        <v/>
      </c>
      <c r="E703" s="219" t="n"/>
      <c r="F703" s="220" t="n"/>
      <c r="G703" s="221">
        <f>IF(COUNTA(A703:C703)=0,"",IF(C703&lt;0,"ERRO: matrícula negativa",IF(COUNTIFS($A$5:$A$1200,A703,$B$5:$B$1200,B703)&gt;1,"ERRO: período e curso duplicados","OK")))</f>
        <v/>
      </c>
    </row>
    <row r="704" ht="15" customHeight="1" s="131">
      <c r="A704" s="220" t="n"/>
      <c r="B704" s="222" t="n"/>
      <c r="C704" s="220" t="n"/>
      <c r="D704" s="179">
        <f>IFERROR(C704,"")</f>
        <v/>
      </c>
      <c r="E704" s="219" t="n"/>
      <c r="F704" s="220" t="n"/>
      <c r="G704" s="221">
        <f>IF(COUNTA(A704:C704)=0,"",IF(C704&lt;0,"ERRO: matrícula negativa",IF(COUNTIFS($A$5:$A$1200,A704,$B$5:$B$1200,B704)&gt;1,"ERRO: período e curso duplicados","OK")))</f>
        <v/>
      </c>
    </row>
    <row r="705" ht="15" customHeight="1" s="131">
      <c r="A705" s="220" t="n"/>
      <c r="B705" s="222" t="n"/>
      <c r="C705" s="220" t="n"/>
      <c r="D705" s="179">
        <f>IFERROR(C705,"")</f>
        <v/>
      </c>
      <c r="E705" s="219" t="n"/>
      <c r="F705" s="220" t="n"/>
      <c r="G705" s="221">
        <f>IF(COUNTA(A705:C705)=0,"",IF(C705&lt;0,"ERRO: matrícula negativa",IF(COUNTIFS($A$5:$A$1200,A705,$B$5:$B$1200,B705)&gt;1,"ERRO: período e curso duplicados","OK")))</f>
        <v/>
      </c>
    </row>
    <row r="706" ht="15" customHeight="1" s="131">
      <c r="A706" s="220" t="n"/>
      <c r="B706" s="222" t="n"/>
      <c r="C706" s="220" t="n"/>
      <c r="D706" s="179">
        <f>IFERROR(C706,"")</f>
        <v/>
      </c>
      <c r="E706" s="219" t="n"/>
      <c r="F706" s="220" t="n"/>
      <c r="G706" s="221">
        <f>IF(COUNTA(A706:C706)=0,"",IF(C706&lt;0,"ERRO: matrícula negativa",IF(COUNTIFS($A$5:$A$1200,A706,$B$5:$B$1200,B706)&gt;1,"ERRO: período e curso duplicados","OK")))</f>
        <v/>
      </c>
    </row>
    <row r="707" ht="15" customHeight="1" s="131">
      <c r="A707" s="220" t="n"/>
      <c r="B707" s="222" t="n"/>
      <c r="C707" s="220" t="n"/>
      <c r="D707" s="179">
        <f>IFERROR(C707,"")</f>
        <v/>
      </c>
      <c r="E707" s="219" t="n"/>
      <c r="F707" s="220" t="n"/>
      <c r="G707" s="221">
        <f>IF(COUNTA(A707:C707)=0,"",IF(C707&lt;0,"ERRO: matrícula negativa",IF(COUNTIFS($A$5:$A$1200,A707,$B$5:$B$1200,B707)&gt;1,"ERRO: período e curso duplicados","OK")))</f>
        <v/>
      </c>
    </row>
    <row r="708" ht="15" customHeight="1" s="131">
      <c r="A708" s="220" t="n"/>
      <c r="B708" s="222" t="n"/>
      <c r="C708" s="220" t="n"/>
      <c r="D708" s="179">
        <f>IFERROR(C708,"")</f>
        <v/>
      </c>
      <c r="E708" s="219" t="n"/>
      <c r="F708" s="220" t="n"/>
      <c r="G708" s="221">
        <f>IF(COUNTA(A708:C708)=0,"",IF(C708&lt;0,"ERRO: matrícula negativa",IF(COUNTIFS($A$5:$A$1200,A708,$B$5:$B$1200,B708)&gt;1,"ERRO: período e curso duplicados","OK")))</f>
        <v/>
      </c>
    </row>
    <row r="709" ht="15" customHeight="1" s="131">
      <c r="A709" s="220" t="n"/>
      <c r="B709" s="222" t="n"/>
      <c r="C709" s="220" t="n"/>
      <c r="D709" s="179">
        <f>IFERROR(C709,"")</f>
        <v/>
      </c>
      <c r="E709" s="219" t="n"/>
      <c r="F709" s="220" t="n"/>
      <c r="G709" s="221">
        <f>IF(COUNTA(A709:C709)=0,"",IF(C709&lt;0,"ERRO: matrícula negativa",IF(COUNTIFS($A$5:$A$1200,A709,$B$5:$B$1200,B709)&gt;1,"ERRO: período e curso duplicados","OK")))</f>
        <v/>
      </c>
    </row>
    <row r="710" ht="15" customHeight="1" s="131">
      <c r="A710" s="220" t="n"/>
      <c r="B710" s="222" t="n"/>
      <c r="C710" s="220" t="n"/>
      <c r="D710" s="179">
        <f>IFERROR(C710,"")</f>
        <v/>
      </c>
      <c r="E710" s="219" t="n"/>
      <c r="F710" s="220" t="n"/>
      <c r="G710" s="221">
        <f>IF(COUNTA(A710:C710)=0,"",IF(C710&lt;0,"ERRO: matrícula negativa",IF(COUNTIFS($A$5:$A$1200,A710,$B$5:$B$1200,B710)&gt;1,"ERRO: período e curso duplicados","OK")))</f>
        <v/>
      </c>
    </row>
    <row r="711" ht="15" customHeight="1" s="131">
      <c r="A711" s="220" t="n"/>
      <c r="B711" s="222" t="n"/>
      <c r="C711" s="220" t="n"/>
      <c r="D711" s="179">
        <f>IFERROR(C711,"")</f>
        <v/>
      </c>
      <c r="E711" s="219" t="n"/>
      <c r="F711" s="220" t="n"/>
      <c r="G711" s="221">
        <f>IF(COUNTA(A711:C711)=0,"",IF(C711&lt;0,"ERRO: matrícula negativa",IF(COUNTIFS($A$5:$A$1200,A711,$B$5:$B$1200,B711)&gt;1,"ERRO: período e curso duplicados","OK")))</f>
        <v/>
      </c>
    </row>
    <row r="712" ht="15" customHeight="1" s="131">
      <c r="A712" s="220" t="n"/>
      <c r="B712" s="222" t="n"/>
      <c r="C712" s="220" t="n"/>
      <c r="D712" s="179">
        <f>IFERROR(C712,"")</f>
        <v/>
      </c>
      <c r="E712" s="219" t="n"/>
      <c r="F712" s="220" t="n"/>
      <c r="G712" s="221">
        <f>IF(COUNTA(A712:C712)=0,"",IF(C712&lt;0,"ERRO: matrícula negativa",IF(COUNTIFS($A$5:$A$1200,A712,$B$5:$B$1200,B712)&gt;1,"ERRO: período e curso duplicados","OK")))</f>
        <v/>
      </c>
    </row>
    <row r="713" ht="15" customHeight="1" s="131">
      <c r="A713" s="220" t="n"/>
      <c r="B713" s="222" t="n"/>
      <c r="C713" s="220" t="n"/>
      <c r="D713" s="179">
        <f>IFERROR(C713,"")</f>
        <v/>
      </c>
      <c r="E713" s="219" t="n"/>
      <c r="F713" s="220" t="n"/>
      <c r="G713" s="221">
        <f>IF(COUNTA(A713:C713)=0,"",IF(C713&lt;0,"ERRO: matrícula negativa",IF(COUNTIFS($A$5:$A$1200,A713,$B$5:$B$1200,B713)&gt;1,"ERRO: período e curso duplicados","OK")))</f>
        <v/>
      </c>
    </row>
    <row r="714" ht="15" customHeight="1" s="131">
      <c r="A714" s="220" t="n"/>
      <c r="B714" s="222" t="n"/>
      <c r="C714" s="220" t="n"/>
      <c r="D714" s="179">
        <f>IFERROR(C714,"")</f>
        <v/>
      </c>
      <c r="E714" s="219" t="n"/>
      <c r="F714" s="220" t="n"/>
      <c r="G714" s="221">
        <f>IF(COUNTA(A714:C714)=0,"",IF(C714&lt;0,"ERRO: matrícula negativa",IF(COUNTIFS($A$5:$A$1200,A714,$B$5:$B$1200,B714)&gt;1,"ERRO: período e curso duplicados","OK")))</f>
        <v/>
      </c>
    </row>
    <row r="715" ht="15" customHeight="1" s="131">
      <c r="A715" s="220" t="n"/>
      <c r="B715" s="222" t="n"/>
      <c r="C715" s="220" t="n"/>
      <c r="D715" s="179">
        <f>IFERROR(C715,"")</f>
        <v/>
      </c>
      <c r="E715" s="219" t="n"/>
      <c r="F715" s="220" t="n"/>
      <c r="G715" s="221">
        <f>IF(COUNTA(A715:C715)=0,"",IF(C715&lt;0,"ERRO: matrícula negativa",IF(COUNTIFS($A$5:$A$1200,A715,$B$5:$B$1200,B715)&gt;1,"ERRO: período e curso duplicados","OK")))</f>
        <v/>
      </c>
    </row>
    <row r="716" ht="15" customHeight="1" s="131">
      <c r="A716" s="220" t="n"/>
      <c r="B716" s="222" t="n"/>
      <c r="C716" s="220" t="n"/>
      <c r="D716" s="179">
        <f>IFERROR(C716,"")</f>
        <v/>
      </c>
      <c r="E716" s="219" t="n"/>
      <c r="F716" s="220" t="n"/>
      <c r="G716" s="221">
        <f>IF(COUNTA(A716:C716)=0,"",IF(C716&lt;0,"ERRO: matrícula negativa",IF(COUNTIFS($A$5:$A$1200,A716,$B$5:$B$1200,B716)&gt;1,"ERRO: período e curso duplicados","OK")))</f>
        <v/>
      </c>
    </row>
    <row r="717" ht="15" customHeight="1" s="131">
      <c r="A717" s="220" t="n"/>
      <c r="B717" s="222" t="n"/>
      <c r="C717" s="220" t="n"/>
      <c r="D717" s="179">
        <f>IFERROR(C717,"")</f>
        <v/>
      </c>
      <c r="E717" s="219" t="n"/>
      <c r="F717" s="220" t="n"/>
      <c r="G717" s="221">
        <f>IF(COUNTA(A717:C717)=0,"",IF(C717&lt;0,"ERRO: matrícula negativa",IF(COUNTIFS($A$5:$A$1200,A717,$B$5:$B$1200,B717)&gt;1,"ERRO: período e curso duplicados","OK")))</f>
        <v/>
      </c>
    </row>
    <row r="718" ht="15" customHeight="1" s="131">
      <c r="A718" s="220" t="n"/>
      <c r="B718" s="222" t="n"/>
      <c r="C718" s="220" t="n"/>
      <c r="D718" s="179">
        <f>IFERROR(C718,"")</f>
        <v/>
      </c>
      <c r="E718" s="219" t="n"/>
      <c r="F718" s="220" t="n"/>
      <c r="G718" s="221">
        <f>IF(COUNTA(A718:C718)=0,"",IF(C718&lt;0,"ERRO: matrícula negativa",IF(COUNTIFS($A$5:$A$1200,A718,$B$5:$B$1200,B718)&gt;1,"ERRO: período e curso duplicados","OK")))</f>
        <v/>
      </c>
    </row>
    <row r="719" ht="15" customHeight="1" s="131">
      <c r="A719" s="220" t="n"/>
      <c r="B719" s="222" t="n"/>
      <c r="C719" s="220" t="n"/>
      <c r="D719" s="179">
        <f>IFERROR(C719,"")</f>
        <v/>
      </c>
      <c r="E719" s="219" t="n"/>
      <c r="F719" s="220" t="n"/>
      <c r="G719" s="221">
        <f>IF(COUNTA(A719:C719)=0,"",IF(C719&lt;0,"ERRO: matrícula negativa",IF(COUNTIFS($A$5:$A$1200,A719,$B$5:$B$1200,B719)&gt;1,"ERRO: período e curso duplicados","OK")))</f>
        <v/>
      </c>
    </row>
    <row r="720" ht="15" customHeight="1" s="131">
      <c r="A720" s="220" t="n"/>
      <c r="B720" s="222" t="n"/>
      <c r="C720" s="220" t="n"/>
      <c r="D720" s="179">
        <f>IFERROR(C720,"")</f>
        <v/>
      </c>
      <c r="E720" s="219" t="n"/>
      <c r="F720" s="220" t="n"/>
      <c r="G720" s="221">
        <f>IF(COUNTA(A720:C720)=0,"",IF(C720&lt;0,"ERRO: matrícula negativa",IF(COUNTIFS($A$5:$A$1200,A720,$B$5:$B$1200,B720)&gt;1,"ERRO: período e curso duplicados","OK")))</f>
        <v/>
      </c>
    </row>
    <row r="721" ht="15" customHeight="1" s="131">
      <c r="A721" s="220" t="n"/>
      <c r="B721" s="222" t="n"/>
      <c r="C721" s="220" t="n"/>
      <c r="D721" s="179">
        <f>IFERROR(C721,"")</f>
        <v/>
      </c>
      <c r="E721" s="219" t="n"/>
      <c r="F721" s="220" t="n"/>
      <c r="G721" s="221">
        <f>IF(COUNTA(A721:C721)=0,"",IF(C721&lt;0,"ERRO: matrícula negativa",IF(COUNTIFS($A$5:$A$1200,A721,$B$5:$B$1200,B721)&gt;1,"ERRO: período e curso duplicados","OK")))</f>
        <v/>
      </c>
    </row>
    <row r="722" ht="15" customHeight="1" s="131">
      <c r="A722" s="220" t="n"/>
      <c r="B722" s="222" t="n"/>
      <c r="C722" s="220" t="n"/>
      <c r="D722" s="179">
        <f>IFERROR(C722,"")</f>
        <v/>
      </c>
      <c r="E722" s="219" t="n"/>
      <c r="F722" s="220" t="n"/>
      <c r="G722" s="221">
        <f>IF(COUNTA(A722:C722)=0,"",IF(C722&lt;0,"ERRO: matrícula negativa",IF(COUNTIFS($A$5:$A$1200,A722,$B$5:$B$1200,B722)&gt;1,"ERRO: período e curso duplicados","OK")))</f>
        <v/>
      </c>
    </row>
    <row r="723" ht="15" customHeight="1" s="131">
      <c r="A723" s="220" t="n"/>
      <c r="B723" s="222" t="n"/>
      <c r="C723" s="220" t="n"/>
      <c r="D723" s="179">
        <f>IFERROR(C723,"")</f>
        <v/>
      </c>
      <c r="E723" s="219" t="n"/>
      <c r="F723" s="220" t="n"/>
      <c r="G723" s="221">
        <f>IF(COUNTA(A723:C723)=0,"",IF(C723&lt;0,"ERRO: matrícula negativa",IF(COUNTIFS($A$5:$A$1200,A723,$B$5:$B$1200,B723)&gt;1,"ERRO: período e curso duplicados","OK")))</f>
        <v/>
      </c>
    </row>
    <row r="724" ht="15" customHeight="1" s="131">
      <c r="A724" s="220" t="n"/>
      <c r="B724" s="222" t="n"/>
      <c r="C724" s="220" t="n"/>
      <c r="D724" s="179">
        <f>IFERROR(C724,"")</f>
        <v/>
      </c>
      <c r="E724" s="219" t="n"/>
      <c r="F724" s="220" t="n"/>
      <c r="G724" s="221">
        <f>IF(COUNTA(A724:C724)=0,"",IF(C724&lt;0,"ERRO: matrícula negativa",IF(COUNTIFS($A$5:$A$1200,A724,$B$5:$B$1200,B724)&gt;1,"ERRO: período e curso duplicados","OK")))</f>
        <v/>
      </c>
    </row>
    <row r="725" ht="15" customHeight="1" s="131">
      <c r="A725" s="220" t="n"/>
      <c r="B725" s="222" t="n"/>
      <c r="C725" s="220" t="n"/>
      <c r="D725" s="179">
        <f>IFERROR(C725,"")</f>
        <v/>
      </c>
      <c r="E725" s="219" t="n"/>
      <c r="F725" s="220" t="n"/>
      <c r="G725" s="221">
        <f>IF(COUNTA(A725:C725)=0,"",IF(C725&lt;0,"ERRO: matrícula negativa",IF(COUNTIFS($A$5:$A$1200,A725,$B$5:$B$1200,B725)&gt;1,"ERRO: período e curso duplicados","OK")))</f>
        <v/>
      </c>
    </row>
    <row r="726" ht="15" customHeight="1" s="131">
      <c r="A726" s="220" t="n"/>
      <c r="B726" s="222" t="n"/>
      <c r="C726" s="220" t="n"/>
      <c r="D726" s="179">
        <f>IFERROR(C726,"")</f>
        <v/>
      </c>
      <c r="E726" s="219" t="n"/>
      <c r="F726" s="220" t="n"/>
      <c r="G726" s="221">
        <f>IF(COUNTA(A726:C726)=0,"",IF(C726&lt;0,"ERRO: matrícula negativa",IF(COUNTIFS($A$5:$A$1200,A726,$B$5:$B$1200,B726)&gt;1,"ERRO: período e curso duplicados","OK")))</f>
        <v/>
      </c>
    </row>
    <row r="727" ht="15" customHeight="1" s="131">
      <c r="A727" s="220" t="n"/>
      <c r="B727" s="222" t="n"/>
      <c r="C727" s="220" t="n"/>
      <c r="D727" s="179">
        <f>IFERROR(C727,"")</f>
        <v/>
      </c>
      <c r="E727" s="219" t="n"/>
      <c r="F727" s="220" t="n"/>
      <c r="G727" s="221">
        <f>IF(COUNTA(A727:C727)=0,"",IF(C727&lt;0,"ERRO: matrícula negativa",IF(COUNTIFS($A$5:$A$1200,A727,$B$5:$B$1200,B727)&gt;1,"ERRO: período e curso duplicados","OK")))</f>
        <v/>
      </c>
    </row>
    <row r="728" ht="15" customHeight="1" s="131">
      <c r="A728" s="220" t="n"/>
      <c r="B728" s="222" t="n"/>
      <c r="C728" s="220" t="n"/>
      <c r="D728" s="179">
        <f>IFERROR(C728,"")</f>
        <v/>
      </c>
      <c r="E728" s="219" t="n"/>
      <c r="F728" s="220" t="n"/>
      <c r="G728" s="221">
        <f>IF(COUNTA(A728:C728)=0,"",IF(C728&lt;0,"ERRO: matrícula negativa",IF(COUNTIFS($A$5:$A$1200,A728,$B$5:$B$1200,B728)&gt;1,"ERRO: período e curso duplicados","OK")))</f>
        <v/>
      </c>
    </row>
    <row r="729" ht="15" customHeight="1" s="131">
      <c r="A729" s="220" t="n"/>
      <c r="B729" s="222" t="n"/>
      <c r="C729" s="220" t="n"/>
      <c r="D729" s="179">
        <f>IFERROR(C729,"")</f>
        <v/>
      </c>
      <c r="E729" s="219" t="n"/>
      <c r="F729" s="220" t="n"/>
      <c r="G729" s="221">
        <f>IF(COUNTA(A729:C729)=0,"",IF(C729&lt;0,"ERRO: matrícula negativa",IF(COUNTIFS($A$5:$A$1200,A729,$B$5:$B$1200,B729)&gt;1,"ERRO: período e curso duplicados","OK")))</f>
        <v/>
      </c>
    </row>
    <row r="730" ht="15" customHeight="1" s="131">
      <c r="A730" s="220" t="n"/>
      <c r="B730" s="222" t="n"/>
      <c r="C730" s="220" t="n"/>
      <c r="D730" s="179">
        <f>IFERROR(C730,"")</f>
        <v/>
      </c>
      <c r="E730" s="219" t="n"/>
      <c r="F730" s="220" t="n"/>
      <c r="G730" s="221">
        <f>IF(COUNTA(A730:C730)=0,"",IF(C730&lt;0,"ERRO: matrícula negativa",IF(COUNTIFS($A$5:$A$1200,A730,$B$5:$B$1200,B730)&gt;1,"ERRO: período e curso duplicados","OK")))</f>
        <v/>
      </c>
    </row>
    <row r="731" ht="15" customHeight="1" s="131">
      <c r="A731" s="220" t="n"/>
      <c r="B731" s="222" t="n"/>
      <c r="C731" s="220" t="n"/>
      <c r="D731" s="179">
        <f>IFERROR(C731,"")</f>
        <v/>
      </c>
      <c r="E731" s="219" t="n"/>
      <c r="F731" s="220" t="n"/>
      <c r="G731" s="221">
        <f>IF(COUNTA(A731:C731)=0,"",IF(C731&lt;0,"ERRO: matrícula negativa",IF(COUNTIFS($A$5:$A$1200,A731,$B$5:$B$1200,B731)&gt;1,"ERRO: período e curso duplicados","OK")))</f>
        <v/>
      </c>
    </row>
    <row r="732" ht="15" customHeight="1" s="131">
      <c r="A732" s="220" t="n"/>
      <c r="B732" s="222" t="n"/>
      <c r="C732" s="220" t="n"/>
      <c r="D732" s="179">
        <f>IFERROR(C732,"")</f>
        <v/>
      </c>
      <c r="E732" s="219" t="n"/>
      <c r="F732" s="220" t="n"/>
      <c r="G732" s="221">
        <f>IF(COUNTA(A732:C732)=0,"",IF(C732&lt;0,"ERRO: matrícula negativa",IF(COUNTIFS($A$5:$A$1200,A732,$B$5:$B$1200,B732)&gt;1,"ERRO: período e curso duplicados","OK")))</f>
        <v/>
      </c>
    </row>
    <row r="733" ht="15" customHeight="1" s="131">
      <c r="A733" s="220" t="n"/>
      <c r="B733" s="222" t="n"/>
      <c r="C733" s="220" t="n"/>
      <c r="D733" s="179">
        <f>IFERROR(C733,"")</f>
        <v/>
      </c>
      <c r="E733" s="219" t="n"/>
      <c r="F733" s="220" t="n"/>
      <c r="G733" s="221">
        <f>IF(COUNTA(A733:C733)=0,"",IF(C733&lt;0,"ERRO: matrícula negativa",IF(COUNTIFS($A$5:$A$1200,A733,$B$5:$B$1200,B733)&gt;1,"ERRO: período e curso duplicados","OK")))</f>
        <v/>
      </c>
    </row>
    <row r="734" ht="15" customHeight="1" s="131">
      <c r="A734" s="220" t="n"/>
      <c r="B734" s="222" t="n"/>
      <c r="C734" s="220" t="n"/>
      <c r="D734" s="179">
        <f>IFERROR(C734,"")</f>
        <v/>
      </c>
      <c r="E734" s="219" t="n"/>
      <c r="F734" s="220" t="n"/>
      <c r="G734" s="221">
        <f>IF(COUNTA(A734:C734)=0,"",IF(C734&lt;0,"ERRO: matrícula negativa",IF(COUNTIFS($A$5:$A$1200,A734,$B$5:$B$1200,B734)&gt;1,"ERRO: período e curso duplicados","OK")))</f>
        <v/>
      </c>
    </row>
    <row r="735" ht="15" customHeight="1" s="131">
      <c r="A735" s="220" t="n"/>
      <c r="B735" s="222" t="n"/>
      <c r="C735" s="220" t="n"/>
      <c r="D735" s="179">
        <f>IFERROR(C735,"")</f>
        <v/>
      </c>
      <c r="E735" s="219" t="n"/>
      <c r="F735" s="220" t="n"/>
      <c r="G735" s="221">
        <f>IF(COUNTA(A735:C735)=0,"",IF(C735&lt;0,"ERRO: matrícula negativa",IF(COUNTIFS($A$5:$A$1200,A735,$B$5:$B$1200,B735)&gt;1,"ERRO: período e curso duplicados","OK")))</f>
        <v/>
      </c>
    </row>
    <row r="736" ht="15" customHeight="1" s="131">
      <c r="A736" s="220" t="n"/>
      <c r="B736" s="222" t="n"/>
      <c r="C736" s="220" t="n"/>
      <c r="D736" s="179">
        <f>IFERROR(C736,"")</f>
        <v/>
      </c>
      <c r="E736" s="219" t="n"/>
      <c r="F736" s="220" t="n"/>
      <c r="G736" s="221">
        <f>IF(COUNTA(A736:C736)=0,"",IF(C736&lt;0,"ERRO: matrícula negativa",IF(COUNTIFS($A$5:$A$1200,A736,$B$5:$B$1200,B736)&gt;1,"ERRO: período e curso duplicados","OK")))</f>
        <v/>
      </c>
    </row>
    <row r="737" ht="15" customHeight="1" s="131">
      <c r="A737" s="220" t="n"/>
      <c r="B737" s="222" t="n"/>
      <c r="C737" s="220" t="n"/>
      <c r="D737" s="179">
        <f>IFERROR(C737,"")</f>
        <v/>
      </c>
      <c r="E737" s="219" t="n"/>
      <c r="F737" s="220" t="n"/>
      <c r="G737" s="221">
        <f>IF(COUNTA(A737:C737)=0,"",IF(C737&lt;0,"ERRO: matrícula negativa",IF(COUNTIFS($A$5:$A$1200,A737,$B$5:$B$1200,B737)&gt;1,"ERRO: período e curso duplicados","OK")))</f>
        <v/>
      </c>
    </row>
    <row r="738" ht="15" customHeight="1" s="131">
      <c r="A738" s="220" t="n"/>
      <c r="B738" s="222" t="n"/>
      <c r="C738" s="220" t="n"/>
      <c r="D738" s="179">
        <f>IFERROR(C738,"")</f>
        <v/>
      </c>
      <c r="E738" s="219" t="n"/>
      <c r="F738" s="220" t="n"/>
      <c r="G738" s="221">
        <f>IF(COUNTA(A738:C738)=0,"",IF(C738&lt;0,"ERRO: matrícula negativa",IF(COUNTIFS($A$5:$A$1200,A738,$B$5:$B$1200,B738)&gt;1,"ERRO: período e curso duplicados","OK")))</f>
        <v/>
      </c>
    </row>
    <row r="739" ht="15" customHeight="1" s="131">
      <c r="A739" s="220" t="n"/>
      <c r="B739" s="222" t="n"/>
      <c r="C739" s="220" t="n"/>
      <c r="D739" s="179">
        <f>IFERROR(C739,"")</f>
        <v/>
      </c>
      <c r="E739" s="219" t="n"/>
      <c r="F739" s="220" t="n"/>
      <c r="G739" s="221">
        <f>IF(COUNTA(A739:C739)=0,"",IF(C739&lt;0,"ERRO: matrícula negativa",IF(COUNTIFS($A$5:$A$1200,A739,$B$5:$B$1200,B739)&gt;1,"ERRO: período e curso duplicados","OK")))</f>
        <v/>
      </c>
    </row>
    <row r="740" ht="15" customHeight="1" s="131">
      <c r="A740" s="220" t="n"/>
      <c r="B740" s="222" t="n"/>
      <c r="C740" s="220" t="n"/>
      <c r="D740" s="179">
        <f>IFERROR(C740,"")</f>
        <v/>
      </c>
      <c r="E740" s="219" t="n"/>
      <c r="F740" s="220" t="n"/>
      <c r="G740" s="221">
        <f>IF(COUNTA(A740:C740)=0,"",IF(C740&lt;0,"ERRO: matrícula negativa",IF(COUNTIFS($A$5:$A$1200,A740,$B$5:$B$1200,B740)&gt;1,"ERRO: período e curso duplicados","OK")))</f>
        <v/>
      </c>
    </row>
    <row r="741" ht="15" customHeight="1" s="131">
      <c r="A741" s="220" t="n"/>
      <c r="B741" s="222" t="n"/>
      <c r="C741" s="220" t="n"/>
      <c r="D741" s="179">
        <f>IFERROR(C741,"")</f>
        <v/>
      </c>
      <c r="E741" s="219" t="n"/>
      <c r="F741" s="220" t="n"/>
      <c r="G741" s="221">
        <f>IF(COUNTA(A741:C741)=0,"",IF(C741&lt;0,"ERRO: matrícula negativa",IF(COUNTIFS($A$5:$A$1200,A741,$B$5:$B$1200,B741)&gt;1,"ERRO: período e curso duplicados","OK")))</f>
        <v/>
      </c>
    </row>
    <row r="742" ht="15" customHeight="1" s="131">
      <c r="A742" s="220" t="n"/>
      <c r="B742" s="222" t="n"/>
      <c r="C742" s="220" t="n"/>
      <c r="D742" s="179">
        <f>IFERROR(C742,"")</f>
        <v/>
      </c>
      <c r="E742" s="219" t="n"/>
      <c r="F742" s="220" t="n"/>
      <c r="G742" s="221">
        <f>IF(COUNTA(A742:C742)=0,"",IF(C742&lt;0,"ERRO: matrícula negativa",IF(COUNTIFS($A$5:$A$1200,A742,$B$5:$B$1200,B742)&gt;1,"ERRO: período e curso duplicados","OK")))</f>
        <v/>
      </c>
    </row>
    <row r="743" ht="15" customHeight="1" s="131">
      <c r="A743" s="220" t="n"/>
      <c r="B743" s="222" t="n"/>
      <c r="C743" s="220" t="n"/>
      <c r="D743" s="179">
        <f>IFERROR(C743,"")</f>
        <v/>
      </c>
      <c r="E743" s="219" t="n"/>
      <c r="F743" s="220" t="n"/>
      <c r="G743" s="221">
        <f>IF(COUNTA(A743:C743)=0,"",IF(C743&lt;0,"ERRO: matrícula negativa",IF(COUNTIFS($A$5:$A$1200,A743,$B$5:$B$1200,B743)&gt;1,"ERRO: período e curso duplicados","OK")))</f>
        <v/>
      </c>
    </row>
    <row r="744" ht="15" customHeight="1" s="131">
      <c r="A744" s="220" t="n"/>
      <c r="B744" s="222" t="n"/>
      <c r="C744" s="220" t="n"/>
      <c r="D744" s="179">
        <f>IFERROR(C744,"")</f>
        <v/>
      </c>
      <c r="E744" s="219" t="n"/>
      <c r="F744" s="220" t="n"/>
      <c r="G744" s="221">
        <f>IF(COUNTA(A744:C744)=0,"",IF(C744&lt;0,"ERRO: matrícula negativa",IF(COUNTIFS($A$5:$A$1200,A744,$B$5:$B$1200,B744)&gt;1,"ERRO: período e curso duplicados","OK")))</f>
        <v/>
      </c>
    </row>
    <row r="745" ht="15" customHeight="1" s="131">
      <c r="A745" s="220" t="n"/>
      <c r="B745" s="222" t="n"/>
      <c r="C745" s="220" t="n"/>
      <c r="D745" s="179">
        <f>IFERROR(C745,"")</f>
        <v/>
      </c>
      <c r="E745" s="219" t="n"/>
      <c r="F745" s="220" t="n"/>
      <c r="G745" s="221">
        <f>IF(COUNTA(A745:C745)=0,"",IF(C745&lt;0,"ERRO: matrícula negativa",IF(COUNTIFS($A$5:$A$1200,A745,$B$5:$B$1200,B745)&gt;1,"ERRO: período e curso duplicados","OK")))</f>
        <v/>
      </c>
    </row>
    <row r="746" ht="15" customHeight="1" s="131">
      <c r="A746" s="220" t="n"/>
      <c r="B746" s="222" t="n"/>
      <c r="C746" s="220" t="n"/>
      <c r="D746" s="179">
        <f>IFERROR(C746,"")</f>
        <v/>
      </c>
      <c r="E746" s="219" t="n"/>
      <c r="F746" s="220" t="n"/>
      <c r="G746" s="221">
        <f>IF(COUNTA(A746:C746)=0,"",IF(C746&lt;0,"ERRO: matrícula negativa",IF(COUNTIFS($A$5:$A$1200,A746,$B$5:$B$1200,B746)&gt;1,"ERRO: período e curso duplicados","OK")))</f>
        <v/>
      </c>
    </row>
    <row r="747" ht="15" customHeight="1" s="131">
      <c r="A747" s="220" t="n"/>
      <c r="B747" s="222" t="n"/>
      <c r="C747" s="220" t="n"/>
      <c r="D747" s="179">
        <f>IFERROR(C747,"")</f>
        <v/>
      </c>
      <c r="E747" s="219" t="n"/>
      <c r="F747" s="220" t="n"/>
      <c r="G747" s="221">
        <f>IF(COUNTA(A747:C747)=0,"",IF(C747&lt;0,"ERRO: matrícula negativa",IF(COUNTIFS($A$5:$A$1200,A747,$B$5:$B$1200,B747)&gt;1,"ERRO: período e curso duplicados","OK")))</f>
        <v/>
      </c>
    </row>
    <row r="748" ht="15" customHeight="1" s="131">
      <c r="A748" s="220" t="n"/>
      <c r="B748" s="222" t="n"/>
      <c r="C748" s="220" t="n"/>
      <c r="D748" s="179">
        <f>IFERROR(C748,"")</f>
        <v/>
      </c>
      <c r="E748" s="219" t="n"/>
      <c r="F748" s="220" t="n"/>
      <c r="G748" s="221">
        <f>IF(COUNTA(A748:C748)=0,"",IF(C748&lt;0,"ERRO: matrícula negativa",IF(COUNTIFS($A$5:$A$1200,A748,$B$5:$B$1200,B748)&gt;1,"ERRO: período e curso duplicados","OK")))</f>
        <v/>
      </c>
    </row>
    <row r="749" ht="15" customHeight="1" s="131">
      <c r="A749" s="220" t="n"/>
      <c r="B749" s="222" t="n"/>
      <c r="C749" s="220" t="n"/>
      <c r="D749" s="179">
        <f>IFERROR(C749,"")</f>
        <v/>
      </c>
      <c r="E749" s="219" t="n"/>
      <c r="F749" s="220" t="n"/>
      <c r="G749" s="221">
        <f>IF(COUNTA(A749:C749)=0,"",IF(C749&lt;0,"ERRO: matrícula negativa",IF(COUNTIFS($A$5:$A$1200,A749,$B$5:$B$1200,B749)&gt;1,"ERRO: período e curso duplicados","OK")))</f>
        <v/>
      </c>
    </row>
    <row r="750" ht="15" customHeight="1" s="131">
      <c r="A750" s="220" t="n"/>
      <c r="B750" s="222" t="n"/>
      <c r="C750" s="220" t="n"/>
      <c r="D750" s="179">
        <f>IFERROR(C750,"")</f>
        <v/>
      </c>
      <c r="E750" s="219" t="n"/>
      <c r="F750" s="220" t="n"/>
      <c r="G750" s="221">
        <f>IF(COUNTA(A750:C750)=0,"",IF(C750&lt;0,"ERRO: matrícula negativa",IF(COUNTIFS($A$5:$A$1200,A750,$B$5:$B$1200,B750)&gt;1,"ERRO: período e curso duplicados","OK")))</f>
        <v/>
      </c>
    </row>
    <row r="751" ht="15" customHeight="1" s="131">
      <c r="A751" s="220" t="n"/>
      <c r="B751" s="222" t="n"/>
      <c r="C751" s="220" t="n"/>
      <c r="D751" s="179">
        <f>IFERROR(C751,"")</f>
        <v/>
      </c>
      <c r="E751" s="219" t="n"/>
      <c r="F751" s="220" t="n"/>
      <c r="G751" s="221">
        <f>IF(COUNTA(A751:C751)=0,"",IF(C751&lt;0,"ERRO: matrícula negativa",IF(COUNTIFS($A$5:$A$1200,A751,$B$5:$B$1200,B751)&gt;1,"ERRO: período e curso duplicados","OK")))</f>
        <v/>
      </c>
    </row>
    <row r="752" ht="15" customHeight="1" s="131">
      <c r="A752" s="220" t="n"/>
      <c r="B752" s="222" t="n"/>
      <c r="C752" s="220" t="n"/>
      <c r="D752" s="179">
        <f>IFERROR(C752,"")</f>
        <v/>
      </c>
      <c r="E752" s="219" t="n"/>
      <c r="F752" s="220" t="n"/>
      <c r="G752" s="221">
        <f>IF(COUNTA(A752:C752)=0,"",IF(C752&lt;0,"ERRO: matrícula negativa",IF(COUNTIFS($A$5:$A$1200,A752,$B$5:$B$1200,B752)&gt;1,"ERRO: período e curso duplicados","OK")))</f>
        <v/>
      </c>
    </row>
    <row r="753" ht="15" customHeight="1" s="131">
      <c r="A753" s="220" t="n"/>
      <c r="B753" s="222" t="n"/>
      <c r="C753" s="220" t="n"/>
      <c r="D753" s="179">
        <f>IFERROR(C753,"")</f>
        <v/>
      </c>
      <c r="E753" s="219" t="n"/>
      <c r="F753" s="220" t="n"/>
      <c r="G753" s="221">
        <f>IF(COUNTA(A753:C753)=0,"",IF(C753&lt;0,"ERRO: matrícula negativa",IF(COUNTIFS($A$5:$A$1200,A753,$B$5:$B$1200,B753)&gt;1,"ERRO: período e curso duplicados","OK")))</f>
        <v/>
      </c>
    </row>
    <row r="754" ht="15" customHeight="1" s="131">
      <c r="A754" s="220" t="n"/>
      <c r="B754" s="222" t="n"/>
      <c r="C754" s="220" t="n"/>
      <c r="D754" s="179">
        <f>IFERROR(C754,"")</f>
        <v/>
      </c>
      <c r="E754" s="219" t="n"/>
      <c r="F754" s="220" t="n"/>
      <c r="G754" s="221">
        <f>IF(COUNTA(A754:C754)=0,"",IF(C754&lt;0,"ERRO: matrícula negativa",IF(COUNTIFS($A$5:$A$1200,A754,$B$5:$B$1200,B754)&gt;1,"ERRO: período e curso duplicados","OK")))</f>
        <v/>
      </c>
    </row>
    <row r="755" ht="15" customHeight="1" s="131">
      <c r="A755" s="220" t="n"/>
      <c r="B755" s="222" t="n"/>
      <c r="C755" s="220" t="n"/>
      <c r="D755" s="179">
        <f>IFERROR(C755,"")</f>
        <v/>
      </c>
      <c r="E755" s="219" t="n"/>
      <c r="F755" s="220" t="n"/>
      <c r="G755" s="221">
        <f>IF(COUNTA(A755:C755)=0,"",IF(C755&lt;0,"ERRO: matrícula negativa",IF(COUNTIFS($A$5:$A$1200,A755,$B$5:$B$1200,B755)&gt;1,"ERRO: período e curso duplicados","OK")))</f>
        <v/>
      </c>
    </row>
    <row r="756" ht="15" customHeight="1" s="131">
      <c r="A756" s="220" t="n"/>
      <c r="B756" s="222" t="n"/>
      <c r="C756" s="220" t="n"/>
      <c r="D756" s="179">
        <f>IFERROR(C756,"")</f>
        <v/>
      </c>
      <c r="E756" s="219" t="n"/>
      <c r="F756" s="220" t="n"/>
      <c r="G756" s="221">
        <f>IF(COUNTA(A756:C756)=0,"",IF(C756&lt;0,"ERRO: matrícula negativa",IF(COUNTIFS($A$5:$A$1200,A756,$B$5:$B$1200,B756)&gt;1,"ERRO: período e curso duplicados","OK")))</f>
        <v/>
      </c>
    </row>
    <row r="757" ht="15" customHeight="1" s="131">
      <c r="A757" s="220" t="n"/>
      <c r="B757" s="222" t="n"/>
      <c r="C757" s="220" t="n"/>
      <c r="D757" s="179">
        <f>IFERROR(C757,"")</f>
        <v/>
      </c>
      <c r="E757" s="219" t="n"/>
      <c r="F757" s="220" t="n"/>
      <c r="G757" s="221">
        <f>IF(COUNTA(A757:C757)=0,"",IF(C757&lt;0,"ERRO: matrícula negativa",IF(COUNTIFS($A$5:$A$1200,A757,$B$5:$B$1200,B757)&gt;1,"ERRO: período e curso duplicados","OK")))</f>
        <v/>
      </c>
    </row>
    <row r="758" ht="15" customHeight="1" s="131">
      <c r="A758" s="220" t="n"/>
      <c r="B758" s="222" t="n"/>
      <c r="C758" s="220" t="n"/>
      <c r="D758" s="179">
        <f>IFERROR(C758,"")</f>
        <v/>
      </c>
      <c r="E758" s="219" t="n"/>
      <c r="F758" s="220" t="n"/>
      <c r="G758" s="221">
        <f>IF(COUNTA(A758:C758)=0,"",IF(C758&lt;0,"ERRO: matrícula negativa",IF(COUNTIFS($A$5:$A$1200,A758,$B$5:$B$1200,B758)&gt;1,"ERRO: período e curso duplicados","OK")))</f>
        <v/>
      </c>
    </row>
    <row r="759" ht="15" customHeight="1" s="131">
      <c r="A759" s="220" t="n"/>
      <c r="B759" s="222" t="n"/>
      <c r="C759" s="220" t="n"/>
      <c r="D759" s="179">
        <f>IFERROR(C759,"")</f>
        <v/>
      </c>
      <c r="E759" s="219" t="n"/>
      <c r="F759" s="220" t="n"/>
      <c r="G759" s="221">
        <f>IF(COUNTA(A759:C759)=0,"",IF(C759&lt;0,"ERRO: matrícula negativa",IF(COUNTIFS($A$5:$A$1200,A759,$B$5:$B$1200,B759)&gt;1,"ERRO: período e curso duplicados","OK")))</f>
        <v/>
      </c>
    </row>
    <row r="760" ht="15" customHeight="1" s="131">
      <c r="A760" s="220" t="n"/>
      <c r="B760" s="222" t="n"/>
      <c r="C760" s="220" t="n"/>
      <c r="D760" s="179">
        <f>IFERROR(C760,"")</f>
        <v/>
      </c>
      <c r="E760" s="219" t="n"/>
      <c r="F760" s="220" t="n"/>
      <c r="G760" s="221">
        <f>IF(COUNTA(A760:C760)=0,"",IF(C760&lt;0,"ERRO: matrícula negativa",IF(COUNTIFS($A$5:$A$1200,A760,$B$5:$B$1200,B760)&gt;1,"ERRO: período e curso duplicados","OK")))</f>
        <v/>
      </c>
    </row>
    <row r="761" ht="15" customHeight="1" s="131">
      <c r="A761" s="220" t="n"/>
      <c r="B761" s="222" t="n"/>
      <c r="C761" s="220" t="n"/>
      <c r="D761" s="179">
        <f>IFERROR(C761,"")</f>
        <v/>
      </c>
      <c r="E761" s="219" t="n"/>
      <c r="F761" s="220" t="n"/>
      <c r="G761" s="221">
        <f>IF(COUNTA(A761:C761)=0,"",IF(C761&lt;0,"ERRO: matrícula negativa",IF(COUNTIFS($A$5:$A$1200,A761,$B$5:$B$1200,B761)&gt;1,"ERRO: período e curso duplicados","OK")))</f>
        <v/>
      </c>
    </row>
    <row r="762" ht="15" customHeight="1" s="131">
      <c r="A762" s="220" t="n"/>
      <c r="B762" s="222" t="n"/>
      <c r="C762" s="220" t="n"/>
      <c r="D762" s="179">
        <f>IFERROR(C762,"")</f>
        <v/>
      </c>
      <c r="E762" s="219" t="n"/>
      <c r="F762" s="220" t="n"/>
      <c r="G762" s="221">
        <f>IF(COUNTA(A762:C762)=0,"",IF(C762&lt;0,"ERRO: matrícula negativa",IF(COUNTIFS($A$5:$A$1200,A762,$B$5:$B$1200,B762)&gt;1,"ERRO: período e curso duplicados","OK")))</f>
        <v/>
      </c>
    </row>
    <row r="763" ht="15" customHeight="1" s="131">
      <c r="A763" s="220" t="n"/>
      <c r="B763" s="222" t="n"/>
      <c r="C763" s="220" t="n"/>
      <c r="D763" s="179">
        <f>IFERROR(C763,"")</f>
        <v/>
      </c>
      <c r="E763" s="219" t="n"/>
      <c r="F763" s="220" t="n"/>
      <c r="G763" s="221">
        <f>IF(COUNTA(A763:C763)=0,"",IF(C763&lt;0,"ERRO: matrícula negativa",IF(COUNTIFS($A$5:$A$1200,A763,$B$5:$B$1200,B763)&gt;1,"ERRO: período e curso duplicados","OK")))</f>
        <v/>
      </c>
    </row>
    <row r="764" ht="15" customHeight="1" s="131">
      <c r="A764" s="220" t="n"/>
      <c r="B764" s="222" t="n"/>
      <c r="C764" s="220" t="n"/>
      <c r="D764" s="179">
        <f>IFERROR(C764,"")</f>
        <v/>
      </c>
      <c r="E764" s="219" t="n"/>
      <c r="F764" s="220" t="n"/>
      <c r="G764" s="221">
        <f>IF(COUNTA(A764:C764)=0,"",IF(C764&lt;0,"ERRO: matrícula negativa",IF(COUNTIFS($A$5:$A$1200,A764,$B$5:$B$1200,B764)&gt;1,"ERRO: período e curso duplicados","OK")))</f>
        <v/>
      </c>
    </row>
    <row r="765" ht="15" customHeight="1" s="131">
      <c r="A765" s="220" t="n"/>
      <c r="B765" s="222" t="n"/>
      <c r="C765" s="220" t="n"/>
      <c r="D765" s="179">
        <f>IFERROR(C765,"")</f>
        <v/>
      </c>
      <c r="E765" s="219" t="n"/>
      <c r="F765" s="220" t="n"/>
      <c r="G765" s="221">
        <f>IF(COUNTA(A765:C765)=0,"",IF(C765&lt;0,"ERRO: matrícula negativa",IF(COUNTIFS($A$5:$A$1200,A765,$B$5:$B$1200,B765)&gt;1,"ERRO: período e curso duplicados","OK")))</f>
        <v/>
      </c>
    </row>
    <row r="766" ht="15" customHeight="1" s="131">
      <c r="A766" s="220" t="n"/>
      <c r="B766" s="222" t="n"/>
      <c r="C766" s="220" t="n"/>
      <c r="D766" s="179">
        <f>IFERROR(C766,"")</f>
        <v/>
      </c>
      <c r="E766" s="219" t="n"/>
      <c r="F766" s="220" t="n"/>
      <c r="G766" s="221">
        <f>IF(COUNTA(A766:C766)=0,"",IF(C766&lt;0,"ERRO: matrícula negativa",IF(COUNTIFS($A$5:$A$1200,A766,$B$5:$B$1200,B766)&gt;1,"ERRO: período e curso duplicados","OK")))</f>
        <v/>
      </c>
    </row>
    <row r="767" ht="15" customHeight="1" s="131">
      <c r="A767" s="220" t="n"/>
      <c r="B767" s="222" t="n"/>
      <c r="C767" s="220" t="n"/>
      <c r="D767" s="179">
        <f>IFERROR(C767,"")</f>
        <v/>
      </c>
      <c r="E767" s="219" t="n"/>
      <c r="F767" s="220" t="n"/>
      <c r="G767" s="221">
        <f>IF(COUNTA(A767:C767)=0,"",IF(C767&lt;0,"ERRO: matrícula negativa",IF(COUNTIFS($A$5:$A$1200,A767,$B$5:$B$1200,B767)&gt;1,"ERRO: período e curso duplicados","OK")))</f>
        <v/>
      </c>
    </row>
    <row r="768" ht="15" customHeight="1" s="131">
      <c r="A768" s="220" t="n"/>
      <c r="B768" s="222" t="n"/>
      <c r="C768" s="220" t="n"/>
      <c r="D768" s="179">
        <f>IFERROR(C768,"")</f>
        <v/>
      </c>
      <c r="E768" s="219" t="n"/>
      <c r="F768" s="220" t="n"/>
      <c r="G768" s="221">
        <f>IF(COUNTA(A768:C768)=0,"",IF(C768&lt;0,"ERRO: matrícula negativa",IF(COUNTIFS($A$5:$A$1200,A768,$B$5:$B$1200,B768)&gt;1,"ERRO: período e curso duplicados","OK")))</f>
        <v/>
      </c>
    </row>
    <row r="769" ht="15" customHeight="1" s="131">
      <c r="A769" s="220" t="n"/>
      <c r="B769" s="222" t="n"/>
      <c r="C769" s="220" t="n"/>
      <c r="D769" s="179">
        <f>IFERROR(C769,"")</f>
        <v/>
      </c>
      <c r="E769" s="219" t="n"/>
      <c r="F769" s="220" t="n"/>
      <c r="G769" s="221">
        <f>IF(COUNTA(A769:C769)=0,"",IF(C769&lt;0,"ERRO: matrícula negativa",IF(COUNTIFS($A$5:$A$1200,A769,$B$5:$B$1200,B769)&gt;1,"ERRO: período e curso duplicados","OK")))</f>
        <v/>
      </c>
    </row>
    <row r="770" ht="15" customHeight="1" s="131">
      <c r="A770" s="220" t="n"/>
      <c r="B770" s="222" t="n"/>
      <c r="C770" s="220" t="n"/>
      <c r="D770" s="179">
        <f>IFERROR(C770,"")</f>
        <v/>
      </c>
      <c r="E770" s="219" t="n"/>
      <c r="F770" s="220" t="n"/>
      <c r="G770" s="221">
        <f>IF(COUNTA(A770:C770)=0,"",IF(C770&lt;0,"ERRO: matrícula negativa",IF(COUNTIFS($A$5:$A$1200,A770,$B$5:$B$1200,B770)&gt;1,"ERRO: período e curso duplicados","OK")))</f>
        <v/>
      </c>
    </row>
    <row r="771" ht="15" customHeight="1" s="131">
      <c r="A771" s="220" t="n"/>
      <c r="B771" s="222" t="n"/>
      <c r="C771" s="220" t="n"/>
      <c r="D771" s="179">
        <f>IFERROR(C771,"")</f>
        <v/>
      </c>
      <c r="E771" s="219" t="n"/>
      <c r="F771" s="220" t="n"/>
      <c r="G771" s="221">
        <f>IF(COUNTA(A771:C771)=0,"",IF(C771&lt;0,"ERRO: matrícula negativa",IF(COUNTIFS($A$5:$A$1200,A771,$B$5:$B$1200,B771)&gt;1,"ERRO: período e curso duplicados","OK")))</f>
        <v/>
      </c>
    </row>
    <row r="772" ht="15" customHeight="1" s="131">
      <c r="A772" s="220" t="n"/>
      <c r="B772" s="222" t="n"/>
      <c r="C772" s="220" t="n"/>
      <c r="D772" s="179">
        <f>IFERROR(C772,"")</f>
        <v/>
      </c>
      <c r="E772" s="219" t="n"/>
      <c r="F772" s="220" t="n"/>
      <c r="G772" s="221">
        <f>IF(COUNTA(A772:C772)=0,"",IF(C772&lt;0,"ERRO: matrícula negativa",IF(COUNTIFS($A$5:$A$1200,A772,$B$5:$B$1200,B772)&gt;1,"ERRO: período e curso duplicados","OK")))</f>
        <v/>
      </c>
    </row>
    <row r="773" ht="15" customHeight="1" s="131">
      <c r="A773" s="220" t="n"/>
      <c r="B773" s="222" t="n"/>
      <c r="C773" s="220" t="n"/>
      <c r="D773" s="179">
        <f>IFERROR(C773,"")</f>
        <v/>
      </c>
      <c r="E773" s="219" t="n"/>
      <c r="F773" s="220" t="n"/>
      <c r="G773" s="221">
        <f>IF(COUNTA(A773:C773)=0,"",IF(C773&lt;0,"ERRO: matrícula negativa",IF(COUNTIFS($A$5:$A$1200,A773,$B$5:$B$1200,B773)&gt;1,"ERRO: período e curso duplicados","OK")))</f>
        <v/>
      </c>
    </row>
    <row r="774" ht="15" customHeight="1" s="131">
      <c r="A774" s="220" t="n"/>
      <c r="B774" s="222" t="n"/>
      <c r="C774" s="220" t="n"/>
      <c r="D774" s="179">
        <f>IFERROR(C774,"")</f>
        <v/>
      </c>
      <c r="E774" s="219" t="n"/>
      <c r="F774" s="220" t="n"/>
      <c r="G774" s="221">
        <f>IF(COUNTA(A774:C774)=0,"",IF(C774&lt;0,"ERRO: matrícula negativa",IF(COUNTIFS($A$5:$A$1200,A774,$B$5:$B$1200,B774)&gt;1,"ERRO: período e curso duplicados","OK")))</f>
        <v/>
      </c>
    </row>
    <row r="775" ht="15" customHeight="1" s="131">
      <c r="A775" s="220" t="n"/>
      <c r="B775" s="222" t="n"/>
      <c r="C775" s="220" t="n"/>
      <c r="D775" s="179">
        <f>IFERROR(C775,"")</f>
        <v/>
      </c>
      <c r="E775" s="219" t="n"/>
      <c r="F775" s="220" t="n"/>
      <c r="G775" s="221">
        <f>IF(COUNTA(A775:C775)=0,"",IF(C775&lt;0,"ERRO: matrícula negativa",IF(COUNTIFS($A$5:$A$1200,A775,$B$5:$B$1200,B775)&gt;1,"ERRO: período e curso duplicados","OK")))</f>
        <v/>
      </c>
    </row>
    <row r="776" ht="15" customHeight="1" s="131">
      <c r="A776" s="220" t="n"/>
      <c r="B776" s="222" t="n"/>
      <c r="C776" s="220" t="n"/>
      <c r="D776" s="179">
        <f>IFERROR(C776,"")</f>
        <v/>
      </c>
      <c r="E776" s="219" t="n"/>
      <c r="F776" s="220" t="n"/>
      <c r="G776" s="221">
        <f>IF(COUNTA(A776:C776)=0,"",IF(C776&lt;0,"ERRO: matrícula negativa",IF(COUNTIFS($A$5:$A$1200,A776,$B$5:$B$1200,B776)&gt;1,"ERRO: período e curso duplicados","OK")))</f>
        <v/>
      </c>
    </row>
    <row r="777" ht="15" customHeight="1" s="131">
      <c r="A777" s="220" t="n"/>
      <c r="B777" s="222" t="n"/>
      <c r="C777" s="220" t="n"/>
      <c r="D777" s="179">
        <f>IFERROR(C777,"")</f>
        <v/>
      </c>
      <c r="E777" s="219" t="n"/>
      <c r="F777" s="220" t="n"/>
      <c r="G777" s="221">
        <f>IF(COUNTA(A777:C777)=0,"",IF(C777&lt;0,"ERRO: matrícula negativa",IF(COUNTIFS($A$5:$A$1200,A777,$B$5:$B$1200,B777)&gt;1,"ERRO: período e curso duplicados","OK")))</f>
        <v/>
      </c>
    </row>
    <row r="778" ht="15" customHeight="1" s="131">
      <c r="A778" s="220" t="n"/>
      <c r="B778" s="222" t="n"/>
      <c r="C778" s="220" t="n"/>
      <c r="D778" s="179">
        <f>IFERROR(C778,"")</f>
        <v/>
      </c>
      <c r="E778" s="219" t="n"/>
      <c r="F778" s="220" t="n"/>
      <c r="G778" s="221">
        <f>IF(COUNTA(A778:C778)=0,"",IF(C778&lt;0,"ERRO: matrícula negativa",IF(COUNTIFS($A$5:$A$1200,A778,$B$5:$B$1200,B778)&gt;1,"ERRO: período e curso duplicados","OK")))</f>
        <v/>
      </c>
    </row>
    <row r="779" ht="15" customHeight="1" s="131">
      <c r="A779" s="220" t="n"/>
      <c r="B779" s="222" t="n"/>
      <c r="C779" s="220" t="n"/>
      <c r="D779" s="179">
        <f>IFERROR(C779,"")</f>
        <v/>
      </c>
      <c r="E779" s="219" t="n"/>
      <c r="F779" s="220" t="n"/>
      <c r="G779" s="221">
        <f>IF(COUNTA(A779:C779)=0,"",IF(C779&lt;0,"ERRO: matrícula negativa",IF(COUNTIFS($A$5:$A$1200,A779,$B$5:$B$1200,B779)&gt;1,"ERRO: período e curso duplicados","OK")))</f>
        <v/>
      </c>
    </row>
    <row r="780" ht="15" customHeight="1" s="131">
      <c r="A780" s="220" t="n"/>
      <c r="B780" s="222" t="n"/>
      <c r="C780" s="220" t="n"/>
      <c r="D780" s="179">
        <f>IFERROR(C780,"")</f>
        <v/>
      </c>
      <c r="E780" s="219" t="n"/>
      <c r="F780" s="220" t="n"/>
      <c r="G780" s="221">
        <f>IF(COUNTA(A780:C780)=0,"",IF(C780&lt;0,"ERRO: matrícula negativa",IF(COUNTIFS($A$5:$A$1200,A780,$B$5:$B$1200,B780)&gt;1,"ERRO: período e curso duplicados","OK")))</f>
        <v/>
      </c>
    </row>
    <row r="781" ht="15" customHeight="1" s="131">
      <c r="A781" s="220" t="n"/>
      <c r="B781" s="222" t="n"/>
      <c r="C781" s="220" t="n"/>
      <c r="D781" s="179">
        <f>IFERROR(C781,"")</f>
        <v/>
      </c>
      <c r="E781" s="219" t="n"/>
      <c r="F781" s="220" t="n"/>
      <c r="G781" s="221">
        <f>IF(COUNTA(A781:C781)=0,"",IF(C781&lt;0,"ERRO: matrícula negativa",IF(COUNTIFS($A$5:$A$1200,A781,$B$5:$B$1200,B781)&gt;1,"ERRO: período e curso duplicados","OK")))</f>
        <v/>
      </c>
    </row>
    <row r="782" ht="15" customHeight="1" s="131">
      <c r="A782" s="220" t="n"/>
      <c r="B782" s="222" t="n"/>
      <c r="C782" s="220" t="n"/>
      <c r="D782" s="179">
        <f>IFERROR(C782,"")</f>
        <v/>
      </c>
      <c r="E782" s="219" t="n"/>
      <c r="F782" s="220" t="n"/>
      <c r="G782" s="221">
        <f>IF(COUNTA(A782:C782)=0,"",IF(C782&lt;0,"ERRO: matrícula negativa",IF(COUNTIFS($A$5:$A$1200,A782,$B$5:$B$1200,B782)&gt;1,"ERRO: período e curso duplicados","OK")))</f>
        <v/>
      </c>
    </row>
    <row r="783" ht="15" customHeight="1" s="131">
      <c r="A783" s="220" t="n"/>
      <c r="B783" s="222" t="n"/>
      <c r="C783" s="220" t="n"/>
      <c r="D783" s="179">
        <f>IFERROR(C783,"")</f>
        <v/>
      </c>
      <c r="E783" s="219" t="n"/>
      <c r="F783" s="220" t="n"/>
      <c r="G783" s="221">
        <f>IF(COUNTA(A783:C783)=0,"",IF(C783&lt;0,"ERRO: matrícula negativa",IF(COUNTIFS($A$5:$A$1200,A783,$B$5:$B$1200,B783)&gt;1,"ERRO: período e curso duplicados","OK")))</f>
        <v/>
      </c>
    </row>
    <row r="784" ht="15" customHeight="1" s="131">
      <c r="A784" s="220" t="n"/>
      <c r="B784" s="222" t="n"/>
      <c r="C784" s="220" t="n"/>
      <c r="D784" s="179">
        <f>IFERROR(C784,"")</f>
        <v/>
      </c>
      <c r="E784" s="219" t="n"/>
      <c r="F784" s="220" t="n"/>
      <c r="G784" s="221">
        <f>IF(COUNTA(A784:C784)=0,"",IF(C784&lt;0,"ERRO: matrícula negativa",IF(COUNTIFS($A$5:$A$1200,A784,$B$5:$B$1200,B784)&gt;1,"ERRO: período e curso duplicados","OK")))</f>
        <v/>
      </c>
    </row>
    <row r="785" ht="15" customHeight="1" s="131">
      <c r="A785" s="220" t="n"/>
      <c r="B785" s="222" t="n"/>
      <c r="C785" s="220" t="n"/>
      <c r="D785" s="179">
        <f>IFERROR(C785,"")</f>
        <v/>
      </c>
      <c r="E785" s="219" t="n"/>
      <c r="F785" s="220" t="n"/>
      <c r="G785" s="221">
        <f>IF(COUNTA(A785:C785)=0,"",IF(C785&lt;0,"ERRO: matrícula negativa",IF(COUNTIFS($A$5:$A$1200,A785,$B$5:$B$1200,B785)&gt;1,"ERRO: período e curso duplicados","OK")))</f>
        <v/>
      </c>
    </row>
    <row r="786" ht="15" customHeight="1" s="131">
      <c r="A786" s="220" t="n"/>
      <c r="B786" s="222" t="n"/>
      <c r="C786" s="220" t="n"/>
      <c r="D786" s="179">
        <f>IFERROR(C786,"")</f>
        <v/>
      </c>
      <c r="E786" s="219" t="n"/>
      <c r="F786" s="220" t="n"/>
      <c r="G786" s="221">
        <f>IF(COUNTA(A786:C786)=0,"",IF(C786&lt;0,"ERRO: matrícula negativa",IF(COUNTIFS($A$5:$A$1200,A786,$B$5:$B$1200,B786)&gt;1,"ERRO: período e curso duplicados","OK")))</f>
        <v/>
      </c>
    </row>
    <row r="787" ht="15" customHeight="1" s="131">
      <c r="A787" s="220" t="n"/>
      <c r="B787" s="222" t="n"/>
      <c r="C787" s="220" t="n"/>
      <c r="D787" s="179">
        <f>IFERROR(C787,"")</f>
        <v/>
      </c>
      <c r="E787" s="219" t="n"/>
      <c r="F787" s="220" t="n"/>
      <c r="G787" s="221">
        <f>IF(COUNTA(A787:C787)=0,"",IF(C787&lt;0,"ERRO: matrícula negativa",IF(COUNTIFS($A$5:$A$1200,A787,$B$5:$B$1200,B787)&gt;1,"ERRO: período e curso duplicados","OK")))</f>
        <v/>
      </c>
    </row>
    <row r="788" ht="15" customHeight="1" s="131">
      <c r="A788" s="220" t="n"/>
      <c r="B788" s="222" t="n"/>
      <c r="C788" s="220" t="n"/>
      <c r="D788" s="179">
        <f>IFERROR(C788,"")</f>
        <v/>
      </c>
      <c r="E788" s="219" t="n"/>
      <c r="F788" s="220" t="n"/>
      <c r="G788" s="221">
        <f>IF(COUNTA(A788:C788)=0,"",IF(C788&lt;0,"ERRO: matrícula negativa",IF(COUNTIFS($A$5:$A$1200,A788,$B$5:$B$1200,B788)&gt;1,"ERRO: período e curso duplicados","OK")))</f>
        <v/>
      </c>
    </row>
    <row r="789" ht="15" customHeight="1" s="131">
      <c r="A789" s="220" t="n"/>
      <c r="B789" s="222" t="n"/>
      <c r="C789" s="220" t="n"/>
      <c r="D789" s="179">
        <f>IFERROR(C789,"")</f>
        <v/>
      </c>
      <c r="E789" s="219" t="n"/>
      <c r="F789" s="220" t="n"/>
      <c r="G789" s="221">
        <f>IF(COUNTA(A789:C789)=0,"",IF(C789&lt;0,"ERRO: matrícula negativa",IF(COUNTIFS($A$5:$A$1200,A789,$B$5:$B$1200,B789)&gt;1,"ERRO: período e curso duplicados","OK")))</f>
        <v/>
      </c>
    </row>
    <row r="790" ht="15" customHeight="1" s="131">
      <c r="A790" s="220" t="n"/>
      <c r="B790" s="222" t="n"/>
      <c r="C790" s="220" t="n"/>
      <c r="D790" s="179">
        <f>IFERROR(C790,"")</f>
        <v/>
      </c>
      <c r="E790" s="219" t="n"/>
      <c r="F790" s="220" t="n"/>
      <c r="G790" s="221">
        <f>IF(COUNTA(A790:C790)=0,"",IF(C790&lt;0,"ERRO: matrícula negativa",IF(COUNTIFS($A$5:$A$1200,A790,$B$5:$B$1200,B790)&gt;1,"ERRO: período e curso duplicados","OK")))</f>
        <v/>
      </c>
    </row>
    <row r="791" ht="15" customHeight="1" s="131">
      <c r="A791" s="220" t="n"/>
      <c r="B791" s="222" t="n"/>
      <c r="C791" s="220" t="n"/>
      <c r="D791" s="179">
        <f>IFERROR(C791,"")</f>
        <v/>
      </c>
      <c r="E791" s="219" t="n"/>
      <c r="F791" s="220" t="n"/>
      <c r="G791" s="221">
        <f>IF(COUNTA(A791:C791)=0,"",IF(C791&lt;0,"ERRO: matrícula negativa",IF(COUNTIFS($A$5:$A$1200,A791,$B$5:$B$1200,B791)&gt;1,"ERRO: período e curso duplicados","OK")))</f>
        <v/>
      </c>
    </row>
    <row r="792" ht="15" customHeight="1" s="131">
      <c r="A792" s="220" t="n"/>
      <c r="B792" s="222" t="n"/>
      <c r="C792" s="220" t="n"/>
      <c r="D792" s="179">
        <f>IFERROR(C792,"")</f>
        <v/>
      </c>
      <c r="E792" s="219" t="n"/>
      <c r="F792" s="220" t="n"/>
      <c r="G792" s="221">
        <f>IF(COUNTA(A792:C792)=0,"",IF(C792&lt;0,"ERRO: matrícula negativa",IF(COUNTIFS($A$5:$A$1200,A792,$B$5:$B$1200,B792)&gt;1,"ERRO: período e curso duplicados","OK")))</f>
        <v/>
      </c>
    </row>
    <row r="793" ht="15" customHeight="1" s="131">
      <c r="A793" s="220" t="n"/>
      <c r="B793" s="222" t="n"/>
      <c r="C793" s="220" t="n"/>
      <c r="D793" s="179">
        <f>IFERROR(C793,"")</f>
        <v/>
      </c>
      <c r="E793" s="219" t="n"/>
      <c r="F793" s="220" t="n"/>
      <c r="G793" s="221">
        <f>IF(COUNTA(A793:C793)=0,"",IF(C793&lt;0,"ERRO: matrícula negativa",IF(COUNTIFS($A$5:$A$1200,A793,$B$5:$B$1200,B793)&gt;1,"ERRO: período e curso duplicados","OK")))</f>
        <v/>
      </c>
    </row>
    <row r="794" ht="15" customHeight="1" s="131">
      <c r="A794" s="220" t="n"/>
      <c r="B794" s="222" t="n"/>
      <c r="C794" s="220" t="n"/>
      <c r="D794" s="179">
        <f>IFERROR(C794,"")</f>
        <v/>
      </c>
      <c r="E794" s="219" t="n"/>
      <c r="F794" s="220" t="n"/>
      <c r="G794" s="221">
        <f>IF(COUNTA(A794:C794)=0,"",IF(C794&lt;0,"ERRO: matrícula negativa",IF(COUNTIFS($A$5:$A$1200,A794,$B$5:$B$1200,B794)&gt;1,"ERRO: período e curso duplicados","OK")))</f>
        <v/>
      </c>
    </row>
    <row r="795" ht="15" customHeight="1" s="131">
      <c r="A795" s="220" t="n"/>
      <c r="B795" s="222" t="n"/>
      <c r="C795" s="220" t="n"/>
      <c r="D795" s="179">
        <f>IFERROR(C795,"")</f>
        <v/>
      </c>
      <c r="E795" s="219" t="n"/>
      <c r="F795" s="220" t="n"/>
      <c r="G795" s="221">
        <f>IF(COUNTA(A795:C795)=0,"",IF(C795&lt;0,"ERRO: matrícula negativa",IF(COUNTIFS($A$5:$A$1200,A795,$B$5:$B$1200,B795)&gt;1,"ERRO: período e curso duplicados","OK")))</f>
        <v/>
      </c>
    </row>
    <row r="796" ht="15" customHeight="1" s="131">
      <c r="A796" s="220" t="n"/>
      <c r="B796" s="222" t="n"/>
      <c r="C796" s="220" t="n"/>
      <c r="D796" s="179">
        <f>IFERROR(C796,"")</f>
        <v/>
      </c>
      <c r="E796" s="219" t="n"/>
      <c r="F796" s="220" t="n"/>
      <c r="G796" s="221">
        <f>IF(COUNTA(A796:C796)=0,"",IF(C796&lt;0,"ERRO: matrícula negativa",IF(COUNTIFS($A$5:$A$1200,A796,$B$5:$B$1200,B796)&gt;1,"ERRO: período e curso duplicados","OK")))</f>
        <v/>
      </c>
    </row>
    <row r="797" ht="15" customHeight="1" s="131">
      <c r="A797" s="220" t="n"/>
      <c r="B797" s="222" t="n"/>
      <c r="C797" s="220" t="n"/>
      <c r="D797" s="179">
        <f>IFERROR(C797,"")</f>
        <v/>
      </c>
      <c r="E797" s="219" t="n"/>
      <c r="F797" s="220" t="n"/>
      <c r="G797" s="221">
        <f>IF(COUNTA(A797:C797)=0,"",IF(C797&lt;0,"ERRO: matrícula negativa",IF(COUNTIFS($A$5:$A$1200,A797,$B$5:$B$1200,B797)&gt;1,"ERRO: período e curso duplicados","OK")))</f>
        <v/>
      </c>
    </row>
    <row r="798" ht="15" customHeight="1" s="131">
      <c r="A798" s="220" t="n"/>
      <c r="B798" s="222" t="n"/>
      <c r="C798" s="220" t="n"/>
      <c r="D798" s="179">
        <f>IFERROR(C798,"")</f>
        <v/>
      </c>
      <c r="E798" s="219" t="n"/>
      <c r="F798" s="220" t="n"/>
      <c r="G798" s="221">
        <f>IF(COUNTA(A798:C798)=0,"",IF(C798&lt;0,"ERRO: matrícula negativa",IF(COUNTIFS($A$5:$A$1200,A798,$B$5:$B$1200,B798)&gt;1,"ERRO: período e curso duplicados","OK")))</f>
        <v/>
      </c>
    </row>
    <row r="799" ht="15" customHeight="1" s="131">
      <c r="A799" s="220" t="n"/>
      <c r="B799" s="222" t="n"/>
      <c r="C799" s="220" t="n"/>
      <c r="D799" s="179">
        <f>IFERROR(C799,"")</f>
        <v/>
      </c>
      <c r="E799" s="219" t="n"/>
      <c r="F799" s="220" t="n"/>
      <c r="G799" s="221">
        <f>IF(COUNTA(A799:C799)=0,"",IF(C799&lt;0,"ERRO: matrícula negativa",IF(COUNTIFS($A$5:$A$1200,A799,$B$5:$B$1200,B799)&gt;1,"ERRO: período e curso duplicados","OK")))</f>
        <v/>
      </c>
    </row>
    <row r="800" ht="15" customHeight="1" s="131">
      <c r="A800" s="220" t="n"/>
      <c r="B800" s="222" t="n"/>
      <c r="C800" s="220" t="n"/>
      <c r="D800" s="179">
        <f>IFERROR(C800,"")</f>
        <v/>
      </c>
      <c r="E800" s="219" t="n"/>
      <c r="F800" s="220" t="n"/>
      <c r="G800" s="221">
        <f>IF(COUNTA(A800:C800)=0,"",IF(C800&lt;0,"ERRO: matrícula negativa",IF(COUNTIFS($A$5:$A$1200,A800,$B$5:$B$1200,B800)&gt;1,"ERRO: período e curso duplicados","OK")))</f>
        <v/>
      </c>
    </row>
    <row r="801" ht="15" customHeight="1" s="131">
      <c r="A801" s="220" t="n"/>
      <c r="B801" s="222" t="n"/>
      <c r="C801" s="220" t="n"/>
      <c r="D801" s="179">
        <f>IFERROR(C801,"")</f>
        <v/>
      </c>
      <c r="E801" s="219" t="n"/>
      <c r="F801" s="220" t="n"/>
      <c r="G801" s="221">
        <f>IF(COUNTA(A801:C801)=0,"",IF(C801&lt;0,"ERRO: matrícula negativa",IF(COUNTIFS($A$5:$A$1200,A801,$B$5:$B$1200,B801)&gt;1,"ERRO: período e curso duplicados","OK")))</f>
        <v/>
      </c>
    </row>
    <row r="802" ht="15" customHeight="1" s="131">
      <c r="A802" s="220" t="n"/>
      <c r="B802" s="222" t="n"/>
      <c r="C802" s="220" t="n"/>
      <c r="D802" s="179">
        <f>IFERROR(C802,"")</f>
        <v/>
      </c>
      <c r="E802" s="219" t="n"/>
      <c r="F802" s="220" t="n"/>
      <c r="G802" s="221">
        <f>IF(COUNTA(A802:C802)=0,"",IF(C802&lt;0,"ERRO: matrícula negativa",IF(COUNTIFS($A$5:$A$1200,A802,$B$5:$B$1200,B802)&gt;1,"ERRO: período e curso duplicados","OK")))</f>
        <v/>
      </c>
    </row>
    <row r="803" ht="15" customHeight="1" s="131">
      <c r="A803" s="220" t="n"/>
      <c r="B803" s="222" t="n"/>
      <c r="C803" s="220" t="n"/>
      <c r="D803" s="179">
        <f>IFERROR(C803,"")</f>
        <v/>
      </c>
      <c r="E803" s="219" t="n"/>
      <c r="F803" s="220" t="n"/>
      <c r="G803" s="221">
        <f>IF(COUNTA(A803:C803)=0,"",IF(C803&lt;0,"ERRO: matrícula negativa",IF(COUNTIFS($A$5:$A$1200,A803,$B$5:$B$1200,B803)&gt;1,"ERRO: período e curso duplicados","OK")))</f>
        <v/>
      </c>
    </row>
    <row r="804" ht="15" customHeight="1" s="131">
      <c r="A804" s="220" t="n"/>
      <c r="B804" s="222" t="n"/>
      <c r="C804" s="220" t="n"/>
      <c r="D804" s="179">
        <f>IFERROR(C804,"")</f>
        <v/>
      </c>
      <c r="E804" s="219" t="n"/>
      <c r="F804" s="220" t="n"/>
      <c r="G804" s="221">
        <f>IF(COUNTA(A804:C804)=0,"",IF(C804&lt;0,"ERRO: matrícula negativa",IF(COUNTIFS($A$5:$A$1200,A804,$B$5:$B$1200,B804)&gt;1,"ERRO: período e curso duplicados","OK")))</f>
        <v/>
      </c>
    </row>
    <row r="805" ht="15" customHeight="1" s="131">
      <c r="A805" s="220" t="n"/>
      <c r="B805" s="222" t="n"/>
      <c r="C805" s="220" t="n"/>
      <c r="D805" s="179">
        <f>IFERROR(C805,"")</f>
        <v/>
      </c>
      <c r="E805" s="219" t="n"/>
      <c r="F805" s="220" t="n"/>
      <c r="G805" s="221">
        <f>IF(COUNTA(A805:C805)=0,"",IF(C805&lt;0,"ERRO: matrícula negativa",IF(COUNTIFS($A$5:$A$1200,A805,$B$5:$B$1200,B805)&gt;1,"ERRO: período e curso duplicados","OK")))</f>
        <v/>
      </c>
    </row>
    <row r="806" ht="15" customHeight="1" s="131">
      <c r="A806" s="220" t="n"/>
      <c r="B806" s="222" t="n"/>
      <c r="C806" s="220" t="n"/>
      <c r="D806" s="179">
        <f>IFERROR(C806,"")</f>
        <v/>
      </c>
      <c r="E806" s="219" t="n"/>
      <c r="F806" s="220" t="n"/>
      <c r="G806" s="221">
        <f>IF(COUNTA(A806:C806)=0,"",IF(C806&lt;0,"ERRO: matrícula negativa",IF(COUNTIFS($A$5:$A$1200,A806,$B$5:$B$1200,B806)&gt;1,"ERRO: período e curso duplicados","OK")))</f>
        <v/>
      </c>
    </row>
    <row r="807" ht="15" customHeight="1" s="131">
      <c r="A807" s="220" t="n"/>
      <c r="B807" s="222" t="n"/>
      <c r="C807" s="220" t="n"/>
      <c r="D807" s="179">
        <f>IFERROR(C807,"")</f>
        <v/>
      </c>
      <c r="E807" s="219" t="n"/>
      <c r="F807" s="220" t="n"/>
      <c r="G807" s="221">
        <f>IF(COUNTA(A807:C807)=0,"",IF(C807&lt;0,"ERRO: matrícula negativa",IF(COUNTIFS($A$5:$A$1200,A807,$B$5:$B$1200,B807)&gt;1,"ERRO: período e curso duplicados","OK")))</f>
        <v/>
      </c>
    </row>
    <row r="808" ht="15" customHeight="1" s="131">
      <c r="A808" s="220" t="n"/>
      <c r="B808" s="222" t="n"/>
      <c r="C808" s="220" t="n"/>
      <c r="D808" s="179">
        <f>IFERROR(C808,"")</f>
        <v/>
      </c>
      <c r="E808" s="219" t="n"/>
      <c r="F808" s="220" t="n"/>
      <c r="G808" s="221">
        <f>IF(COUNTA(A808:C808)=0,"",IF(C808&lt;0,"ERRO: matrícula negativa",IF(COUNTIFS($A$5:$A$1200,A808,$B$5:$B$1200,B808)&gt;1,"ERRO: período e curso duplicados","OK")))</f>
        <v/>
      </c>
    </row>
    <row r="809" ht="15" customHeight="1" s="131">
      <c r="A809" s="220" t="n"/>
      <c r="B809" s="222" t="n"/>
      <c r="C809" s="220" t="n"/>
      <c r="D809" s="179">
        <f>IFERROR(C809,"")</f>
        <v/>
      </c>
      <c r="E809" s="219" t="n"/>
      <c r="F809" s="220" t="n"/>
      <c r="G809" s="221">
        <f>IF(COUNTA(A809:C809)=0,"",IF(C809&lt;0,"ERRO: matrícula negativa",IF(COUNTIFS($A$5:$A$1200,A809,$B$5:$B$1200,B809)&gt;1,"ERRO: período e curso duplicados","OK")))</f>
        <v/>
      </c>
    </row>
    <row r="810" ht="15" customHeight="1" s="131">
      <c r="A810" s="220" t="n"/>
      <c r="B810" s="222" t="n"/>
      <c r="C810" s="220" t="n"/>
      <c r="D810" s="179">
        <f>IFERROR(C810,"")</f>
        <v/>
      </c>
      <c r="E810" s="219" t="n"/>
      <c r="F810" s="220" t="n"/>
      <c r="G810" s="221">
        <f>IF(COUNTA(A810:C810)=0,"",IF(C810&lt;0,"ERRO: matrícula negativa",IF(COUNTIFS($A$5:$A$1200,A810,$B$5:$B$1200,B810)&gt;1,"ERRO: período e curso duplicados","OK")))</f>
        <v/>
      </c>
    </row>
    <row r="811" ht="15" customHeight="1" s="131">
      <c r="A811" s="220" t="n"/>
      <c r="B811" s="222" t="n"/>
      <c r="C811" s="220" t="n"/>
      <c r="D811" s="179">
        <f>IFERROR(C811,"")</f>
        <v/>
      </c>
      <c r="E811" s="219" t="n"/>
      <c r="F811" s="220" t="n"/>
      <c r="G811" s="221">
        <f>IF(COUNTA(A811:C811)=0,"",IF(C811&lt;0,"ERRO: matrícula negativa",IF(COUNTIFS($A$5:$A$1200,A811,$B$5:$B$1200,B811)&gt;1,"ERRO: período e curso duplicados","OK")))</f>
        <v/>
      </c>
    </row>
    <row r="812" ht="15" customHeight="1" s="131">
      <c r="A812" s="220" t="n"/>
      <c r="B812" s="222" t="n"/>
      <c r="C812" s="220" t="n"/>
      <c r="D812" s="179">
        <f>IFERROR(C812,"")</f>
        <v/>
      </c>
      <c r="E812" s="219" t="n"/>
      <c r="F812" s="220" t="n"/>
      <c r="G812" s="221">
        <f>IF(COUNTA(A812:C812)=0,"",IF(C812&lt;0,"ERRO: matrícula negativa",IF(COUNTIFS($A$5:$A$1200,A812,$B$5:$B$1200,B812)&gt;1,"ERRO: período e curso duplicados","OK")))</f>
        <v/>
      </c>
    </row>
    <row r="813" ht="15" customHeight="1" s="131">
      <c r="A813" s="220" t="n"/>
      <c r="B813" s="222" t="n"/>
      <c r="C813" s="220" t="n"/>
      <c r="D813" s="179">
        <f>IFERROR(C813,"")</f>
        <v/>
      </c>
      <c r="E813" s="219" t="n"/>
      <c r="F813" s="220" t="n"/>
      <c r="G813" s="221">
        <f>IF(COUNTA(A813:C813)=0,"",IF(C813&lt;0,"ERRO: matrícula negativa",IF(COUNTIFS($A$5:$A$1200,A813,$B$5:$B$1200,B813)&gt;1,"ERRO: período e curso duplicados","OK")))</f>
        <v/>
      </c>
    </row>
    <row r="814" ht="15" customHeight="1" s="131">
      <c r="A814" s="220" t="n"/>
      <c r="B814" s="222" t="n"/>
      <c r="C814" s="220" t="n"/>
      <c r="D814" s="179">
        <f>IFERROR(C814,"")</f>
        <v/>
      </c>
      <c r="E814" s="219" t="n"/>
      <c r="F814" s="220" t="n"/>
      <c r="G814" s="221">
        <f>IF(COUNTA(A814:C814)=0,"",IF(C814&lt;0,"ERRO: matrícula negativa",IF(COUNTIFS($A$5:$A$1200,A814,$B$5:$B$1200,B814)&gt;1,"ERRO: período e curso duplicados","OK")))</f>
        <v/>
      </c>
    </row>
    <row r="815" ht="15" customHeight="1" s="131">
      <c r="A815" s="220" t="n"/>
      <c r="B815" s="222" t="n"/>
      <c r="C815" s="220" t="n"/>
      <c r="D815" s="179">
        <f>IFERROR(C815,"")</f>
        <v/>
      </c>
      <c r="E815" s="219" t="n"/>
      <c r="F815" s="220" t="n"/>
      <c r="G815" s="221">
        <f>IF(COUNTA(A815:C815)=0,"",IF(C815&lt;0,"ERRO: matrícula negativa",IF(COUNTIFS($A$5:$A$1200,A815,$B$5:$B$1200,B815)&gt;1,"ERRO: período e curso duplicados","OK")))</f>
        <v/>
      </c>
    </row>
    <row r="816" ht="15" customHeight="1" s="131">
      <c r="A816" s="220" t="n"/>
      <c r="B816" s="222" t="n"/>
      <c r="C816" s="220" t="n"/>
      <c r="D816" s="179">
        <f>IFERROR(C816,"")</f>
        <v/>
      </c>
      <c r="E816" s="219" t="n"/>
      <c r="F816" s="220" t="n"/>
      <c r="G816" s="221">
        <f>IF(COUNTA(A816:C816)=0,"",IF(C816&lt;0,"ERRO: matrícula negativa",IF(COUNTIFS($A$5:$A$1200,A816,$B$5:$B$1200,B816)&gt;1,"ERRO: período e curso duplicados","OK")))</f>
        <v/>
      </c>
    </row>
    <row r="817" ht="15" customHeight="1" s="131">
      <c r="A817" s="220" t="n"/>
      <c r="B817" s="222" t="n"/>
      <c r="C817" s="220" t="n"/>
      <c r="D817" s="179">
        <f>IFERROR(C817,"")</f>
        <v/>
      </c>
      <c r="E817" s="219" t="n"/>
      <c r="F817" s="220" t="n"/>
      <c r="G817" s="221">
        <f>IF(COUNTA(A817:C817)=0,"",IF(C817&lt;0,"ERRO: matrícula negativa",IF(COUNTIFS($A$5:$A$1200,A817,$B$5:$B$1200,B817)&gt;1,"ERRO: período e curso duplicados","OK")))</f>
        <v/>
      </c>
    </row>
    <row r="818" ht="15" customHeight="1" s="131">
      <c r="A818" s="220" t="n"/>
      <c r="B818" s="222" t="n"/>
      <c r="C818" s="220" t="n"/>
      <c r="D818" s="179">
        <f>IFERROR(C818,"")</f>
        <v/>
      </c>
      <c r="E818" s="219" t="n"/>
      <c r="F818" s="220" t="n"/>
      <c r="G818" s="221">
        <f>IF(COUNTA(A818:C818)=0,"",IF(C818&lt;0,"ERRO: matrícula negativa",IF(COUNTIFS($A$5:$A$1200,A818,$B$5:$B$1200,B818)&gt;1,"ERRO: período e curso duplicados","OK")))</f>
        <v/>
      </c>
    </row>
    <row r="819" ht="15" customHeight="1" s="131">
      <c r="A819" s="220" t="n"/>
      <c r="B819" s="222" t="n"/>
      <c r="C819" s="220" t="n"/>
      <c r="D819" s="179">
        <f>IFERROR(C819,"")</f>
        <v/>
      </c>
      <c r="E819" s="219" t="n"/>
      <c r="F819" s="220" t="n"/>
      <c r="G819" s="221">
        <f>IF(COUNTA(A819:C819)=0,"",IF(C819&lt;0,"ERRO: matrícula negativa",IF(COUNTIFS($A$5:$A$1200,A819,$B$5:$B$1200,B819)&gt;1,"ERRO: período e curso duplicados","OK")))</f>
        <v/>
      </c>
    </row>
    <row r="820" ht="15" customHeight="1" s="131">
      <c r="A820" s="220" t="n"/>
      <c r="B820" s="222" t="n"/>
      <c r="C820" s="220" t="n"/>
      <c r="D820" s="179">
        <f>IFERROR(C820,"")</f>
        <v/>
      </c>
      <c r="E820" s="219" t="n"/>
      <c r="F820" s="220" t="n"/>
      <c r="G820" s="221">
        <f>IF(COUNTA(A820:C820)=0,"",IF(C820&lt;0,"ERRO: matrícula negativa",IF(COUNTIFS($A$5:$A$1200,A820,$B$5:$B$1200,B820)&gt;1,"ERRO: período e curso duplicados","OK")))</f>
        <v/>
      </c>
    </row>
    <row r="821" ht="15" customHeight="1" s="131">
      <c r="A821" s="220" t="n"/>
      <c r="B821" s="222" t="n"/>
      <c r="C821" s="220" t="n"/>
      <c r="D821" s="179">
        <f>IFERROR(C821,"")</f>
        <v/>
      </c>
      <c r="E821" s="219" t="n"/>
      <c r="F821" s="220" t="n"/>
      <c r="G821" s="221">
        <f>IF(COUNTA(A821:C821)=0,"",IF(C821&lt;0,"ERRO: matrícula negativa",IF(COUNTIFS($A$5:$A$1200,A821,$B$5:$B$1200,B821)&gt;1,"ERRO: período e curso duplicados","OK")))</f>
        <v/>
      </c>
    </row>
    <row r="822" ht="15" customHeight="1" s="131">
      <c r="A822" s="220" t="n"/>
      <c r="B822" s="222" t="n"/>
      <c r="C822" s="220" t="n"/>
      <c r="D822" s="179">
        <f>IFERROR(C822,"")</f>
        <v/>
      </c>
      <c r="E822" s="219" t="n"/>
      <c r="F822" s="220" t="n"/>
      <c r="G822" s="221">
        <f>IF(COUNTA(A822:C822)=0,"",IF(C822&lt;0,"ERRO: matrícula negativa",IF(COUNTIFS($A$5:$A$1200,A822,$B$5:$B$1200,B822)&gt;1,"ERRO: período e curso duplicados","OK")))</f>
        <v/>
      </c>
    </row>
    <row r="823" ht="15" customHeight="1" s="131">
      <c r="A823" s="220" t="n"/>
      <c r="B823" s="222" t="n"/>
      <c r="C823" s="220" t="n"/>
      <c r="D823" s="179">
        <f>IFERROR(C823,"")</f>
        <v/>
      </c>
      <c r="E823" s="219" t="n"/>
      <c r="F823" s="220" t="n"/>
      <c r="G823" s="221">
        <f>IF(COUNTA(A823:C823)=0,"",IF(C823&lt;0,"ERRO: matrícula negativa",IF(COUNTIFS($A$5:$A$1200,A823,$B$5:$B$1200,B823)&gt;1,"ERRO: período e curso duplicados","OK")))</f>
        <v/>
      </c>
    </row>
    <row r="824" ht="15" customHeight="1" s="131">
      <c r="A824" s="220" t="n"/>
      <c r="B824" s="222" t="n"/>
      <c r="C824" s="220" t="n"/>
      <c r="D824" s="179">
        <f>IFERROR(C824,"")</f>
        <v/>
      </c>
      <c r="E824" s="219" t="n"/>
      <c r="F824" s="220" t="n"/>
      <c r="G824" s="221">
        <f>IF(COUNTA(A824:C824)=0,"",IF(C824&lt;0,"ERRO: matrícula negativa",IF(COUNTIFS($A$5:$A$1200,A824,$B$5:$B$1200,B824)&gt;1,"ERRO: período e curso duplicados","OK")))</f>
        <v/>
      </c>
    </row>
    <row r="825" ht="15" customHeight="1" s="131">
      <c r="A825" s="220" t="n"/>
      <c r="B825" s="222" t="n"/>
      <c r="C825" s="220" t="n"/>
      <c r="D825" s="179">
        <f>IFERROR(C825,"")</f>
        <v/>
      </c>
      <c r="E825" s="219" t="n"/>
      <c r="F825" s="220" t="n"/>
      <c r="G825" s="221">
        <f>IF(COUNTA(A825:C825)=0,"",IF(C825&lt;0,"ERRO: matrícula negativa",IF(COUNTIFS($A$5:$A$1200,A825,$B$5:$B$1200,B825)&gt;1,"ERRO: período e curso duplicados","OK")))</f>
        <v/>
      </c>
    </row>
    <row r="826" ht="15" customHeight="1" s="131">
      <c r="A826" s="220" t="n"/>
      <c r="B826" s="222" t="n"/>
      <c r="C826" s="220" t="n"/>
      <c r="D826" s="179">
        <f>IFERROR(C826,"")</f>
        <v/>
      </c>
      <c r="E826" s="219" t="n"/>
      <c r="F826" s="220" t="n"/>
      <c r="G826" s="221">
        <f>IF(COUNTA(A826:C826)=0,"",IF(C826&lt;0,"ERRO: matrícula negativa",IF(COUNTIFS($A$5:$A$1200,A826,$B$5:$B$1200,B826)&gt;1,"ERRO: período e curso duplicados","OK")))</f>
        <v/>
      </c>
    </row>
    <row r="827" ht="15" customHeight="1" s="131">
      <c r="A827" s="220" t="n"/>
      <c r="B827" s="222" t="n"/>
      <c r="C827" s="220" t="n"/>
      <c r="D827" s="179">
        <f>IFERROR(C827,"")</f>
        <v/>
      </c>
      <c r="E827" s="219" t="n"/>
      <c r="F827" s="220" t="n"/>
      <c r="G827" s="221">
        <f>IF(COUNTA(A827:C827)=0,"",IF(C827&lt;0,"ERRO: matrícula negativa",IF(COUNTIFS($A$5:$A$1200,A827,$B$5:$B$1200,B827)&gt;1,"ERRO: período e curso duplicados","OK")))</f>
        <v/>
      </c>
    </row>
    <row r="828" ht="15" customHeight="1" s="131">
      <c r="A828" s="220" t="n"/>
      <c r="B828" s="222" t="n"/>
      <c r="C828" s="220" t="n"/>
      <c r="D828" s="179">
        <f>IFERROR(C828,"")</f>
        <v/>
      </c>
      <c r="E828" s="219" t="n"/>
      <c r="F828" s="220" t="n"/>
      <c r="G828" s="221">
        <f>IF(COUNTA(A828:C828)=0,"",IF(C828&lt;0,"ERRO: matrícula negativa",IF(COUNTIFS($A$5:$A$1200,A828,$B$5:$B$1200,B828)&gt;1,"ERRO: período e curso duplicados","OK")))</f>
        <v/>
      </c>
    </row>
    <row r="829" ht="15" customHeight="1" s="131">
      <c r="A829" s="220" t="n"/>
      <c r="B829" s="222" t="n"/>
      <c r="C829" s="220" t="n"/>
      <c r="D829" s="179">
        <f>IFERROR(C829,"")</f>
        <v/>
      </c>
      <c r="E829" s="219" t="n"/>
      <c r="F829" s="220" t="n"/>
      <c r="G829" s="221">
        <f>IF(COUNTA(A829:C829)=0,"",IF(C829&lt;0,"ERRO: matrícula negativa",IF(COUNTIFS($A$5:$A$1200,A829,$B$5:$B$1200,B829)&gt;1,"ERRO: período e curso duplicados","OK")))</f>
        <v/>
      </c>
    </row>
    <row r="830" ht="15" customHeight="1" s="131">
      <c r="A830" s="220" t="n"/>
      <c r="B830" s="222" t="n"/>
      <c r="C830" s="220" t="n"/>
      <c r="D830" s="179">
        <f>IFERROR(C830,"")</f>
        <v/>
      </c>
      <c r="E830" s="219" t="n"/>
      <c r="F830" s="220" t="n"/>
      <c r="G830" s="221">
        <f>IF(COUNTA(A830:C830)=0,"",IF(C830&lt;0,"ERRO: matrícula negativa",IF(COUNTIFS($A$5:$A$1200,A830,$B$5:$B$1200,B830)&gt;1,"ERRO: período e curso duplicados","OK")))</f>
        <v/>
      </c>
    </row>
    <row r="831" ht="15" customHeight="1" s="131">
      <c r="A831" s="220" t="n"/>
      <c r="B831" s="222" t="n"/>
      <c r="C831" s="220" t="n"/>
      <c r="D831" s="179">
        <f>IFERROR(C831,"")</f>
        <v/>
      </c>
      <c r="E831" s="219" t="n"/>
      <c r="F831" s="220" t="n"/>
      <c r="G831" s="221">
        <f>IF(COUNTA(A831:C831)=0,"",IF(C831&lt;0,"ERRO: matrícula negativa",IF(COUNTIFS($A$5:$A$1200,A831,$B$5:$B$1200,B831)&gt;1,"ERRO: período e curso duplicados","OK")))</f>
        <v/>
      </c>
    </row>
    <row r="832" ht="15" customHeight="1" s="131">
      <c r="A832" s="220" t="n"/>
      <c r="B832" s="222" t="n"/>
      <c r="C832" s="220" t="n"/>
      <c r="D832" s="179">
        <f>IFERROR(C832,"")</f>
        <v/>
      </c>
      <c r="E832" s="219" t="n"/>
      <c r="F832" s="220" t="n"/>
      <c r="G832" s="221">
        <f>IF(COUNTA(A832:C832)=0,"",IF(C832&lt;0,"ERRO: matrícula negativa",IF(COUNTIFS($A$5:$A$1200,A832,$B$5:$B$1200,B832)&gt;1,"ERRO: período e curso duplicados","OK")))</f>
        <v/>
      </c>
    </row>
    <row r="833" ht="15" customHeight="1" s="131">
      <c r="A833" s="220" t="n"/>
      <c r="B833" s="222" t="n"/>
      <c r="C833" s="220" t="n"/>
      <c r="D833" s="179">
        <f>IFERROR(C833,"")</f>
        <v/>
      </c>
      <c r="E833" s="219" t="n"/>
      <c r="F833" s="220" t="n"/>
      <c r="G833" s="221">
        <f>IF(COUNTA(A833:C833)=0,"",IF(C833&lt;0,"ERRO: matrícula negativa",IF(COUNTIFS($A$5:$A$1200,A833,$B$5:$B$1200,B833)&gt;1,"ERRO: período e curso duplicados","OK")))</f>
        <v/>
      </c>
    </row>
    <row r="834" ht="15" customHeight="1" s="131">
      <c r="A834" s="220" t="n"/>
      <c r="B834" s="222" t="n"/>
      <c r="C834" s="220" t="n"/>
      <c r="D834" s="179">
        <f>IFERROR(C834,"")</f>
        <v/>
      </c>
      <c r="E834" s="219" t="n"/>
      <c r="F834" s="220" t="n"/>
      <c r="G834" s="221">
        <f>IF(COUNTA(A834:C834)=0,"",IF(C834&lt;0,"ERRO: matrícula negativa",IF(COUNTIFS($A$5:$A$1200,A834,$B$5:$B$1200,B834)&gt;1,"ERRO: período e curso duplicados","OK")))</f>
        <v/>
      </c>
    </row>
    <row r="835" ht="15" customHeight="1" s="131">
      <c r="A835" s="220" t="n"/>
      <c r="B835" s="222" t="n"/>
      <c r="C835" s="220" t="n"/>
      <c r="D835" s="179">
        <f>IFERROR(C835,"")</f>
        <v/>
      </c>
      <c r="E835" s="219" t="n"/>
      <c r="F835" s="220" t="n"/>
      <c r="G835" s="221">
        <f>IF(COUNTA(A835:C835)=0,"",IF(C835&lt;0,"ERRO: matrícula negativa",IF(COUNTIFS($A$5:$A$1200,A835,$B$5:$B$1200,B835)&gt;1,"ERRO: período e curso duplicados","OK")))</f>
        <v/>
      </c>
    </row>
    <row r="836" ht="15" customHeight="1" s="131">
      <c r="A836" s="220" t="n"/>
      <c r="B836" s="222" t="n"/>
      <c r="C836" s="220" t="n"/>
      <c r="D836" s="179">
        <f>IFERROR(C836,"")</f>
        <v/>
      </c>
      <c r="E836" s="219" t="n"/>
      <c r="F836" s="220" t="n"/>
      <c r="G836" s="221">
        <f>IF(COUNTA(A836:C836)=0,"",IF(C836&lt;0,"ERRO: matrícula negativa",IF(COUNTIFS($A$5:$A$1200,A836,$B$5:$B$1200,B836)&gt;1,"ERRO: período e curso duplicados","OK")))</f>
        <v/>
      </c>
    </row>
    <row r="837" ht="15" customHeight="1" s="131">
      <c r="A837" s="220" t="n"/>
      <c r="B837" s="222" t="n"/>
      <c r="C837" s="220" t="n"/>
      <c r="D837" s="179">
        <f>IFERROR(C837,"")</f>
        <v/>
      </c>
      <c r="E837" s="219" t="n"/>
      <c r="F837" s="220" t="n"/>
      <c r="G837" s="221">
        <f>IF(COUNTA(A837:C837)=0,"",IF(C837&lt;0,"ERRO: matrícula negativa",IF(COUNTIFS($A$5:$A$1200,A837,$B$5:$B$1200,B837)&gt;1,"ERRO: período e curso duplicados","OK")))</f>
        <v/>
      </c>
    </row>
    <row r="838" ht="15" customHeight="1" s="131">
      <c r="A838" s="220" t="n"/>
      <c r="B838" s="222" t="n"/>
      <c r="C838" s="220" t="n"/>
      <c r="D838" s="179">
        <f>IFERROR(C838,"")</f>
        <v/>
      </c>
      <c r="E838" s="219" t="n"/>
      <c r="F838" s="220" t="n"/>
      <c r="G838" s="221">
        <f>IF(COUNTA(A838:C838)=0,"",IF(C838&lt;0,"ERRO: matrícula negativa",IF(COUNTIFS($A$5:$A$1200,A838,$B$5:$B$1200,B838)&gt;1,"ERRO: período e curso duplicados","OK")))</f>
        <v/>
      </c>
    </row>
    <row r="839" ht="15" customHeight="1" s="131">
      <c r="A839" s="220" t="n"/>
      <c r="B839" s="222" t="n"/>
      <c r="C839" s="220" t="n"/>
      <c r="D839" s="179">
        <f>IFERROR(C839,"")</f>
        <v/>
      </c>
      <c r="E839" s="219" t="n"/>
      <c r="F839" s="220" t="n"/>
      <c r="G839" s="221">
        <f>IF(COUNTA(A839:C839)=0,"",IF(C839&lt;0,"ERRO: matrícula negativa",IF(COUNTIFS($A$5:$A$1200,A839,$B$5:$B$1200,B839)&gt;1,"ERRO: período e curso duplicados","OK")))</f>
        <v/>
      </c>
    </row>
    <row r="840" ht="15" customHeight="1" s="131">
      <c r="A840" s="220" t="n"/>
      <c r="B840" s="222" t="n"/>
      <c r="C840" s="220" t="n"/>
      <c r="D840" s="179">
        <f>IFERROR(C840,"")</f>
        <v/>
      </c>
      <c r="E840" s="219" t="n"/>
      <c r="F840" s="220" t="n"/>
      <c r="G840" s="221">
        <f>IF(COUNTA(A840:C840)=0,"",IF(C840&lt;0,"ERRO: matrícula negativa",IF(COUNTIFS($A$5:$A$1200,A840,$B$5:$B$1200,B840)&gt;1,"ERRO: período e curso duplicados","OK")))</f>
        <v/>
      </c>
    </row>
    <row r="841" ht="15" customHeight="1" s="131">
      <c r="A841" s="220" t="n"/>
      <c r="B841" s="222" t="n"/>
      <c r="C841" s="220" t="n"/>
      <c r="D841" s="179">
        <f>IFERROR(C841,"")</f>
        <v/>
      </c>
      <c r="E841" s="219" t="n"/>
      <c r="F841" s="220" t="n"/>
      <c r="G841" s="221">
        <f>IF(COUNTA(A841:C841)=0,"",IF(C841&lt;0,"ERRO: matrícula negativa",IF(COUNTIFS($A$5:$A$1200,A841,$B$5:$B$1200,B841)&gt;1,"ERRO: período e curso duplicados","OK")))</f>
        <v/>
      </c>
    </row>
    <row r="842" ht="15" customHeight="1" s="131">
      <c r="A842" s="220" t="n"/>
      <c r="B842" s="222" t="n"/>
      <c r="C842" s="220" t="n"/>
      <c r="D842" s="179">
        <f>IFERROR(C842,"")</f>
        <v/>
      </c>
      <c r="E842" s="219" t="n"/>
      <c r="F842" s="220" t="n"/>
      <c r="G842" s="221">
        <f>IF(COUNTA(A842:C842)=0,"",IF(C842&lt;0,"ERRO: matrícula negativa",IF(COUNTIFS($A$5:$A$1200,A842,$B$5:$B$1200,B842)&gt;1,"ERRO: período e curso duplicados","OK")))</f>
        <v/>
      </c>
    </row>
    <row r="843" ht="15" customHeight="1" s="131">
      <c r="A843" s="220" t="n"/>
      <c r="B843" s="222" t="n"/>
      <c r="C843" s="220" t="n"/>
      <c r="D843" s="179">
        <f>IFERROR(C843,"")</f>
        <v/>
      </c>
      <c r="E843" s="219" t="n"/>
      <c r="F843" s="220" t="n"/>
      <c r="G843" s="221">
        <f>IF(COUNTA(A843:C843)=0,"",IF(C843&lt;0,"ERRO: matrícula negativa",IF(COUNTIFS($A$5:$A$1200,A843,$B$5:$B$1200,B843)&gt;1,"ERRO: período e curso duplicados","OK")))</f>
        <v/>
      </c>
    </row>
    <row r="844" ht="15" customHeight="1" s="131">
      <c r="A844" s="220" t="n"/>
      <c r="B844" s="222" t="n"/>
      <c r="C844" s="220" t="n"/>
      <c r="D844" s="179">
        <f>IFERROR(C844,"")</f>
        <v/>
      </c>
      <c r="E844" s="219" t="n"/>
      <c r="F844" s="220" t="n"/>
      <c r="G844" s="221">
        <f>IF(COUNTA(A844:C844)=0,"",IF(C844&lt;0,"ERRO: matrícula negativa",IF(COUNTIFS($A$5:$A$1200,A844,$B$5:$B$1200,B844)&gt;1,"ERRO: período e curso duplicados","OK")))</f>
        <v/>
      </c>
    </row>
    <row r="845" ht="15" customHeight="1" s="131">
      <c r="A845" s="220" t="n"/>
      <c r="B845" s="222" t="n"/>
      <c r="C845" s="220" t="n"/>
      <c r="D845" s="179">
        <f>IFERROR(C845,"")</f>
        <v/>
      </c>
      <c r="E845" s="219" t="n"/>
      <c r="F845" s="220" t="n"/>
      <c r="G845" s="221">
        <f>IF(COUNTA(A845:C845)=0,"",IF(C845&lt;0,"ERRO: matrícula negativa",IF(COUNTIFS($A$5:$A$1200,A845,$B$5:$B$1200,B845)&gt;1,"ERRO: período e curso duplicados","OK")))</f>
        <v/>
      </c>
    </row>
    <row r="846" ht="15" customHeight="1" s="131">
      <c r="A846" s="220" t="n"/>
      <c r="B846" s="222" t="n"/>
      <c r="C846" s="220" t="n"/>
      <c r="D846" s="179">
        <f>IFERROR(C846,"")</f>
        <v/>
      </c>
      <c r="E846" s="219" t="n"/>
      <c r="F846" s="220" t="n"/>
      <c r="G846" s="221">
        <f>IF(COUNTA(A846:C846)=0,"",IF(C846&lt;0,"ERRO: matrícula negativa",IF(COUNTIFS($A$5:$A$1200,A846,$B$5:$B$1200,B846)&gt;1,"ERRO: período e curso duplicados","OK")))</f>
        <v/>
      </c>
    </row>
    <row r="847" ht="15" customHeight="1" s="131">
      <c r="A847" s="220" t="n"/>
      <c r="B847" s="222" t="n"/>
      <c r="C847" s="220" t="n"/>
      <c r="D847" s="179">
        <f>IFERROR(C847,"")</f>
        <v/>
      </c>
      <c r="E847" s="219" t="n"/>
      <c r="F847" s="220" t="n"/>
      <c r="G847" s="221">
        <f>IF(COUNTA(A847:C847)=0,"",IF(C847&lt;0,"ERRO: matrícula negativa",IF(COUNTIFS($A$5:$A$1200,A847,$B$5:$B$1200,B847)&gt;1,"ERRO: período e curso duplicados","OK")))</f>
        <v/>
      </c>
    </row>
    <row r="848" ht="15" customHeight="1" s="131">
      <c r="A848" s="220" t="n"/>
      <c r="B848" s="222" t="n"/>
      <c r="C848" s="220" t="n"/>
      <c r="D848" s="179">
        <f>IFERROR(C848,"")</f>
        <v/>
      </c>
      <c r="E848" s="219" t="n"/>
      <c r="F848" s="220" t="n"/>
      <c r="G848" s="221">
        <f>IF(COUNTA(A848:C848)=0,"",IF(C848&lt;0,"ERRO: matrícula negativa",IF(COUNTIFS($A$5:$A$1200,A848,$B$5:$B$1200,B848)&gt;1,"ERRO: período e curso duplicados","OK")))</f>
        <v/>
      </c>
    </row>
    <row r="849" ht="15" customHeight="1" s="131">
      <c r="A849" s="220" t="n"/>
      <c r="B849" s="222" t="n"/>
      <c r="C849" s="220" t="n"/>
      <c r="D849" s="179">
        <f>IFERROR(C849,"")</f>
        <v/>
      </c>
      <c r="E849" s="219" t="n"/>
      <c r="F849" s="220" t="n"/>
      <c r="G849" s="221">
        <f>IF(COUNTA(A849:C849)=0,"",IF(C849&lt;0,"ERRO: matrícula negativa",IF(COUNTIFS($A$5:$A$1200,A849,$B$5:$B$1200,B849)&gt;1,"ERRO: período e curso duplicados","OK")))</f>
        <v/>
      </c>
    </row>
    <row r="850" ht="15" customHeight="1" s="131">
      <c r="A850" s="220" t="n"/>
      <c r="B850" s="222" t="n"/>
      <c r="C850" s="220" t="n"/>
      <c r="D850" s="179">
        <f>IFERROR(C850,"")</f>
        <v/>
      </c>
      <c r="E850" s="219" t="n"/>
      <c r="F850" s="220" t="n"/>
      <c r="G850" s="221">
        <f>IF(COUNTA(A850:C850)=0,"",IF(C850&lt;0,"ERRO: matrícula negativa",IF(COUNTIFS($A$5:$A$1200,A850,$B$5:$B$1200,B850)&gt;1,"ERRO: período e curso duplicados","OK")))</f>
        <v/>
      </c>
    </row>
    <row r="851" ht="15" customHeight="1" s="131">
      <c r="A851" s="220" t="n"/>
      <c r="B851" s="222" t="n"/>
      <c r="C851" s="220" t="n"/>
      <c r="D851" s="179">
        <f>IFERROR(C851,"")</f>
        <v/>
      </c>
      <c r="E851" s="219" t="n"/>
      <c r="F851" s="220" t="n"/>
      <c r="G851" s="221">
        <f>IF(COUNTA(A851:C851)=0,"",IF(C851&lt;0,"ERRO: matrícula negativa",IF(COUNTIFS($A$5:$A$1200,A851,$B$5:$B$1200,B851)&gt;1,"ERRO: período e curso duplicados","OK")))</f>
        <v/>
      </c>
    </row>
    <row r="852" ht="15" customHeight="1" s="131">
      <c r="A852" s="220" t="n"/>
      <c r="B852" s="222" t="n"/>
      <c r="C852" s="220" t="n"/>
      <c r="D852" s="179">
        <f>IFERROR(C852,"")</f>
        <v/>
      </c>
      <c r="E852" s="219" t="n"/>
      <c r="F852" s="220" t="n"/>
      <c r="G852" s="221">
        <f>IF(COUNTA(A852:C852)=0,"",IF(C852&lt;0,"ERRO: matrícula negativa",IF(COUNTIFS($A$5:$A$1200,A852,$B$5:$B$1200,B852)&gt;1,"ERRO: período e curso duplicados","OK")))</f>
        <v/>
      </c>
    </row>
    <row r="853" ht="15" customHeight="1" s="131">
      <c r="A853" s="220" t="n"/>
      <c r="B853" s="222" t="n"/>
      <c r="C853" s="220" t="n"/>
      <c r="D853" s="179">
        <f>IFERROR(C853,"")</f>
        <v/>
      </c>
      <c r="E853" s="219" t="n"/>
      <c r="F853" s="220" t="n"/>
      <c r="G853" s="221">
        <f>IF(COUNTA(A853:C853)=0,"",IF(C853&lt;0,"ERRO: matrícula negativa",IF(COUNTIFS($A$5:$A$1200,A853,$B$5:$B$1200,B853)&gt;1,"ERRO: período e curso duplicados","OK")))</f>
        <v/>
      </c>
    </row>
    <row r="854" ht="15" customHeight="1" s="131">
      <c r="A854" s="220" t="n"/>
      <c r="B854" s="222" t="n"/>
      <c r="C854" s="220" t="n"/>
      <c r="D854" s="179">
        <f>IFERROR(C854,"")</f>
        <v/>
      </c>
      <c r="E854" s="219" t="n"/>
      <c r="F854" s="220" t="n"/>
      <c r="G854" s="221">
        <f>IF(COUNTA(A854:C854)=0,"",IF(C854&lt;0,"ERRO: matrícula negativa",IF(COUNTIFS($A$5:$A$1200,A854,$B$5:$B$1200,B854)&gt;1,"ERRO: período e curso duplicados","OK")))</f>
        <v/>
      </c>
    </row>
    <row r="855" ht="15" customHeight="1" s="131">
      <c r="A855" s="220" t="n"/>
      <c r="B855" s="222" t="n"/>
      <c r="C855" s="220" t="n"/>
      <c r="D855" s="179">
        <f>IFERROR(C855,"")</f>
        <v/>
      </c>
      <c r="E855" s="219" t="n"/>
      <c r="F855" s="220" t="n"/>
      <c r="G855" s="221">
        <f>IF(COUNTA(A855:C855)=0,"",IF(C855&lt;0,"ERRO: matrícula negativa",IF(COUNTIFS($A$5:$A$1200,A855,$B$5:$B$1200,B855)&gt;1,"ERRO: período e curso duplicados","OK")))</f>
        <v/>
      </c>
    </row>
    <row r="856" ht="15" customHeight="1" s="131">
      <c r="A856" s="220" t="n"/>
      <c r="B856" s="222" t="n"/>
      <c r="C856" s="220" t="n"/>
      <c r="D856" s="179">
        <f>IFERROR(C856,"")</f>
        <v/>
      </c>
      <c r="E856" s="219" t="n"/>
      <c r="F856" s="220" t="n"/>
      <c r="G856" s="221">
        <f>IF(COUNTA(A856:C856)=0,"",IF(C856&lt;0,"ERRO: matrícula negativa",IF(COUNTIFS($A$5:$A$1200,A856,$B$5:$B$1200,B856)&gt;1,"ERRO: período e curso duplicados","OK")))</f>
        <v/>
      </c>
    </row>
    <row r="857" ht="15" customHeight="1" s="131">
      <c r="A857" s="220" t="n"/>
      <c r="B857" s="222" t="n"/>
      <c r="C857" s="220" t="n"/>
      <c r="D857" s="179">
        <f>IFERROR(C857,"")</f>
        <v/>
      </c>
      <c r="E857" s="219" t="n"/>
      <c r="F857" s="220" t="n"/>
      <c r="G857" s="221">
        <f>IF(COUNTA(A857:C857)=0,"",IF(C857&lt;0,"ERRO: matrícula negativa",IF(COUNTIFS($A$5:$A$1200,A857,$B$5:$B$1200,B857)&gt;1,"ERRO: período e curso duplicados","OK")))</f>
        <v/>
      </c>
    </row>
    <row r="858" ht="15" customHeight="1" s="131">
      <c r="A858" s="220" t="n"/>
      <c r="B858" s="222" t="n"/>
      <c r="C858" s="220" t="n"/>
      <c r="D858" s="179">
        <f>IFERROR(C858,"")</f>
        <v/>
      </c>
      <c r="E858" s="219" t="n"/>
      <c r="F858" s="220" t="n"/>
      <c r="G858" s="221">
        <f>IF(COUNTA(A858:C858)=0,"",IF(C858&lt;0,"ERRO: matrícula negativa",IF(COUNTIFS($A$5:$A$1200,A858,$B$5:$B$1200,B858)&gt;1,"ERRO: período e curso duplicados","OK")))</f>
        <v/>
      </c>
    </row>
    <row r="859" ht="15" customHeight="1" s="131">
      <c r="A859" s="220" t="n"/>
      <c r="B859" s="222" t="n"/>
      <c r="C859" s="220" t="n"/>
      <c r="D859" s="179">
        <f>IFERROR(C859,"")</f>
        <v/>
      </c>
      <c r="E859" s="219" t="n"/>
      <c r="F859" s="220" t="n"/>
      <c r="G859" s="221">
        <f>IF(COUNTA(A859:C859)=0,"",IF(C859&lt;0,"ERRO: matrícula negativa",IF(COUNTIFS($A$5:$A$1200,A859,$B$5:$B$1200,B859)&gt;1,"ERRO: período e curso duplicados","OK")))</f>
        <v/>
      </c>
    </row>
    <row r="860" ht="15" customHeight="1" s="131">
      <c r="A860" s="220" t="n"/>
      <c r="B860" s="222" t="n"/>
      <c r="C860" s="220" t="n"/>
      <c r="D860" s="179">
        <f>IFERROR(C860,"")</f>
        <v/>
      </c>
      <c r="E860" s="219" t="n"/>
      <c r="F860" s="220" t="n"/>
      <c r="G860" s="221">
        <f>IF(COUNTA(A860:C860)=0,"",IF(C860&lt;0,"ERRO: matrícula negativa",IF(COUNTIFS($A$5:$A$1200,A860,$B$5:$B$1200,B860)&gt;1,"ERRO: período e curso duplicados","OK")))</f>
        <v/>
      </c>
    </row>
    <row r="861" ht="15" customHeight="1" s="131">
      <c r="A861" s="220" t="n"/>
      <c r="B861" s="222" t="n"/>
      <c r="C861" s="220" t="n"/>
      <c r="D861" s="179">
        <f>IFERROR(C861,"")</f>
        <v/>
      </c>
      <c r="E861" s="219" t="n"/>
      <c r="F861" s="220" t="n"/>
      <c r="G861" s="221">
        <f>IF(COUNTA(A861:C861)=0,"",IF(C861&lt;0,"ERRO: matrícula negativa",IF(COUNTIFS($A$5:$A$1200,A861,$B$5:$B$1200,B861)&gt;1,"ERRO: período e curso duplicados","OK")))</f>
        <v/>
      </c>
    </row>
    <row r="862" ht="15" customHeight="1" s="131">
      <c r="A862" s="220" t="n"/>
      <c r="B862" s="222" t="n"/>
      <c r="C862" s="220" t="n"/>
      <c r="D862" s="179">
        <f>IFERROR(C862,"")</f>
        <v/>
      </c>
      <c r="E862" s="219" t="n"/>
      <c r="F862" s="220" t="n"/>
      <c r="G862" s="221">
        <f>IF(COUNTA(A862:C862)=0,"",IF(C862&lt;0,"ERRO: matrícula negativa",IF(COUNTIFS($A$5:$A$1200,A862,$B$5:$B$1200,B862)&gt;1,"ERRO: período e curso duplicados","OK")))</f>
        <v/>
      </c>
    </row>
    <row r="863" ht="15" customHeight="1" s="131">
      <c r="A863" s="220" t="n"/>
      <c r="B863" s="222" t="n"/>
      <c r="C863" s="220" t="n"/>
      <c r="D863" s="179">
        <f>IFERROR(C863,"")</f>
        <v/>
      </c>
      <c r="E863" s="219" t="n"/>
      <c r="F863" s="220" t="n"/>
      <c r="G863" s="221">
        <f>IF(COUNTA(A863:C863)=0,"",IF(C863&lt;0,"ERRO: matrícula negativa",IF(COUNTIFS($A$5:$A$1200,A863,$B$5:$B$1200,B863)&gt;1,"ERRO: período e curso duplicados","OK")))</f>
        <v/>
      </c>
    </row>
    <row r="864" ht="15" customHeight="1" s="131">
      <c r="A864" s="220" t="n"/>
      <c r="B864" s="222" t="n"/>
      <c r="C864" s="220" t="n"/>
      <c r="D864" s="179">
        <f>IFERROR(C864,"")</f>
        <v/>
      </c>
      <c r="E864" s="219" t="n"/>
      <c r="F864" s="220" t="n"/>
      <c r="G864" s="221">
        <f>IF(COUNTA(A864:C864)=0,"",IF(C864&lt;0,"ERRO: matrícula negativa",IF(COUNTIFS($A$5:$A$1200,A864,$B$5:$B$1200,B864)&gt;1,"ERRO: período e curso duplicados","OK")))</f>
        <v/>
      </c>
    </row>
    <row r="865" ht="15" customHeight="1" s="131">
      <c r="A865" s="220" t="n"/>
      <c r="B865" s="222" t="n"/>
      <c r="C865" s="220" t="n"/>
      <c r="D865" s="179">
        <f>IFERROR(C865,"")</f>
        <v/>
      </c>
      <c r="E865" s="219" t="n"/>
      <c r="F865" s="220" t="n"/>
      <c r="G865" s="221">
        <f>IF(COUNTA(A865:C865)=0,"",IF(C865&lt;0,"ERRO: matrícula negativa",IF(COUNTIFS($A$5:$A$1200,A865,$B$5:$B$1200,B865)&gt;1,"ERRO: período e curso duplicados","OK")))</f>
        <v/>
      </c>
    </row>
    <row r="866" ht="15" customHeight="1" s="131">
      <c r="A866" s="220" t="n"/>
      <c r="B866" s="222" t="n"/>
      <c r="C866" s="220" t="n"/>
      <c r="D866" s="179">
        <f>IFERROR(C866,"")</f>
        <v/>
      </c>
      <c r="E866" s="219" t="n"/>
      <c r="F866" s="220" t="n"/>
      <c r="G866" s="221">
        <f>IF(COUNTA(A866:C866)=0,"",IF(C866&lt;0,"ERRO: matrícula negativa",IF(COUNTIFS($A$5:$A$1200,A866,$B$5:$B$1200,B866)&gt;1,"ERRO: período e curso duplicados","OK")))</f>
        <v/>
      </c>
    </row>
    <row r="867" ht="15" customHeight="1" s="131">
      <c r="A867" s="220" t="n"/>
      <c r="B867" s="222" t="n"/>
      <c r="C867" s="220" t="n"/>
      <c r="D867" s="179">
        <f>IFERROR(C867,"")</f>
        <v/>
      </c>
      <c r="E867" s="219" t="n"/>
      <c r="F867" s="220" t="n"/>
      <c r="G867" s="221">
        <f>IF(COUNTA(A867:C867)=0,"",IF(C867&lt;0,"ERRO: matrícula negativa",IF(COUNTIFS($A$5:$A$1200,A867,$B$5:$B$1200,B867)&gt;1,"ERRO: período e curso duplicados","OK")))</f>
        <v/>
      </c>
    </row>
    <row r="868" ht="15" customHeight="1" s="131">
      <c r="A868" s="220" t="n"/>
      <c r="B868" s="222" t="n"/>
      <c r="C868" s="220" t="n"/>
      <c r="D868" s="179">
        <f>IFERROR(C868,"")</f>
        <v/>
      </c>
      <c r="E868" s="219" t="n"/>
      <c r="F868" s="220" t="n"/>
      <c r="G868" s="221">
        <f>IF(COUNTA(A868:C868)=0,"",IF(C868&lt;0,"ERRO: matrícula negativa",IF(COUNTIFS($A$5:$A$1200,A868,$B$5:$B$1200,B868)&gt;1,"ERRO: período e curso duplicados","OK")))</f>
        <v/>
      </c>
    </row>
    <row r="869" ht="15" customHeight="1" s="131">
      <c r="A869" s="220" t="n"/>
      <c r="B869" s="222" t="n"/>
      <c r="C869" s="220" t="n"/>
      <c r="D869" s="179">
        <f>IFERROR(C869,"")</f>
        <v/>
      </c>
      <c r="E869" s="219" t="n"/>
      <c r="F869" s="220" t="n"/>
      <c r="G869" s="221">
        <f>IF(COUNTA(A869:C869)=0,"",IF(C869&lt;0,"ERRO: matrícula negativa",IF(COUNTIFS($A$5:$A$1200,A869,$B$5:$B$1200,B869)&gt;1,"ERRO: período e curso duplicados","OK")))</f>
        <v/>
      </c>
    </row>
    <row r="870" ht="15" customHeight="1" s="131">
      <c r="A870" s="220" t="n"/>
      <c r="B870" s="222" t="n"/>
      <c r="C870" s="220" t="n"/>
      <c r="D870" s="179">
        <f>IFERROR(C870,"")</f>
        <v/>
      </c>
      <c r="E870" s="219" t="n"/>
      <c r="F870" s="220" t="n"/>
      <c r="G870" s="221">
        <f>IF(COUNTA(A870:C870)=0,"",IF(C870&lt;0,"ERRO: matrícula negativa",IF(COUNTIFS($A$5:$A$1200,A870,$B$5:$B$1200,B870)&gt;1,"ERRO: período e curso duplicados","OK")))</f>
        <v/>
      </c>
    </row>
    <row r="871" ht="15" customHeight="1" s="131">
      <c r="A871" s="220" t="n"/>
      <c r="B871" s="222" t="n"/>
      <c r="C871" s="220" t="n"/>
      <c r="D871" s="179">
        <f>IFERROR(C871,"")</f>
        <v/>
      </c>
      <c r="E871" s="219" t="n"/>
      <c r="F871" s="220" t="n"/>
      <c r="G871" s="221">
        <f>IF(COUNTA(A871:C871)=0,"",IF(C871&lt;0,"ERRO: matrícula negativa",IF(COUNTIFS($A$5:$A$1200,A871,$B$5:$B$1200,B871)&gt;1,"ERRO: período e curso duplicados","OK")))</f>
        <v/>
      </c>
    </row>
    <row r="872" ht="15" customHeight="1" s="131">
      <c r="A872" s="220" t="n"/>
      <c r="B872" s="222" t="n"/>
      <c r="C872" s="220" t="n"/>
      <c r="D872" s="179">
        <f>IFERROR(C872,"")</f>
        <v/>
      </c>
      <c r="E872" s="219" t="n"/>
      <c r="F872" s="220" t="n"/>
      <c r="G872" s="221">
        <f>IF(COUNTA(A872:C872)=0,"",IF(C872&lt;0,"ERRO: matrícula negativa",IF(COUNTIFS($A$5:$A$1200,A872,$B$5:$B$1200,B872)&gt;1,"ERRO: período e curso duplicados","OK")))</f>
        <v/>
      </c>
    </row>
    <row r="873" ht="15" customHeight="1" s="131">
      <c r="A873" s="220" t="n"/>
      <c r="B873" s="222" t="n"/>
      <c r="C873" s="220" t="n"/>
      <c r="D873" s="179">
        <f>IFERROR(C873,"")</f>
        <v/>
      </c>
      <c r="E873" s="219" t="n"/>
      <c r="F873" s="220" t="n"/>
      <c r="G873" s="221">
        <f>IF(COUNTA(A873:C873)=0,"",IF(C873&lt;0,"ERRO: matrícula negativa",IF(COUNTIFS($A$5:$A$1200,A873,$B$5:$B$1200,B873)&gt;1,"ERRO: período e curso duplicados","OK")))</f>
        <v/>
      </c>
    </row>
    <row r="874" ht="15" customHeight="1" s="131">
      <c r="A874" s="220" t="n"/>
      <c r="B874" s="222" t="n"/>
      <c r="C874" s="220" t="n"/>
      <c r="D874" s="179">
        <f>IFERROR(C874,"")</f>
        <v/>
      </c>
      <c r="E874" s="219" t="n"/>
      <c r="F874" s="220" t="n"/>
      <c r="G874" s="221">
        <f>IF(COUNTA(A874:C874)=0,"",IF(C874&lt;0,"ERRO: matrícula negativa",IF(COUNTIFS($A$5:$A$1200,A874,$B$5:$B$1200,B874)&gt;1,"ERRO: período e curso duplicados","OK")))</f>
        <v/>
      </c>
    </row>
    <row r="875" ht="15" customHeight="1" s="131">
      <c r="A875" s="220" t="n"/>
      <c r="B875" s="222" t="n"/>
      <c r="C875" s="220" t="n"/>
      <c r="D875" s="179">
        <f>IFERROR(C875,"")</f>
        <v/>
      </c>
      <c r="E875" s="219" t="n"/>
      <c r="F875" s="220" t="n"/>
      <c r="G875" s="221">
        <f>IF(COUNTA(A875:C875)=0,"",IF(C875&lt;0,"ERRO: matrícula negativa",IF(COUNTIFS($A$5:$A$1200,A875,$B$5:$B$1200,B875)&gt;1,"ERRO: período e curso duplicados","OK")))</f>
        <v/>
      </c>
    </row>
    <row r="876" ht="15" customHeight="1" s="131">
      <c r="A876" s="220" t="n"/>
      <c r="B876" s="222" t="n"/>
      <c r="C876" s="220" t="n"/>
      <c r="D876" s="179">
        <f>IFERROR(C876,"")</f>
        <v/>
      </c>
      <c r="E876" s="219" t="n"/>
      <c r="F876" s="220" t="n"/>
      <c r="G876" s="221">
        <f>IF(COUNTA(A876:C876)=0,"",IF(C876&lt;0,"ERRO: matrícula negativa",IF(COUNTIFS($A$5:$A$1200,A876,$B$5:$B$1200,B876)&gt;1,"ERRO: período e curso duplicados","OK")))</f>
        <v/>
      </c>
    </row>
    <row r="877" ht="15" customHeight="1" s="131">
      <c r="A877" s="220" t="n"/>
      <c r="B877" s="222" t="n"/>
      <c r="C877" s="220" t="n"/>
      <c r="D877" s="179">
        <f>IFERROR(C877,"")</f>
        <v/>
      </c>
      <c r="E877" s="219" t="n"/>
      <c r="F877" s="220" t="n"/>
      <c r="G877" s="221">
        <f>IF(COUNTA(A877:C877)=0,"",IF(C877&lt;0,"ERRO: matrícula negativa",IF(COUNTIFS($A$5:$A$1200,A877,$B$5:$B$1200,B877)&gt;1,"ERRO: período e curso duplicados","OK")))</f>
        <v/>
      </c>
    </row>
    <row r="878" ht="15" customHeight="1" s="131">
      <c r="A878" s="220" t="n"/>
      <c r="B878" s="222" t="n"/>
      <c r="C878" s="220" t="n"/>
      <c r="D878" s="179">
        <f>IFERROR(C878,"")</f>
        <v/>
      </c>
      <c r="E878" s="219" t="n"/>
      <c r="F878" s="220" t="n"/>
      <c r="G878" s="221">
        <f>IF(COUNTA(A878:C878)=0,"",IF(C878&lt;0,"ERRO: matrícula negativa",IF(COUNTIFS($A$5:$A$1200,A878,$B$5:$B$1200,B878)&gt;1,"ERRO: período e curso duplicados","OK")))</f>
        <v/>
      </c>
    </row>
    <row r="879" ht="15" customHeight="1" s="131">
      <c r="A879" s="220" t="n"/>
      <c r="B879" s="222" t="n"/>
      <c r="C879" s="220" t="n"/>
      <c r="D879" s="179">
        <f>IFERROR(C879,"")</f>
        <v/>
      </c>
      <c r="E879" s="219" t="n"/>
      <c r="F879" s="220" t="n"/>
      <c r="G879" s="221">
        <f>IF(COUNTA(A879:C879)=0,"",IF(C879&lt;0,"ERRO: matrícula negativa",IF(COUNTIFS($A$5:$A$1200,A879,$B$5:$B$1200,B879)&gt;1,"ERRO: período e curso duplicados","OK")))</f>
        <v/>
      </c>
    </row>
    <row r="880" ht="15" customHeight="1" s="131">
      <c r="A880" s="220" t="n"/>
      <c r="B880" s="222" t="n"/>
      <c r="C880" s="220" t="n"/>
      <c r="D880" s="179">
        <f>IFERROR(C880,"")</f>
        <v/>
      </c>
      <c r="E880" s="219" t="n"/>
      <c r="F880" s="220" t="n"/>
      <c r="G880" s="221">
        <f>IF(COUNTA(A880:C880)=0,"",IF(C880&lt;0,"ERRO: matrícula negativa",IF(COUNTIFS($A$5:$A$1200,A880,$B$5:$B$1200,B880)&gt;1,"ERRO: período e curso duplicados","OK")))</f>
        <v/>
      </c>
    </row>
    <row r="881" ht="15" customHeight="1" s="131">
      <c r="A881" s="220" t="n"/>
      <c r="B881" s="222" t="n"/>
      <c r="C881" s="220" t="n"/>
      <c r="D881" s="179">
        <f>IFERROR(C881,"")</f>
        <v/>
      </c>
      <c r="E881" s="219" t="n"/>
      <c r="F881" s="220" t="n"/>
      <c r="G881" s="221">
        <f>IF(COUNTA(A881:C881)=0,"",IF(C881&lt;0,"ERRO: matrícula negativa",IF(COUNTIFS($A$5:$A$1200,A881,$B$5:$B$1200,B881)&gt;1,"ERRO: período e curso duplicados","OK")))</f>
        <v/>
      </c>
    </row>
    <row r="882" ht="15" customHeight="1" s="131">
      <c r="A882" s="220" t="n"/>
      <c r="B882" s="222" t="n"/>
      <c r="C882" s="220" t="n"/>
      <c r="D882" s="179">
        <f>IFERROR(C882,"")</f>
        <v/>
      </c>
      <c r="E882" s="219" t="n"/>
      <c r="F882" s="220" t="n"/>
      <c r="G882" s="221">
        <f>IF(COUNTA(A882:C882)=0,"",IF(C882&lt;0,"ERRO: matrícula negativa",IF(COUNTIFS($A$5:$A$1200,A882,$B$5:$B$1200,B882)&gt;1,"ERRO: período e curso duplicados","OK")))</f>
        <v/>
      </c>
    </row>
    <row r="883" ht="15" customHeight="1" s="131">
      <c r="A883" s="220" t="n"/>
      <c r="B883" s="222" t="n"/>
      <c r="C883" s="220" t="n"/>
      <c r="D883" s="179">
        <f>IFERROR(C883,"")</f>
        <v/>
      </c>
      <c r="E883" s="219" t="n"/>
      <c r="F883" s="220" t="n"/>
      <c r="G883" s="221">
        <f>IF(COUNTA(A883:C883)=0,"",IF(C883&lt;0,"ERRO: matrícula negativa",IF(COUNTIFS($A$5:$A$1200,A883,$B$5:$B$1200,B883)&gt;1,"ERRO: período e curso duplicados","OK")))</f>
        <v/>
      </c>
    </row>
    <row r="884" ht="15" customHeight="1" s="131">
      <c r="A884" s="220" t="n"/>
      <c r="B884" s="222" t="n"/>
      <c r="C884" s="220" t="n"/>
      <c r="D884" s="179">
        <f>IFERROR(C884,"")</f>
        <v/>
      </c>
      <c r="E884" s="219" t="n"/>
      <c r="F884" s="220" t="n"/>
      <c r="G884" s="221">
        <f>IF(COUNTA(A884:C884)=0,"",IF(C884&lt;0,"ERRO: matrícula negativa",IF(COUNTIFS($A$5:$A$1200,A884,$B$5:$B$1200,B884)&gt;1,"ERRO: período e curso duplicados","OK")))</f>
        <v/>
      </c>
    </row>
    <row r="885" ht="15" customHeight="1" s="131">
      <c r="A885" s="220" t="n"/>
      <c r="B885" s="222" t="n"/>
      <c r="C885" s="220" t="n"/>
      <c r="D885" s="179">
        <f>IFERROR(C885,"")</f>
        <v/>
      </c>
      <c r="E885" s="219" t="n"/>
      <c r="F885" s="220" t="n"/>
      <c r="G885" s="221">
        <f>IF(COUNTA(A885:C885)=0,"",IF(C885&lt;0,"ERRO: matrícula negativa",IF(COUNTIFS($A$5:$A$1200,A885,$B$5:$B$1200,B885)&gt;1,"ERRO: período e curso duplicados","OK")))</f>
        <v/>
      </c>
    </row>
    <row r="886" ht="15" customHeight="1" s="131">
      <c r="A886" s="220" t="n"/>
      <c r="B886" s="222" t="n"/>
      <c r="C886" s="220" t="n"/>
      <c r="D886" s="179">
        <f>IFERROR(C886,"")</f>
        <v/>
      </c>
      <c r="E886" s="219" t="n"/>
      <c r="F886" s="220" t="n"/>
      <c r="G886" s="221">
        <f>IF(COUNTA(A886:C886)=0,"",IF(C886&lt;0,"ERRO: matrícula negativa",IF(COUNTIFS($A$5:$A$1200,A886,$B$5:$B$1200,B886)&gt;1,"ERRO: período e curso duplicados","OK")))</f>
        <v/>
      </c>
    </row>
    <row r="887" ht="15" customHeight="1" s="131">
      <c r="A887" s="220" t="n"/>
      <c r="B887" s="222" t="n"/>
      <c r="C887" s="220" t="n"/>
      <c r="D887" s="179">
        <f>IFERROR(C887,"")</f>
        <v/>
      </c>
      <c r="E887" s="219" t="n"/>
      <c r="F887" s="220" t="n"/>
      <c r="G887" s="221">
        <f>IF(COUNTA(A887:C887)=0,"",IF(C887&lt;0,"ERRO: matrícula negativa",IF(COUNTIFS($A$5:$A$1200,A887,$B$5:$B$1200,B887)&gt;1,"ERRO: período e curso duplicados","OK")))</f>
        <v/>
      </c>
    </row>
    <row r="888" ht="15" customHeight="1" s="131">
      <c r="A888" s="220" t="n"/>
      <c r="B888" s="222" t="n"/>
      <c r="C888" s="220" t="n"/>
      <c r="D888" s="179">
        <f>IFERROR(C888,"")</f>
        <v/>
      </c>
      <c r="E888" s="219" t="n"/>
      <c r="F888" s="220" t="n"/>
      <c r="G888" s="221">
        <f>IF(COUNTA(A888:C888)=0,"",IF(C888&lt;0,"ERRO: matrícula negativa",IF(COUNTIFS($A$5:$A$1200,A888,$B$5:$B$1200,B888)&gt;1,"ERRO: período e curso duplicados","OK")))</f>
        <v/>
      </c>
    </row>
    <row r="889" ht="15" customHeight="1" s="131">
      <c r="A889" s="220" t="n"/>
      <c r="B889" s="222" t="n"/>
      <c r="C889" s="220" t="n"/>
      <c r="D889" s="179">
        <f>IFERROR(C889,"")</f>
        <v/>
      </c>
      <c r="E889" s="219" t="n"/>
      <c r="F889" s="220" t="n"/>
      <c r="G889" s="221">
        <f>IF(COUNTA(A889:C889)=0,"",IF(C889&lt;0,"ERRO: matrícula negativa",IF(COUNTIFS($A$5:$A$1200,A889,$B$5:$B$1200,B889)&gt;1,"ERRO: período e curso duplicados","OK")))</f>
        <v/>
      </c>
    </row>
    <row r="890" ht="15" customHeight="1" s="131">
      <c r="A890" s="220" t="n"/>
      <c r="B890" s="222" t="n"/>
      <c r="C890" s="220" t="n"/>
      <c r="D890" s="179">
        <f>IFERROR(C890,"")</f>
        <v/>
      </c>
      <c r="E890" s="219" t="n"/>
      <c r="F890" s="220" t="n"/>
      <c r="G890" s="221">
        <f>IF(COUNTA(A890:C890)=0,"",IF(C890&lt;0,"ERRO: matrícula negativa",IF(COUNTIFS($A$5:$A$1200,A890,$B$5:$B$1200,B890)&gt;1,"ERRO: período e curso duplicados","OK")))</f>
        <v/>
      </c>
    </row>
    <row r="891" ht="15" customHeight="1" s="131">
      <c r="A891" s="220" t="n"/>
      <c r="B891" s="222" t="n"/>
      <c r="C891" s="220" t="n"/>
      <c r="D891" s="179">
        <f>IFERROR(C891,"")</f>
        <v/>
      </c>
      <c r="E891" s="219" t="n"/>
      <c r="F891" s="220" t="n"/>
      <c r="G891" s="221">
        <f>IF(COUNTA(A891:C891)=0,"",IF(C891&lt;0,"ERRO: matrícula negativa",IF(COUNTIFS($A$5:$A$1200,A891,$B$5:$B$1200,B891)&gt;1,"ERRO: período e curso duplicados","OK")))</f>
        <v/>
      </c>
    </row>
    <row r="892" ht="15" customHeight="1" s="131">
      <c r="A892" s="220" t="n"/>
      <c r="B892" s="222" t="n"/>
      <c r="C892" s="220" t="n"/>
      <c r="D892" s="179">
        <f>IFERROR(C892,"")</f>
        <v/>
      </c>
      <c r="E892" s="219" t="n"/>
      <c r="F892" s="220" t="n"/>
      <c r="G892" s="221">
        <f>IF(COUNTA(A892:C892)=0,"",IF(C892&lt;0,"ERRO: matrícula negativa",IF(COUNTIFS($A$5:$A$1200,A892,$B$5:$B$1200,B892)&gt;1,"ERRO: período e curso duplicados","OK")))</f>
        <v/>
      </c>
    </row>
    <row r="893" ht="15" customHeight="1" s="131">
      <c r="A893" s="220" t="n"/>
      <c r="B893" s="222" t="n"/>
      <c r="C893" s="220" t="n"/>
      <c r="D893" s="179">
        <f>IFERROR(C893,"")</f>
        <v/>
      </c>
      <c r="E893" s="219" t="n"/>
      <c r="F893" s="220" t="n"/>
      <c r="G893" s="221">
        <f>IF(COUNTA(A893:C893)=0,"",IF(C893&lt;0,"ERRO: matrícula negativa",IF(COUNTIFS($A$5:$A$1200,A893,$B$5:$B$1200,B893)&gt;1,"ERRO: período e curso duplicados","OK")))</f>
        <v/>
      </c>
    </row>
    <row r="894" ht="15" customHeight="1" s="131">
      <c r="A894" s="220" t="n"/>
      <c r="B894" s="222" t="n"/>
      <c r="C894" s="220" t="n"/>
      <c r="D894" s="179">
        <f>IFERROR(C894,"")</f>
        <v/>
      </c>
      <c r="E894" s="219" t="n"/>
      <c r="F894" s="220" t="n"/>
      <c r="G894" s="221">
        <f>IF(COUNTA(A894:C894)=0,"",IF(C894&lt;0,"ERRO: matrícula negativa",IF(COUNTIFS($A$5:$A$1200,A894,$B$5:$B$1200,B894)&gt;1,"ERRO: período e curso duplicados","OK")))</f>
        <v/>
      </c>
    </row>
    <row r="895" ht="15" customHeight="1" s="131">
      <c r="A895" s="220" t="n"/>
      <c r="B895" s="222" t="n"/>
      <c r="C895" s="220" t="n"/>
      <c r="D895" s="179">
        <f>IFERROR(C895,"")</f>
        <v/>
      </c>
      <c r="E895" s="219" t="n"/>
      <c r="F895" s="220" t="n"/>
      <c r="G895" s="221">
        <f>IF(COUNTA(A895:C895)=0,"",IF(C895&lt;0,"ERRO: matrícula negativa",IF(COUNTIFS($A$5:$A$1200,A895,$B$5:$B$1200,B895)&gt;1,"ERRO: período e curso duplicados","OK")))</f>
        <v/>
      </c>
    </row>
    <row r="896" ht="15" customHeight="1" s="131">
      <c r="A896" s="220" t="n"/>
      <c r="B896" s="222" t="n"/>
      <c r="C896" s="220" t="n"/>
      <c r="D896" s="179">
        <f>IFERROR(C896,"")</f>
        <v/>
      </c>
      <c r="E896" s="219" t="n"/>
      <c r="F896" s="220" t="n"/>
      <c r="G896" s="221">
        <f>IF(COUNTA(A896:C896)=0,"",IF(C896&lt;0,"ERRO: matrícula negativa",IF(COUNTIFS($A$5:$A$1200,A896,$B$5:$B$1200,B896)&gt;1,"ERRO: período e curso duplicados","OK")))</f>
        <v/>
      </c>
    </row>
    <row r="897" ht="15" customHeight="1" s="131">
      <c r="A897" s="220" t="n"/>
      <c r="B897" s="222" t="n"/>
      <c r="C897" s="220" t="n"/>
      <c r="D897" s="179">
        <f>IFERROR(C897,"")</f>
        <v/>
      </c>
      <c r="E897" s="219" t="n"/>
      <c r="F897" s="220" t="n"/>
      <c r="G897" s="221">
        <f>IF(COUNTA(A897:C897)=0,"",IF(C897&lt;0,"ERRO: matrícula negativa",IF(COUNTIFS($A$5:$A$1200,A897,$B$5:$B$1200,B897)&gt;1,"ERRO: período e curso duplicados","OK")))</f>
        <v/>
      </c>
    </row>
    <row r="898" ht="15" customHeight="1" s="131">
      <c r="A898" s="220" t="n"/>
      <c r="B898" s="222" t="n"/>
      <c r="C898" s="220" t="n"/>
      <c r="D898" s="179">
        <f>IFERROR(C898,"")</f>
        <v/>
      </c>
      <c r="E898" s="219" t="n"/>
      <c r="F898" s="220" t="n"/>
      <c r="G898" s="221">
        <f>IF(COUNTA(A898:C898)=0,"",IF(C898&lt;0,"ERRO: matrícula negativa",IF(COUNTIFS($A$5:$A$1200,A898,$B$5:$B$1200,B898)&gt;1,"ERRO: período e curso duplicados","OK")))</f>
        <v/>
      </c>
    </row>
    <row r="899" ht="15" customHeight="1" s="131">
      <c r="A899" s="220" t="n"/>
      <c r="B899" s="222" t="n"/>
      <c r="C899" s="220" t="n"/>
      <c r="D899" s="179">
        <f>IFERROR(C899,"")</f>
        <v/>
      </c>
      <c r="E899" s="219" t="n"/>
      <c r="F899" s="220" t="n"/>
      <c r="G899" s="221">
        <f>IF(COUNTA(A899:C899)=0,"",IF(C899&lt;0,"ERRO: matrícula negativa",IF(COUNTIFS($A$5:$A$1200,A899,$B$5:$B$1200,B899)&gt;1,"ERRO: período e curso duplicados","OK")))</f>
        <v/>
      </c>
    </row>
    <row r="900" ht="15" customHeight="1" s="131">
      <c r="A900" s="220" t="n"/>
      <c r="B900" s="222" t="n"/>
      <c r="C900" s="220" t="n"/>
      <c r="D900" s="179">
        <f>IFERROR(C900,"")</f>
        <v/>
      </c>
      <c r="E900" s="219" t="n"/>
      <c r="F900" s="220" t="n"/>
      <c r="G900" s="221">
        <f>IF(COUNTA(A900:C900)=0,"",IF(C900&lt;0,"ERRO: matrícula negativa",IF(COUNTIFS($A$5:$A$1200,A900,$B$5:$B$1200,B900)&gt;1,"ERRO: período e curso duplicados","OK")))</f>
        <v/>
      </c>
    </row>
    <row r="901" ht="15" customHeight="1" s="131">
      <c r="A901" s="220" t="n"/>
      <c r="B901" s="222" t="n"/>
      <c r="C901" s="220" t="n"/>
      <c r="D901" s="179">
        <f>IFERROR(C901,"")</f>
        <v/>
      </c>
      <c r="E901" s="219" t="n"/>
      <c r="F901" s="220" t="n"/>
      <c r="G901" s="221">
        <f>IF(COUNTA(A901:C901)=0,"",IF(C901&lt;0,"ERRO: matrícula negativa",IF(COUNTIFS($A$5:$A$1200,A901,$B$5:$B$1200,B901)&gt;1,"ERRO: período e curso duplicados","OK")))</f>
        <v/>
      </c>
    </row>
    <row r="902" ht="15" customHeight="1" s="131">
      <c r="A902" s="220" t="n"/>
      <c r="B902" s="222" t="n"/>
      <c r="C902" s="220" t="n"/>
      <c r="D902" s="179">
        <f>IFERROR(C902,"")</f>
        <v/>
      </c>
      <c r="E902" s="219" t="n"/>
      <c r="F902" s="220" t="n"/>
      <c r="G902" s="221">
        <f>IF(COUNTA(A902:C902)=0,"",IF(C902&lt;0,"ERRO: matrícula negativa",IF(COUNTIFS($A$5:$A$1200,A902,$B$5:$B$1200,B902)&gt;1,"ERRO: período e curso duplicados","OK")))</f>
        <v/>
      </c>
    </row>
    <row r="903" ht="15" customHeight="1" s="131">
      <c r="A903" s="220" t="n"/>
      <c r="B903" s="222" t="n"/>
      <c r="C903" s="220" t="n"/>
      <c r="D903" s="179">
        <f>IFERROR(C903,"")</f>
        <v/>
      </c>
      <c r="E903" s="219" t="n"/>
      <c r="F903" s="220" t="n"/>
      <c r="G903" s="221">
        <f>IF(COUNTA(A903:C903)=0,"",IF(C903&lt;0,"ERRO: matrícula negativa",IF(COUNTIFS($A$5:$A$1200,A903,$B$5:$B$1200,B903)&gt;1,"ERRO: período e curso duplicados","OK")))</f>
        <v/>
      </c>
    </row>
    <row r="904" ht="15" customHeight="1" s="131">
      <c r="A904" s="220" t="n"/>
      <c r="B904" s="222" t="n"/>
      <c r="C904" s="220" t="n"/>
      <c r="D904" s="179">
        <f>IFERROR(C904,"")</f>
        <v/>
      </c>
      <c r="E904" s="219" t="n"/>
      <c r="F904" s="220" t="n"/>
      <c r="G904" s="221">
        <f>IF(COUNTA(A904:C904)=0,"",IF(C904&lt;0,"ERRO: matrícula negativa",IF(COUNTIFS($A$5:$A$1200,A904,$B$5:$B$1200,B904)&gt;1,"ERRO: período e curso duplicados","OK")))</f>
        <v/>
      </c>
    </row>
    <row r="905" ht="15" customHeight="1" s="131">
      <c r="A905" s="220" t="n"/>
      <c r="B905" s="222" t="n"/>
      <c r="C905" s="220" t="n"/>
      <c r="D905" s="179">
        <f>IFERROR(C905,"")</f>
        <v/>
      </c>
      <c r="E905" s="219" t="n"/>
      <c r="F905" s="220" t="n"/>
      <c r="G905" s="221">
        <f>IF(COUNTA(A905:C905)=0,"",IF(C905&lt;0,"ERRO: matrícula negativa",IF(COUNTIFS($A$5:$A$1200,A905,$B$5:$B$1200,B905)&gt;1,"ERRO: período e curso duplicados","OK")))</f>
        <v/>
      </c>
    </row>
    <row r="906" ht="15" customHeight="1" s="131">
      <c r="A906" s="220" t="n"/>
      <c r="B906" s="222" t="n"/>
      <c r="C906" s="220" t="n"/>
      <c r="D906" s="179">
        <f>IFERROR(C906,"")</f>
        <v/>
      </c>
      <c r="E906" s="219" t="n"/>
      <c r="F906" s="220" t="n"/>
      <c r="G906" s="221">
        <f>IF(COUNTA(A906:C906)=0,"",IF(C906&lt;0,"ERRO: matrícula negativa",IF(COUNTIFS($A$5:$A$1200,A906,$B$5:$B$1200,B906)&gt;1,"ERRO: período e curso duplicados","OK")))</f>
        <v/>
      </c>
    </row>
    <row r="907" ht="15" customHeight="1" s="131">
      <c r="A907" s="220" t="n"/>
      <c r="B907" s="222" t="n"/>
      <c r="C907" s="220" t="n"/>
      <c r="D907" s="179">
        <f>IFERROR(C907,"")</f>
        <v/>
      </c>
      <c r="E907" s="219" t="n"/>
      <c r="F907" s="220" t="n"/>
      <c r="G907" s="221">
        <f>IF(COUNTA(A907:C907)=0,"",IF(C907&lt;0,"ERRO: matrícula negativa",IF(COUNTIFS($A$5:$A$1200,A907,$B$5:$B$1200,B907)&gt;1,"ERRO: período e curso duplicados","OK")))</f>
        <v/>
      </c>
    </row>
    <row r="908" ht="15" customHeight="1" s="131">
      <c r="A908" s="220" t="n"/>
      <c r="B908" s="222" t="n"/>
      <c r="C908" s="220" t="n"/>
      <c r="D908" s="179">
        <f>IFERROR(C908,"")</f>
        <v/>
      </c>
      <c r="E908" s="219" t="n"/>
      <c r="F908" s="220" t="n"/>
      <c r="G908" s="221">
        <f>IF(COUNTA(A908:C908)=0,"",IF(C908&lt;0,"ERRO: matrícula negativa",IF(COUNTIFS($A$5:$A$1200,A908,$B$5:$B$1200,B908)&gt;1,"ERRO: período e curso duplicados","OK")))</f>
        <v/>
      </c>
    </row>
    <row r="909" ht="15" customHeight="1" s="131">
      <c r="A909" s="220" t="n"/>
      <c r="B909" s="222" t="n"/>
      <c r="C909" s="220" t="n"/>
      <c r="D909" s="179">
        <f>IFERROR(C909,"")</f>
        <v/>
      </c>
      <c r="E909" s="219" t="n"/>
      <c r="F909" s="220" t="n"/>
      <c r="G909" s="221">
        <f>IF(COUNTA(A909:C909)=0,"",IF(C909&lt;0,"ERRO: matrícula negativa",IF(COUNTIFS($A$5:$A$1200,A909,$B$5:$B$1200,B909)&gt;1,"ERRO: período e curso duplicados","OK")))</f>
        <v/>
      </c>
    </row>
    <row r="910" ht="15" customHeight="1" s="131">
      <c r="A910" s="220" t="n"/>
      <c r="B910" s="222" t="n"/>
      <c r="C910" s="220" t="n"/>
      <c r="D910" s="179">
        <f>IFERROR(C910,"")</f>
        <v/>
      </c>
      <c r="E910" s="219" t="n"/>
      <c r="F910" s="220" t="n"/>
      <c r="G910" s="221">
        <f>IF(COUNTA(A910:C910)=0,"",IF(C910&lt;0,"ERRO: matrícula negativa",IF(COUNTIFS($A$5:$A$1200,A910,$B$5:$B$1200,B910)&gt;1,"ERRO: período e curso duplicados","OK")))</f>
        <v/>
      </c>
    </row>
    <row r="911" ht="15" customHeight="1" s="131">
      <c r="A911" s="220" t="n"/>
      <c r="B911" s="222" t="n"/>
      <c r="C911" s="220" t="n"/>
      <c r="D911" s="179">
        <f>IFERROR(C911,"")</f>
        <v/>
      </c>
      <c r="E911" s="219" t="n"/>
      <c r="F911" s="220" t="n"/>
      <c r="G911" s="221">
        <f>IF(COUNTA(A911:C911)=0,"",IF(C911&lt;0,"ERRO: matrícula negativa",IF(COUNTIFS($A$5:$A$1200,A911,$B$5:$B$1200,B911)&gt;1,"ERRO: período e curso duplicados","OK")))</f>
        <v/>
      </c>
    </row>
    <row r="912" ht="15" customHeight="1" s="131">
      <c r="A912" s="220" t="n"/>
      <c r="B912" s="222" t="n"/>
      <c r="C912" s="220" t="n"/>
      <c r="D912" s="179">
        <f>IFERROR(C912,"")</f>
        <v/>
      </c>
      <c r="E912" s="219" t="n"/>
      <c r="F912" s="220" t="n"/>
      <c r="G912" s="221">
        <f>IF(COUNTA(A912:C912)=0,"",IF(C912&lt;0,"ERRO: matrícula negativa",IF(COUNTIFS($A$5:$A$1200,A912,$B$5:$B$1200,B912)&gt;1,"ERRO: período e curso duplicados","OK")))</f>
        <v/>
      </c>
    </row>
    <row r="913" ht="15" customHeight="1" s="131">
      <c r="A913" s="220" t="n"/>
      <c r="B913" s="222" t="n"/>
      <c r="C913" s="220" t="n"/>
      <c r="D913" s="179">
        <f>IFERROR(C913,"")</f>
        <v/>
      </c>
      <c r="E913" s="219" t="n"/>
      <c r="F913" s="220" t="n"/>
      <c r="G913" s="221">
        <f>IF(COUNTA(A913:C913)=0,"",IF(C913&lt;0,"ERRO: matrícula negativa",IF(COUNTIFS($A$5:$A$1200,A913,$B$5:$B$1200,B913)&gt;1,"ERRO: período e curso duplicados","OK")))</f>
        <v/>
      </c>
    </row>
    <row r="914" ht="15" customHeight="1" s="131">
      <c r="A914" s="220" t="n"/>
      <c r="B914" s="222" t="n"/>
      <c r="C914" s="220" t="n"/>
      <c r="D914" s="179">
        <f>IFERROR(C914,"")</f>
        <v/>
      </c>
      <c r="E914" s="219" t="n"/>
      <c r="F914" s="220" t="n"/>
      <c r="G914" s="221">
        <f>IF(COUNTA(A914:C914)=0,"",IF(C914&lt;0,"ERRO: matrícula negativa",IF(COUNTIFS($A$5:$A$1200,A914,$B$5:$B$1200,B914)&gt;1,"ERRO: período e curso duplicados","OK")))</f>
        <v/>
      </c>
    </row>
    <row r="915" ht="15" customHeight="1" s="131">
      <c r="A915" s="220" t="n"/>
      <c r="B915" s="222" t="n"/>
      <c r="C915" s="220" t="n"/>
      <c r="D915" s="179">
        <f>IFERROR(C915,"")</f>
        <v/>
      </c>
      <c r="E915" s="219" t="n"/>
      <c r="F915" s="220" t="n"/>
      <c r="G915" s="221">
        <f>IF(COUNTA(A915:C915)=0,"",IF(C915&lt;0,"ERRO: matrícula negativa",IF(COUNTIFS($A$5:$A$1200,A915,$B$5:$B$1200,B915)&gt;1,"ERRO: período e curso duplicados","OK")))</f>
        <v/>
      </c>
    </row>
    <row r="916" ht="15" customHeight="1" s="131">
      <c r="A916" s="220" t="n"/>
      <c r="B916" s="222" t="n"/>
      <c r="C916" s="220" t="n"/>
      <c r="D916" s="179">
        <f>IFERROR(C916,"")</f>
        <v/>
      </c>
      <c r="E916" s="219" t="n"/>
      <c r="F916" s="220" t="n"/>
      <c r="G916" s="221">
        <f>IF(COUNTA(A916:C916)=0,"",IF(C916&lt;0,"ERRO: matrícula negativa",IF(COUNTIFS($A$5:$A$1200,A916,$B$5:$B$1200,B916)&gt;1,"ERRO: período e curso duplicados","OK")))</f>
        <v/>
      </c>
    </row>
    <row r="917" ht="15" customHeight="1" s="131">
      <c r="A917" s="220" t="n"/>
      <c r="B917" s="222" t="n"/>
      <c r="C917" s="220" t="n"/>
      <c r="D917" s="179">
        <f>IFERROR(C917,"")</f>
        <v/>
      </c>
      <c r="E917" s="219" t="n"/>
      <c r="F917" s="220" t="n"/>
      <c r="G917" s="221">
        <f>IF(COUNTA(A917:C917)=0,"",IF(C917&lt;0,"ERRO: matrícula negativa",IF(COUNTIFS($A$5:$A$1200,A917,$B$5:$B$1200,B917)&gt;1,"ERRO: período e curso duplicados","OK")))</f>
        <v/>
      </c>
    </row>
    <row r="918" ht="15" customHeight="1" s="131">
      <c r="A918" s="220" t="n"/>
      <c r="B918" s="222" t="n"/>
      <c r="C918" s="220" t="n"/>
      <c r="D918" s="179">
        <f>IFERROR(C918,"")</f>
        <v/>
      </c>
      <c r="E918" s="219" t="n"/>
      <c r="F918" s="220" t="n"/>
      <c r="G918" s="221">
        <f>IF(COUNTA(A918:C918)=0,"",IF(C918&lt;0,"ERRO: matrícula negativa",IF(COUNTIFS($A$5:$A$1200,A918,$B$5:$B$1200,B918)&gt;1,"ERRO: período e curso duplicados","OK")))</f>
        <v/>
      </c>
    </row>
    <row r="919" ht="15" customHeight="1" s="131">
      <c r="A919" s="220" t="n"/>
      <c r="B919" s="222" t="n"/>
      <c r="C919" s="220" t="n"/>
      <c r="D919" s="179">
        <f>IFERROR(C919,"")</f>
        <v/>
      </c>
      <c r="E919" s="219" t="n"/>
      <c r="F919" s="220" t="n"/>
      <c r="G919" s="221">
        <f>IF(COUNTA(A919:C919)=0,"",IF(C919&lt;0,"ERRO: matrícula negativa",IF(COUNTIFS($A$5:$A$1200,A919,$B$5:$B$1200,B919)&gt;1,"ERRO: período e curso duplicados","OK")))</f>
        <v/>
      </c>
    </row>
    <row r="920" ht="15" customHeight="1" s="131">
      <c r="A920" s="220" t="n"/>
      <c r="B920" s="222" t="n"/>
      <c r="C920" s="220" t="n"/>
      <c r="D920" s="179">
        <f>IFERROR(C920,"")</f>
        <v/>
      </c>
      <c r="E920" s="219" t="n"/>
      <c r="F920" s="220" t="n"/>
      <c r="G920" s="221">
        <f>IF(COUNTA(A920:C920)=0,"",IF(C920&lt;0,"ERRO: matrícula negativa",IF(COUNTIFS($A$5:$A$1200,A920,$B$5:$B$1200,B920)&gt;1,"ERRO: período e curso duplicados","OK")))</f>
        <v/>
      </c>
    </row>
    <row r="921" ht="15" customHeight="1" s="131">
      <c r="A921" s="220" t="n"/>
      <c r="B921" s="222" t="n"/>
      <c r="C921" s="220" t="n"/>
      <c r="D921" s="179">
        <f>IFERROR(C921,"")</f>
        <v/>
      </c>
      <c r="E921" s="219" t="n"/>
      <c r="F921" s="220" t="n"/>
      <c r="G921" s="221">
        <f>IF(COUNTA(A921:C921)=0,"",IF(C921&lt;0,"ERRO: matrícula negativa",IF(COUNTIFS($A$5:$A$1200,A921,$B$5:$B$1200,B921)&gt;1,"ERRO: período e curso duplicados","OK")))</f>
        <v/>
      </c>
    </row>
    <row r="922" ht="15" customHeight="1" s="131">
      <c r="A922" s="220" t="n"/>
      <c r="B922" s="222" t="n"/>
      <c r="C922" s="220" t="n"/>
      <c r="D922" s="179">
        <f>IFERROR(C922,"")</f>
        <v/>
      </c>
      <c r="E922" s="219" t="n"/>
      <c r="F922" s="220" t="n"/>
      <c r="G922" s="221">
        <f>IF(COUNTA(A922:C922)=0,"",IF(C922&lt;0,"ERRO: matrícula negativa",IF(COUNTIFS($A$5:$A$1200,A922,$B$5:$B$1200,B922)&gt;1,"ERRO: período e curso duplicados","OK")))</f>
        <v/>
      </c>
    </row>
    <row r="923" ht="15" customHeight="1" s="131">
      <c r="A923" s="220" t="n"/>
      <c r="B923" s="222" t="n"/>
      <c r="C923" s="220" t="n"/>
      <c r="D923" s="179">
        <f>IFERROR(C923,"")</f>
        <v/>
      </c>
      <c r="E923" s="219" t="n"/>
      <c r="F923" s="220" t="n"/>
      <c r="G923" s="221">
        <f>IF(COUNTA(A923:C923)=0,"",IF(C923&lt;0,"ERRO: matrícula negativa",IF(COUNTIFS($A$5:$A$1200,A923,$B$5:$B$1200,B923)&gt;1,"ERRO: período e curso duplicados","OK")))</f>
        <v/>
      </c>
    </row>
    <row r="924" ht="15" customHeight="1" s="131">
      <c r="A924" s="220" t="n"/>
      <c r="B924" s="222" t="n"/>
      <c r="C924" s="220" t="n"/>
      <c r="D924" s="179">
        <f>IFERROR(C924,"")</f>
        <v/>
      </c>
      <c r="E924" s="219" t="n"/>
      <c r="F924" s="220" t="n"/>
      <c r="G924" s="221">
        <f>IF(COUNTA(A924:C924)=0,"",IF(C924&lt;0,"ERRO: matrícula negativa",IF(COUNTIFS($A$5:$A$1200,A924,$B$5:$B$1200,B924)&gt;1,"ERRO: período e curso duplicados","OK")))</f>
        <v/>
      </c>
    </row>
    <row r="925" ht="15" customHeight="1" s="131">
      <c r="A925" s="220" t="n"/>
      <c r="B925" s="222" t="n"/>
      <c r="C925" s="220" t="n"/>
      <c r="D925" s="179">
        <f>IFERROR(C925,"")</f>
        <v/>
      </c>
      <c r="E925" s="219" t="n"/>
      <c r="F925" s="220" t="n"/>
      <c r="G925" s="221">
        <f>IF(COUNTA(A925:C925)=0,"",IF(C925&lt;0,"ERRO: matrícula negativa",IF(COUNTIFS($A$5:$A$1200,A925,$B$5:$B$1200,B925)&gt;1,"ERRO: período e curso duplicados","OK")))</f>
        <v/>
      </c>
    </row>
    <row r="926" ht="15" customHeight="1" s="131">
      <c r="A926" s="220" t="n"/>
      <c r="B926" s="222" t="n"/>
      <c r="C926" s="220" t="n"/>
      <c r="D926" s="179">
        <f>IFERROR(C926,"")</f>
        <v/>
      </c>
      <c r="E926" s="219" t="n"/>
      <c r="F926" s="220" t="n"/>
      <c r="G926" s="221">
        <f>IF(COUNTA(A926:C926)=0,"",IF(C926&lt;0,"ERRO: matrícula negativa",IF(COUNTIFS($A$5:$A$1200,A926,$B$5:$B$1200,B926)&gt;1,"ERRO: período e curso duplicados","OK")))</f>
        <v/>
      </c>
    </row>
    <row r="927" ht="15" customHeight="1" s="131">
      <c r="A927" s="220" t="n"/>
      <c r="B927" s="222" t="n"/>
      <c r="C927" s="220" t="n"/>
      <c r="D927" s="179">
        <f>IFERROR(C927,"")</f>
        <v/>
      </c>
      <c r="E927" s="219" t="n"/>
      <c r="F927" s="220" t="n"/>
      <c r="G927" s="221">
        <f>IF(COUNTA(A927:C927)=0,"",IF(C927&lt;0,"ERRO: matrícula negativa",IF(COUNTIFS($A$5:$A$1200,A927,$B$5:$B$1200,B927)&gt;1,"ERRO: período e curso duplicados","OK")))</f>
        <v/>
      </c>
    </row>
    <row r="928" ht="15" customHeight="1" s="131">
      <c r="A928" s="220" t="n"/>
      <c r="B928" s="222" t="n"/>
      <c r="C928" s="220" t="n"/>
      <c r="D928" s="179">
        <f>IFERROR(C928,"")</f>
        <v/>
      </c>
      <c r="E928" s="219" t="n"/>
      <c r="F928" s="220" t="n"/>
      <c r="G928" s="221">
        <f>IF(COUNTA(A928:C928)=0,"",IF(C928&lt;0,"ERRO: matrícula negativa",IF(COUNTIFS($A$5:$A$1200,A928,$B$5:$B$1200,B928)&gt;1,"ERRO: período e curso duplicados","OK")))</f>
        <v/>
      </c>
    </row>
    <row r="929" ht="15" customHeight="1" s="131">
      <c r="A929" s="220" t="n"/>
      <c r="B929" s="222" t="n"/>
      <c r="C929" s="220" t="n"/>
      <c r="D929" s="179">
        <f>IFERROR(C929,"")</f>
        <v/>
      </c>
      <c r="E929" s="219" t="n"/>
      <c r="F929" s="220" t="n"/>
      <c r="G929" s="221">
        <f>IF(COUNTA(A929:C929)=0,"",IF(C929&lt;0,"ERRO: matrícula negativa",IF(COUNTIFS($A$5:$A$1200,A929,$B$5:$B$1200,B929)&gt;1,"ERRO: período e curso duplicados","OK")))</f>
        <v/>
      </c>
    </row>
    <row r="930" ht="15" customHeight="1" s="131">
      <c r="A930" s="220" t="n"/>
      <c r="B930" s="222" t="n"/>
      <c r="C930" s="220" t="n"/>
      <c r="D930" s="179">
        <f>IFERROR(C930,"")</f>
        <v/>
      </c>
      <c r="E930" s="219" t="n"/>
      <c r="F930" s="220" t="n"/>
      <c r="G930" s="221">
        <f>IF(COUNTA(A930:C930)=0,"",IF(C930&lt;0,"ERRO: matrícula negativa",IF(COUNTIFS($A$5:$A$1200,A930,$B$5:$B$1200,B930)&gt;1,"ERRO: período e curso duplicados","OK")))</f>
        <v/>
      </c>
    </row>
    <row r="931" ht="15" customHeight="1" s="131">
      <c r="A931" s="220" t="n"/>
      <c r="B931" s="222" t="n"/>
      <c r="C931" s="220" t="n"/>
      <c r="D931" s="179">
        <f>IFERROR(C931,"")</f>
        <v/>
      </c>
      <c r="E931" s="219" t="n"/>
      <c r="F931" s="220" t="n"/>
      <c r="G931" s="221">
        <f>IF(COUNTA(A931:C931)=0,"",IF(C931&lt;0,"ERRO: matrícula negativa",IF(COUNTIFS($A$5:$A$1200,A931,$B$5:$B$1200,B931)&gt;1,"ERRO: período e curso duplicados","OK")))</f>
        <v/>
      </c>
    </row>
    <row r="932" ht="15" customHeight="1" s="131">
      <c r="A932" s="220" t="n"/>
      <c r="B932" s="222" t="n"/>
      <c r="C932" s="220" t="n"/>
      <c r="D932" s="179">
        <f>IFERROR(C932,"")</f>
        <v/>
      </c>
      <c r="E932" s="219" t="n"/>
      <c r="F932" s="220" t="n"/>
      <c r="G932" s="221">
        <f>IF(COUNTA(A932:C932)=0,"",IF(C932&lt;0,"ERRO: matrícula negativa",IF(COUNTIFS($A$5:$A$1200,A932,$B$5:$B$1200,B932)&gt;1,"ERRO: período e curso duplicados","OK")))</f>
        <v/>
      </c>
    </row>
    <row r="933" ht="15" customHeight="1" s="131">
      <c r="A933" s="220" t="n"/>
      <c r="B933" s="222" t="n"/>
      <c r="C933" s="220" t="n"/>
      <c r="D933" s="179">
        <f>IFERROR(C933,"")</f>
        <v/>
      </c>
      <c r="E933" s="219" t="n"/>
      <c r="F933" s="220" t="n"/>
      <c r="G933" s="221">
        <f>IF(COUNTA(A933:C933)=0,"",IF(C933&lt;0,"ERRO: matrícula negativa",IF(COUNTIFS($A$5:$A$1200,A933,$B$5:$B$1200,B933)&gt;1,"ERRO: período e curso duplicados","OK")))</f>
        <v/>
      </c>
    </row>
    <row r="934" ht="15" customHeight="1" s="131">
      <c r="A934" s="220" t="n"/>
      <c r="B934" s="222" t="n"/>
      <c r="C934" s="220" t="n"/>
      <c r="D934" s="179">
        <f>IFERROR(C934,"")</f>
        <v/>
      </c>
      <c r="E934" s="219" t="n"/>
      <c r="F934" s="220" t="n"/>
      <c r="G934" s="221">
        <f>IF(COUNTA(A934:C934)=0,"",IF(C934&lt;0,"ERRO: matrícula negativa",IF(COUNTIFS($A$5:$A$1200,A934,$B$5:$B$1200,B934)&gt;1,"ERRO: período e curso duplicados","OK")))</f>
        <v/>
      </c>
    </row>
    <row r="935" ht="15" customHeight="1" s="131">
      <c r="A935" s="220" t="n"/>
      <c r="B935" s="222" t="n"/>
      <c r="C935" s="220" t="n"/>
      <c r="D935" s="179">
        <f>IFERROR(C935,"")</f>
        <v/>
      </c>
      <c r="E935" s="219" t="n"/>
      <c r="F935" s="220" t="n"/>
      <c r="G935" s="221">
        <f>IF(COUNTA(A935:C935)=0,"",IF(C935&lt;0,"ERRO: matrícula negativa",IF(COUNTIFS($A$5:$A$1200,A935,$B$5:$B$1200,B935)&gt;1,"ERRO: período e curso duplicados","OK")))</f>
        <v/>
      </c>
    </row>
    <row r="936" ht="15" customHeight="1" s="131">
      <c r="A936" s="220" t="n"/>
      <c r="B936" s="222" t="n"/>
      <c r="C936" s="220" t="n"/>
      <c r="D936" s="179">
        <f>IFERROR(C936,"")</f>
        <v/>
      </c>
      <c r="E936" s="219" t="n"/>
      <c r="F936" s="220" t="n"/>
      <c r="G936" s="221">
        <f>IF(COUNTA(A936:C936)=0,"",IF(C936&lt;0,"ERRO: matrícula negativa",IF(COUNTIFS($A$5:$A$1200,A936,$B$5:$B$1200,B936)&gt;1,"ERRO: período e curso duplicados","OK")))</f>
        <v/>
      </c>
    </row>
    <row r="937" ht="15" customHeight="1" s="131">
      <c r="A937" s="220" t="n"/>
      <c r="B937" s="222" t="n"/>
      <c r="C937" s="220" t="n"/>
      <c r="D937" s="179">
        <f>IFERROR(C937,"")</f>
        <v/>
      </c>
      <c r="E937" s="219" t="n"/>
      <c r="F937" s="220" t="n"/>
      <c r="G937" s="221">
        <f>IF(COUNTA(A937:C937)=0,"",IF(C937&lt;0,"ERRO: matrícula negativa",IF(COUNTIFS($A$5:$A$1200,A937,$B$5:$B$1200,B937)&gt;1,"ERRO: período e curso duplicados","OK")))</f>
        <v/>
      </c>
    </row>
    <row r="938" ht="15" customHeight="1" s="131">
      <c r="A938" s="220" t="n"/>
      <c r="B938" s="222" t="n"/>
      <c r="C938" s="220" t="n"/>
      <c r="D938" s="179">
        <f>IFERROR(C938,"")</f>
        <v/>
      </c>
      <c r="E938" s="219" t="n"/>
      <c r="F938" s="220" t="n"/>
      <c r="G938" s="221">
        <f>IF(COUNTA(A938:C938)=0,"",IF(C938&lt;0,"ERRO: matrícula negativa",IF(COUNTIFS($A$5:$A$1200,A938,$B$5:$B$1200,B938)&gt;1,"ERRO: período e curso duplicados","OK")))</f>
        <v/>
      </c>
    </row>
    <row r="939" ht="15" customHeight="1" s="131">
      <c r="A939" s="220" t="n"/>
      <c r="B939" s="222" t="n"/>
      <c r="C939" s="220" t="n"/>
      <c r="D939" s="179">
        <f>IFERROR(C939,"")</f>
        <v/>
      </c>
      <c r="E939" s="219" t="n"/>
      <c r="F939" s="220" t="n"/>
      <c r="G939" s="221">
        <f>IF(COUNTA(A939:C939)=0,"",IF(C939&lt;0,"ERRO: matrícula negativa",IF(COUNTIFS($A$5:$A$1200,A939,$B$5:$B$1200,B939)&gt;1,"ERRO: período e curso duplicados","OK")))</f>
        <v/>
      </c>
    </row>
    <row r="940" ht="15" customHeight="1" s="131">
      <c r="A940" s="220" t="n"/>
      <c r="B940" s="222" t="n"/>
      <c r="C940" s="220" t="n"/>
      <c r="D940" s="179">
        <f>IFERROR(C940,"")</f>
        <v/>
      </c>
      <c r="E940" s="219" t="n"/>
      <c r="F940" s="220" t="n"/>
      <c r="G940" s="221">
        <f>IF(COUNTA(A940:C940)=0,"",IF(C940&lt;0,"ERRO: matrícula negativa",IF(COUNTIFS($A$5:$A$1200,A940,$B$5:$B$1200,B940)&gt;1,"ERRO: período e curso duplicados","OK")))</f>
        <v/>
      </c>
    </row>
    <row r="941" ht="15" customHeight="1" s="131">
      <c r="A941" s="220" t="n"/>
      <c r="B941" s="222" t="n"/>
      <c r="C941" s="220" t="n"/>
      <c r="D941" s="179">
        <f>IFERROR(C941,"")</f>
        <v/>
      </c>
      <c r="E941" s="219" t="n"/>
      <c r="F941" s="220" t="n"/>
      <c r="G941" s="221">
        <f>IF(COUNTA(A941:C941)=0,"",IF(C941&lt;0,"ERRO: matrícula negativa",IF(COUNTIFS($A$5:$A$1200,A941,$B$5:$B$1200,B941)&gt;1,"ERRO: período e curso duplicados","OK")))</f>
        <v/>
      </c>
    </row>
    <row r="942" ht="15" customHeight="1" s="131">
      <c r="A942" s="220" t="n"/>
      <c r="B942" s="222" t="n"/>
      <c r="C942" s="220" t="n"/>
      <c r="D942" s="179">
        <f>IFERROR(C942,"")</f>
        <v/>
      </c>
      <c r="E942" s="219" t="n"/>
      <c r="F942" s="220" t="n"/>
      <c r="G942" s="221">
        <f>IF(COUNTA(A942:C942)=0,"",IF(C942&lt;0,"ERRO: matrícula negativa",IF(COUNTIFS($A$5:$A$1200,A942,$B$5:$B$1200,B942)&gt;1,"ERRO: período e curso duplicados","OK")))</f>
        <v/>
      </c>
    </row>
    <row r="943" ht="15" customHeight="1" s="131">
      <c r="A943" s="220" t="n"/>
      <c r="B943" s="222" t="n"/>
      <c r="C943" s="220" t="n"/>
      <c r="D943" s="179">
        <f>IFERROR(C943,"")</f>
        <v/>
      </c>
      <c r="E943" s="219" t="n"/>
      <c r="F943" s="220" t="n"/>
      <c r="G943" s="221">
        <f>IF(COUNTA(A943:C943)=0,"",IF(C943&lt;0,"ERRO: matrícula negativa",IF(COUNTIFS($A$5:$A$1200,A943,$B$5:$B$1200,B943)&gt;1,"ERRO: período e curso duplicados","OK")))</f>
        <v/>
      </c>
    </row>
    <row r="944" ht="15" customHeight="1" s="131">
      <c r="A944" s="220" t="n"/>
      <c r="B944" s="222" t="n"/>
      <c r="C944" s="220" t="n"/>
      <c r="D944" s="179">
        <f>IFERROR(C944,"")</f>
        <v/>
      </c>
      <c r="E944" s="219" t="n"/>
      <c r="F944" s="220" t="n"/>
      <c r="G944" s="221">
        <f>IF(COUNTA(A944:C944)=0,"",IF(C944&lt;0,"ERRO: matrícula negativa",IF(COUNTIFS($A$5:$A$1200,A944,$B$5:$B$1200,B944)&gt;1,"ERRO: período e curso duplicados","OK")))</f>
        <v/>
      </c>
    </row>
    <row r="945" ht="15" customHeight="1" s="131">
      <c r="A945" s="220" t="n"/>
      <c r="B945" s="222" t="n"/>
      <c r="C945" s="220" t="n"/>
      <c r="D945" s="179">
        <f>IFERROR(C945,"")</f>
        <v/>
      </c>
      <c r="E945" s="219" t="n"/>
      <c r="F945" s="220" t="n"/>
      <c r="G945" s="221">
        <f>IF(COUNTA(A945:C945)=0,"",IF(C945&lt;0,"ERRO: matrícula negativa",IF(COUNTIFS($A$5:$A$1200,A945,$B$5:$B$1200,B945)&gt;1,"ERRO: período e curso duplicados","OK")))</f>
        <v/>
      </c>
    </row>
    <row r="946" ht="15" customHeight="1" s="131">
      <c r="A946" s="220" t="n"/>
      <c r="B946" s="222" t="n"/>
      <c r="C946" s="220" t="n"/>
      <c r="D946" s="179">
        <f>IFERROR(C946,"")</f>
        <v/>
      </c>
      <c r="E946" s="219" t="n"/>
      <c r="F946" s="220" t="n"/>
      <c r="G946" s="221">
        <f>IF(COUNTA(A946:C946)=0,"",IF(C946&lt;0,"ERRO: matrícula negativa",IF(COUNTIFS($A$5:$A$1200,A946,$B$5:$B$1200,B946)&gt;1,"ERRO: período e curso duplicados","OK")))</f>
        <v/>
      </c>
    </row>
    <row r="947" ht="15" customHeight="1" s="131">
      <c r="A947" s="220" t="n"/>
      <c r="B947" s="222" t="n"/>
      <c r="C947" s="220" t="n"/>
      <c r="D947" s="179">
        <f>IFERROR(C947,"")</f>
        <v/>
      </c>
      <c r="E947" s="219" t="n"/>
      <c r="F947" s="220" t="n"/>
      <c r="G947" s="221">
        <f>IF(COUNTA(A947:C947)=0,"",IF(C947&lt;0,"ERRO: matrícula negativa",IF(COUNTIFS($A$5:$A$1200,A947,$B$5:$B$1200,B947)&gt;1,"ERRO: período e curso duplicados","OK")))</f>
        <v/>
      </c>
    </row>
    <row r="948" ht="15" customHeight="1" s="131">
      <c r="A948" s="220" t="n"/>
      <c r="B948" s="222" t="n"/>
      <c r="C948" s="220" t="n"/>
      <c r="D948" s="179">
        <f>IFERROR(C948,"")</f>
        <v/>
      </c>
      <c r="E948" s="219" t="n"/>
      <c r="F948" s="220" t="n"/>
      <c r="G948" s="221">
        <f>IF(COUNTA(A948:C948)=0,"",IF(C948&lt;0,"ERRO: matrícula negativa",IF(COUNTIFS($A$5:$A$1200,A948,$B$5:$B$1200,B948)&gt;1,"ERRO: período e curso duplicados","OK")))</f>
        <v/>
      </c>
    </row>
    <row r="949" ht="15" customHeight="1" s="131">
      <c r="A949" s="220" t="n"/>
      <c r="B949" s="222" t="n"/>
      <c r="C949" s="220" t="n"/>
      <c r="D949" s="179">
        <f>IFERROR(C949,"")</f>
        <v/>
      </c>
      <c r="E949" s="219" t="n"/>
      <c r="F949" s="220" t="n"/>
      <c r="G949" s="221">
        <f>IF(COUNTA(A949:C949)=0,"",IF(C949&lt;0,"ERRO: matrícula negativa",IF(COUNTIFS($A$5:$A$1200,A949,$B$5:$B$1200,B949)&gt;1,"ERRO: período e curso duplicados","OK")))</f>
        <v/>
      </c>
    </row>
    <row r="950" ht="15" customHeight="1" s="131">
      <c r="A950" s="220" t="n"/>
      <c r="B950" s="222" t="n"/>
      <c r="C950" s="220" t="n"/>
      <c r="D950" s="179">
        <f>IFERROR(C950,"")</f>
        <v/>
      </c>
      <c r="E950" s="219" t="n"/>
      <c r="F950" s="220" t="n"/>
      <c r="G950" s="221">
        <f>IF(COUNTA(A950:C950)=0,"",IF(C950&lt;0,"ERRO: matrícula negativa",IF(COUNTIFS($A$5:$A$1200,A950,$B$5:$B$1200,B950)&gt;1,"ERRO: período e curso duplicados","OK")))</f>
        <v/>
      </c>
    </row>
    <row r="951" ht="15" customHeight="1" s="131">
      <c r="A951" s="220" t="n"/>
      <c r="B951" s="222" t="n"/>
      <c r="C951" s="220" t="n"/>
      <c r="D951" s="179">
        <f>IFERROR(C951,"")</f>
        <v/>
      </c>
      <c r="E951" s="219" t="n"/>
      <c r="F951" s="220" t="n"/>
      <c r="G951" s="221">
        <f>IF(COUNTA(A951:C951)=0,"",IF(C951&lt;0,"ERRO: matrícula negativa",IF(COUNTIFS($A$5:$A$1200,A951,$B$5:$B$1200,B951)&gt;1,"ERRO: período e curso duplicados","OK")))</f>
        <v/>
      </c>
    </row>
    <row r="952" ht="15" customHeight="1" s="131">
      <c r="A952" s="220" t="n"/>
      <c r="B952" s="222" t="n"/>
      <c r="C952" s="220" t="n"/>
      <c r="D952" s="179">
        <f>IFERROR(C952,"")</f>
        <v/>
      </c>
      <c r="E952" s="219" t="n"/>
      <c r="F952" s="220" t="n"/>
      <c r="G952" s="221">
        <f>IF(COUNTA(A952:C952)=0,"",IF(C952&lt;0,"ERRO: matrícula negativa",IF(COUNTIFS($A$5:$A$1200,A952,$B$5:$B$1200,B952)&gt;1,"ERRO: período e curso duplicados","OK")))</f>
        <v/>
      </c>
    </row>
    <row r="953" ht="15" customHeight="1" s="131">
      <c r="A953" s="220" t="n"/>
      <c r="B953" s="222" t="n"/>
      <c r="C953" s="220" t="n"/>
      <c r="D953" s="179">
        <f>IFERROR(C953,"")</f>
        <v/>
      </c>
      <c r="E953" s="219" t="n"/>
      <c r="F953" s="220" t="n"/>
      <c r="G953" s="221">
        <f>IF(COUNTA(A953:C953)=0,"",IF(C953&lt;0,"ERRO: matrícula negativa",IF(COUNTIFS($A$5:$A$1200,A953,$B$5:$B$1200,B953)&gt;1,"ERRO: período e curso duplicados","OK")))</f>
        <v/>
      </c>
    </row>
    <row r="954" ht="15" customHeight="1" s="131">
      <c r="A954" s="220" t="n"/>
      <c r="B954" s="222" t="n"/>
      <c r="C954" s="220" t="n"/>
      <c r="D954" s="179">
        <f>IFERROR(C954,"")</f>
        <v/>
      </c>
      <c r="E954" s="219" t="n"/>
      <c r="F954" s="220" t="n"/>
      <c r="G954" s="221">
        <f>IF(COUNTA(A954:C954)=0,"",IF(C954&lt;0,"ERRO: matrícula negativa",IF(COUNTIFS($A$5:$A$1200,A954,$B$5:$B$1200,B954)&gt;1,"ERRO: período e curso duplicados","OK")))</f>
        <v/>
      </c>
    </row>
    <row r="955" ht="15" customHeight="1" s="131">
      <c r="A955" s="220" t="n"/>
      <c r="B955" s="222" t="n"/>
      <c r="C955" s="220" t="n"/>
      <c r="D955" s="179">
        <f>IFERROR(C955,"")</f>
        <v/>
      </c>
      <c r="E955" s="219" t="n"/>
      <c r="F955" s="220" t="n"/>
      <c r="G955" s="221">
        <f>IF(COUNTA(A955:C955)=0,"",IF(C955&lt;0,"ERRO: matrícula negativa",IF(COUNTIFS($A$5:$A$1200,A955,$B$5:$B$1200,B955)&gt;1,"ERRO: período e curso duplicados","OK")))</f>
        <v/>
      </c>
    </row>
    <row r="956" ht="15" customHeight="1" s="131">
      <c r="A956" s="220" t="n"/>
      <c r="B956" s="222" t="n"/>
      <c r="C956" s="220" t="n"/>
      <c r="D956" s="179">
        <f>IFERROR(C956,"")</f>
        <v/>
      </c>
      <c r="E956" s="219" t="n"/>
      <c r="F956" s="220" t="n"/>
      <c r="G956" s="221">
        <f>IF(COUNTA(A956:C956)=0,"",IF(C956&lt;0,"ERRO: matrícula negativa",IF(COUNTIFS($A$5:$A$1200,A956,$B$5:$B$1200,B956)&gt;1,"ERRO: período e curso duplicados","OK")))</f>
        <v/>
      </c>
    </row>
    <row r="957" ht="15" customHeight="1" s="131">
      <c r="A957" s="220" t="n"/>
      <c r="B957" s="222" t="n"/>
      <c r="C957" s="220" t="n"/>
      <c r="D957" s="179">
        <f>IFERROR(C957,"")</f>
        <v/>
      </c>
      <c r="E957" s="219" t="n"/>
      <c r="F957" s="220" t="n"/>
      <c r="G957" s="221">
        <f>IF(COUNTA(A957:C957)=0,"",IF(C957&lt;0,"ERRO: matrícula negativa",IF(COUNTIFS($A$5:$A$1200,A957,$B$5:$B$1200,B957)&gt;1,"ERRO: período e curso duplicados","OK")))</f>
        <v/>
      </c>
    </row>
    <row r="958" ht="15" customHeight="1" s="131">
      <c r="A958" s="220" t="n"/>
      <c r="B958" s="222" t="n"/>
      <c r="C958" s="220" t="n"/>
      <c r="D958" s="179">
        <f>IFERROR(C958,"")</f>
        <v/>
      </c>
      <c r="E958" s="219" t="n"/>
      <c r="F958" s="220" t="n"/>
      <c r="G958" s="221">
        <f>IF(COUNTA(A958:C958)=0,"",IF(C958&lt;0,"ERRO: matrícula negativa",IF(COUNTIFS($A$5:$A$1200,A958,$B$5:$B$1200,B958)&gt;1,"ERRO: período e curso duplicados","OK")))</f>
        <v/>
      </c>
    </row>
    <row r="959" ht="15" customHeight="1" s="131">
      <c r="A959" s="220" t="n"/>
      <c r="B959" s="222" t="n"/>
      <c r="C959" s="220" t="n"/>
      <c r="D959" s="179">
        <f>IFERROR(C959,"")</f>
        <v/>
      </c>
      <c r="E959" s="219" t="n"/>
      <c r="F959" s="220" t="n"/>
      <c r="G959" s="221">
        <f>IF(COUNTA(A959:C959)=0,"",IF(C959&lt;0,"ERRO: matrícula negativa",IF(COUNTIFS($A$5:$A$1200,A959,$B$5:$B$1200,B959)&gt;1,"ERRO: período e curso duplicados","OK")))</f>
        <v/>
      </c>
    </row>
    <row r="960" ht="15" customHeight="1" s="131">
      <c r="A960" s="220" t="n"/>
      <c r="B960" s="222" t="n"/>
      <c r="C960" s="220" t="n"/>
      <c r="D960" s="179">
        <f>IFERROR(C960,"")</f>
        <v/>
      </c>
      <c r="E960" s="219" t="n"/>
      <c r="F960" s="220" t="n"/>
      <c r="G960" s="221">
        <f>IF(COUNTA(A960:C960)=0,"",IF(C960&lt;0,"ERRO: matrícula negativa",IF(COUNTIFS($A$5:$A$1200,A960,$B$5:$B$1200,B960)&gt;1,"ERRO: período e curso duplicados","OK")))</f>
        <v/>
      </c>
    </row>
    <row r="961" ht="15" customHeight="1" s="131">
      <c r="A961" s="220" t="n"/>
      <c r="B961" s="222" t="n"/>
      <c r="C961" s="220" t="n"/>
      <c r="D961" s="179">
        <f>IFERROR(C961,"")</f>
        <v/>
      </c>
      <c r="E961" s="219" t="n"/>
      <c r="F961" s="220" t="n"/>
      <c r="G961" s="221">
        <f>IF(COUNTA(A961:C961)=0,"",IF(C961&lt;0,"ERRO: matrícula negativa",IF(COUNTIFS($A$5:$A$1200,A961,$B$5:$B$1200,B961)&gt;1,"ERRO: período e curso duplicados","OK")))</f>
        <v/>
      </c>
    </row>
    <row r="962" ht="15" customHeight="1" s="131">
      <c r="A962" s="220" t="n"/>
      <c r="B962" s="222" t="n"/>
      <c r="C962" s="220" t="n"/>
      <c r="D962" s="179">
        <f>IFERROR(C962,"")</f>
        <v/>
      </c>
      <c r="E962" s="219" t="n"/>
      <c r="F962" s="220" t="n"/>
      <c r="G962" s="221">
        <f>IF(COUNTA(A962:C962)=0,"",IF(C962&lt;0,"ERRO: matrícula negativa",IF(COUNTIFS($A$5:$A$1200,A962,$B$5:$B$1200,B962)&gt;1,"ERRO: período e curso duplicados","OK")))</f>
        <v/>
      </c>
    </row>
    <row r="963" ht="15" customHeight="1" s="131">
      <c r="A963" s="220" t="n"/>
      <c r="B963" s="222" t="n"/>
      <c r="C963" s="220" t="n"/>
      <c r="D963" s="179">
        <f>IFERROR(C963,"")</f>
        <v/>
      </c>
      <c r="E963" s="219" t="n"/>
      <c r="F963" s="220" t="n"/>
      <c r="G963" s="221">
        <f>IF(COUNTA(A963:C963)=0,"",IF(C963&lt;0,"ERRO: matrícula negativa",IF(COUNTIFS($A$5:$A$1200,A963,$B$5:$B$1200,B963)&gt;1,"ERRO: período e curso duplicados","OK")))</f>
        <v/>
      </c>
    </row>
    <row r="964" ht="15" customHeight="1" s="131">
      <c r="A964" s="220" t="n"/>
      <c r="B964" s="222" t="n"/>
      <c r="C964" s="220" t="n"/>
      <c r="D964" s="179">
        <f>IFERROR(C964,"")</f>
        <v/>
      </c>
      <c r="E964" s="219" t="n"/>
      <c r="F964" s="220" t="n"/>
      <c r="G964" s="221">
        <f>IF(COUNTA(A964:C964)=0,"",IF(C964&lt;0,"ERRO: matrícula negativa",IF(COUNTIFS($A$5:$A$1200,A964,$B$5:$B$1200,B964)&gt;1,"ERRO: período e curso duplicados","OK")))</f>
        <v/>
      </c>
    </row>
    <row r="965" ht="15" customHeight="1" s="131">
      <c r="A965" s="220" t="n"/>
      <c r="B965" s="222" t="n"/>
      <c r="C965" s="220" t="n"/>
      <c r="D965" s="179">
        <f>IFERROR(C965,"")</f>
        <v/>
      </c>
      <c r="E965" s="219" t="n"/>
      <c r="F965" s="220" t="n"/>
      <c r="G965" s="221">
        <f>IF(COUNTA(A965:C965)=0,"",IF(C965&lt;0,"ERRO: matrícula negativa",IF(COUNTIFS($A$5:$A$1200,A965,$B$5:$B$1200,B965)&gt;1,"ERRO: período e curso duplicados","OK")))</f>
        <v/>
      </c>
    </row>
    <row r="966" ht="15" customHeight="1" s="131">
      <c r="A966" s="220" t="n"/>
      <c r="B966" s="222" t="n"/>
      <c r="C966" s="220" t="n"/>
      <c r="D966" s="179">
        <f>IFERROR(C966,"")</f>
        <v/>
      </c>
      <c r="E966" s="219" t="n"/>
      <c r="F966" s="220" t="n"/>
      <c r="G966" s="221">
        <f>IF(COUNTA(A966:C966)=0,"",IF(C966&lt;0,"ERRO: matrícula negativa",IF(COUNTIFS($A$5:$A$1200,A966,$B$5:$B$1200,B966)&gt;1,"ERRO: período e curso duplicados","OK")))</f>
        <v/>
      </c>
    </row>
    <row r="967" ht="15" customHeight="1" s="131">
      <c r="A967" s="220" t="n"/>
      <c r="B967" s="222" t="n"/>
      <c r="C967" s="220" t="n"/>
      <c r="D967" s="179">
        <f>IFERROR(C967,"")</f>
        <v/>
      </c>
      <c r="E967" s="219" t="n"/>
      <c r="F967" s="220" t="n"/>
      <c r="G967" s="221">
        <f>IF(COUNTA(A967:C967)=0,"",IF(C967&lt;0,"ERRO: matrícula negativa",IF(COUNTIFS($A$5:$A$1200,A967,$B$5:$B$1200,B967)&gt;1,"ERRO: período e curso duplicados","OK")))</f>
        <v/>
      </c>
    </row>
    <row r="968" ht="15" customHeight="1" s="131">
      <c r="A968" s="220" t="n"/>
      <c r="B968" s="222" t="n"/>
      <c r="C968" s="220" t="n"/>
      <c r="D968" s="179">
        <f>IFERROR(C968,"")</f>
        <v/>
      </c>
      <c r="E968" s="219" t="n"/>
      <c r="F968" s="220" t="n"/>
      <c r="G968" s="221">
        <f>IF(COUNTA(A968:C968)=0,"",IF(C968&lt;0,"ERRO: matrícula negativa",IF(COUNTIFS($A$5:$A$1200,A968,$B$5:$B$1200,B968)&gt;1,"ERRO: período e curso duplicados","OK")))</f>
        <v/>
      </c>
    </row>
    <row r="969" ht="15" customHeight="1" s="131">
      <c r="A969" s="220" t="n"/>
      <c r="B969" s="222" t="n"/>
      <c r="C969" s="220" t="n"/>
      <c r="D969" s="179">
        <f>IFERROR(C969,"")</f>
        <v/>
      </c>
      <c r="E969" s="219" t="n"/>
      <c r="F969" s="220" t="n"/>
      <c r="G969" s="221">
        <f>IF(COUNTA(A969:C969)=0,"",IF(C969&lt;0,"ERRO: matrícula negativa",IF(COUNTIFS($A$5:$A$1200,A969,$B$5:$B$1200,B969)&gt;1,"ERRO: período e curso duplicados","OK")))</f>
        <v/>
      </c>
    </row>
    <row r="970" ht="15" customHeight="1" s="131">
      <c r="A970" s="220" t="n"/>
      <c r="B970" s="222" t="n"/>
      <c r="C970" s="220" t="n"/>
      <c r="D970" s="179">
        <f>IFERROR(C970,"")</f>
        <v/>
      </c>
      <c r="E970" s="219" t="n"/>
      <c r="F970" s="220" t="n"/>
      <c r="G970" s="221">
        <f>IF(COUNTA(A970:C970)=0,"",IF(C970&lt;0,"ERRO: matrícula negativa",IF(COUNTIFS($A$5:$A$1200,A970,$B$5:$B$1200,B970)&gt;1,"ERRO: período e curso duplicados","OK")))</f>
        <v/>
      </c>
    </row>
    <row r="971" ht="15" customHeight="1" s="131">
      <c r="A971" s="220" t="n"/>
      <c r="B971" s="222" t="n"/>
      <c r="C971" s="220" t="n"/>
      <c r="D971" s="179">
        <f>IFERROR(C971,"")</f>
        <v/>
      </c>
      <c r="E971" s="219" t="n"/>
      <c r="F971" s="220" t="n"/>
      <c r="G971" s="221">
        <f>IF(COUNTA(A971:C971)=0,"",IF(C971&lt;0,"ERRO: matrícula negativa",IF(COUNTIFS($A$5:$A$1200,A971,$B$5:$B$1200,B971)&gt;1,"ERRO: período e curso duplicados","OK")))</f>
        <v/>
      </c>
    </row>
    <row r="972" ht="15" customHeight="1" s="131">
      <c r="A972" s="220" t="n"/>
      <c r="B972" s="222" t="n"/>
      <c r="C972" s="220" t="n"/>
      <c r="D972" s="179">
        <f>IFERROR(C972,"")</f>
        <v/>
      </c>
      <c r="E972" s="219" t="n"/>
      <c r="F972" s="220" t="n"/>
      <c r="G972" s="221">
        <f>IF(COUNTA(A972:C972)=0,"",IF(C972&lt;0,"ERRO: matrícula negativa",IF(COUNTIFS($A$5:$A$1200,A972,$B$5:$B$1200,B972)&gt;1,"ERRO: período e curso duplicados","OK")))</f>
        <v/>
      </c>
    </row>
    <row r="973" ht="15" customHeight="1" s="131">
      <c r="A973" s="220" t="n"/>
      <c r="B973" s="222" t="n"/>
      <c r="C973" s="220" t="n"/>
      <c r="D973" s="179">
        <f>IFERROR(C973,"")</f>
        <v/>
      </c>
      <c r="E973" s="219" t="n"/>
      <c r="F973" s="220" t="n"/>
      <c r="G973" s="221">
        <f>IF(COUNTA(A973:C973)=0,"",IF(C973&lt;0,"ERRO: matrícula negativa",IF(COUNTIFS($A$5:$A$1200,A973,$B$5:$B$1200,B973)&gt;1,"ERRO: período e curso duplicados","OK")))</f>
        <v/>
      </c>
    </row>
    <row r="974" ht="15" customHeight="1" s="131">
      <c r="A974" s="220" t="n"/>
      <c r="B974" s="222" t="n"/>
      <c r="C974" s="220" t="n"/>
      <c r="D974" s="179">
        <f>IFERROR(C974,"")</f>
        <v/>
      </c>
      <c r="E974" s="219" t="n"/>
      <c r="F974" s="220" t="n"/>
      <c r="G974" s="221">
        <f>IF(COUNTA(A974:C974)=0,"",IF(C974&lt;0,"ERRO: matrícula negativa",IF(COUNTIFS($A$5:$A$1200,A974,$B$5:$B$1200,B974)&gt;1,"ERRO: período e curso duplicados","OK")))</f>
        <v/>
      </c>
    </row>
    <row r="975" ht="15" customHeight="1" s="131">
      <c r="A975" s="220" t="n"/>
      <c r="B975" s="222" t="n"/>
      <c r="C975" s="220" t="n"/>
      <c r="D975" s="179">
        <f>IFERROR(C975,"")</f>
        <v/>
      </c>
      <c r="E975" s="219" t="n"/>
      <c r="F975" s="220" t="n"/>
      <c r="G975" s="221">
        <f>IF(COUNTA(A975:C975)=0,"",IF(C975&lt;0,"ERRO: matrícula negativa",IF(COUNTIFS($A$5:$A$1200,A975,$B$5:$B$1200,B975)&gt;1,"ERRO: período e curso duplicados","OK")))</f>
        <v/>
      </c>
    </row>
    <row r="976" ht="15" customHeight="1" s="131">
      <c r="A976" s="220" t="n"/>
      <c r="B976" s="222" t="n"/>
      <c r="C976" s="220" t="n"/>
      <c r="D976" s="179">
        <f>IFERROR(C976,"")</f>
        <v/>
      </c>
      <c r="E976" s="219" t="n"/>
      <c r="F976" s="220" t="n"/>
      <c r="G976" s="221">
        <f>IF(COUNTA(A976:C976)=0,"",IF(C976&lt;0,"ERRO: matrícula negativa",IF(COUNTIFS($A$5:$A$1200,A976,$B$5:$B$1200,B976)&gt;1,"ERRO: período e curso duplicados","OK")))</f>
        <v/>
      </c>
    </row>
    <row r="977" ht="15" customHeight="1" s="131">
      <c r="A977" s="220" t="n"/>
      <c r="B977" s="222" t="n"/>
      <c r="C977" s="220" t="n"/>
      <c r="D977" s="179">
        <f>IFERROR(C977,"")</f>
        <v/>
      </c>
      <c r="E977" s="219" t="n"/>
      <c r="F977" s="220" t="n"/>
      <c r="G977" s="221">
        <f>IF(COUNTA(A977:C977)=0,"",IF(C977&lt;0,"ERRO: matrícula negativa",IF(COUNTIFS($A$5:$A$1200,A977,$B$5:$B$1200,B977)&gt;1,"ERRO: período e curso duplicados","OK")))</f>
        <v/>
      </c>
    </row>
    <row r="978" ht="15" customHeight="1" s="131">
      <c r="A978" s="220" t="n"/>
      <c r="B978" s="222" t="n"/>
      <c r="C978" s="220" t="n"/>
      <c r="D978" s="179">
        <f>IFERROR(C978,"")</f>
        <v/>
      </c>
      <c r="E978" s="219" t="n"/>
      <c r="F978" s="220" t="n"/>
      <c r="G978" s="221">
        <f>IF(COUNTA(A978:C978)=0,"",IF(C978&lt;0,"ERRO: matrícula negativa",IF(COUNTIFS($A$5:$A$1200,A978,$B$5:$B$1200,B978)&gt;1,"ERRO: período e curso duplicados","OK")))</f>
        <v/>
      </c>
    </row>
    <row r="979" ht="15" customHeight="1" s="131">
      <c r="A979" s="220" t="n"/>
      <c r="B979" s="222" t="n"/>
      <c r="C979" s="220" t="n"/>
      <c r="D979" s="179">
        <f>IFERROR(C979,"")</f>
        <v/>
      </c>
      <c r="E979" s="219" t="n"/>
      <c r="F979" s="220" t="n"/>
      <c r="G979" s="221">
        <f>IF(COUNTA(A979:C979)=0,"",IF(C979&lt;0,"ERRO: matrícula negativa",IF(COUNTIFS($A$5:$A$1200,A979,$B$5:$B$1200,B979)&gt;1,"ERRO: período e curso duplicados","OK")))</f>
        <v/>
      </c>
    </row>
    <row r="980" ht="15" customHeight="1" s="131">
      <c r="A980" s="220" t="n"/>
      <c r="B980" s="222" t="n"/>
      <c r="C980" s="220" t="n"/>
      <c r="D980" s="179">
        <f>IFERROR(C980,"")</f>
        <v/>
      </c>
      <c r="E980" s="219" t="n"/>
      <c r="F980" s="220" t="n"/>
      <c r="G980" s="221">
        <f>IF(COUNTA(A980:C980)=0,"",IF(C980&lt;0,"ERRO: matrícula negativa",IF(COUNTIFS($A$5:$A$1200,A980,$B$5:$B$1200,B980)&gt;1,"ERRO: período e curso duplicados","OK")))</f>
        <v/>
      </c>
    </row>
    <row r="981" ht="15" customHeight="1" s="131">
      <c r="A981" s="220" t="n"/>
      <c r="B981" s="222" t="n"/>
      <c r="C981" s="220" t="n"/>
      <c r="D981" s="179">
        <f>IFERROR(C981,"")</f>
        <v/>
      </c>
      <c r="E981" s="219" t="n"/>
      <c r="F981" s="220" t="n"/>
      <c r="G981" s="221">
        <f>IF(COUNTA(A981:C981)=0,"",IF(C981&lt;0,"ERRO: matrícula negativa",IF(COUNTIFS($A$5:$A$1200,A981,$B$5:$B$1200,B981)&gt;1,"ERRO: período e curso duplicados","OK")))</f>
        <v/>
      </c>
    </row>
    <row r="982" ht="15" customHeight="1" s="131">
      <c r="A982" s="220" t="n"/>
      <c r="B982" s="222" t="n"/>
      <c r="C982" s="220" t="n"/>
      <c r="D982" s="179">
        <f>IFERROR(C982,"")</f>
        <v/>
      </c>
      <c r="E982" s="219" t="n"/>
      <c r="F982" s="220" t="n"/>
      <c r="G982" s="221">
        <f>IF(COUNTA(A982:C982)=0,"",IF(C982&lt;0,"ERRO: matrícula negativa",IF(COUNTIFS($A$5:$A$1200,A982,$B$5:$B$1200,B982)&gt;1,"ERRO: período e curso duplicados","OK")))</f>
        <v/>
      </c>
    </row>
    <row r="983" ht="15" customHeight="1" s="131">
      <c r="A983" s="220" t="n"/>
      <c r="B983" s="222" t="n"/>
      <c r="C983" s="220" t="n"/>
      <c r="D983" s="179">
        <f>IFERROR(C983,"")</f>
        <v/>
      </c>
      <c r="E983" s="219" t="n"/>
      <c r="F983" s="220" t="n"/>
      <c r="G983" s="221">
        <f>IF(COUNTA(A983:C983)=0,"",IF(C983&lt;0,"ERRO: matrícula negativa",IF(COUNTIFS($A$5:$A$1200,A983,$B$5:$B$1200,B983)&gt;1,"ERRO: período e curso duplicados","OK")))</f>
        <v/>
      </c>
    </row>
    <row r="984" ht="15" customHeight="1" s="131">
      <c r="A984" s="220" t="n"/>
      <c r="B984" s="222" t="n"/>
      <c r="C984" s="220" t="n"/>
      <c r="D984" s="179">
        <f>IFERROR(C984,"")</f>
        <v/>
      </c>
      <c r="E984" s="219" t="n"/>
      <c r="F984" s="220" t="n"/>
      <c r="G984" s="221">
        <f>IF(COUNTA(A984:C984)=0,"",IF(C984&lt;0,"ERRO: matrícula negativa",IF(COUNTIFS($A$5:$A$1200,A984,$B$5:$B$1200,B984)&gt;1,"ERRO: período e curso duplicados","OK")))</f>
        <v/>
      </c>
    </row>
    <row r="985" ht="15" customHeight="1" s="131">
      <c r="A985" s="220" t="n"/>
      <c r="B985" s="222" t="n"/>
      <c r="C985" s="220" t="n"/>
      <c r="D985" s="179">
        <f>IFERROR(C985,"")</f>
        <v/>
      </c>
      <c r="E985" s="219" t="n"/>
      <c r="F985" s="220" t="n"/>
      <c r="G985" s="221">
        <f>IF(COUNTA(A985:C985)=0,"",IF(C985&lt;0,"ERRO: matrícula negativa",IF(COUNTIFS($A$5:$A$1200,A985,$B$5:$B$1200,B985)&gt;1,"ERRO: período e curso duplicados","OK")))</f>
        <v/>
      </c>
    </row>
    <row r="986" ht="15" customHeight="1" s="131">
      <c r="A986" s="220" t="n"/>
      <c r="B986" s="222" t="n"/>
      <c r="C986" s="220" t="n"/>
      <c r="D986" s="179">
        <f>IFERROR(C986,"")</f>
        <v/>
      </c>
      <c r="E986" s="219" t="n"/>
      <c r="F986" s="220" t="n"/>
      <c r="G986" s="221">
        <f>IF(COUNTA(A986:C986)=0,"",IF(C986&lt;0,"ERRO: matrícula negativa",IF(COUNTIFS($A$5:$A$1200,A986,$B$5:$B$1200,B986)&gt;1,"ERRO: período e curso duplicados","OK")))</f>
        <v/>
      </c>
    </row>
    <row r="987" ht="15" customHeight="1" s="131">
      <c r="A987" s="220" t="n"/>
      <c r="B987" s="222" t="n"/>
      <c r="C987" s="220" t="n"/>
      <c r="D987" s="179">
        <f>IFERROR(C987,"")</f>
        <v/>
      </c>
      <c r="E987" s="219" t="n"/>
      <c r="F987" s="220" t="n"/>
      <c r="G987" s="221">
        <f>IF(COUNTA(A987:C987)=0,"",IF(C987&lt;0,"ERRO: matrícula negativa",IF(COUNTIFS($A$5:$A$1200,A987,$B$5:$B$1200,B987)&gt;1,"ERRO: período e curso duplicados","OK")))</f>
        <v/>
      </c>
    </row>
    <row r="988" ht="15" customHeight="1" s="131">
      <c r="A988" s="220" t="n"/>
      <c r="B988" s="222" t="n"/>
      <c r="C988" s="220" t="n"/>
      <c r="D988" s="179">
        <f>IFERROR(C988,"")</f>
        <v/>
      </c>
      <c r="E988" s="219" t="n"/>
      <c r="F988" s="220" t="n"/>
      <c r="G988" s="221">
        <f>IF(COUNTA(A988:C988)=0,"",IF(C988&lt;0,"ERRO: matrícula negativa",IF(COUNTIFS($A$5:$A$1200,A988,$B$5:$B$1200,B988)&gt;1,"ERRO: período e curso duplicados","OK")))</f>
        <v/>
      </c>
    </row>
    <row r="989" ht="15" customHeight="1" s="131">
      <c r="A989" s="220" t="n"/>
      <c r="B989" s="222" t="n"/>
      <c r="C989" s="220" t="n"/>
      <c r="D989" s="179">
        <f>IFERROR(C989,"")</f>
        <v/>
      </c>
      <c r="E989" s="219" t="n"/>
      <c r="F989" s="220" t="n"/>
      <c r="G989" s="221">
        <f>IF(COUNTA(A989:C989)=0,"",IF(C989&lt;0,"ERRO: matrícula negativa",IF(COUNTIFS($A$5:$A$1200,A989,$B$5:$B$1200,B989)&gt;1,"ERRO: período e curso duplicados","OK")))</f>
        <v/>
      </c>
    </row>
    <row r="990" ht="15" customHeight="1" s="131">
      <c r="A990" s="220" t="n"/>
      <c r="B990" s="222" t="n"/>
      <c r="C990" s="220" t="n"/>
      <c r="D990" s="179">
        <f>IFERROR(C990,"")</f>
        <v/>
      </c>
      <c r="E990" s="219" t="n"/>
      <c r="F990" s="220" t="n"/>
      <c r="G990" s="221">
        <f>IF(COUNTA(A990:C990)=0,"",IF(C990&lt;0,"ERRO: matrícula negativa",IF(COUNTIFS($A$5:$A$1200,A990,$B$5:$B$1200,B990)&gt;1,"ERRO: período e curso duplicados","OK")))</f>
        <v/>
      </c>
    </row>
    <row r="991" ht="15" customHeight="1" s="131">
      <c r="A991" s="220" t="n"/>
      <c r="B991" s="222" t="n"/>
      <c r="C991" s="220" t="n"/>
      <c r="D991" s="179">
        <f>IFERROR(C991,"")</f>
        <v/>
      </c>
      <c r="E991" s="219" t="n"/>
      <c r="F991" s="220" t="n"/>
      <c r="G991" s="221">
        <f>IF(COUNTA(A991:C991)=0,"",IF(C991&lt;0,"ERRO: matrícula negativa",IF(COUNTIFS($A$5:$A$1200,A991,$B$5:$B$1200,B991)&gt;1,"ERRO: período e curso duplicados","OK")))</f>
        <v/>
      </c>
    </row>
    <row r="992" ht="15" customHeight="1" s="131">
      <c r="A992" s="220" t="n"/>
      <c r="B992" s="222" t="n"/>
      <c r="C992" s="220" t="n"/>
      <c r="D992" s="179">
        <f>IFERROR(C992,"")</f>
        <v/>
      </c>
      <c r="E992" s="219" t="n"/>
      <c r="F992" s="220" t="n"/>
      <c r="G992" s="221">
        <f>IF(COUNTA(A992:C992)=0,"",IF(C992&lt;0,"ERRO: matrícula negativa",IF(COUNTIFS($A$5:$A$1200,A992,$B$5:$B$1200,B992)&gt;1,"ERRO: período e curso duplicados","OK")))</f>
        <v/>
      </c>
    </row>
    <row r="993" ht="15" customHeight="1" s="131">
      <c r="A993" s="220" t="n"/>
      <c r="B993" s="222" t="n"/>
      <c r="C993" s="220" t="n"/>
      <c r="D993" s="179">
        <f>IFERROR(C993,"")</f>
        <v/>
      </c>
      <c r="E993" s="219" t="n"/>
      <c r="F993" s="220" t="n"/>
      <c r="G993" s="221">
        <f>IF(COUNTA(A993:C993)=0,"",IF(C993&lt;0,"ERRO: matrícula negativa",IF(COUNTIFS($A$5:$A$1200,A993,$B$5:$B$1200,B993)&gt;1,"ERRO: período e curso duplicados","OK")))</f>
        <v/>
      </c>
    </row>
    <row r="994" ht="15" customHeight="1" s="131">
      <c r="A994" s="220" t="n"/>
      <c r="B994" s="222" t="n"/>
      <c r="C994" s="220" t="n"/>
      <c r="D994" s="179">
        <f>IFERROR(C994,"")</f>
        <v/>
      </c>
      <c r="E994" s="219" t="n"/>
      <c r="F994" s="220" t="n"/>
      <c r="G994" s="221">
        <f>IF(COUNTA(A994:C994)=0,"",IF(C994&lt;0,"ERRO: matrícula negativa",IF(COUNTIFS($A$5:$A$1200,A994,$B$5:$B$1200,B994)&gt;1,"ERRO: período e curso duplicados","OK")))</f>
        <v/>
      </c>
    </row>
    <row r="995" ht="15" customHeight="1" s="131">
      <c r="A995" s="220" t="n"/>
      <c r="B995" s="222" t="n"/>
      <c r="C995" s="220" t="n"/>
      <c r="D995" s="179">
        <f>IFERROR(C995,"")</f>
        <v/>
      </c>
      <c r="E995" s="219" t="n"/>
      <c r="F995" s="220" t="n"/>
      <c r="G995" s="221">
        <f>IF(COUNTA(A995:C995)=0,"",IF(C995&lt;0,"ERRO: matrícula negativa",IF(COUNTIFS($A$5:$A$1200,A995,$B$5:$B$1200,B995)&gt;1,"ERRO: período e curso duplicados","OK")))</f>
        <v/>
      </c>
    </row>
    <row r="996" ht="15" customHeight="1" s="131">
      <c r="A996" s="220" t="n"/>
      <c r="B996" s="222" t="n"/>
      <c r="C996" s="220" t="n"/>
      <c r="D996" s="179">
        <f>IFERROR(C996,"")</f>
        <v/>
      </c>
      <c r="E996" s="219" t="n"/>
      <c r="F996" s="220" t="n"/>
      <c r="G996" s="221">
        <f>IF(COUNTA(A996:C996)=0,"",IF(C996&lt;0,"ERRO: matrícula negativa",IF(COUNTIFS($A$5:$A$1200,A996,$B$5:$B$1200,B996)&gt;1,"ERRO: período e curso duplicados","OK")))</f>
        <v/>
      </c>
    </row>
    <row r="997" ht="15" customHeight="1" s="131">
      <c r="A997" s="220" t="n"/>
      <c r="B997" s="222" t="n"/>
      <c r="C997" s="220" t="n"/>
      <c r="D997" s="179">
        <f>IFERROR(C997,"")</f>
        <v/>
      </c>
      <c r="E997" s="219" t="n"/>
      <c r="F997" s="220" t="n"/>
      <c r="G997" s="221">
        <f>IF(COUNTA(A997:C997)=0,"",IF(C997&lt;0,"ERRO: matrícula negativa",IF(COUNTIFS($A$5:$A$1200,A997,$B$5:$B$1200,B997)&gt;1,"ERRO: período e curso duplicados","OK")))</f>
        <v/>
      </c>
    </row>
    <row r="998" ht="15" customHeight="1" s="131">
      <c r="A998" s="220" t="n"/>
      <c r="B998" s="222" t="n"/>
      <c r="C998" s="220" t="n"/>
      <c r="D998" s="179">
        <f>IFERROR(C998,"")</f>
        <v/>
      </c>
      <c r="E998" s="219" t="n"/>
      <c r="F998" s="220" t="n"/>
      <c r="G998" s="221">
        <f>IF(COUNTA(A998:C998)=0,"",IF(C998&lt;0,"ERRO: matrícula negativa",IF(COUNTIFS($A$5:$A$1200,A998,$B$5:$B$1200,B998)&gt;1,"ERRO: período e curso duplicados","OK")))</f>
        <v/>
      </c>
    </row>
    <row r="999" ht="15" customHeight="1" s="131">
      <c r="A999" s="220" t="n"/>
      <c r="B999" s="222" t="n"/>
      <c r="C999" s="220" t="n"/>
      <c r="D999" s="179">
        <f>IFERROR(C999,"")</f>
        <v/>
      </c>
      <c r="E999" s="219" t="n"/>
      <c r="F999" s="220" t="n"/>
      <c r="G999" s="221">
        <f>IF(COUNTA(A999:C999)=0,"",IF(C999&lt;0,"ERRO: matrícula negativa",IF(COUNTIFS($A$5:$A$1200,A999,$B$5:$B$1200,B999)&gt;1,"ERRO: período e curso duplicados","OK")))</f>
        <v/>
      </c>
    </row>
    <row r="1000" ht="15" customHeight="1" s="131">
      <c r="A1000" s="220" t="n"/>
      <c r="B1000" s="222" t="n"/>
      <c r="C1000" s="220" t="n"/>
      <c r="D1000" s="179">
        <f>IFERROR(C1000,"")</f>
        <v/>
      </c>
      <c r="E1000" s="219" t="n"/>
      <c r="F1000" s="220" t="n"/>
      <c r="G1000" s="221">
        <f>IF(COUNTA(A1000:C1000)=0,"",IF(C1000&lt;0,"ERRO: matrícula negativa",IF(COUNTIFS($A$5:$A$1200,A1000,$B$5:$B$1200,B1000)&gt;1,"ERRO: período e curso duplicados","OK")))</f>
        <v/>
      </c>
    </row>
    <row r="1001" ht="15" customHeight="1" s="131">
      <c r="A1001" s="220" t="n"/>
      <c r="B1001" s="222" t="n"/>
      <c r="C1001" s="220" t="n"/>
      <c r="D1001" s="179">
        <f>IFERROR(C1001,"")</f>
        <v/>
      </c>
      <c r="E1001" s="219" t="n"/>
      <c r="F1001" s="220" t="n"/>
      <c r="G1001" s="221">
        <f>IF(COUNTA(A1001:C1001)=0,"",IF(C1001&lt;0,"ERRO: matrícula negativa",IF(COUNTIFS($A$5:$A$1200,A1001,$B$5:$B$1200,B1001)&gt;1,"ERRO: período e curso duplicados","OK")))</f>
        <v/>
      </c>
    </row>
    <row r="1002" ht="15" customHeight="1" s="131">
      <c r="A1002" s="220" t="n"/>
      <c r="B1002" s="222" t="n"/>
      <c r="C1002" s="220" t="n"/>
      <c r="D1002" s="179">
        <f>IFERROR(C1002,"")</f>
        <v/>
      </c>
      <c r="E1002" s="219" t="n"/>
      <c r="F1002" s="220" t="n"/>
      <c r="G1002" s="221">
        <f>IF(COUNTA(A1002:C1002)=0,"",IF(C1002&lt;0,"ERRO: matrícula negativa",IF(COUNTIFS($A$5:$A$1200,A1002,$B$5:$B$1200,B1002)&gt;1,"ERRO: período e curso duplicados","OK")))</f>
        <v/>
      </c>
    </row>
    <row r="1003" ht="15" customHeight="1" s="131">
      <c r="A1003" s="220" t="n"/>
      <c r="B1003" s="222" t="n"/>
      <c r="C1003" s="220" t="n"/>
      <c r="D1003" s="179">
        <f>IFERROR(C1003,"")</f>
        <v/>
      </c>
      <c r="E1003" s="219" t="n"/>
      <c r="F1003" s="220" t="n"/>
      <c r="G1003" s="221">
        <f>IF(COUNTA(A1003:C1003)=0,"",IF(C1003&lt;0,"ERRO: matrícula negativa",IF(COUNTIFS($A$5:$A$1200,A1003,$B$5:$B$1200,B1003)&gt;1,"ERRO: período e curso duplicados","OK")))</f>
        <v/>
      </c>
    </row>
    <row r="1004" ht="15" customHeight="1" s="131">
      <c r="A1004" s="220" t="n"/>
      <c r="B1004" s="222" t="n"/>
      <c r="C1004" s="220" t="n"/>
      <c r="D1004" s="179">
        <f>IFERROR(C1004,"")</f>
        <v/>
      </c>
      <c r="E1004" s="219" t="n"/>
      <c r="F1004" s="220" t="n"/>
      <c r="G1004" s="221">
        <f>IF(COUNTA(A1004:C1004)=0,"",IF(C1004&lt;0,"ERRO: matrícula negativa",IF(COUNTIFS($A$5:$A$1200,A1004,$B$5:$B$1200,B1004)&gt;1,"ERRO: período e curso duplicados","OK")))</f>
        <v/>
      </c>
    </row>
    <row r="1005" ht="15" customHeight="1" s="131">
      <c r="A1005" s="220" t="n"/>
      <c r="B1005" s="222" t="n"/>
      <c r="C1005" s="220" t="n"/>
      <c r="D1005" s="179">
        <f>IFERROR(C1005,"")</f>
        <v/>
      </c>
      <c r="E1005" s="219" t="n"/>
      <c r="F1005" s="220" t="n"/>
      <c r="G1005" s="221">
        <f>IF(COUNTA(A1005:C1005)=0,"",IF(C1005&lt;0,"ERRO: matrícula negativa",IF(COUNTIFS($A$5:$A$1200,A1005,$B$5:$B$1200,B1005)&gt;1,"ERRO: período e curso duplicados","OK")))</f>
        <v/>
      </c>
    </row>
    <row r="1006" ht="15" customHeight="1" s="131">
      <c r="A1006" s="220" t="n"/>
      <c r="B1006" s="222" t="n"/>
      <c r="C1006" s="220" t="n"/>
      <c r="D1006" s="179">
        <f>IFERROR(C1006,"")</f>
        <v/>
      </c>
      <c r="E1006" s="219" t="n"/>
      <c r="F1006" s="220" t="n"/>
      <c r="G1006" s="221">
        <f>IF(COUNTA(A1006:C1006)=0,"",IF(C1006&lt;0,"ERRO: matrícula negativa",IF(COUNTIFS($A$5:$A$1200,A1006,$B$5:$B$1200,B1006)&gt;1,"ERRO: período e curso duplicados","OK")))</f>
        <v/>
      </c>
    </row>
    <row r="1007" ht="15" customHeight="1" s="131">
      <c r="A1007" s="220" t="n"/>
      <c r="B1007" s="222" t="n"/>
      <c r="C1007" s="220" t="n"/>
      <c r="D1007" s="179">
        <f>IFERROR(C1007,"")</f>
        <v/>
      </c>
      <c r="E1007" s="219" t="n"/>
      <c r="F1007" s="220" t="n"/>
      <c r="G1007" s="221">
        <f>IF(COUNTA(A1007:C1007)=0,"",IF(C1007&lt;0,"ERRO: matrícula negativa",IF(COUNTIFS($A$5:$A$1200,A1007,$B$5:$B$1200,B1007)&gt;1,"ERRO: período e curso duplicados","OK")))</f>
        <v/>
      </c>
    </row>
    <row r="1008" ht="15" customHeight="1" s="131">
      <c r="A1008" s="220" t="n"/>
      <c r="B1008" s="222" t="n"/>
      <c r="C1008" s="220" t="n"/>
      <c r="D1008" s="179">
        <f>IFERROR(C1008,"")</f>
        <v/>
      </c>
      <c r="E1008" s="219" t="n"/>
      <c r="F1008" s="220" t="n"/>
      <c r="G1008" s="221">
        <f>IF(COUNTA(A1008:C1008)=0,"",IF(C1008&lt;0,"ERRO: matrícula negativa",IF(COUNTIFS($A$5:$A$1200,A1008,$B$5:$B$1200,B1008)&gt;1,"ERRO: período e curso duplicados","OK")))</f>
        <v/>
      </c>
    </row>
    <row r="1009" ht="15" customHeight="1" s="131">
      <c r="A1009" s="220" t="n"/>
      <c r="B1009" s="222" t="n"/>
      <c r="C1009" s="220" t="n"/>
      <c r="D1009" s="179">
        <f>IFERROR(C1009,"")</f>
        <v/>
      </c>
      <c r="E1009" s="219" t="n"/>
      <c r="F1009" s="220" t="n"/>
      <c r="G1009" s="221">
        <f>IF(COUNTA(A1009:C1009)=0,"",IF(C1009&lt;0,"ERRO: matrícula negativa",IF(COUNTIFS($A$5:$A$1200,A1009,$B$5:$B$1200,B1009)&gt;1,"ERRO: período e curso duplicados","OK")))</f>
        <v/>
      </c>
    </row>
    <row r="1010" ht="15" customHeight="1" s="131">
      <c r="A1010" s="220" t="n"/>
      <c r="B1010" s="222" t="n"/>
      <c r="C1010" s="220" t="n"/>
      <c r="D1010" s="179">
        <f>IFERROR(C1010,"")</f>
        <v/>
      </c>
      <c r="E1010" s="219" t="n"/>
      <c r="F1010" s="220" t="n"/>
      <c r="G1010" s="221">
        <f>IF(COUNTA(A1010:C1010)=0,"",IF(C1010&lt;0,"ERRO: matrícula negativa",IF(COUNTIFS($A$5:$A$1200,A1010,$B$5:$B$1200,B1010)&gt;1,"ERRO: período e curso duplicados","OK")))</f>
        <v/>
      </c>
    </row>
    <row r="1011" ht="15" customHeight="1" s="131">
      <c r="A1011" s="220" t="n"/>
      <c r="B1011" s="222" t="n"/>
      <c r="C1011" s="220" t="n"/>
      <c r="D1011" s="179">
        <f>IFERROR(C1011,"")</f>
        <v/>
      </c>
      <c r="E1011" s="219" t="n"/>
      <c r="F1011" s="220" t="n"/>
      <c r="G1011" s="221">
        <f>IF(COUNTA(A1011:C1011)=0,"",IF(C1011&lt;0,"ERRO: matrícula negativa",IF(COUNTIFS($A$5:$A$1200,A1011,$B$5:$B$1200,B1011)&gt;1,"ERRO: período e curso duplicados","OK")))</f>
        <v/>
      </c>
    </row>
    <row r="1012" ht="15" customHeight="1" s="131">
      <c r="A1012" s="220" t="n"/>
      <c r="B1012" s="222" t="n"/>
      <c r="C1012" s="220" t="n"/>
      <c r="D1012" s="179">
        <f>IFERROR(C1012,"")</f>
        <v/>
      </c>
      <c r="E1012" s="219" t="n"/>
      <c r="F1012" s="220" t="n"/>
      <c r="G1012" s="221">
        <f>IF(COUNTA(A1012:C1012)=0,"",IF(C1012&lt;0,"ERRO: matrícula negativa",IF(COUNTIFS($A$5:$A$1200,A1012,$B$5:$B$1200,B1012)&gt;1,"ERRO: período e curso duplicados","OK")))</f>
        <v/>
      </c>
    </row>
    <row r="1013" ht="15" customHeight="1" s="131">
      <c r="A1013" s="220" t="n"/>
      <c r="B1013" s="222" t="n"/>
      <c r="C1013" s="220" t="n"/>
      <c r="D1013" s="179">
        <f>IFERROR(C1013,"")</f>
        <v/>
      </c>
      <c r="E1013" s="219" t="n"/>
      <c r="F1013" s="220" t="n"/>
      <c r="G1013" s="221">
        <f>IF(COUNTA(A1013:C1013)=0,"",IF(C1013&lt;0,"ERRO: matrícula negativa",IF(COUNTIFS($A$5:$A$1200,A1013,$B$5:$B$1200,B1013)&gt;1,"ERRO: período e curso duplicados","OK")))</f>
        <v/>
      </c>
    </row>
    <row r="1014" ht="15" customHeight="1" s="131">
      <c r="A1014" s="220" t="n"/>
      <c r="B1014" s="222" t="n"/>
      <c r="C1014" s="220" t="n"/>
      <c r="D1014" s="179">
        <f>IFERROR(C1014,"")</f>
        <v/>
      </c>
      <c r="E1014" s="219" t="n"/>
      <c r="F1014" s="220" t="n"/>
      <c r="G1014" s="221">
        <f>IF(COUNTA(A1014:C1014)=0,"",IF(C1014&lt;0,"ERRO: matrícula negativa",IF(COUNTIFS($A$5:$A$1200,A1014,$B$5:$B$1200,B1014)&gt;1,"ERRO: período e curso duplicados","OK")))</f>
        <v/>
      </c>
    </row>
    <row r="1015" ht="15" customHeight="1" s="131">
      <c r="A1015" s="220" t="n"/>
      <c r="B1015" s="222" t="n"/>
      <c r="C1015" s="220" t="n"/>
      <c r="D1015" s="179">
        <f>IFERROR(C1015,"")</f>
        <v/>
      </c>
      <c r="E1015" s="219" t="n"/>
      <c r="F1015" s="220" t="n"/>
      <c r="G1015" s="221">
        <f>IF(COUNTA(A1015:C1015)=0,"",IF(C1015&lt;0,"ERRO: matrícula negativa",IF(COUNTIFS($A$5:$A$1200,A1015,$B$5:$B$1200,B1015)&gt;1,"ERRO: período e curso duplicados","OK")))</f>
        <v/>
      </c>
    </row>
    <row r="1016" ht="15" customHeight="1" s="131">
      <c r="A1016" s="220" t="n"/>
      <c r="B1016" s="222" t="n"/>
      <c r="C1016" s="220" t="n"/>
      <c r="D1016" s="179">
        <f>IFERROR(C1016,"")</f>
        <v/>
      </c>
      <c r="E1016" s="219" t="n"/>
      <c r="F1016" s="220" t="n"/>
      <c r="G1016" s="221">
        <f>IF(COUNTA(A1016:C1016)=0,"",IF(C1016&lt;0,"ERRO: matrícula negativa",IF(COUNTIFS($A$5:$A$1200,A1016,$B$5:$B$1200,B1016)&gt;1,"ERRO: período e curso duplicados","OK")))</f>
        <v/>
      </c>
    </row>
    <row r="1017" ht="15" customHeight="1" s="131">
      <c r="A1017" s="220" t="n"/>
      <c r="B1017" s="222" t="n"/>
      <c r="C1017" s="220" t="n"/>
      <c r="D1017" s="179">
        <f>IFERROR(C1017,"")</f>
        <v/>
      </c>
      <c r="E1017" s="219" t="n"/>
      <c r="F1017" s="220" t="n"/>
      <c r="G1017" s="221">
        <f>IF(COUNTA(A1017:C1017)=0,"",IF(C1017&lt;0,"ERRO: matrícula negativa",IF(COUNTIFS($A$5:$A$1200,A1017,$B$5:$B$1200,B1017)&gt;1,"ERRO: período e curso duplicados","OK")))</f>
        <v/>
      </c>
    </row>
    <row r="1018" ht="15" customHeight="1" s="131">
      <c r="A1018" s="220" t="n"/>
      <c r="B1018" s="222" t="n"/>
      <c r="C1018" s="220" t="n"/>
      <c r="D1018" s="179">
        <f>IFERROR(C1018,"")</f>
        <v/>
      </c>
      <c r="E1018" s="219" t="n"/>
      <c r="F1018" s="220" t="n"/>
      <c r="G1018" s="221">
        <f>IF(COUNTA(A1018:C1018)=0,"",IF(C1018&lt;0,"ERRO: matrícula negativa",IF(COUNTIFS($A$5:$A$1200,A1018,$B$5:$B$1200,B1018)&gt;1,"ERRO: período e curso duplicados","OK")))</f>
        <v/>
      </c>
    </row>
    <row r="1019" ht="15" customHeight="1" s="131">
      <c r="A1019" s="220" t="n"/>
      <c r="B1019" s="222" t="n"/>
      <c r="C1019" s="220" t="n"/>
      <c r="D1019" s="179">
        <f>IFERROR(C1019,"")</f>
        <v/>
      </c>
      <c r="E1019" s="219" t="n"/>
      <c r="F1019" s="220" t="n"/>
      <c r="G1019" s="221">
        <f>IF(COUNTA(A1019:C1019)=0,"",IF(C1019&lt;0,"ERRO: matrícula negativa",IF(COUNTIFS($A$5:$A$1200,A1019,$B$5:$B$1200,B1019)&gt;1,"ERRO: período e curso duplicados","OK")))</f>
        <v/>
      </c>
    </row>
    <row r="1020" ht="15" customHeight="1" s="131">
      <c r="A1020" s="220" t="n"/>
      <c r="B1020" s="222" t="n"/>
      <c r="C1020" s="220" t="n"/>
      <c r="D1020" s="179">
        <f>IFERROR(C1020,"")</f>
        <v/>
      </c>
      <c r="E1020" s="219" t="n"/>
      <c r="F1020" s="220" t="n"/>
      <c r="G1020" s="221">
        <f>IF(COUNTA(A1020:C1020)=0,"",IF(C1020&lt;0,"ERRO: matrícula negativa",IF(COUNTIFS($A$5:$A$1200,A1020,$B$5:$B$1200,B1020)&gt;1,"ERRO: período e curso duplicados","OK")))</f>
        <v/>
      </c>
    </row>
    <row r="1021" ht="15" customHeight="1" s="131">
      <c r="A1021" s="220" t="n"/>
      <c r="B1021" s="222" t="n"/>
      <c r="C1021" s="220" t="n"/>
      <c r="D1021" s="179">
        <f>IFERROR(C1021,"")</f>
        <v/>
      </c>
      <c r="E1021" s="219" t="n"/>
      <c r="F1021" s="220" t="n"/>
      <c r="G1021" s="221">
        <f>IF(COUNTA(A1021:C1021)=0,"",IF(C1021&lt;0,"ERRO: matrícula negativa",IF(COUNTIFS($A$5:$A$1200,A1021,$B$5:$B$1200,B1021)&gt;1,"ERRO: período e curso duplicados","OK")))</f>
        <v/>
      </c>
    </row>
    <row r="1022" ht="15" customHeight="1" s="131">
      <c r="A1022" s="220" t="n"/>
      <c r="B1022" s="222" t="n"/>
      <c r="C1022" s="220" t="n"/>
      <c r="D1022" s="179">
        <f>IFERROR(C1022,"")</f>
        <v/>
      </c>
      <c r="E1022" s="219" t="n"/>
      <c r="F1022" s="220" t="n"/>
      <c r="G1022" s="221">
        <f>IF(COUNTA(A1022:C1022)=0,"",IF(C1022&lt;0,"ERRO: matrícula negativa",IF(COUNTIFS($A$5:$A$1200,A1022,$B$5:$B$1200,B1022)&gt;1,"ERRO: período e curso duplicados","OK")))</f>
        <v/>
      </c>
    </row>
    <row r="1023" ht="15" customHeight="1" s="131">
      <c r="A1023" s="220" t="n"/>
      <c r="B1023" s="222" t="n"/>
      <c r="C1023" s="220" t="n"/>
      <c r="D1023" s="179">
        <f>IFERROR(C1023,"")</f>
        <v/>
      </c>
      <c r="E1023" s="219" t="n"/>
      <c r="F1023" s="220" t="n"/>
      <c r="G1023" s="221">
        <f>IF(COUNTA(A1023:C1023)=0,"",IF(C1023&lt;0,"ERRO: matrícula negativa",IF(COUNTIFS($A$5:$A$1200,A1023,$B$5:$B$1200,B1023)&gt;1,"ERRO: período e curso duplicados","OK")))</f>
        <v/>
      </c>
    </row>
    <row r="1024" ht="15" customHeight="1" s="131">
      <c r="A1024" s="220" t="n"/>
      <c r="B1024" s="222" t="n"/>
      <c r="C1024" s="220" t="n"/>
      <c r="D1024" s="179">
        <f>IFERROR(C1024,"")</f>
        <v/>
      </c>
      <c r="E1024" s="219" t="n"/>
      <c r="F1024" s="220" t="n"/>
      <c r="G1024" s="221">
        <f>IF(COUNTA(A1024:C1024)=0,"",IF(C1024&lt;0,"ERRO: matrícula negativa",IF(COUNTIFS($A$5:$A$1200,A1024,$B$5:$B$1200,B1024)&gt;1,"ERRO: período e curso duplicados","OK")))</f>
        <v/>
      </c>
    </row>
    <row r="1025" ht="15" customHeight="1" s="131">
      <c r="A1025" s="220" t="n"/>
      <c r="B1025" s="222" t="n"/>
      <c r="C1025" s="220" t="n"/>
      <c r="D1025" s="179">
        <f>IFERROR(C1025,"")</f>
        <v/>
      </c>
      <c r="E1025" s="219" t="n"/>
      <c r="F1025" s="220" t="n"/>
      <c r="G1025" s="221">
        <f>IF(COUNTA(A1025:C1025)=0,"",IF(C1025&lt;0,"ERRO: matrícula negativa",IF(COUNTIFS($A$5:$A$1200,A1025,$B$5:$B$1200,B1025)&gt;1,"ERRO: período e curso duplicados","OK")))</f>
        <v/>
      </c>
    </row>
    <row r="1026" ht="15" customHeight="1" s="131">
      <c r="A1026" s="220" t="n"/>
      <c r="B1026" s="222" t="n"/>
      <c r="C1026" s="220" t="n"/>
      <c r="D1026" s="179">
        <f>IFERROR(C1026,"")</f>
        <v/>
      </c>
      <c r="E1026" s="219" t="n"/>
      <c r="F1026" s="220" t="n"/>
      <c r="G1026" s="221">
        <f>IF(COUNTA(A1026:C1026)=0,"",IF(C1026&lt;0,"ERRO: matrícula negativa",IF(COUNTIFS($A$5:$A$1200,A1026,$B$5:$B$1200,B1026)&gt;1,"ERRO: período e curso duplicados","OK")))</f>
        <v/>
      </c>
    </row>
    <row r="1027" ht="15" customHeight="1" s="131">
      <c r="A1027" s="220" t="n"/>
      <c r="B1027" s="222" t="n"/>
      <c r="C1027" s="220" t="n"/>
      <c r="D1027" s="179">
        <f>IFERROR(C1027,"")</f>
        <v/>
      </c>
      <c r="E1027" s="219" t="n"/>
      <c r="F1027" s="220" t="n"/>
      <c r="G1027" s="221">
        <f>IF(COUNTA(A1027:C1027)=0,"",IF(C1027&lt;0,"ERRO: matrícula negativa",IF(COUNTIFS($A$5:$A$1200,A1027,$B$5:$B$1200,B1027)&gt;1,"ERRO: período e curso duplicados","OK")))</f>
        <v/>
      </c>
    </row>
    <row r="1028" ht="15" customHeight="1" s="131">
      <c r="A1028" s="220" t="n"/>
      <c r="B1028" s="222" t="n"/>
      <c r="C1028" s="220" t="n"/>
      <c r="D1028" s="179">
        <f>IFERROR(C1028,"")</f>
        <v/>
      </c>
      <c r="E1028" s="219" t="n"/>
      <c r="F1028" s="220" t="n"/>
      <c r="G1028" s="221">
        <f>IF(COUNTA(A1028:C1028)=0,"",IF(C1028&lt;0,"ERRO: matrícula negativa",IF(COUNTIFS($A$5:$A$1200,A1028,$B$5:$B$1200,B1028)&gt;1,"ERRO: período e curso duplicados","OK")))</f>
        <v/>
      </c>
    </row>
    <row r="1029" ht="15" customHeight="1" s="131">
      <c r="A1029" s="220" t="n"/>
      <c r="B1029" s="222" t="n"/>
      <c r="C1029" s="220" t="n"/>
      <c r="D1029" s="179">
        <f>IFERROR(C1029,"")</f>
        <v/>
      </c>
      <c r="E1029" s="219" t="n"/>
      <c r="F1029" s="220" t="n"/>
      <c r="G1029" s="221">
        <f>IF(COUNTA(A1029:C1029)=0,"",IF(C1029&lt;0,"ERRO: matrícula negativa",IF(COUNTIFS($A$5:$A$1200,A1029,$B$5:$B$1200,B1029)&gt;1,"ERRO: período e curso duplicados","OK")))</f>
        <v/>
      </c>
    </row>
    <row r="1030" ht="15" customHeight="1" s="131">
      <c r="A1030" s="220" t="n"/>
      <c r="B1030" s="222" t="n"/>
      <c r="C1030" s="220" t="n"/>
      <c r="D1030" s="179">
        <f>IFERROR(C1030,"")</f>
        <v/>
      </c>
      <c r="E1030" s="219" t="n"/>
      <c r="F1030" s="220" t="n"/>
      <c r="G1030" s="221">
        <f>IF(COUNTA(A1030:C1030)=0,"",IF(C1030&lt;0,"ERRO: matrícula negativa",IF(COUNTIFS($A$5:$A$1200,A1030,$B$5:$B$1200,B1030)&gt;1,"ERRO: período e curso duplicados","OK")))</f>
        <v/>
      </c>
    </row>
    <row r="1031" ht="15" customHeight="1" s="131">
      <c r="A1031" s="220" t="n"/>
      <c r="B1031" s="222" t="n"/>
      <c r="C1031" s="220" t="n"/>
      <c r="D1031" s="179">
        <f>IFERROR(C1031,"")</f>
        <v/>
      </c>
      <c r="E1031" s="219" t="n"/>
      <c r="F1031" s="220" t="n"/>
      <c r="G1031" s="221">
        <f>IF(COUNTA(A1031:C1031)=0,"",IF(C1031&lt;0,"ERRO: matrícula negativa",IF(COUNTIFS($A$5:$A$1200,A1031,$B$5:$B$1200,B1031)&gt;1,"ERRO: período e curso duplicados","OK")))</f>
        <v/>
      </c>
    </row>
    <row r="1032" ht="15" customHeight="1" s="131">
      <c r="A1032" s="220" t="n"/>
      <c r="B1032" s="222" t="n"/>
      <c r="C1032" s="220" t="n"/>
      <c r="D1032" s="179">
        <f>IFERROR(C1032,"")</f>
        <v/>
      </c>
      <c r="E1032" s="219" t="n"/>
      <c r="F1032" s="220" t="n"/>
      <c r="G1032" s="221">
        <f>IF(COUNTA(A1032:C1032)=0,"",IF(C1032&lt;0,"ERRO: matrícula negativa",IF(COUNTIFS($A$5:$A$1200,A1032,$B$5:$B$1200,B1032)&gt;1,"ERRO: período e curso duplicados","OK")))</f>
        <v/>
      </c>
    </row>
    <row r="1033" ht="15" customHeight="1" s="131">
      <c r="A1033" s="220" t="n"/>
      <c r="B1033" s="222" t="n"/>
      <c r="C1033" s="220" t="n"/>
      <c r="D1033" s="179">
        <f>IFERROR(C1033,"")</f>
        <v/>
      </c>
      <c r="E1033" s="219" t="n"/>
      <c r="F1033" s="220" t="n"/>
      <c r="G1033" s="221">
        <f>IF(COUNTA(A1033:C1033)=0,"",IF(C1033&lt;0,"ERRO: matrícula negativa",IF(COUNTIFS($A$5:$A$1200,A1033,$B$5:$B$1200,B1033)&gt;1,"ERRO: período e curso duplicados","OK")))</f>
        <v/>
      </c>
    </row>
    <row r="1034" ht="15" customHeight="1" s="131">
      <c r="A1034" s="220" t="n"/>
      <c r="B1034" s="222" t="n"/>
      <c r="C1034" s="220" t="n"/>
      <c r="D1034" s="179">
        <f>IFERROR(C1034,"")</f>
        <v/>
      </c>
      <c r="E1034" s="219" t="n"/>
      <c r="F1034" s="220" t="n"/>
      <c r="G1034" s="221">
        <f>IF(COUNTA(A1034:C1034)=0,"",IF(C1034&lt;0,"ERRO: matrícula negativa",IF(COUNTIFS($A$5:$A$1200,A1034,$B$5:$B$1200,B1034)&gt;1,"ERRO: período e curso duplicados","OK")))</f>
        <v/>
      </c>
    </row>
    <row r="1035" ht="15" customHeight="1" s="131">
      <c r="A1035" s="220" t="n"/>
      <c r="B1035" s="222" t="n"/>
      <c r="C1035" s="220" t="n"/>
      <c r="D1035" s="179">
        <f>IFERROR(C1035,"")</f>
        <v/>
      </c>
      <c r="E1035" s="219" t="n"/>
      <c r="F1035" s="220" t="n"/>
      <c r="G1035" s="221">
        <f>IF(COUNTA(A1035:C1035)=0,"",IF(C1035&lt;0,"ERRO: matrícula negativa",IF(COUNTIFS($A$5:$A$1200,A1035,$B$5:$B$1200,B1035)&gt;1,"ERRO: período e curso duplicados","OK")))</f>
        <v/>
      </c>
    </row>
    <row r="1036" ht="15" customHeight="1" s="131">
      <c r="A1036" s="220" t="n"/>
      <c r="B1036" s="222" t="n"/>
      <c r="C1036" s="220" t="n"/>
      <c r="D1036" s="179">
        <f>IFERROR(C1036,"")</f>
        <v/>
      </c>
      <c r="E1036" s="219" t="n"/>
      <c r="F1036" s="220" t="n"/>
      <c r="G1036" s="221">
        <f>IF(COUNTA(A1036:C1036)=0,"",IF(C1036&lt;0,"ERRO: matrícula negativa",IF(COUNTIFS($A$5:$A$1200,A1036,$B$5:$B$1200,B1036)&gt;1,"ERRO: período e curso duplicados","OK")))</f>
        <v/>
      </c>
    </row>
    <row r="1037" ht="15" customHeight="1" s="131">
      <c r="A1037" s="220" t="n"/>
      <c r="B1037" s="222" t="n"/>
      <c r="C1037" s="220" t="n"/>
      <c r="D1037" s="179">
        <f>IFERROR(C1037,"")</f>
        <v/>
      </c>
      <c r="E1037" s="219" t="n"/>
      <c r="F1037" s="220" t="n"/>
      <c r="G1037" s="221">
        <f>IF(COUNTA(A1037:C1037)=0,"",IF(C1037&lt;0,"ERRO: matrícula negativa",IF(COUNTIFS($A$5:$A$1200,A1037,$B$5:$B$1200,B1037)&gt;1,"ERRO: período e curso duplicados","OK")))</f>
        <v/>
      </c>
    </row>
    <row r="1038" ht="15" customHeight="1" s="131">
      <c r="A1038" s="220" t="n"/>
      <c r="B1038" s="222" t="n"/>
      <c r="C1038" s="220" t="n"/>
      <c r="D1038" s="179">
        <f>IFERROR(C1038,"")</f>
        <v/>
      </c>
      <c r="E1038" s="219" t="n"/>
      <c r="F1038" s="220" t="n"/>
      <c r="G1038" s="221">
        <f>IF(COUNTA(A1038:C1038)=0,"",IF(C1038&lt;0,"ERRO: matrícula negativa",IF(COUNTIFS($A$5:$A$1200,A1038,$B$5:$B$1200,B1038)&gt;1,"ERRO: período e curso duplicados","OK")))</f>
        <v/>
      </c>
    </row>
    <row r="1039" ht="15" customHeight="1" s="131">
      <c r="A1039" s="220" t="n"/>
      <c r="B1039" s="222" t="n"/>
      <c r="C1039" s="220" t="n"/>
      <c r="D1039" s="179">
        <f>IFERROR(C1039,"")</f>
        <v/>
      </c>
      <c r="E1039" s="219" t="n"/>
      <c r="F1039" s="220" t="n"/>
      <c r="G1039" s="221">
        <f>IF(COUNTA(A1039:C1039)=0,"",IF(C1039&lt;0,"ERRO: matrícula negativa",IF(COUNTIFS($A$5:$A$1200,A1039,$B$5:$B$1200,B1039)&gt;1,"ERRO: período e curso duplicados","OK")))</f>
        <v/>
      </c>
    </row>
    <row r="1040" ht="15" customHeight="1" s="131">
      <c r="A1040" s="220" t="n"/>
      <c r="B1040" s="222" t="n"/>
      <c r="C1040" s="220" t="n"/>
      <c r="D1040" s="179">
        <f>IFERROR(C1040,"")</f>
        <v/>
      </c>
      <c r="E1040" s="219" t="n"/>
      <c r="F1040" s="220" t="n"/>
      <c r="G1040" s="221">
        <f>IF(COUNTA(A1040:C1040)=0,"",IF(C1040&lt;0,"ERRO: matrícula negativa",IF(COUNTIFS($A$5:$A$1200,A1040,$B$5:$B$1200,B1040)&gt;1,"ERRO: período e curso duplicados","OK")))</f>
        <v/>
      </c>
    </row>
    <row r="1041" ht="15" customHeight="1" s="131">
      <c r="A1041" s="220" t="n"/>
      <c r="B1041" s="222" t="n"/>
      <c r="C1041" s="220" t="n"/>
      <c r="D1041" s="179">
        <f>IFERROR(C1041,"")</f>
        <v/>
      </c>
      <c r="E1041" s="219" t="n"/>
      <c r="F1041" s="220" t="n"/>
      <c r="G1041" s="221">
        <f>IF(COUNTA(A1041:C1041)=0,"",IF(C1041&lt;0,"ERRO: matrícula negativa",IF(COUNTIFS($A$5:$A$1200,A1041,$B$5:$B$1200,B1041)&gt;1,"ERRO: período e curso duplicados","OK")))</f>
        <v/>
      </c>
    </row>
    <row r="1042" ht="15" customHeight="1" s="131">
      <c r="A1042" s="220" t="n"/>
      <c r="B1042" s="222" t="n"/>
      <c r="C1042" s="220" t="n"/>
      <c r="D1042" s="179">
        <f>IFERROR(C1042,"")</f>
        <v/>
      </c>
      <c r="E1042" s="219" t="n"/>
      <c r="F1042" s="220" t="n"/>
      <c r="G1042" s="221">
        <f>IF(COUNTA(A1042:C1042)=0,"",IF(C1042&lt;0,"ERRO: matrícula negativa",IF(COUNTIFS($A$5:$A$1200,A1042,$B$5:$B$1200,B1042)&gt;1,"ERRO: período e curso duplicados","OK")))</f>
        <v/>
      </c>
    </row>
    <row r="1043" ht="15" customHeight="1" s="131">
      <c r="A1043" s="220" t="n"/>
      <c r="B1043" s="222" t="n"/>
      <c r="C1043" s="220" t="n"/>
      <c r="D1043" s="179">
        <f>IFERROR(C1043,"")</f>
        <v/>
      </c>
      <c r="E1043" s="219" t="n"/>
      <c r="F1043" s="220" t="n"/>
      <c r="G1043" s="221">
        <f>IF(COUNTA(A1043:C1043)=0,"",IF(C1043&lt;0,"ERRO: matrícula negativa",IF(COUNTIFS($A$5:$A$1200,A1043,$B$5:$B$1200,B1043)&gt;1,"ERRO: período e curso duplicados","OK")))</f>
        <v/>
      </c>
    </row>
    <row r="1044" ht="15" customHeight="1" s="131">
      <c r="A1044" s="220" t="n"/>
      <c r="B1044" s="222" t="n"/>
      <c r="C1044" s="220" t="n"/>
      <c r="D1044" s="179">
        <f>IFERROR(C1044,"")</f>
        <v/>
      </c>
      <c r="E1044" s="219" t="n"/>
      <c r="F1044" s="220" t="n"/>
      <c r="G1044" s="221">
        <f>IF(COUNTA(A1044:C1044)=0,"",IF(C1044&lt;0,"ERRO: matrícula negativa",IF(COUNTIFS($A$5:$A$1200,A1044,$B$5:$B$1200,B1044)&gt;1,"ERRO: período e curso duplicados","OK")))</f>
        <v/>
      </c>
    </row>
    <row r="1045" ht="15" customHeight="1" s="131">
      <c r="A1045" s="220" t="n"/>
      <c r="B1045" s="222" t="n"/>
      <c r="C1045" s="220" t="n"/>
      <c r="D1045" s="179">
        <f>IFERROR(C1045,"")</f>
        <v/>
      </c>
      <c r="E1045" s="219" t="n"/>
      <c r="F1045" s="220" t="n"/>
      <c r="G1045" s="221">
        <f>IF(COUNTA(A1045:C1045)=0,"",IF(C1045&lt;0,"ERRO: matrícula negativa",IF(COUNTIFS($A$5:$A$1200,A1045,$B$5:$B$1200,B1045)&gt;1,"ERRO: período e curso duplicados","OK")))</f>
        <v/>
      </c>
    </row>
    <row r="1046" ht="15" customHeight="1" s="131">
      <c r="A1046" s="220" t="n"/>
      <c r="B1046" s="222" t="n"/>
      <c r="C1046" s="220" t="n"/>
      <c r="D1046" s="179">
        <f>IFERROR(C1046,"")</f>
        <v/>
      </c>
      <c r="E1046" s="219" t="n"/>
      <c r="F1046" s="220" t="n"/>
      <c r="G1046" s="221">
        <f>IF(COUNTA(A1046:C1046)=0,"",IF(C1046&lt;0,"ERRO: matrícula negativa",IF(COUNTIFS($A$5:$A$1200,A1046,$B$5:$B$1200,B1046)&gt;1,"ERRO: período e curso duplicados","OK")))</f>
        <v/>
      </c>
    </row>
    <row r="1047" ht="15" customHeight="1" s="131">
      <c r="A1047" s="220" t="n"/>
      <c r="B1047" s="222" t="n"/>
      <c r="C1047" s="220" t="n"/>
      <c r="D1047" s="179">
        <f>IFERROR(C1047,"")</f>
        <v/>
      </c>
      <c r="E1047" s="219" t="n"/>
      <c r="F1047" s="220" t="n"/>
      <c r="G1047" s="221">
        <f>IF(COUNTA(A1047:C1047)=0,"",IF(C1047&lt;0,"ERRO: matrícula negativa",IF(COUNTIFS($A$5:$A$1200,A1047,$B$5:$B$1200,B1047)&gt;1,"ERRO: período e curso duplicados","OK")))</f>
        <v/>
      </c>
    </row>
    <row r="1048" ht="15" customHeight="1" s="131">
      <c r="A1048" s="220" t="n"/>
      <c r="B1048" s="222" t="n"/>
      <c r="C1048" s="220" t="n"/>
      <c r="D1048" s="179">
        <f>IFERROR(C1048,"")</f>
        <v/>
      </c>
      <c r="E1048" s="219" t="n"/>
      <c r="F1048" s="220" t="n"/>
      <c r="G1048" s="221">
        <f>IF(COUNTA(A1048:C1048)=0,"",IF(C1048&lt;0,"ERRO: matrícula negativa",IF(COUNTIFS($A$5:$A$1200,A1048,$B$5:$B$1200,B1048)&gt;1,"ERRO: período e curso duplicados","OK")))</f>
        <v/>
      </c>
    </row>
    <row r="1049" ht="15" customHeight="1" s="131">
      <c r="A1049" s="220" t="n"/>
      <c r="B1049" s="222" t="n"/>
      <c r="C1049" s="220" t="n"/>
      <c r="D1049" s="179">
        <f>IFERROR(C1049,"")</f>
        <v/>
      </c>
      <c r="E1049" s="219" t="n"/>
      <c r="F1049" s="220" t="n"/>
      <c r="G1049" s="221">
        <f>IF(COUNTA(A1049:C1049)=0,"",IF(C1049&lt;0,"ERRO: matrícula negativa",IF(COUNTIFS($A$5:$A$1200,A1049,$B$5:$B$1200,B1049)&gt;1,"ERRO: período e curso duplicados","OK")))</f>
        <v/>
      </c>
    </row>
    <row r="1050" ht="15" customHeight="1" s="131">
      <c r="A1050" s="220" t="n"/>
      <c r="B1050" s="222" t="n"/>
      <c r="C1050" s="220" t="n"/>
      <c r="D1050" s="179">
        <f>IFERROR(C1050,"")</f>
        <v/>
      </c>
      <c r="E1050" s="219" t="n"/>
      <c r="F1050" s="220" t="n"/>
      <c r="G1050" s="221">
        <f>IF(COUNTA(A1050:C1050)=0,"",IF(C1050&lt;0,"ERRO: matrícula negativa",IF(COUNTIFS($A$5:$A$1200,A1050,$B$5:$B$1200,B1050)&gt;1,"ERRO: período e curso duplicados","OK")))</f>
        <v/>
      </c>
    </row>
    <row r="1051" ht="15" customHeight="1" s="131">
      <c r="A1051" s="220" t="n"/>
      <c r="B1051" s="222" t="n"/>
      <c r="C1051" s="220" t="n"/>
      <c r="D1051" s="179">
        <f>IFERROR(C1051,"")</f>
        <v/>
      </c>
      <c r="E1051" s="219" t="n"/>
      <c r="F1051" s="220" t="n"/>
      <c r="G1051" s="221">
        <f>IF(COUNTA(A1051:C1051)=0,"",IF(C1051&lt;0,"ERRO: matrícula negativa",IF(COUNTIFS($A$5:$A$1200,A1051,$B$5:$B$1200,B1051)&gt;1,"ERRO: período e curso duplicados","OK")))</f>
        <v/>
      </c>
    </row>
    <row r="1052" ht="15" customHeight="1" s="131">
      <c r="A1052" s="220" t="n"/>
      <c r="B1052" s="222" t="n"/>
      <c r="C1052" s="220" t="n"/>
      <c r="D1052" s="179">
        <f>IFERROR(C1052,"")</f>
        <v/>
      </c>
      <c r="E1052" s="219" t="n"/>
      <c r="F1052" s="220" t="n"/>
      <c r="G1052" s="221">
        <f>IF(COUNTA(A1052:C1052)=0,"",IF(C1052&lt;0,"ERRO: matrícula negativa",IF(COUNTIFS($A$5:$A$1200,A1052,$B$5:$B$1200,B1052)&gt;1,"ERRO: período e curso duplicados","OK")))</f>
        <v/>
      </c>
    </row>
    <row r="1053" ht="15" customHeight="1" s="131">
      <c r="A1053" s="220" t="n"/>
      <c r="B1053" s="222" t="n"/>
      <c r="C1053" s="220" t="n"/>
      <c r="D1053" s="179">
        <f>IFERROR(C1053,"")</f>
        <v/>
      </c>
      <c r="E1053" s="219" t="n"/>
      <c r="F1053" s="220" t="n"/>
      <c r="G1053" s="221">
        <f>IF(COUNTA(A1053:C1053)=0,"",IF(C1053&lt;0,"ERRO: matrícula negativa",IF(COUNTIFS($A$5:$A$1200,A1053,$B$5:$B$1200,B1053)&gt;1,"ERRO: período e curso duplicados","OK")))</f>
        <v/>
      </c>
    </row>
    <row r="1054" ht="15" customHeight="1" s="131">
      <c r="A1054" s="220" t="n"/>
      <c r="B1054" s="222" t="n"/>
      <c r="C1054" s="220" t="n"/>
      <c r="D1054" s="179">
        <f>IFERROR(C1054,"")</f>
        <v/>
      </c>
      <c r="E1054" s="219" t="n"/>
      <c r="F1054" s="220" t="n"/>
      <c r="G1054" s="221">
        <f>IF(COUNTA(A1054:C1054)=0,"",IF(C1054&lt;0,"ERRO: matrícula negativa",IF(COUNTIFS($A$5:$A$1200,A1054,$B$5:$B$1200,B1054)&gt;1,"ERRO: período e curso duplicados","OK")))</f>
        <v/>
      </c>
    </row>
    <row r="1055" ht="15" customHeight="1" s="131">
      <c r="A1055" s="220" t="n"/>
      <c r="B1055" s="222" t="n"/>
      <c r="C1055" s="220" t="n"/>
      <c r="D1055" s="179">
        <f>IFERROR(C1055,"")</f>
        <v/>
      </c>
      <c r="E1055" s="219" t="n"/>
      <c r="F1055" s="220" t="n"/>
      <c r="G1055" s="221">
        <f>IF(COUNTA(A1055:C1055)=0,"",IF(C1055&lt;0,"ERRO: matrícula negativa",IF(COUNTIFS($A$5:$A$1200,A1055,$B$5:$B$1200,B1055)&gt;1,"ERRO: período e curso duplicados","OK")))</f>
        <v/>
      </c>
    </row>
    <row r="1056" ht="15" customHeight="1" s="131">
      <c r="A1056" s="220" t="n"/>
      <c r="B1056" s="222" t="n"/>
      <c r="C1056" s="220" t="n"/>
      <c r="D1056" s="179">
        <f>IFERROR(C1056,"")</f>
        <v/>
      </c>
      <c r="E1056" s="219" t="n"/>
      <c r="F1056" s="220" t="n"/>
      <c r="G1056" s="221">
        <f>IF(COUNTA(A1056:C1056)=0,"",IF(C1056&lt;0,"ERRO: matrícula negativa",IF(COUNTIFS($A$5:$A$1200,A1056,$B$5:$B$1200,B1056)&gt;1,"ERRO: período e curso duplicados","OK")))</f>
        <v/>
      </c>
    </row>
    <row r="1057" ht="15" customHeight="1" s="131">
      <c r="A1057" s="220" t="n"/>
      <c r="B1057" s="222" t="n"/>
      <c r="C1057" s="220" t="n"/>
      <c r="D1057" s="179">
        <f>IFERROR(C1057,"")</f>
        <v/>
      </c>
      <c r="E1057" s="219" t="n"/>
      <c r="F1057" s="220" t="n"/>
      <c r="G1057" s="221">
        <f>IF(COUNTA(A1057:C1057)=0,"",IF(C1057&lt;0,"ERRO: matrícula negativa",IF(COUNTIFS($A$5:$A$1200,A1057,$B$5:$B$1200,B1057)&gt;1,"ERRO: período e curso duplicados","OK")))</f>
        <v/>
      </c>
    </row>
    <row r="1058" ht="15" customHeight="1" s="131">
      <c r="A1058" s="220" t="n"/>
      <c r="B1058" s="222" t="n"/>
      <c r="C1058" s="220" t="n"/>
      <c r="D1058" s="179">
        <f>IFERROR(C1058,"")</f>
        <v/>
      </c>
      <c r="E1058" s="219" t="n"/>
      <c r="F1058" s="220" t="n"/>
      <c r="G1058" s="221">
        <f>IF(COUNTA(A1058:C1058)=0,"",IF(C1058&lt;0,"ERRO: matrícula negativa",IF(COUNTIFS($A$5:$A$1200,A1058,$B$5:$B$1200,B1058)&gt;1,"ERRO: período e curso duplicados","OK")))</f>
        <v/>
      </c>
    </row>
    <row r="1059" ht="15" customHeight="1" s="131">
      <c r="A1059" s="220" t="n"/>
      <c r="B1059" s="222" t="n"/>
      <c r="C1059" s="220" t="n"/>
      <c r="D1059" s="179">
        <f>IFERROR(C1059,"")</f>
        <v/>
      </c>
      <c r="E1059" s="219" t="n"/>
      <c r="F1059" s="220" t="n"/>
      <c r="G1059" s="221">
        <f>IF(COUNTA(A1059:C1059)=0,"",IF(C1059&lt;0,"ERRO: matrícula negativa",IF(COUNTIFS($A$5:$A$1200,A1059,$B$5:$B$1200,B1059)&gt;1,"ERRO: período e curso duplicados","OK")))</f>
        <v/>
      </c>
    </row>
    <row r="1060" ht="15" customHeight="1" s="131">
      <c r="A1060" s="220" t="n"/>
      <c r="B1060" s="222" t="n"/>
      <c r="C1060" s="220" t="n"/>
      <c r="D1060" s="179">
        <f>IFERROR(C1060,"")</f>
        <v/>
      </c>
      <c r="E1060" s="219" t="n"/>
      <c r="F1060" s="220" t="n"/>
      <c r="G1060" s="221">
        <f>IF(COUNTA(A1060:C1060)=0,"",IF(C1060&lt;0,"ERRO: matrícula negativa",IF(COUNTIFS($A$5:$A$1200,A1060,$B$5:$B$1200,B1060)&gt;1,"ERRO: período e curso duplicados","OK")))</f>
        <v/>
      </c>
    </row>
    <row r="1061" ht="15" customHeight="1" s="131">
      <c r="A1061" s="220" t="n"/>
      <c r="B1061" s="222" t="n"/>
      <c r="C1061" s="220" t="n"/>
      <c r="D1061" s="179">
        <f>IFERROR(C1061,"")</f>
        <v/>
      </c>
      <c r="E1061" s="219" t="n"/>
      <c r="F1061" s="220" t="n"/>
      <c r="G1061" s="221">
        <f>IF(COUNTA(A1061:C1061)=0,"",IF(C1061&lt;0,"ERRO: matrícula negativa",IF(COUNTIFS($A$5:$A$1200,A1061,$B$5:$B$1200,B1061)&gt;1,"ERRO: período e curso duplicados","OK")))</f>
        <v/>
      </c>
    </row>
    <row r="1062" ht="15" customHeight="1" s="131">
      <c r="A1062" s="220" t="n"/>
      <c r="B1062" s="222" t="n"/>
      <c r="C1062" s="220" t="n"/>
      <c r="D1062" s="179">
        <f>IFERROR(C1062,"")</f>
        <v/>
      </c>
      <c r="E1062" s="219" t="n"/>
      <c r="F1062" s="220" t="n"/>
      <c r="G1062" s="221">
        <f>IF(COUNTA(A1062:C1062)=0,"",IF(C1062&lt;0,"ERRO: matrícula negativa",IF(COUNTIFS($A$5:$A$1200,A1062,$B$5:$B$1200,B1062)&gt;1,"ERRO: período e curso duplicados","OK")))</f>
        <v/>
      </c>
    </row>
    <row r="1063" ht="15" customHeight="1" s="131">
      <c r="A1063" s="220" t="n"/>
      <c r="B1063" s="222" t="n"/>
      <c r="C1063" s="220" t="n"/>
      <c r="D1063" s="179">
        <f>IFERROR(C1063,"")</f>
        <v/>
      </c>
      <c r="E1063" s="219" t="n"/>
      <c r="F1063" s="220" t="n"/>
      <c r="G1063" s="221">
        <f>IF(COUNTA(A1063:C1063)=0,"",IF(C1063&lt;0,"ERRO: matrícula negativa",IF(COUNTIFS($A$5:$A$1200,A1063,$B$5:$B$1200,B1063)&gt;1,"ERRO: período e curso duplicados","OK")))</f>
        <v/>
      </c>
    </row>
    <row r="1064" ht="15" customHeight="1" s="131">
      <c r="A1064" s="220" t="n"/>
      <c r="B1064" s="222" t="n"/>
      <c r="C1064" s="220" t="n"/>
      <c r="D1064" s="179">
        <f>IFERROR(C1064,"")</f>
        <v/>
      </c>
      <c r="E1064" s="219" t="n"/>
      <c r="F1064" s="220" t="n"/>
      <c r="G1064" s="221">
        <f>IF(COUNTA(A1064:C1064)=0,"",IF(C1064&lt;0,"ERRO: matrícula negativa",IF(COUNTIFS($A$5:$A$1200,A1064,$B$5:$B$1200,B1064)&gt;1,"ERRO: período e curso duplicados","OK")))</f>
        <v/>
      </c>
    </row>
    <row r="1065" ht="15" customHeight="1" s="131">
      <c r="A1065" s="220" t="n"/>
      <c r="B1065" s="222" t="n"/>
      <c r="C1065" s="220" t="n"/>
      <c r="D1065" s="179">
        <f>IFERROR(C1065,"")</f>
        <v/>
      </c>
      <c r="E1065" s="219" t="n"/>
      <c r="F1065" s="220" t="n"/>
      <c r="G1065" s="221">
        <f>IF(COUNTA(A1065:C1065)=0,"",IF(C1065&lt;0,"ERRO: matrícula negativa",IF(COUNTIFS($A$5:$A$1200,A1065,$B$5:$B$1200,B1065)&gt;1,"ERRO: período e curso duplicados","OK")))</f>
        <v/>
      </c>
    </row>
    <row r="1066" ht="15" customHeight="1" s="131">
      <c r="A1066" s="220" t="n"/>
      <c r="B1066" s="222" t="n"/>
      <c r="C1066" s="220" t="n"/>
      <c r="D1066" s="179">
        <f>IFERROR(C1066,"")</f>
        <v/>
      </c>
      <c r="E1066" s="219" t="n"/>
      <c r="F1066" s="220" t="n"/>
      <c r="G1066" s="221">
        <f>IF(COUNTA(A1066:C1066)=0,"",IF(C1066&lt;0,"ERRO: matrícula negativa",IF(COUNTIFS($A$5:$A$1200,A1066,$B$5:$B$1200,B1066)&gt;1,"ERRO: período e curso duplicados","OK")))</f>
        <v/>
      </c>
    </row>
    <row r="1067" ht="15" customHeight="1" s="131">
      <c r="A1067" s="220" t="n"/>
      <c r="B1067" s="222" t="n"/>
      <c r="C1067" s="220" t="n"/>
      <c r="D1067" s="179">
        <f>IFERROR(C1067,"")</f>
        <v/>
      </c>
      <c r="E1067" s="219" t="n"/>
      <c r="F1067" s="220" t="n"/>
      <c r="G1067" s="221">
        <f>IF(COUNTA(A1067:C1067)=0,"",IF(C1067&lt;0,"ERRO: matrícula negativa",IF(COUNTIFS($A$5:$A$1200,A1067,$B$5:$B$1200,B1067)&gt;1,"ERRO: período e curso duplicados","OK")))</f>
        <v/>
      </c>
    </row>
    <row r="1068" ht="15" customHeight="1" s="131">
      <c r="A1068" s="220" t="n"/>
      <c r="B1068" s="222" t="n"/>
      <c r="C1068" s="220" t="n"/>
      <c r="D1068" s="179">
        <f>IFERROR(C1068,"")</f>
        <v/>
      </c>
      <c r="E1068" s="219" t="n"/>
      <c r="F1068" s="220" t="n"/>
      <c r="G1068" s="221">
        <f>IF(COUNTA(A1068:C1068)=0,"",IF(C1068&lt;0,"ERRO: matrícula negativa",IF(COUNTIFS($A$5:$A$1200,A1068,$B$5:$B$1200,B1068)&gt;1,"ERRO: período e curso duplicados","OK")))</f>
        <v/>
      </c>
    </row>
    <row r="1069" ht="15" customHeight="1" s="131">
      <c r="A1069" s="220" t="n"/>
      <c r="B1069" s="222" t="n"/>
      <c r="C1069" s="220" t="n"/>
      <c r="D1069" s="179">
        <f>IFERROR(C1069,"")</f>
        <v/>
      </c>
      <c r="E1069" s="219" t="n"/>
      <c r="F1069" s="220" t="n"/>
      <c r="G1069" s="221">
        <f>IF(COUNTA(A1069:C1069)=0,"",IF(C1069&lt;0,"ERRO: matrícula negativa",IF(COUNTIFS($A$5:$A$1200,A1069,$B$5:$B$1200,B1069)&gt;1,"ERRO: período e curso duplicados","OK")))</f>
        <v/>
      </c>
    </row>
    <row r="1070" ht="15" customHeight="1" s="131">
      <c r="A1070" s="220" t="n"/>
      <c r="B1070" s="222" t="n"/>
      <c r="C1070" s="220" t="n"/>
      <c r="D1070" s="179">
        <f>IFERROR(C1070,"")</f>
        <v/>
      </c>
      <c r="E1070" s="219" t="n"/>
      <c r="F1070" s="220" t="n"/>
      <c r="G1070" s="221">
        <f>IF(COUNTA(A1070:C1070)=0,"",IF(C1070&lt;0,"ERRO: matrícula negativa",IF(COUNTIFS($A$5:$A$1200,A1070,$B$5:$B$1200,B1070)&gt;1,"ERRO: período e curso duplicados","OK")))</f>
        <v/>
      </c>
    </row>
    <row r="1071" ht="15" customHeight="1" s="131">
      <c r="A1071" s="220" t="n"/>
      <c r="B1071" s="222" t="n"/>
      <c r="C1071" s="220" t="n"/>
      <c r="D1071" s="179">
        <f>IFERROR(C1071,"")</f>
        <v/>
      </c>
      <c r="E1071" s="219" t="n"/>
      <c r="F1071" s="220" t="n"/>
      <c r="G1071" s="221">
        <f>IF(COUNTA(A1071:C1071)=0,"",IF(C1071&lt;0,"ERRO: matrícula negativa",IF(COUNTIFS($A$5:$A$1200,A1071,$B$5:$B$1200,B1071)&gt;1,"ERRO: período e curso duplicados","OK")))</f>
        <v/>
      </c>
    </row>
    <row r="1072" ht="15" customHeight="1" s="131">
      <c r="A1072" s="220" t="n"/>
      <c r="B1072" s="222" t="n"/>
      <c r="C1072" s="220" t="n"/>
      <c r="D1072" s="179">
        <f>IFERROR(C1072,"")</f>
        <v/>
      </c>
      <c r="E1072" s="219" t="n"/>
      <c r="F1072" s="220" t="n"/>
      <c r="G1072" s="221">
        <f>IF(COUNTA(A1072:C1072)=0,"",IF(C1072&lt;0,"ERRO: matrícula negativa",IF(COUNTIFS($A$5:$A$1200,A1072,$B$5:$B$1200,B1072)&gt;1,"ERRO: período e curso duplicados","OK")))</f>
        <v/>
      </c>
    </row>
    <row r="1073" ht="15" customHeight="1" s="131">
      <c r="A1073" s="220" t="n"/>
      <c r="B1073" s="222" t="n"/>
      <c r="C1073" s="220" t="n"/>
      <c r="D1073" s="179">
        <f>IFERROR(C1073,"")</f>
        <v/>
      </c>
      <c r="E1073" s="219" t="n"/>
      <c r="F1073" s="220" t="n"/>
      <c r="G1073" s="221">
        <f>IF(COUNTA(A1073:C1073)=0,"",IF(C1073&lt;0,"ERRO: matrícula negativa",IF(COUNTIFS($A$5:$A$1200,A1073,$B$5:$B$1200,B1073)&gt;1,"ERRO: período e curso duplicados","OK")))</f>
        <v/>
      </c>
    </row>
    <row r="1074" ht="15" customHeight="1" s="131">
      <c r="A1074" s="220" t="n"/>
      <c r="B1074" s="222" t="n"/>
      <c r="C1074" s="220" t="n"/>
      <c r="D1074" s="179">
        <f>IFERROR(C1074,"")</f>
        <v/>
      </c>
      <c r="E1074" s="219" t="n"/>
      <c r="F1074" s="220" t="n"/>
      <c r="G1074" s="221">
        <f>IF(COUNTA(A1074:C1074)=0,"",IF(C1074&lt;0,"ERRO: matrícula negativa",IF(COUNTIFS($A$5:$A$1200,A1074,$B$5:$B$1200,B1074)&gt;1,"ERRO: período e curso duplicados","OK")))</f>
        <v/>
      </c>
    </row>
    <row r="1075" ht="15" customHeight="1" s="131">
      <c r="A1075" s="220" t="n"/>
      <c r="B1075" s="222" t="n"/>
      <c r="C1075" s="220" t="n"/>
      <c r="D1075" s="179">
        <f>IFERROR(C1075,"")</f>
        <v/>
      </c>
      <c r="E1075" s="219" t="n"/>
      <c r="F1075" s="220" t="n"/>
      <c r="G1075" s="221">
        <f>IF(COUNTA(A1075:C1075)=0,"",IF(C1075&lt;0,"ERRO: matrícula negativa",IF(COUNTIFS($A$5:$A$1200,A1075,$B$5:$B$1200,B1075)&gt;1,"ERRO: período e curso duplicados","OK")))</f>
        <v/>
      </c>
    </row>
    <row r="1076" ht="15" customHeight="1" s="131">
      <c r="A1076" s="220" t="n"/>
      <c r="B1076" s="222" t="n"/>
      <c r="C1076" s="220" t="n"/>
      <c r="D1076" s="179">
        <f>IFERROR(C1076,"")</f>
        <v/>
      </c>
      <c r="E1076" s="219" t="n"/>
      <c r="F1076" s="220" t="n"/>
      <c r="G1076" s="221">
        <f>IF(COUNTA(A1076:C1076)=0,"",IF(C1076&lt;0,"ERRO: matrícula negativa",IF(COUNTIFS($A$5:$A$1200,A1076,$B$5:$B$1200,B1076)&gt;1,"ERRO: período e curso duplicados","OK")))</f>
        <v/>
      </c>
    </row>
    <row r="1077" ht="15" customHeight="1" s="131">
      <c r="A1077" s="220" t="n"/>
      <c r="B1077" s="222" t="n"/>
      <c r="C1077" s="220" t="n"/>
      <c r="D1077" s="179">
        <f>IFERROR(C1077,"")</f>
        <v/>
      </c>
      <c r="E1077" s="219" t="n"/>
      <c r="F1077" s="220" t="n"/>
      <c r="G1077" s="221">
        <f>IF(COUNTA(A1077:C1077)=0,"",IF(C1077&lt;0,"ERRO: matrícula negativa",IF(COUNTIFS($A$5:$A$1200,A1077,$B$5:$B$1200,B1077)&gt;1,"ERRO: período e curso duplicados","OK")))</f>
        <v/>
      </c>
    </row>
    <row r="1078" ht="15" customHeight="1" s="131">
      <c r="A1078" s="220" t="n"/>
      <c r="B1078" s="222" t="n"/>
      <c r="C1078" s="220" t="n"/>
      <c r="D1078" s="179">
        <f>IFERROR(C1078,"")</f>
        <v/>
      </c>
      <c r="E1078" s="219" t="n"/>
      <c r="F1078" s="220" t="n"/>
      <c r="G1078" s="221">
        <f>IF(COUNTA(A1078:C1078)=0,"",IF(C1078&lt;0,"ERRO: matrícula negativa",IF(COUNTIFS($A$5:$A$1200,A1078,$B$5:$B$1200,B1078)&gt;1,"ERRO: período e curso duplicados","OK")))</f>
        <v/>
      </c>
    </row>
    <row r="1079" ht="15" customHeight="1" s="131">
      <c r="A1079" s="220" t="n"/>
      <c r="B1079" s="222" t="n"/>
      <c r="C1079" s="220" t="n"/>
      <c r="D1079" s="179">
        <f>IFERROR(C1079,"")</f>
        <v/>
      </c>
      <c r="E1079" s="219" t="n"/>
      <c r="F1079" s="220" t="n"/>
      <c r="G1079" s="221">
        <f>IF(COUNTA(A1079:C1079)=0,"",IF(C1079&lt;0,"ERRO: matrícula negativa",IF(COUNTIFS($A$5:$A$1200,A1079,$B$5:$B$1200,B1079)&gt;1,"ERRO: período e curso duplicados","OK")))</f>
        <v/>
      </c>
    </row>
    <row r="1080" ht="15" customHeight="1" s="131">
      <c r="A1080" s="220" t="n"/>
      <c r="B1080" s="222" t="n"/>
      <c r="C1080" s="220" t="n"/>
      <c r="D1080" s="179">
        <f>IFERROR(C1080,"")</f>
        <v/>
      </c>
      <c r="E1080" s="219" t="n"/>
      <c r="F1080" s="220" t="n"/>
      <c r="G1080" s="221">
        <f>IF(COUNTA(A1080:C1080)=0,"",IF(C1080&lt;0,"ERRO: matrícula negativa",IF(COUNTIFS($A$5:$A$1200,A1080,$B$5:$B$1200,B1080)&gt;1,"ERRO: período e curso duplicados","OK")))</f>
        <v/>
      </c>
    </row>
    <row r="1081" ht="15" customHeight="1" s="131">
      <c r="A1081" s="220" t="n"/>
      <c r="B1081" s="222" t="n"/>
      <c r="C1081" s="220" t="n"/>
      <c r="D1081" s="179">
        <f>IFERROR(C1081,"")</f>
        <v/>
      </c>
      <c r="E1081" s="219" t="n"/>
      <c r="F1081" s="220" t="n"/>
      <c r="G1081" s="221">
        <f>IF(COUNTA(A1081:C1081)=0,"",IF(C1081&lt;0,"ERRO: matrícula negativa",IF(COUNTIFS($A$5:$A$1200,A1081,$B$5:$B$1200,B1081)&gt;1,"ERRO: período e curso duplicados","OK")))</f>
        <v/>
      </c>
    </row>
    <row r="1082" ht="15" customHeight="1" s="131">
      <c r="A1082" s="220" t="n"/>
      <c r="B1082" s="222" t="n"/>
      <c r="C1082" s="220" t="n"/>
      <c r="D1082" s="179">
        <f>IFERROR(C1082,"")</f>
        <v/>
      </c>
      <c r="E1082" s="219" t="n"/>
      <c r="F1082" s="220" t="n"/>
      <c r="G1082" s="221">
        <f>IF(COUNTA(A1082:C1082)=0,"",IF(C1082&lt;0,"ERRO: matrícula negativa",IF(COUNTIFS($A$5:$A$1200,A1082,$B$5:$B$1200,B1082)&gt;1,"ERRO: período e curso duplicados","OK")))</f>
        <v/>
      </c>
    </row>
    <row r="1083" ht="15" customHeight="1" s="131">
      <c r="A1083" s="220" t="n"/>
      <c r="B1083" s="222" t="n"/>
      <c r="C1083" s="220" t="n"/>
      <c r="D1083" s="179">
        <f>IFERROR(C1083,"")</f>
        <v/>
      </c>
      <c r="E1083" s="219" t="n"/>
      <c r="F1083" s="220" t="n"/>
      <c r="G1083" s="221">
        <f>IF(COUNTA(A1083:C1083)=0,"",IF(C1083&lt;0,"ERRO: matrícula negativa",IF(COUNTIFS($A$5:$A$1200,A1083,$B$5:$B$1200,B1083)&gt;1,"ERRO: período e curso duplicados","OK")))</f>
        <v/>
      </c>
    </row>
    <row r="1084" ht="15" customHeight="1" s="131">
      <c r="A1084" s="220" t="n"/>
      <c r="B1084" s="222" t="n"/>
      <c r="C1084" s="220" t="n"/>
      <c r="D1084" s="179">
        <f>IFERROR(C1084,"")</f>
        <v/>
      </c>
      <c r="E1084" s="219" t="n"/>
      <c r="F1084" s="220" t="n"/>
      <c r="G1084" s="221">
        <f>IF(COUNTA(A1084:C1084)=0,"",IF(C1084&lt;0,"ERRO: matrícula negativa",IF(COUNTIFS($A$5:$A$1200,A1084,$B$5:$B$1200,B1084)&gt;1,"ERRO: período e curso duplicados","OK")))</f>
        <v/>
      </c>
    </row>
    <row r="1085" ht="15" customHeight="1" s="131">
      <c r="A1085" s="220" t="n"/>
      <c r="B1085" s="222" t="n"/>
      <c r="C1085" s="220" t="n"/>
      <c r="D1085" s="179">
        <f>IFERROR(C1085,"")</f>
        <v/>
      </c>
      <c r="E1085" s="219" t="n"/>
      <c r="F1085" s="220" t="n"/>
      <c r="G1085" s="221">
        <f>IF(COUNTA(A1085:C1085)=0,"",IF(C1085&lt;0,"ERRO: matrícula negativa",IF(COUNTIFS($A$5:$A$1200,A1085,$B$5:$B$1200,B1085)&gt;1,"ERRO: período e curso duplicados","OK")))</f>
        <v/>
      </c>
    </row>
    <row r="1086" ht="15" customHeight="1" s="131">
      <c r="A1086" s="220" t="n"/>
      <c r="B1086" s="222" t="n"/>
      <c r="C1086" s="220" t="n"/>
      <c r="D1086" s="179">
        <f>IFERROR(C1086,"")</f>
        <v/>
      </c>
      <c r="E1086" s="219" t="n"/>
      <c r="F1086" s="220" t="n"/>
      <c r="G1086" s="221">
        <f>IF(COUNTA(A1086:C1086)=0,"",IF(C1086&lt;0,"ERRO: matrícula negativa",IF(COUNTIFS($A$5:$A$1200,A1086,$B$5:$B$1200,B1086)&gt;1,"ERRO: período e curso duplicados","OK")))</f>
        <v/>
      </c>
    </row>
    <row r="1087" ht="15" customHeight="1" s="131">
      <c r="A1087" s="220" t="n"/>
      <c r="B1087" s="222" t="n"/>
      <c r="C1087" s="220" t="n"/>
      <c r="D1087" s="179">
        <f>IFERROR(C1087,"")</f>
        <v/>
      </c>
      <c r="E1087" s="219" t="n"/>
      <c r="F1087" s="220" t="n"/>
      <c r="G1087" s="221">
        <f>IF(COUNTA(A1087:C1087)=0,"",IF(C1087&lt;0,"ERRO: matrícula negativa",IF(COUNTIFS($A$5:$A$1200,A1087,$B$5:$B$1200,B1087)&gt;1,"ERRO: período e curso duplicados","OK")))</f>
        <v/>
      </c>
    </row>
    <row r="1088" ht="15" customHeight="1" s="131">
      <c r="A1088" s="220" t="n"/>
      <c r="B1088" s="222" t="n"/>
      <c r="C1088" s="220" t="n"/>
      <c r="D1088" s="179">
        <f>IFERROR(C1088,"")</f>
        <v/>
      </c>
      <c r="E1088" s="219" t="n"/>
      <c r="F1088" s="220" t="n"/>
      <c r="G1088" s="221">
        <f>IF(COUNTA(A1088:C1088)=0,"",IF(C1088&lt;0,"ERRO: matrícula negativa",IF(COUNTIFS($A$5:$A$1200,A1088,$B$5:$B$1200,B1088)&gt;1,"ERRO: período e curso duplicados","OK")))</f>
        <v/>
      </c>
    </row>
    <row r="1089" ht="15" customHeight="1" s="131">
      <c r="A1089" s="220" t="n"/>
      <c r="B1089" s="222" t="n"/>
      <c r="C1089" s="220" t="n"/>
      <c r="D1089" s="179">
        <f>IFERROR(C1089,"")</f>
        <v/>
      </c>
      <c r="E1089" s="219" t="n"/>
      <c r="F1089" s="220" t="n"/>
      <c r="G1089" s="221">
        <f>IF(COUNTA(A1089:C1089)=0,"",IF(C1089&lt;0,"ERRO: matrícula negativa",IF(COUNTIFS($A$5:$A$1200,A1089,$B$5:$B$1200,B1089)&gt;1,"ERRO: período e curso duplicados","OK")))</f>
        <v/>
      </c>
    </row>
    <row r="1090" ht="15" customHeight="1" s="131">
      <c r="A1090" s="220" t="n"/>
      <c r="B1090" s="222" t="n"/>
      <c r="C1090" s="220" t="n"/>
      <c r="D1090" s="179">
        <f>IFERROR(C1090,"")</f>
        <v/>
      </c>
      <c r="E1090" s="219" t="n"/>
      <c r="F1090" s="220" t="n"/>
      <c r="G1090" s="221">
        <f>IF(COUNTA(A1090:C1090)=0,"",IF(C1090&lt;0,"ERRO: matrícula negativa",IF(COUNTIFS($A$5:$A$1200,A1090,$B$5:$B$1200,B1090)&gt;1,"ERRO: período e curso duplicados","OK")))</f>
        <v/>
      </c>
    </row>
    <row r="1091" ht="15" customHeight="1" s="131">
      <c r="A1091" s="220" t="n"/>
      <c r="B1091" s="222" t="n"/>
      <c r="C1091" s="220" t="n"/>
      <c r="D1091" s="179">
        <f>IFERROR(C1091,"")</f>
        <v/>
      </c>
      <c r="E1091" s="219" t="n"/>
      <c r="F1091" s="220" t="n"/>
      <c r="G1091" s="221">
        <f>IF(COUNTA(A1091:C1091)=0,"",IF(C1091&lt;0,"ERRO: matrícula negativa",IF(COUNTIFS($A$5:$A$1200,A1091,$B$5:$B$1200,B1091)&gt;1,"ERRO: período e curso duplicados","OK")))</f>
        <v/>
      </c>
    </row>
    <row r="1092" ht="15" customHeight="1" s="131">
      <c r="A1092" s="220" t="n"/>
      <c r="B1092" s="222" t="n"/>
      <c r="C1092" s="220" t="n"/>
      <c r="D1092" s="179">
        <f>IFERROR(C1092,"")</f>
        <v/>
      </c>
      <c r="E1092" s="219" t="n"/>
      <c r="F1092" s="220" t="n"/>
      <c r="G1092" s="221">
        <f>IF(COUNTA(A1092:C1092)=0,"",IF(C1092&lt;0,"ERRO: matrícula negativa",IF(COUNTIFS($A$5:$A$1200,A1092,$B$5:$B$1200,B1092)&gt;1,"ERRO: período e curso duplicados","OK")))</f>
        <v/>
      </c>
    </row>
    <row r="1093" ht="15" customHeight="1" s="131">
      <c r="A1093" s="220" t="n"/>
      <c r="B1093" s="222" t="n"/>
      <c r="C1093" s="220" t="n"/>
      <c r="D1093" s="179">
        <f>IFERROR(C1093,"")</f>
        <v/>
      </c>
      <c r="E1093" s="219" t="n"/>
      <c r="F1093" s="220" t="n"/>
      <c r="G1093" s="221">
        <f>IF(COUNTA(A1093:C1093)=0,"",IF(C1093&lt;0,"ERRO: matrícula negativa",IF(COUNTIFS($A$5:$A$1200,A1093,$B$5:$B$1200,B1093)&gt;1,"ERRO: período e curso duplicados","OK")))</f>
        <v/>
      </c>
    </row>
    <row r="1094" ht="15" customHeight="1" s="131">
      <c r="A1094" s="220" t="n"/>
      <c r="B1094" s="222" t="n"/>
      <c r="C1094" s="220" t="n"/>
      <c r="D1094" s="179">
        <f>IFERROR(C1094,"")</f>
        <v/>
      </c>
      <c r="E1094" s="219" t="n"/>
      <c r="F1094" s="220" t="n"/>
      <c r="G1094" s="221">
        <f>IF(COUNTA(A1094:C1094)=0,"",IF(C1094&lt;0,"ERRO: matrícula negativa",IF(COUNTIFS($A$5:$A$1200,A1094,$B$5:$B$1200,B1094)&gt;1,"ERRO: período e curso duplicados","OK")))</f>
        <v/>
      </c>
    </row>
    <row r="1095" ht="15" customHeight="1" s="131">
      <c r="A1095" s="220" t="n"/>
      <c r="B1095" s="222" t="n"/>
      <c r="C1095" s="220" t="n"/>
      <c r="D1095" s="179">
        <f>IFERROR(C1095,"")</f>
        <v/>
      </c>
      <c r="E1095" s="219" t="n"/>
      <c r="F1095" s="220" t="n"/>
      <c r="G1095" s="221">
        <f>IF(COUNTA(A1095:C1095)=0,"",IF(C1095&lt;0,"ERRO: matrícula negativa",IF(COUNTIFS($A$5:$A$1200,A1095,$B$5:$B$1200,B1095)&gt;1,"ERRO: período e curso duplicados","OK")))</f>
        <v/>
      </c>
    </row>
    <row r="1096" ht="15" customHeight="1" s="131">
      <c r="A1096" s="220" t="n"/>
      <c r="B1096" s="222" t="n"/>
      <c r="C1096" s="220" t="n"/>
      <c r="D1096" s="179">
        <f>IFERROR(C1096,"")</f>
        <v/>
      </c>
      <c r="E1096" s="219" t="n"/>
      <c r="F1096" s="220" t="n"/>
      <c r="G1096" s="221">
        <f>IF(COUNTA(A1096:C1096)=0,"",IF(C1096&lt;0,"ERRO: matrícula negativa",IF(COUNTIFS($A$5:$A$1200,A1096,$B$5:$B$1200,B1096)&gt;1,"ERRO: período e curso duplicados","OK")))</f>
        <v/>
      </c>
    </row>
    <row r="1097" ht="15" customHeight="1" s="131">
      <c r="A1097" s="220" t="n"/>
      <c r="B1097" s="222" t="n"/>
      <c r="C1097" s="220" t="n"/>
      <c r="D1097" s="179">
        <f>IFERROR(C1097,"")</f>
        <v/>
      </c>
      <c r="E1097" s="219" t="n"/>
      <c r="F1097" s="220" t="n"/>
      <c r="G1097" s="221">
        <f>IF(COUNTA(A1097:C1097)=0,"",IF(C1097&lt;0,"ERRO: matrícula negativa",IF(COUNTIFS($A$5:$A$1200,A1097,$B$5:$B$1200,B1097)&gt;1,"ERRO: período e curso duplicados","OK")))</f>
        <v/>
      </c>
    </row>
    <row r="1098" ht="15" customHeight="1" s="131">
      <c r="A1098" s="220" t="n"/>
      <c r="B1098" s="222" t="n"/>
      <c r="C1098" s="220" t="n"/>
      <c r="D1098" s="179">
        <f>IFERROR(C1098,"")</f>
        <v/>
      </c>
      <c r="E1098" s="219" t="n"/>
      <c r="F1098" s="220" t="n"/>
      <c r="G1098" s="221">
        <f>IF(COUNTA(A1098:C1098)=0,"",IF(C1098&lt;0,"ERRO: matrícula negativa",IF(COUNTIFS($A$5:$A$1200,A1098,$B$5:$B$1200,B1098)&gt;1,"ERRO: período e curso duplicados","OK")))</f>
        <v/>
      </c>
    </row>
    <row r="1099" ht="15" customHeight="1" s="131">
      <c r="A1099" s="220" t="n"/>
      <c r="B1099" s="222" t="n"/>
      <c r="C1099" s="220" t="n"/>
      <c r="D1099" s="179">
        <f>IFERROR(C1099,"")</f>
        <v/>
      </c>
      <c r="E1099" s="219" t="n"/>
      <c r="F1099" s="220" t="n"/>
      <c r="G1099" s="221">
        <f>IF(COUNTA(A1099:C1099)=0,"",IF(C1099&lt;0,"ERRO: matrícula negativa",IF(COUNTIFS($A$5:$A$1200,A1099,$B$5:$B$1200,B1099)&gt;1,"ERRO: período e curso duplicados","OK")))</f>
        <v/>
      </c>
    </row>
    <row r="1100" ht="15" customHeight="1" s="131">
      <c r="A1100" s="220" t="n"/>
      <c r="B1100" s="222" t="n"/>
      <c r="C1100" s="220" t="n"/>
      <c r="D1100" s="179">
        <f>IFERROR(C1100,"")</f>
        <v/>
      </c>
      <c r="E1100" s="219" t="n"/>
      <c r="F1100" s="220" t="n"/>
      <c r="G1100" s="221">
        <f>IF(COUNTA(A1100:C1100)=0,"",IF(C1100&lt;0,"ERRO: matrícula negativa",IF(COUNTIFS($A$5:$A$1200,A1100,$B$5:$B$1200,B1100)&gt;1,"ERRO: período e curso duplicados","OK")))</f>
        <v/>
      </c>
    </row>
    <row r="1101" ht="15" customHeight="1" s="131">
      <c r="A1101" s="220" t="n"/>
      <c r="B1101" s="222" t="n"/>
      <c r="C1101" s="220" t="n"/>
      <c r="D1101" s="179">
        <f>IFERROR(C1101,"")</f>
        <v/>
      </c>
      <c r="E1101" s="219" t="n"/>
      <c r="F1101" s="220" t="n"/>
      <c r="G1101" s="221">
        <f>IF(COUNTA(A1101:C1101)=0,"",IF(C1101&lt;0,"ERRO: matrícula negativa",IF(COUNTIFS($A$5:$A$1200,A1101,$B$5:$B$1200,B1101)&gt;1,"ERRO: período e curso duplicados","OK")))</f>
        <v/>
      </c>
    </row>
    <row r="1102" ht="15" customHeight="1" s="131">
      <c r="A1102" s="220" t="n"/>
      <c r="B1102" s="222" t="n"/>
      <c r="C1102" s="220" t="n"/>
      <c r="D1102" s="179">
        <f>IFERROR(C1102,"")</f>
        <v/>
      </c>
      <c r="E1102" s="219" t="n"/>
      <c r="F1102" s="220" t="n"/>
      <c r="G1102" s="221">
        <f>IF(COUNTA(A1102:C1102)=0,"",IF(C1102&lt;0,"ERRO: matrícula negativa",IF(COUNTIFS($A$5:$A$1200,A1102,$B$5:$B$1200,B1102)&gt;1,"ERRO: período e curso duplicados","OK")))</f>
        <v/>
      </c>
    </row>
    <row r="1103" ht="15" customHeight="1" s="131">
      <c r="A1103" s="220" t="n"/>
      <c r="B1103" s="222" t="n"/>
      <c r="C1103" s="220" t="n"/>
      <c r="D1103" s="179">
        <f>IFERROR(C1103,"")</f>
        <v/>
      </c>
      <c r="E1103" s="219" t="n"/>
      <c r="F1103" s="220" t="n"/>
      <c r="G1103" s="221">
        <f>IF(COUNTA(A1103:C1103)=0,"",IF(C1103&lt;0,"ERRO: matrícula negativa",IF(COUNTIFS($A$5:$A$1200,A1103,$B$5:$B$1200,B1103)&gt;1,"ERRO: período e curso duplicados","OK")))</f>
        <v/>
      </c>
    </row>
    <row r="1104" ht="15" customHeight="1" s="131">
      <c r="A1104" s="220" t="n"/>
      <c r="B1104" s="222" t="n"/>
      <c r="C1104" s="220" t="n"/>
      <c r="D1104" s="179">
        <f>IFERROR(C1104,"")</f>
        <v/>
      </c>
      <c r="E1104" s="219" t="n"/>
      <c r="F1104" s="220" t="n"/>
      <c r="G1104" s="221">
        <f>IF(COUNTA(A1104:C1104)=0,"",IF(C1104&lt;0,"ERRO: matrícula negativa",IF(COUNTIFS($A$5:$A$1200,A1104,$B$5:$B$1200,B1104)&gt;1,"ERRO: período e curso duplicados","OK")))</f>
        <v/>
      </c>
    </row>
    <row r="1105" ht="15" customHeight="1" s="131">
      <c r="A1105" s="220" t="n"/>
      <c r="B1105" s="222" t="n"/>
      <c r="C1105" s="220" t="n"/>
      <c r="D1105" s="179">
        <f>IFERROR(C1105,"")</f>
        <v/>
      </c>
      <c r="E1105" s="219" t="n"/>
      <c r="F1105" s="220" t="n"/>
      <c r="G1105" s="221">
        <f>IF(COUNTA(A1105:C1105)=0,"",IF(C1105&lt;0,"ERRO: matrícula negativa",IF(COUNTIFS($A$5:$A$1200,A1105,$B$5:$B$1200,B1105)&gt;1,"ERRO: período e curso duplicados","OK")))</f>
        <v/>
      </c>
    </row>
    <row r="1106" ht="15" customHeight="1" s="131">
      <c r="A1106" s="220" t="n"/>
      <c r="B1106" s="222" t="n"/>
      <c r="C1106" s="220" t="n"/>
      <c r="D1106" s="179">
        <f>IFERROR(C1106,"")</f>
        <v/>
      </c>
      <c r="E1106" s="219" t="n"/>
      <c r="F1106" s="220" t="n"/>
      <c r="G1106" s="221">
        <f>IF(COUNTA(A1106:C1106)=0,"",IF(C1106&lt;0,"ERRO: matrícula negativa",IF(COUNTIFS($A$5:$A$1200,A1106,$B$5:$B$1200,B1106)&gt;1,"ERRO: período e curso duplicados","OK")))</f>
        <v/>
      </c>
    </row>
    <row r="1107" ht="15" customHeight="1" s="131">
      <c r="A1107" s="220" t="n"/>
      <c r="B1107" s="222" t="n"/>
      <c r="C1107" s="220" t="n"/>
      <c r="D1107" s="179">
        <f>IFERROR(C1107,"")</f>
        <v/>
      </c>
      <c r="E1107" s="219" t="n"/>
      <c r="F1107" s="220" t="n"/>
      <c r="G1107" s="221">
        <f>IF(COUNTA(A1107:C1107)=0,"",IF(C1107&lt;0,"ERRO: matrícula negativa",IF(COUNTIFS($A$5:$A$1200,A1107,$B$5:$B$1200,B1107)&gt;1,"ERRO: período e curso duplicados","OK")))</f>
        <v/>
      </c>
    </row>
    <row r="1108" ht="15" customHeight="1" s="131">
      <c r="A1108" s="220" t="n"/>
      <c r="B1108" s="222" t="n"/>
      <c r="C1108" s="220" t="n"/>
      <c r="D1108" s="179">
        <f>IFERROR(C1108,"")</f>
        <v/>
      </c>
      <c r="E1108" s="219" t="n"/>
      <c r="F1108" s="220" t="n"/>
      <c r="G1108" s="221">
        <f>IF(COUNTA(A1108:C1108)=0,"",IF(C1108&lt;0,"ERRO: matrícula negativa",IF(COUNTIFS($A$5:$A$1200,A1108,$B$5:$B$1200,B1108)&gt;1,"ERRO: período e curso duplicados","OK")))</f>
        <v/>
      </c>
    </row>
    <row r="1109" ht="15" customHeight="1" s="131">
      <c r="A1109" s="220" t="n"/>
      <c r="B1109" s="222" t="n"/>
      <c r="C1109" s="220" t="n"/>
      <c r="D1109" s="179">
        <f>IFERROR(C1109,"")</f>
        <v/>
      </c>
      <c r="E1109" s="219" t="n"/>
      <c r="F1109" s="220" t="n"/>
      <c r="G1109" s="221">
        <f>IF(COUNTA(A1109:C1109)=0,"",IF(C1109&lt;0,"ERRO: matrícula negativa",IF(COUNTIFS($A$5:$A$1200,A1109,$B$5:$B$1200,B1109)&gt;1,"ERRO: período e curso duplicados","OK")))</f>
        <v/>
      </c>
    </row>
    <row r="1110" ht="15" customHeight="1" s="131">
      <c r="A1110" s="220" t="n"/>
      <c r="B1110" s="222" t="n"/>
      <c r="C1110" s="220" t="n"/>
      <c r="D1110" s="179">
        <f>IFERROR(C1110,"")</f>
        <v/>
      </c>
      <c r="E1110" s="219" t="n"/>
      <c r="F1110" s="220" t="n"/>
      <c r="G1110" s="221">
        <f>IF(COUNTA(A1110:C1110)=0,"",IF(C1110&lt;0,"ERRO: matrícula negativa",IF(COUNTIFS($A$5:$A$1200,A1110,$B$5:$B$1200,B1110)&gt;1,"ERRO: período e curso duplicados","OK")))</f>
        <v/>
      </c>
    </row>
    <row r="1111" ht="15" customHeight="1" s="131">
      <c r="A1111" s="220" t="n"/>
      <c r="B1111" s="222" t="n"/>
      <c r="C1111" s="220" t="n"/>
      <c r="D1111" s="179">
        <f>IFERROR(C1111,"")</f>
        <v/>
      </c>
      <c r="E1111" s="219" t="n"/>
      <c r="F1111" s="220" t="n"/>
      <c r="G1111" s="221">
        <f>IF(COUNTA(A1111:C1111)=0,"",IF(C1111&lt;0,"ERRO: matrícula negativa",IF(COUNTIFS($A$5:$A$1200,A1111,$B$5:$B$1200,B1111)&gt;1,"ERRO: período e curso duplicados","OK")))</f>
        <v/>
      </c>
    </row>
    <row r="1112" ht="15" customHeight="1" s="131">
      <c r="A1112" s="220" t="n"/>
      <c r="B1112" s="222" t="n"/>
      <c r="C1112" s="220" t="n"/>
      <c r="D1112" s="179">
        <f>IFERROR(C1112,"")</f>
        <v/>
      </c>
      <c r="E1112" s="219" t="n"/>
      <c r="F1112" s="220" t="n"/>
      <c r="G1112" s="221">
        <f>IF(COUNTA(A1112:C1112)=0,"",IF(C1112&lt;0,"ERRO: matrícula negativa",IF(COUNTIFS($A$5:$A$1200,A1112,$B$5:$B$1200,B1112)&gt;1,"ERRO: período e curso duplicados","OK")))</f>
        <v/>
      </c>
    </row>
    <row r="1113" ht="15" customHeight="1" s="131">
      <c r="A1113" s="220" t="n"/>
      <c r="B1113" s="222" t="n"/>
      <c r="C1113" s="220" t="n"/>
      <c r="D1113" s="179">
        <f>IFERROR(C1113,"")</f>
        <v/>
      </c>
      <c r="E1113" s="219" t="n"/>
      <c r="F1113" s="220" t="n"/>
      <c r="G1113" s="221">
        <f>IF(COUNTA(A1113:C1113)=0,"",IF(C1113&lt;0,"ERRO: matrícula negativa",IF(COUNTIFS($A$5:$A$1200,A1113,$B$5:$B$1200,B1113)&gt;1,"ERRO: período e curso duplicados","OK")))</f>
        <v/>
      </c>
    </row>
    <row r="1114" ht="15" customHeight="1" s="131">
      <c r="A1114" s="220" t="n"/>
      <c r="B1114" s="222" t="n"/>
      <c r="C1114" s="220" t="n"/>
      <c r="D1114" s="179">
        <f>IFERROR(C1114,"")</f>
        <v/>
      </c>
      <c r="E1114" s="219" t="n"/>
      <c r="F1114" s="220" t="n"/>
      <c r="G1114" s="221">
        <f>IF(COUNTA(A1114:C1114)=0,"",IF(C1114&lt;0,"ERRO: matrícula negativa",IF(COUNTIFS($A$5:$A$1200,A1114,$B$5:$B$1200,B1114)&gt;1,"ERRO: período e curso duplicados","OK")))</f>
        <v/>
      </c>
    </row>
    <row r="1115" ht="15" customHeight="1" s="131">
      <c r="A1115" s="220" t="n"/>
      <c r="B1115" s="222" t="n"/>
      <c r="C1115" s="220" t="n"/>
      <c r="D1115" s="179">
        <f>IFERROR(C1115,"")</f>
        <v/>
      </c>
      <c r="E1115" s="219" t="n"/>
      <c r="F1115" s="220" t="n"/>
      <c r="G1115" s="221">
        <f>IF(COUNTA(A1115:C1115)=0,"",IF(C1115&lt;0,"ERRO: matrícula negativa",IF(COUNTIFS($A$5:$A$1200,A1115,$B$5:$B$1200,B1115)&gt;1,"ERRO: período e curso duplicados","OK")))</f>
        <v/>
      </c>
    </row>
    <row r="1116" ht="15" customHeight="1" s="131">
      <c r="A1116" s="220" t="n"/>
      <c r="B1116" s="222" t="n"/>
      <c r="C1116" s="220" t="n"/>
      <c r="D1116" s="179">
        <f>IFERROR(C1116,"")</f>
        <v/>
      </c>
      <c r="E1116" s="219" t="n"/>
      <c r="F1116" s="220" t="n"/>
      <c r="G1116" s="221">
        <f>IF(COUNTA(A1116:C1116)=0,"",IF(C1116&lt;0,"ERRO: matrícula negativa",IF(COUNTIFS($A$5:$A$1200,A1116,$B$5:$B$1200,B1116)&gt;1,"ERRO: período e curso duplicados","OK")))</f>
        <v/>
      </c>
    </row>
    <row r="1117" ht="15" customHeight="1" s="131">
      <c r="A1117" s="220" t="n"/>
      <c r="B1117" s="222" t="n"/>
      <c r="C1117" s="220" t="n"/>
      <c r="D1117" s="179">
        <f>IFERROR(C1117,"")</f>
        <v/>
      </c>
      <c r="E1117" s="219" t="n"/>
      <c r="F1117" s="220" t="n"/>
      <c r="G1117" s="221">
        <f>IF(COUNTA(A1117:C1117)=0,"",IF(C1117&lt;0,"ERRO: matrícula negativa",IF(COUNTIFS($A$5:$A$1200,A1117,$B$5:$B$1200,B1117)&gt;1,"ERRO: período e curso duplicados","OK")))</f>
        <v/>
      </c>
    </row>
    <row r="1118" ht="15" customHeight="1" s="131">
      <c r="A1118" s="220" t="n"/>
      <c r="B1118" s="222" t="n"/>
      <c r="C1118" s="220" t="n"/>
      <c r="D1118" s="179">
        <f>IFERROR(C1118,"")</f>
        <v/>
      </c>
      <c r="E1118" s="219" t="n"/>
      <c r="F1118" s="220" t="n"/>
      <c r="G1118" s="221">
        <f>IF(COUNTA(A1118:C1118)=0,"",IF(C1118&lt;0,"ERRO: matrícula negativa",IF(COUNTIFS($A$5:$A$1200,A1118,$B$5:$B$1200,B1118)&gt;1,"ERRO: período e curso duplicados","OK")))</f>
        <v/>
      </c>
    </row>
    <row r="1119" ht="15" customHeight="1" s="131">
      <c r="A1119" s="220" t="n"/>
      <c r="B1119" s="222" t="n"/>
      <c r="C1119" s="220" t="n"/>
      <c r="D1119" s="179">
        <f>IFERROR(C1119,"")</f>
        <v/>
      </c>
      <c r="E1119" s="219" t="n"/>
      <c r="F1119" s="220" t="n"/>
      <c r="G1119" s="221">
        <f>IF(COUNTA(A1119:C1119)=0,"",IF(C1119&lt;0,"ERRO: matrícula negativa",IF(COUNTIFS($A$5:$A$1200,A1119,$B$5:$B$1200,B1119)&gt;1,"ERRO: período e curso duplicados","OK")))</f>
        <v/>
      </c>
    </row>
    <row r="1120" ht="15" customHeight="1" s="131">
      <c r="A1120" s="220" t="n"/>
      <c r="B1120" s="222" t="n"/>
      <c r="C1120" s="220" t="n"/>
      <c r="D1120" s="179">
        <f>IFERROR(C1120,"")</f>
        <v/>
      </c>
      <c r="E1120" s="219" t="n"/>
      <c r="F1120" s="220" t="n"/>
      <c r="G1120" s="221">
        <f>IF(COUNTA(A1120:C1120)=0,"",IF(C1120&lt;0,"ERRO: matrícula negativa",IF(COUNTIFS($A$5:$A$1200,A1120,$B$5:$B$1200,B1120)&gt;1,"ERRO: período e curso duplicados","OK")))</f>
        <v/>
      </c>
    </row>
    <row r="1121" ht="15" customHeight="1" s="131">
      <c r="A1121" s="220" t="n"/>
      <c r="B1121" s="222" t="n"/>
      <c r="C1121" s="220" t="n"/>
      <c r="D1121" s="179">
        <f>IFERROR(C1121,"")</f>
        <v/>
      </c>
      <c r="E1121" s="219" t="n"/>
      <c r="F1121" s="220" t="n"/>
      <c r="G1121" s="221">
        <f>IF(COUNTA(A1121:C1121)=0,"",IF(C1121&lt;0,"ERRO: matrícula negativa",IF(COUNTIFS($A$5:$A$1200,A1121,$B$5:$B$1200,B1121)&gt;1,"ERRO: período e curso duplicados","OK")))</f>
        <v/>
      </c>
    </row>
    <row r="1122" ht="15" customHeight="1" s="131">
      <c r="A1122" s="220" t="n"/>
      <c r="B1122" s="222" t="n"/>
      <c r="C1122" s="220" t="n"/>
      <c r="D1122" s="179">
        <f>IFERROR(C1122,"")</f>
        <v/>
      </c>
      <c r="E1122" s="219" t="n"/>
      <c r="F1122" s="220" t="n"/>
      <c r="G1122" s="221">
        <f>IF(COUNTA(A1122:C1122)=0,"",IF(C1122&lt;0,"ERRO: matrícula negativa",IF(COUNTIFS($A$5:$A$1200,A1122,$B$5:$B$1200,B1122)&gt;1,"ERRO: período e curso duplicados","OK")))</f>
        <v/>
      </c>
    </row>
    <row r="1123" ht="15" customHeight="1" s="131">
      <c r="A1123" s="220" t="n"/>
      <c r="B1123" s="222" t="n"/>
      <c r="C1123" s="220" t="n"/>
      <c r="D1123" s="179">
        <f>IFERROR(C1123,"")</f>
        <v/>
      </c>
      <c r="E1123" s="219" t="n"/>
      <c r="F1123" s="220" t="n"/>
      <c r="G1123" s="221">
        <f>IF(COUNTA(A1123:C1123)=0,"",IF(C1123&lt;0,"ERRO: matrícula negativa",IF(COUNTIFS($A$5:$A$1200,A1123,$B$5:$B$1200,B1123)&gt;1,"ERRO: período e curso duplicados","OK")))</f>
        <v/>
      </c>
    </row>
    <row r="1124" ht="15" customHeight="1" s="131">
      <c r="A1124" s="220" t="n"/>
      <c r="B1124" s="222" t="n"/>
      <c r="C1124" s="220" t="n"/>
      <c r="D1124" s="179">
        <f>IFERROR(C1124,"")</f>
        <v/>
      </c>
      <c r="E1124" s="219" t="n"/>
      <c r="F1124" s="220" t="n"/>
      <c r="G1124" s="221">
        <f>IF(COUNTA(A1124:C1124)=0,"",IF(C1124&lt;0,"ERRO: matrícula negativa",IF(COUNTIFS($A$5:$A$1200,A1124,$B$5:$B$1200,B1124)&gt;1,"ERRO: período e curso duplicados","OK")))</f>
        <v/>
      </c>
    </row>
    <row r="1125" ht="15" customHeight="1" s="131">
      <c r="A1125" s="220" t="n"/>
      <c r="B1125" s="222" t="n"/>
      <c r="C1125" s="220" t="n"/>
      <c r="D1125" s="179">
        <f>IFERROR(C1125,"")</f>
        <v/>
      </c>
      <c r="E1125" s="219" t="n"/>
      <c r="F1125" s="220" t="n"/>
      <c r="G1125" s="221">
        <f>IF(COUNTA(A1125:C1125)=0,"",IF(C1125&lt;0,"ERRO: matrícula negativa",IF(COUNTIFS($A$5:$A$1200,A1125,$B$5:$B$1200,B1125)&gt;1,"ERRO: período e curso duplicados","OK")))</f>
        <v/>
      </c>
    </row>
    <row r="1126" ht="15" customHeight="1" s="131">
      <c r="A1126" s="220" t="n"/>
      <c r="B1126" s="222" t="n"/>
      <c r="C1126" s="220" t="n"/>
      <c r="D1126" s="179">
        <f>IFERROR(C1126,"")</f>
        <v/>
      </c>
      <c r="E1126" s="219" t="n"/>
      <c r="F1126" s="220" t="n"/>
      <c r="G1126" s="221">
        <f>IF(COUNTA(A1126:C1126)=0,"",IF(C1126&lt;0,"ERRO: matrícula negativa",IF(COUNTIFS($A$5:$A$1200,A1126,$B$5:$B$1200,B1126)&gt;1,"ERRO: período e curso duplicados","OK")))</f>
        <v/>
      </c>
    </row>
    <row r="1127" ht="15" customHeight="1" s="131">
      <c r="A1127" s="220" t="n"/>
      <c r="B1127" s="222" t="n"/>
      <c r="C1127" s="220" t="n"/>
      <c r="D1127" s="179">
        <f>IFERROR(C1127,"")</f>
        <v/>
      </c>
      <c r="E1127" s="219" t="n"/>
      <c r="F1127" s="220" t="n"/>
      <c r="G1127" s="221">
        <f>IF(COUNTA(A1127:C1127)=0,"",IF(C1127&lt;0,"ERRO: matrícula negativa",IF(COUNTIFS($A$5:$A$1200,A1127,$B$5:$B$1200,B1127)&gt;1,"ERRO: período e curso duplicados","OK")))</f>
        <v/>
      </c>
    </row>
    <row r="1128" ht="15" customHeight="1" s="131">
      <c r="A1128" s="220" t="n"/>
      <c r="B1128" s="222" t="n"/>
      <c r="C1128" s="220" t="n"/>
      <c r="D1128" s="179">
        <f>IFERROR(C1128,"")</f>
        <v/>
      </c>
      <c r="E1128" s="219" t="n"/>
      <c r="F1128" s="220" t="n"/>
      <c r="G1128" s="221">
        <f>IF(COUNTA(A1128:C1128)=0,"",IF(C1128&lt;0,"ERRO: matrícula negativa",IF(COUNTIFS($A$5:$A$1200,A1128,$B$5:$B$1200,B1128)&gt;1,"ERRO: período e curso duplicados","OK")))</f>
        <v/>
      </c>
    </row>
    <row r="1129" ht="15" customHeight="1" s="131">
      <c r="A1129" s="220" t="n"/>
      <c r="B1129" s="222" t="n"/>
      <c r="C1129" s="220" t="n"/>
      <c r="D1129" s="179">
        <f>IFERROR(C1129,"")</f>
        <v/>
      </c>
      <c r="E1129" s="219" t="n"/>
      <c r="F1129" s="220" t="n"/>
      <c r="G1129" s="221">
        <f>IF(COUNTA(A1129:C1129)=0,"",IF(C1129&lt;0,"ERRO: matrícula negativa",IF(COUNTIFS($A$5:$A$1200,A1129,$B$5:$B$1200,B1129)&gt;1,"ERRO: período e curso duplicados","OK")))</f>
        <v/>
      </c>
    </row>
    <row r="1130" ht="15" customHeight="1" s="131">
      <c r="A1130" s="220" t="n"/>
      <c r="B1130" s="222" t="n"/>
      <c r="C1130" s="220" t="n"/>
      <c r="D1130" s="179">
        <f>IFERROR(C1130,"")</f>
        <v/>
      </c>
      <c r="E1130" s="219" t="n"/>
      <c r="F1130" s="220" t="n"/>
      <c r="G1130" s="221">
        <f>IF(COUNTA(A1130:C1130)=0,"",IF(C1130&lt;0,"ERRO: matrícula negativa",IF(COUNTIFS($A$5:$A$1200,A1130,$B$5:$B$1200,B1130)&gt;1,"ERRO: período e curso duplicados","OK")))</f>
        <v/>
      </c>
    </row>
    <row r="1131" ht="15" customHeight="1" s="131">
      <c r="A1131" s="220" t="n"/>
      <c r="B1131" s="222" t="n"/>
      <c r="C1131" s="220" t="n"/>
      <c r="D1131" s="179">
        <f>IFERROR(C1131,"")</f>
        <v/>
      </c>
      <c r="E1131" s="219" t="n"/>
      <c r="F1131" s="220" t="n"/>
      <c r="G1131" s="221">
        <f>IF(COUNTA(A1131:C1131)=0,"",IF(C1131&lt;0,"ERRO: matrícula negativa",IF(COUNTIFS($A$5:$A$1200,A1131,$B$5:$B$1200,B1131)&gt;1,"ERRO: período e curso duplicados","OK")))</f>
        <v/>
      </c>
    </row>
    <row r="1132" ht="15" customHeight="1" s="131">
      <c r="A1132" s="220" t="n"/>
      <c r="B1132" s="222" t="n"/>
      <c r="C1132" s="220" t="n"/>
      <c r="D1132" s="179">
        <f>IFERROR(C1132,"")</f>
        <v/>
      </c>
      <c r="E1132" s="219" t="n"/>
      <c r="F1132" s="220" t="n"/>
      <c r="G1132" s="221">
        <f>IF(COUNTA(A1132:C1132)=0,"",IF(C1132&lt;0,"ERRO: matrícula negativa",IF(COUNTIFS($A$5:$A$1200,A1132,$B$5:$B$1200,B1132)&gt;1,"ERRO: período e curso duplicados","OK")))</f>
        <v/>
      </c>
    </row>
    <row r="1133" ht="15" customHeight="1" s="131">
      <c r="A1133" s="220" t="n"/>
      <c r="B1133" s="222" t="n"/>
      <c r="C1133" s="220" t="n"/>
      <c r="D1133" s="179">
        <f>IFERROR(C1133,"")</f>
        <v/>
      </c>
      <c r="E1133" s="219" t="n"/>
      <c r="F1133" s="220" t="n"/>
      <c r="G1133" s="221">
        <f>IF(COUNTA(A1133:C1133)=0,"",IF(C1133&lt;0,"ERRO: matrícula negativa",IF(COUNTIFS($A$5:$A$1200,A1133,$B$5:$B$1200,B1133)&gt;1,"ERRO: período e curso duplicados","OK")))</f>
        <v/>
      </c>
    </row>
    <row r="1134" ht="15" customHeight="1" s="131">
      <c r="A1134" s="220" t="n"/>
      <c r="B1134" s="222" t="n"/>
      <c r="C1134" s="220" t="n"/>
      <c r="D1134" s="179">
        <f>IFERROR(C1134,"")</f>
        <v/>
      </c>
      <c r="E1134" s="219" t="n"/>
      <c r="F1134" s="220" t="n"/>
      <c r="G1134" s="221">
        <f>IF(COUNTA(A1134:C1134)=0,"",IF(C1134&lt;0,"ERRO: matrícula negativa",IF(COUNTIFS($A$5:$A$1200,A1134,$B$5:$B$1200,B1134)&gt;1,"ERRO: período e curso duplicados","OK")))</f>
        <v/>
      </c>
    </row>
    <row r="1135" ht="15" customHeight="1" s="131">
      <c r="A1135" s="220" t="n"/>
      <c r="B1135" s="222" t="n"/>
      <c r="C1135" s="220" t="n"/>
      <c r="D1135" s="179">
        <f>IFERROR(C1135,"")</f>
        <v/>
      </c>
      <c r="E1135" s="219" t="n"/>
      <c r="F1135" s="220" t="n"/>
      <c r="G1135" s="221">
        <f>IF(COUNTA(A1135:C1135)=0,"",IF(C1135&lt;0,"ERRO: matrícula negativa",IF(COUNTIFS($A$5:$A$1200,A1135,$B$5:$B$1200,B1135)&gt;1,"ERRO: período e curso duplicados","OK")))</f>
        <v/>
      </c>
    </row>
    <row r="1136" ht="15" customHeight="1" s="131">
      <c r="A1136" s="220" t="n"/>
      <c r="B1136" s="222" t="n"/>
      <c r="C1136" s="220" t="n"/>
      <c r="D1136" s="179">
        <f>IFERROR(C1136,"")</f>
        <v/>
      </c>
      <c r="E1136" s="219" t="n"/>
      <c r="F1136" s="220" t="n"/>
      <c r="G1136" s="221">
        <f>IF(COUNTA(A1136:C1136)=0,"",IF(C1136&lt;0,"ERRO: matrícula negativa",IF(COUNTIFS($A$5:$A$1200,A1136,$B$5:$B$1200,B1136)&gt;1,"ERRO: período e curso duplicados","OK")))</f>
        <v/>
      </c>
    </row>
    <row r="1137" ht="15" customHeight="1" s="131">
      <c r="A1137" s="220" t="n"/>
      <c r="B1137" s="222" t="n"/>
      <c r="C1137" s="220" t="n"/>
      <c r="D1137" s="179">
        <f>IFERROR(C1137,"")</f>
        <v/>
      </c>
      <c r="E1137" s="219" t="n"/>
      <c r="F1137" s="220" t="n"/>
      <c r="G1137" s="221">
        <f>IF(COUNTA(A1137:C1137)=0,"",IF(C1137&lt;0,"ERRO: matrícula negativa",IF(COUNTIFS($A$5:$A$1200,A1137,$B$5:$B$1200,B1137)&gt;1,"ERRO: período e curso duplicados","OK")))</f>
        <v/>
      </c>
    </row>
    <row r="1138" ht="15" customHeight="1" s="131">
      <c r="A1138" s="220" t="n"/>
      <c r="B1138" s="222" t="n"/>
      <c r="C1138" s="220" t="n"/>
      <c r="D1138" s="179">
        <f>IFERROR(C1138,"")</f>
        <v/>
      </c>
      <c r="E1138" s="219" t="n"/>
      <c r="F1138" s="220" t="n"/>
      <c r="G1138" s="221">
        <f>IF(COUNTA(A1138:C1138)=0,"",IF(C1138&lt;0,"ERRO: matrícula negativa",IF(COUNTIFS($A$5:$A$1200,A1138,$B$5:$B$1200,B1138)&gt;1,"ERRO: período e curso duplicados","OK")))</f>
        <v/>
      </c>
    </row>
    <row r="1139" ht="15" customHeight="1" s="131">
      <c r="A1139" s="220" t="n"/>
      <c r="B1139" s="222" t="n"/>
      <c r="C1139" s="220" t="n"/>
      <c r="D1139" s="179">
        <f>IFERROR(C1139,"")</f>
        <v/>
      </c>
      <c r="E1139" s="219" t="n"/>
      <c r="F1139" s="220" t="n"/>
      <c r="G1139" s="221">
        <f>IF(COUNTA(A1139:C1139)=0,"",IF(C1139&lt;0,"ERRO: matrícula negativa",IF(COUNTIFS($A$5:$A$1200,A1139,$B$5:$B$1200,B1139)&gt;1,"ERRO: período e curso duplicados","OK")))</f>
        <v/>
      </c>
    </row>
    <row r="1140" ht="15" customHeight="1" s="131">
      <c r="A1140" s="220" t="n"/>
      <c r="B1140" s="222" t="n"/>
      <c r="C1140" s="220" t="n"/>
      <c r="D1140" s="179">
        <f>IFERROR(C1140,"")</f>
        <v/>
      </c>
      <c r="E1140" s="219" t="n"/>
      <c r="F1140" s="220" t="n"/>
      <c r="G1140" s="221">
        <f>IF(COUNTA(A1140:C1140)=0,"",IF(C1140&lt;0,"ERRO: matrícula negativa",IF(COUNTIFS($A$5:$A$1200,A1140,$B$5:$B$1200,B1140)&gt;1,"ERRO: período e curso duplicados","OK")))</f>
        <v/>
      </c>
    </row>
    <row r="1141" ht="15" customHeight="1" s="131">
      <c r="A1141" s="220" t="n"/>
      <c r="B1141" s="222" t="n"/>
      <c r="C1141" s="220" t="n"/>
      <c r="D1141" s="179">
        <f>IFERROR(C1141,"")</f>
        <v/>
      </c>
      <c r="E1141" s="219" t="n"/>
      <c r="F1141" s="220" t="n"/>
      <c r="G1141" s="221">
        <f>IF(COUNTA(A1141:C1141)=0,"",IF(C1141&lt;0,"ERRO: matrícula negativa",IF(COUNTIFS($A$5:$A$1200,A1141,$B$5:$B$1200,B1141)&gt;1,"ERRO: período e curso duplicados","OK")))</f>
        <v/>
      </c>
    </row>
    <row r="1142" ht="15" customHeight="1" s="131">
      <c r="A1142" s="220" t="n"/>
      <c r="B1142" s="222" t="n"/>
      <c r="C1142" s="220" t="n"/>
      <c r="D1142" s="179">
        <f>IFERROR(C1142,"")</f>
        <v/>
      </c>
      <c r="E1142" s="219" t="n"/>
      <c r="F1142" s="220" t="n"/>
      <c r="G1142" s="221">
        <f>IF(COUNTA(A1142:C1142)=0,"",IF(C1142&lt;0,"ERRO: matrícula negativa",IF(COUNTIFS($A$5:$A$1200,A1142,$B$5:$B$1200,B1142)&gt;1,"ERRO: período e curso duplicados","OK")))</f>
        <v/>
      </c>
    </row>
    <row r="1143" ht="15" customHeight="1" s="131">
      <c r="A1143" s="220" t="n"/>
      <c r="B1143" s="222" t="n"/>
      <c r="C1143" s="220" t="n"/>
      <c r="D1143" s="179">
        <f>IFERROR(C1143,"")</f>
        <v/>
      </c>
      <c r="E1143" s="219" t="n"/>
      <c r="F1143" s="220" t="n"/>
      <c r="G1143" s="221">
        <f>IF(COUNTA(A1143:C1143)=0,"",IF(C1143&lt;0,"ERRO: matrícula negativa",IF(COUNTIFS($A$5:$A$1200,A1143,$B$5:$B$1200,B1143)&gt;1,"ERRO: período e curso duplicados","OK")))</f>
        <v/>
      </c>
    </row>
    <row r="1144" ht="15" customHeight="1" s="131">
      <c r="A1144" s="220" t="n"/>
      <c r="B1144" s="222" t="n"/>
      <c r="C1144" s="220" t="n"/>
      <c r="D1144" s="179">
        <f>IFERROR(C1144,"")</f>
        <v/>
      </c>
      <c r="E1144" s="219" t="n"/>
      <c r="F1144" s="220" t="n"/>
      <c r="G1144" s="221">
        <f>IF(COUNTA(A1144:C1144)=0,"",IF(C1144&lt;0,"ERRO: matrícula negativa",IF(COUNTIFS($A$5:$A$1200,A1144,$B$5:$B$1200,B1144)&gt;1,"ERRO: período e curso duplicados","OK")))</f>
        <v/>
      </c>
    </row>
    <row r="1145" ht="15" customHeight="1" s="131">
      <c r="A1145" s="220" t="n"/>
      <c r="B1145" s="222" t="n"/>
      <c r="C1145" s="220" t="n"/>
      <c r="D1145" s="179">
        <f>IFERROR(C1145,"")</f>
        <v/>
      </c>
      <c r="E1145" s="219" t="n"/>
      <c r="F1145" s="220" t="n"/>
      <c r="G1145" s="221">
        <f>IF(COUNTA(A1145:C1145)=0,"",IF(C1145&lt;0,"ERRO: matrícula negativa",IF(COUNTIFS($A$5:$A$1200,A1145,$B$5:$B$1200,B1145)&gt;1,"ERRO: período e curso duplicados","OK")))</f>
        <v/>
      </c>
    </row>
    <row r="1146" ht="15" customHeight="1" s="131">
      <c r="A1146" s="220" t="n"/>
      <c r="B1146" s="222" t="n"/>
      <c r="C1146" s="220" t="n"/>
      <c r="D1146" s="179">
        <f>IFERROR(C1146,"")</f>
        <v/>
      </c>
      <c r="E1146" s="219" t="n"/>
      <c r="F1146" s="220" t="n"/>
      <c r="G1146" s="221">
        <f>IF(COUNTA(A1146:C1146)=0,"",IF(C1146&lt;0,"ERRO: matrícula negativa",IF(COUNTIFS($A$5:$A$1200,A1146,$B$5:$B$1200,B1146)&gt;1,"ERRO: período e curso duplicados","OK")))</f>
        <v/>
      </c>
    </row>
    <row r="1147" ht="15" customHeight="1" s="131">
      <c r="A1147" s="220" t="n"/>
      <c r="B1147" s="222" t="n"/>
      <c r="C1147" s="220" t="n"/>
      <c r="D1147" s="179">
        <f>IFERROR(C1147,"")</f>
        <v/>
      </c>
      <c r="E1147" s="219" t="n"/>
      <c r="F1147" s="220" t="n"/>
      <c r="G1147" s="221">
        <f>IF(COUNTA(A1147:C1147)=0,"",IF(C1147&lt;0,"ERRO: matrícula negativa",IF(COUNTIFS($A$5:$A$1200,A1147,$B$5:$B$1200,B1147)&gt;1,"ERRO: período e curso duplicados","OK")))</f>
        <v/>
      </c>
    </row>
    <row r="1148" ht="15" customHeight="1" s="131">
      <c r="A1148" s="220" t="n"/>
      <c r="B1148" s="222" t="n"/>
      <c r="C1148" s="220" t="n"/>
      <c r="D1148" s="179">
        <f>IFERROR(C1148,"")</f>
        <v/>
      </c>
      <c r="E1148" s="219" t="n"/>
      <c r="F1148" s="220" t="n"/>
      <c r="G1148" s="221">
        <f>IF(COUNTA(A1148:C1148)=0,"",IF(C1148&lt;0,"ERRO: matrícula negativa",IF(COUNTIFS($A$5:$A$1200,A1148,$B$5:$B$1200,B1148)&gt;1,"ERRO: período e curso duplicados","OK")))</f>
        <v/>
      </c>
    </row>
    <row r="1149" ht="15" customHeight="1" s="131">
      <c r="A1149" s="220" t="n"/>
      <c r="B1149" s="222" t="n"/>
      <c r="C1149" s="220" t="n"/>
      <c r="D1149" s="179">
        <f>IFERROR(C1149,"")</f>
        <v/>
      </c>
      <c r="E1149" s="219" t="n"/>
      <c r="F1149" s="220" t="n"/>
      <c r="G1149" s="221">
        <f>IF(COUNTA(A1149:C1149)=0,"",IF(C1149&lt;0,"ERRO: matrícula negativa",IF(COUNTIFS($A$5:$A$1200,A1149,$B$5:$B$1200,B1149)&gt;1,"ERRO: período e curso duplicados","OK")))</f>
        <v/>
      </c>
    </row>
    <row r="1150" ht="15" customHeight="1" s="131">
      <c r="A1150" s="220" t="n"/>
      <c r="B1150" s="222" t="n"/>
      <c r="C1150" s="220" t="n"/>
      <c r="D1150" s="179">
        <f>IFERROR(C1150,"")</f>
        <v/>
      </c>
      <c r="E1150" s="219" t="n"/>
      <c r="F1150" s="220" t="n"/>
      <c r="G1150" s="221">
        <f>IF(COUNTA(A1150:C1150)=0,"",IF(C1150&lt;0,"ERRO: matrícula negativa",IF(COUNTIFS($A$5:$A$1200,A1150,$B$5:$B$1200,B1150)&gt;1,"ERRO: período e curso duplicados","OK")))</f>
        <v/>
      </c>
    </row>
    <row r="1151" ht="15" customHeight="1" s="131">
      <c r="A1151" s="220" t="n"/>
      <c r="B1151" s="222" t="n"/>
      <c r="C1151" s="220" t="n"/>
      <c r="D1151" s="179">
        <f>IFERROR(C1151,"")</f>
        <v/>
      </c>
      <c r="E1151" s="219" t="n"/>
      <c r="F1151" s="220" t="n"/>
      <c r="G1151" s="221">
        <f>IF(COUNTA(A1151:C1151)=0,"",IF(C1151&lt;0,"ERRO: matrícula negativa",IF(COUNTIFS($A$5:$A$1200,A1151,$B$5:$B$1200,B1151)&gt;1,"ERRO: período e curso duplicados","OK")))</f>
        <v/>
      </c>
    </row>
    <row r="1152" ht="15" customHeight="1" s="131">
      <c r="A1152" s="220" t="n"/>
      <c r="B1152" s="222" t="n"/>
      <c r="C1152" s="220" t="n"/>
      <c r="D1152" s="179">
        <f>IFERROR(C1152,"")</f>
        <v/>
      </c>
      <c r="E1152" s="219" t="n"/>
      <c r="F1152" s="220" t="n"/>
      <c r="G1152" s="221">
        <f>IF(COUNTA(A1152:C1152)=0,"",IF(C1152&lt;0,"ERRO: matrícula negativa",IF(COUNTIFS($A$5:$A$1200,A1152,$B$5:$B$1200,B1152)&gt;1,"ERRO: período e curso duplicados","OK")))</f>
        <v/>
      </c>
    </row>
    <row r="1153" ht="15" customHeight="1" s="131">
      <c r="A1153" s="220" t="n"/>
      <c r="B1153" s="222" t="n"/>
      <c r="C1153" s="220" t="n"/>
      <c r="D1153" s="179">
        <f>IFERROR(C1153,"")</f>
        <v/>
      </c>
      <c r="E1153" s="219" t="n"/>
      <c r="F1153" s="220" t="n"/>
      <c r="G1153" s="221">
        <f>IF(COUNTA(A1153:C1153)=0,"",IF(C1153&lt;0,"ERRO: matrícula negativa",IF(COUNTIFS($A$5:$A$1200,A1153,$B$5:$B$1200,B1153)&gt;1,"ERRO: período e curso duplicados","OK")))</f>
        <v/>
      </c>
    </row>
    <row r="1154" ht="15" customHeight="1" s="131">
      <c r="A1154" s="220" t="n"/>
      <c r="B1154" s="222" t="n"/>
      <c r="C1154" s="220" t="n"/>
      <c r="D1154" s="179">
        <f>IFERROR(C1154,"")</f>
        <v/>
      </c>
      <c r="E1154" s="219" t="n"/>
      <c r="F1154" s="220" t="n"/>
      <c r="G1154" s="221">
        <f>IF(COUNTA(A1154:C1154)=0,"",IF(C1154&lt;0,"ERRO: matrícula negativa",IF(COUNTIFS($A$5:$A$1200,A1154,$B$5:$B$1200,B1154)&gt;1,"ERRO: período e curso duplicados","OK")))</f>
        <v/>
      </c>
    </row>
    <row r="1155" ht="15" customHeight="1" s="131">
      <c r="A1155" s="220" t="n"/>
      <c r="B1155" s="222" t="n"/>
      <c r="C1155" s="220" t="n"/>
      <c r="D1155" s="179">
        <f>IFERROR(C1155,"")</f>
        <v/>
      </c>
      <c r="E1155" s="219" t="n"/>
      <c r="F1155" s="220" t="n"/>
      <c r="G1155" s="221">
        <f>IF(COUNTA(A1155:C1155)=0,"",IF(C1155&lt;0,"ERRO: matrícula negativa",IF(COUNTIFS($A$5:$A$1200,A1155,$B$5:$B$1200,B1155)&gt;1,"ERRO: período e curso duplicados","OK")))</f>
        <v/>
      </c>
    </row>
    <row r="1156" ht="15" customHeight="1" s="131">
      <c r="A1156" s="220" t="n"/>
      <c r="B1156" s="222" t="n"/>
      <c r="C1156" s="220" t="n"/>
      <c r="D1156" s="179">
        <f>IFERROR(C1156,"")</f>
        <v/>
      </c>
      <c r="E1156" s="219" t="n"/>
      <c r="F1156" s="220" t="n"/>
      <c r="G1156" s="221">
        <f>IF(COUNTA(A1156:C1156)=0,"",IF(C1156&lt;0,"ERRO: matrícula negativa",IF(COUNTIFS($A$5:$A$1200,A1156,$B$5:$B$1200,B1156)&gt;1,"ERRO: período e curso duplicados","OK")))</f>
        <v/>
      </c>
    </row>
    <row r="1157" ht="15" customHeight="1" s="131">
      <c r="A1157" s="220" t="n"/>
      <c r="B1157" s="222" t="n"/>
      <c r="C1157" s="220" t="n"/>
      <c r="D1157" s="179">
        <f>IFERROR(C1157,"")</f>
        <v/>
      </c>
      <c r="E1157" s="219" t="n"/>
      <c r="F1157" s="220" t="n"/>
      <c r="G1157" s="221">
        <f>IF(COUNTA(A1157:C1157)=0,"",IF(C1157&lt;0,"ERRO: matrícula negativa",IF(COUNTIFS($A$5:$A$1200,A1157,$B$5:$B$1200,B1157)&gt;1,"ERRO: período e curso duplicados","OK")))</f>
        <v/>
      </c>
    </row>
    <row r="1158" ht="15" customHeight="1" s="131">
      <c r="A1158" s="220" t="n"/>
      <c r="B1158" s="222" t="n"/>
      <c r="C1158" s="220" t="n"/>
      <c r="D1158" s="179">
        <f>IFERROR(C1158,"")</f>
        <v/>
      </c>
      <c r="E1158" s="219" t="n"/>
      <c r="F1158" s="220" t="n"/>
      <c r="G1158" s="221">
        <f>IF(COUNTA(A1158:C1158)=0,"",IF(C1158&lt;0,"ERRO: matrícula negativa",IF(COUNTIFS($A$5:$A$1200,A1158,$B$5:$B$1200,B1158)&gt;1,"ERRO: período e curso duplicados","OK")))</f>
        <v/>
      </c>
    </row>
    <row r="1159" ht="15" customHeight="1" s="131">
      <c r="A1159" s="220" t="n"/>
      <c r="B1159" s="222" t="n"/>
      <c r="C1159" s="220" t="n"/>
      <c r="D1159" s="179">
        <f>IFERROR(C1159,"")</f>
        <v/>
      </c>
      <c r="E1159" s="219" t="n"/>
      <c r="F1159" s="220" t="n"/>
      <c r="G1159" s="221">
        <f>IF(COUNTA(A1159:C1159)=0,"",IF(C1159&lt;0,"ERRO: matrícula negativa",IF(COUNTIFS($A$5:$A$1200,A1159,$B$5:$B$1200,B1159)&gt;1,"ERRO: período e curso duplicados","OK")))</f>
        <v/>
      </c>
    </row>
    <row r="1160" ht="15" customHeight="1" s="131">
      <c r="A1160" s="220" t="n"/>
      <c r="B1160" s="222" t="n"/>
      <c r="C1160" s="220" t="n"/>
      <c r="D1160" s="179">
        <f>IFERROR(C1160,"")</f>
        <v/>
      </c>
      <c r="E1160" s="219" t="n"/>
      <c r="F1160" s="220" t="n"/>
      <c r="G1160" s="221">
        <f>IF(COUNTA(A1160:C1160)=0,"",IF(C1160&lt;0,"ERRO: matrícula negativa",IF(COUNTIFS($A$5:$A$1200,A1160,$B$5:$B$1200,B1160)&gt;1,"ERRO: período e curso duplicados","OK")))</f>
        <v/>
      </c>
    </row>
    <row r="1161" ht="15" customHeight="1" s="131">
      <c r="A1161" s="220" t="n"/>
      <c r="B1161" s="222" t="n"/>
      <c r="C1161" s="220" t="n"/>
      <c r="D1161" s="179">
        <f>IFERROR(C1161,"")</f>
        <v/>
      </c>
      <c r="E1161" s="219" t="n"/>
      <c r="F1161" s="220" t="n"/>
      <c r="G1161" s="221">
        <f>IF(COUNTA(A1161:C1161)=0,"",IF(C1161&lt;0,"ERRO: matrícula negativa",IF(COUNTIFS($A$5:$A$1200,A1161,$B$5:$B$1200,B1161)&gt;1,"ERRO: período e curso duplicados","OK")))</f>
        <v/>
      </c>
    </row>
    <row r="1162" ht="15" customHeight="1" s="131">
      <c r="A1162" s="220" t="n"/>
      <c r="B1162" s="222" t="n"/>
      <c r="C1162" s="220" t="n"/>
      <c r="D1162" s="179">
        <f>IFERROR(C1162,"")</f>
        <v/>
      </c>
      <c r="E1162" s="219" t="n"/>
      <c r="F1162" s="220" t="n"/>
      <c r="G1162" s="221">
        <f>IF(COUNTA(A1162:C1162)=0,"",IF(C1162&lt;0,"ERRO: matrícula negativa",IF(COUNTIFS($A$5:$A$1200,A1162,$B$5:$B$1200,B1162)&gt;1,"ERRO: período e curso duplicados","OK")))</f>
        <v/>
      </c>
    </row>
    <row r="1163" ht="15" customHeight="1" s="131">
      <c r="A1163" s="220" t="n"/>
      <c r="B1163" s="222" t="n"/>
      <c r="C1163" s="220" t="n"/>
      <c r="D1163" s="179">
        <f>IFERROR(C1163,"")</f>
        <v/>
      </c>
      <c r="E1163" s="219" t="n"/>
      <c r="F1163" s="220" t="n"/>
      <c r="G1163" s="221">
        <f>IF(COUNTA(A1163:C1163)=0,"",IF(C1163&lt;0,"ERRO: matrícula negativa",IF(COUNTIFS($A$5:$A$1200,A1163,$B$5:$B$1200,B1163)&gt;1,"ERRO: período e curso duplicados","OK")))</f>
        <v/>
      </c>
    </row>
    <row r="1164" ht="15" customHeight="1" s="131">
      <c r="A1164" s="220" t="n"/>
      <c r="B1164" s="222" t="n"/>
      <c r="C1164" s="220" t="n"/>
      <c r="D1164" s="179">
        <f>IFERROR(C1164,"")</f>
        <v/>
      </c>
      <c r="E1164" s="219" t="n"/>
      <c r="F1164" s="220" t="n"/>
      <c r="G1164" s="221">
        <f>IF(COUNTA(A1164:C1164)=0,"",IF(C1164&lt;0,"ERRO: matrícula negativa",IF(COUNTIFS($A$5:$A$1200,A1164,$B$5:$B$1200,B1164)&gt;1,"ERRO: período e curso duplicados","OK")))</f>
        <v/>
      </c>
    </row>
    <row r="1165" ht="15" customHeight="1" s="131">
      <c r="A1165" s="220" t="n"/>
      <c r="B1165" s="222" t="n"/>
      <c r="C1165" s="220" t="n"/>
      <c r="D1165" s="179">
        <f>IFERROR(C1165,"")</f>
        <v/>
      </c>
      <c r="E1165" s="219" t="n"/>
      <c r="F1165" s="220" t="n"/>
      <c r="G1165" s="221">
        <f>IF(COUNTA(A1165:C1165)=0,"",IF(C1165&lt;0,"ERRO: matrícula negativa",IF(COUNTIFS($A$5:$A$1200,A1165,$B$5:$B$1200,B1165)&gt;1,"ERRO: período e curso duplicados","OK")))</f>
        <v/>
      </c>
    </row>
    <row r="1166" ht="15" customHeight="1" s="131">
      <c r="A1166" s="220" t="n"/>
      <c r="B1166" s="222" t="n"/>
      <c r="C1166" s="220" t="n"/>
      <c r="D1166" s="179">
        <f>IFERROR(C1166,"")</f>
        <v/>
      </c>
      <c r="E1166" s="219" t="n"/>
      <c r="F1166" s="220" t="n"/>
      <c r="G1166" s="221">
        <f>IF(COUNTA(A1166:C1166)=0,"",IF(C1166&lt;0,"ERRO: matrícula negativa",IF(COUNTIFS($A$5:$A$1200,A1166,$B$5:$B$1200,B1166)&gt;1,"ERRO: período e curso duplicados","OK")))</f>
        <v/>
      </c>
    </row>
    <row r="1167" ht="15" customHeight="1" s="131">
      <c r="A1167" s="220" t="n"/>
      <c r="B1167" s="222" t="n"/>
      <c r="C1167" s="220" t="n"/>
      <c r="D1167" s="179">
        <f>IFERROR(C1167,"")</f>
        <v/>
      </c>
      <c r="E1167" s="219" t="n"/>
      <c r="F1167" s="220" t="n"/>
      <c r="G1167" s="221">
        <f>IF(COUNTA(A1167:C1167)=0,"",IF(C1167&lt;0,"ERRO: matrícula negativa",IF(COUNTIFS($A$5:$A$1200,A1167,$B$5:$B$1200,B1167)&gt;1,"ERRO: período e curso duplicados","OK")))</f>
        <v/>
      </c>
    </row>
    <row r="1168" ht="15" customHeight="1" s="131">
      <c r="A1168" s="220" t="n"/>
      <c r="B1168" s="222" t="n"/>
      <c r="C1168" s="220" t="n"/>
      <c r="D1168" s="179">
        <f>IFERROR(C1168,"")</f>
        <v/>
      </c>
      <c r="E1168" s="219" t="n"/>
      <c r="F1168" s="220" t="n"/>
      <c r="G1168" s="221">
        <f>IF(COUNTA(A1168:C1168)=0,"",IF(C1168&lt;0,"ERRO: matrícula negativa",IF(COUNTIFS($A$5:$A$1200,A1168,$B$5:$B$1200,B1168)&gt;1,"ERRO: período e curso duplicados","OK")))</f>
        <v/>
      </c>
    </row>
    <row r="1169" ht="15" customHeight="1" s="131">
      <c r="A1169" s="220" t="n"/>
      <c r="B1169" s="222" t="n"/>
      <c r="C1169" s="220" t="n"/>
      <c r="D1169" s="179">
        <f>IFERROR(C1169,"")</f>
        <v/>
      </c>
      <c r="E1169" s="219" t="n"/>
      <c r="F1169" s="220" t="n"/>
      <c r="G1169" s="221">
        <f>IF(COUNTA(A1169:C1169)=0,"",IF(C1169&lt;0,"ERRO: matrícula negativa",IF(COUNTIFS($A$5:$A$1200,A1169,$B$5:$B$1200,B1169)&gt;1,"ERRO: período e curso duplicados","OK")))</f>
        <v/>
      </c>
    </row>
    <row r="1170" ht="15" customHeight="1" s="131">
      <c r="A1170" s="220" t="n"/>
      <c r="B1170" s="222" t="n"/>
      <c r="C1170" s="220" t="n"/>
      <c r="D1170" s="179">
        <f>IFERROR(C1170,"")</f>
        <v/>
      </c>
      <c r="E1170" s="219" t="n"/>
      <c r="F1170" s="220" t="n"/>
      <c r="G1170" s="221">
        <f>IF(COUNTA(A1170:C1170)=0,"",IF(C1170&lt;0,"ERRO: matrícula negativa",IF(COUNTIFS($A$5:$A$1200,A1170,$B$5:$B$1200,B1170)&gt;1,"ERRO: período e curso duplicados","OK")))</f>
        <v/>
      </c>
    </row>
    <row r="1171" ht="15" customHeight="1" s="131">
      <c r="A1171" s="220" t="n"/>
      <c r="B1171" s="222" t="n"/>
      <c r="C1171" s="220" t="n"/>
      <c r="D1171" s="179">
        <f>IFERROR(C1171,"")</f>
        <v/>
      </c>
      <c r="E1171" s="219" t="n"/>
      <c r="F1171" s="220" t="n"/>
      <c r="G1171" s="221">
        <f>IF(COUNTA(A1171:C1171)=0,"",IF(C1171&lt;0,"ERRO: matrícula negativa",IF(COUNTIFS($A$5:$A$1200,A1171,$B$5:$B$1200,B1171)&gt;1,"ERRO: período e curso duplicados","OK")))</f>
        <v/>
      </c>
    </row>
    <row r="1172" ht="15" customHeight="1" s="131">
      <c r="A1172" s="220" t="n"/>
      <c r="B1172" s="222" t="n"/>
      <c r="C1172" s="220" t="n"/>
      <c r="D1172" s="179">
        <f>IFERROR(C1172,"")</f>
        <v/>
      </c>
      <c r="E1172" s="219" t="n"/>
      <c r="F1172" s="220" t="n"/>
      <c r="G1172" s="221">
        <f>IF(COUNTA(A1172:C1172)=0,"",IF(C1172&lt;0,"ERRO: matrícula negativa",IF(COUNTIFS($A$5:$A$1200,A1172,$B$5:$B$1200,B1172)&gt;1,"ERRO: período e curso duplicados","OK")))</f>
        <v/>
      </c>
    </row>
    <row r="1173" ht="15" customHeight="1" s="131">
      <c r="A1173" s="220" t="n"/>
      <c r="B1173" s="222" t="n"/>
      <c r="C1173" s="220" t="n"/>
      <c r="D1173" s="179">
        <f>IFERROR(C1173,"")</f>
        <v/>
      </c>
      <c r="E1173" s="219" t="n"/>
      <c r="F1173" s="220" t="n"/>
      <c r="G1173" s="221">
        <f>IF(COUNTA(A1173:C1173)=0,"",IF(C1173&lt;0,"ERRO: matrícula negativa",IF(COUNTIFS($A$5:$A$1200,A1173,$B$5:$B$1200,B1173)&gt;1,"ERRO: período e curso duplicados","OK")))</f>
        <v/>
      </c>
    </row>
    <row r="1174" ht="15" customHeight="1" s="131">
      <c r="A1174" s="220" t="n"/>
      <c r="B1174" s="222" t="n"/>
      <c r="C1174" s="220" t="n"/>
      <c r="D1174" s="179">
        <f>IFERROR(C1174,"")</f>
        <v/>
      </c>
      <c r="E1174" s="219" t="n"/>
      <c r="F1174" s="220" t="n"/>
      <c r="G1174" s="221">
        <f>IF(COUNTA(A1174:C1174)=0,"",IF(C1174&lt;0,"ERRO: matrícula negativa",IF(COUNTIFS($A$5:$A$1200,A1174,$B$5:$B$1200,B1174)&gt;1,"ERRO: período e curso duplicados","OK")))</f>
        <v/>
      </c>
    </row>
    <row r="1175" ht="15" customHeight="1" s="131">
      <c r="A1175" s="220" t="n"/>
      <c r="B1175" s="222" t="n"/>
      <c r="C1175" s="220" t="n"/>
      <c r="D1175" s="179">
        <f>IFERROR(C1175,"")</f>
        <v/>
      </c>
      <c r="E1175" s="219" t="n"/>
      <c r="F1175" s="220" t="n"/>
      <c r="G1175" s="221">
        <f>IF(COUNTA(A1175:C1175)=0,"",IF(C1175&lt;0,"ERRO: matrícula negativa",IF(COUNTIFS($A$5:$A$1200,A1175,$B$5:$B$1200,B1175)&gt;1,"ERRO: período e curso duplicados","OK")))</f>
        <v/>
      </c>
    </row>
    <row r="1176" ht="15" customHeight="1" s="131">
      <c r="A1176" s="220" t="n"/>
      <c r="B1176" s="222" t="n"/>
      <c r="C1176" s="220" t="n"/>
      <c r="D1176" s="179">
        <f>IFERROR(C1176,"")</f>
        <v/>
      </c>
      <c r="E1176" s="219" t="n"/>
      <c r="F1176" s="220" t="n"/>
      <c r="G1176" s="221">
        <f>IF(COUNTA(A1176:C1176)=0,"",IF(C1176&lt;0,"ERRO: matrícula negativa",IF(COUNTIFS($A$5:$A$1200,A1176,$B$5:$B$1200,B1176)&gt;1,"ERRO: período e curso duplicados","OK")))</f>
        <v/>
      </c>
    </row>
    <row r="1177" ht="15" customHeight="1" s="131">
      <c r="A1177" s="220" t="n"/>
      <c r="B1177" s="222" t="n"/>
      <c r="C1177" s="220" t="n"/>
      <c r="D1177" s="179">
        <f>IFERROR(C1177,"")</f>
        <v/>
      </c>
      <c r="E1177" s="219" t="n"/>
      <c r="F1177" s="220" t="n"/>
      <c r="G1177" s="221">
        <f>IF(COUNTA(A1177:C1177)=0,"",IF(C1177&lt;0,"ERRO: matrícula negativa",IF(COUNTIFS($A$5:$A$1200,A1177,$B$5:$B$1200,B1177)&gt;1,"ERRO: período e curso duplicados","OK")))</f>
        <v/>
      </c>
    </row>
    <row r="1178" ht="15" customHeight="1" s="131">
      <c r="A1178" s="220" t="n"/>
      <c r="B1178" s="222" t="n"/>
      <c r="C1178" s="220" t="n"/>
      <c r="D1178" s="179">
        <f>IFERROR(C1178,"")</f>
        <v/>
      </c>
      <c r="E1178" s="219" t="n"/>
      <c r="F1178" s="220" t="n"/>
      <c r="G1178" s="221">
        <f>IF(COUNTA(A1178:C1178)=0,"",IF(C1178&lt;0,"ERRO: matrícula negativa",IF(COUNTIFS($A$5:$A$1200,A1178,$B$5:$B$1200,B1178)&gt;1,"ERRO: período e curso duplicados","OK")))</f>
        <v/>
      </c>
    </row>
    <row r="1179" ht="15" customHeight="1" s="131">
      <c r="A1179" s="220" t="n"/>
      <c r="B1179" s="222" t="n"/>
      <c r="C1179" s="220" t="n"/>
      <c r="D1179" s="179">
        <f>IFERROR(C1179,"")</f>
        <v/>
      </c>
      <c r="E1179" s="219" t="n"/>
      <c r="F1179" s="220" t="n"/>
      <c r="G1179" s="221">
        <f>IF(COUNTA(A1179:C1179)=0,"",IF(C1179&lt;0,"ERRO: matrícula negativa",IF(COUNTIFS($A$5:$A$1200,A1179,$B$5:$B$1200,B1179)&gt;1,"ERRO: período e curso duplicados","OK")))</f>
        <v/>
      </c>
    </row>
    <row r="1180" ht="15" customHeight="1" s="131">
      <c r="A1180" s="220" t="n"/>
      <c r="B1180" s="222" t="n"/>
      <c r="C1180" s="220" t="n"/>
      <c r="D1180" s="179">
        <f>IFERROR(C1180,"")</f>
        <v/>
      </c>
      <c r="E1180" s="219" t="n"/>
      <c r="F1180" s="220" t="n"/>
      <c r="G1180" s="221">
        <f>IF(COUNTA(A1180:C1180)=0,"",IF(C1180&lt;0,"ERRO: matrícula negativa",IF(COUNTIFS($A$5:$A$1200,A1180,$B$5:$B$1200,B1180)&gt;1,"ERRO: período e curso duplicados","OK")))</f>
        <v/>
      </c>
    </row>
    <row r="1181" ht="15" customHeight="1" s="131">
      <c r="A1181" s="220" t="n"/>
      <c r="B1181" s="222" t="n"/>
      <c r="C1181" s="220" t="n"/>
      <c r="D1181" s="179">
        <f>IFERROR(C1181,"")</f>
        <v/>
      </c>
      <c r="E1181" s="219" t="n"/>
      <c r="F1181" s="220" t="n"/>
      <c r="G1181" s="221">
        <f>IF(COUNTA(A1181:C1181)=0,"",IF(C1181&lt;0,"ERRO: matrícula negativa",IF(COUNTIFS($A$5:$A$1200,A1181,$B$5:$B$1200,B1181)&gt;1,"ERRO: período e curso duplicados","OK")))</f>
        <v/>
      </c>
    </row>
    <row r="1182" ht="15" customHeight="1" s="131">
      <c r="A1182" s="220" t="n"/>
      <c r="B1182" s="222" t="n"/>
      <c r="C1182" s="220" t="n"/>
      <c r="D1182" s="179">
        <f>IFERROR(C1182,"")</f>
        <v/>
      </c>
      <c r="E1182" s="219" t="n"/>
      <c r="F1182" s="220" t="n"/>
      <c r="G1182" s="221">
        <f>IF(COUNTA(A1182:C1182)=0,"",IF(C1182&lt;0,"ERRO: matrícula negativa",IF(COUNTIFS($A$5:$A$1200,A1182,$B$5:$B$1200,B1182)&gt;1,"ERRO: período e curso duplicados","OK")))</f>
        <v/>
      </c>
    </row>
    <row r="1183" ht="15" customHeight="1" s="131">
      <c r="A1183" s="220" t="n"/>
      <c r="B1183" s="222" t="n"/>
      <c r="C1183" s="220" t="n"/>
      <c r="D1183" s="179">
        <f>IFERROR(C1183,"")</f>
        <v/>
      </c>
      <c r="E1183" s="219" t="n"/>
      <c r="F1183" s="220" t="n"/>
      <c r="G1183" s="221">
        <f>IF(COUNTA(A1183:C1183)=0,"",IF(C1183&lt;0,"ERRO: matrícula negativa",IF(COUNTIFS($A$5:$A$1200,A1183,$B$5:$B$1200,B1183)&gt;1,"ERRO: período e curso duplicados","OK")))</f>
        <v/>
      </c>
    </row>
    <row r="1184" ht="15" customHeight="1" s="131">
      <c r="A1184" s="220" t="n"/>
      <c r="B1184" s="222" t="n"/>
      <c r="C1184" s="220" t="n"/>
      <c r="D1184" s="179">
        <f>IFERROR(C1184,"")</f>
        <v/>
      </c>
      <c r="E1184" s="219" t="n"/>
      <c r="F1184" s="220" t="n"/>
      <c r="G1184" s="221">
        <f>IF(COUNTA(A1184:C1184)=0,"",IF(C1184&lt;0,"ERRO: matrícula negativa",IF(COUNTIFS($A$5:$A$1200,A1184,$B$5:$B$1200,B1184)&gt;1,"ERRO: período e curso duplicados","OK")))</f>
        <v/>
      </c>
    </row>
    <row r="1185" ht="15" customHeight="1" s="131">
      <c r="A1185" s="220" t="n"/>
      <c r="B1185" s="222" t="n"/>
      <c r="C1185" s="220" t="n"/>
      <c r="D1185" s="179">
        <f>IFERROR(C1185,"")</f>
        <v/>
      </c>
      <c r="E1185" s="219" t="n"/>
      <c r="F1185" s="220" t="n"/>
      <c r="G1185" s="221">
        <f>IF(COUNTA(A1185:C1185)=0,"",IF(C1185&lt;0,"ERRO: matrícula negativa",IF(COUNTIFS($A$5:$A$1200,A1185,$B$5:$B$1200,B1185)&gt;1,"ERRO: período e curso duplicados","OK")))</f>
        <v/>
      </c>
    </row>
    <row r="1186" ht="15" customHeight="1" s="131">
      <c r="A1186" s="220" t="n"/>
      <c r="B1186" s="222" t="n"/>
      <c r="C1186" s="220" t="n"/>
      <c r="D1186" s="179">
        <f>IFERROR(C1186,"")</f>
        <v/>
      </c>
      <c r="E1186" s="219" t="n"/>
      <c r="F1186" s="220" t="n"/>
      <c r="G1186" s="221">
        <f>IF(COUNTA(A1186:C1186)=0,"",IF(C1186&lt;0,"ERRO: matrícula negativa",IF(COUNTIFS($A$5:$A$1200,A1186,$B$5:$B$1200,B1186)&gt;1,"ERRO: período e curso duplicados","OK")))</f>
        <v/>
      </c>
    </row>
    <row r="1187" ht="15" customHeight="1" s="131">
      <c r="A1187" s="220" t="n"/>
      <c r="B1187" s="222" t="n"/>
      <c r="C1187" s="220" t="n"/>
      <c r="D1187" s="179">
        <f>IFERROR(C1187,"")</f>
        <v/>
      </c>
      <c r="E1187" s="219" t="n"/>
      <c r="F1187" s="220" t="n"/>
      <c r="G1187" s="221">
        <f>IF(COUNTA(A1187:C1187)=0,"",IF(C1187&lt;0,"ERRO: matrícula negativa",IF(COUNTIFS($A$5:$A$1200,A1187,$B$5:$B$1200,B1187)&gt;1,"ERRO: período e curso duplicados","OK")))</f>
        <v/>
      </c>
    </row>
    <row r="1188" ht="15" customHeight="1" s="131">
      <c r="A1188" s="220" t="n"/>
      <c r="B1188" s="222" t="n"/>
      <c r="C1188" s="220" t="n"/>
      <c r="D1188" s="179">
        <f>IFERROR(C1188,"")</f>
        <v/>
      </c>
      <c r="E1188" s="219" t="n"/>
      <c r="F1188" s="220" t="n"/>
      <c r="G1188" s="221">
        <f>IF(COUNTA(A1188:C1188)=0,"",IF(C1188&lt;0,"ERRO: matrícula negativa",IF(COUNTIFS($A$5:$A$1200,A1188,$B$5:$B$1200,B1188)&gt;1,"ERRO: período e curso duplicados","OK")))</f>
        <v/>
      </c>
    </row>
    <row r="1189" ht="15" customHeight="1" s="131">
      <c r="A1189" s="220" t="n"/>
      <c r="B1189" s="222" t="n"/>
      <c r="C1189" s="220" t="n"/>
      <c r="D1189" s="179">
        <f>IFERROR(C1189,"")</f>
        <v/>
      </c>
      <c r="E1189" s="219" t="n"/>
      <c r="F1189" s="220" t="n"/>
      <c r="G1189" s="221">
        <f>IF(COUNTA(A1189:C1189)=0,"",IF(C1189&lt;0,"ERRO: matrícula negativa",IF(COUNTIFS($A$5:$A$1200,A1189,$B$5:$B$1200,B1189)&gt;1,"ERRO: período e curso duplicados","OK")))</f>
        <v/>
      </c>
    </row>
    <row r="1190" ht="15" customHeight="1" s="131">
      <c r="A1190" s="220" t="n"/>
      <c r="B1190" s="222" t="n"/>
      <c r="C1190" s="220" t="n"/>
      <c r="D1190" s="179">
        <f>IFERROR(C1190,"")</f>
        <v/>
      </c>
      <c r="E1190" s="219" t="n"/>
      <c r="F1190" s="220" t="n"/>
      <c r="G1190" s="221">
        <f>IF(COUNTA(A1190:C1190)=0,"",IF(C1190&lt;0,"ERRO: matrícula negativa",IF(COUNTIFS($A$5:$A$1200,A1190,$B$5:$B$1200,B1190)&gt;1,"ERRO: período e curso duplicados","OK")))</f>
        <v/>
      </c>
    </row>
    <row r="1191" ht="15" customHeight="1" s="131">
      <c r="A1191" s="220" t="n"/>
      <c r="B1191" s="222" t="n"/>
      <c r="C1191" s="220" t="n"/>
      <c r="D1191" s="179">
        <f>IFERROR(C1191,"")</f>
        <v/>
      </c>
      <c r="E1191" s="219" t="n"/>
      <c r="F1191" s="220" t="n"/>
      <c r="G1191" s="221">
        <f>IF(COUNTA(A1191:C1191)=0,"",IF(C1191&lt;0,"ERRO: matrícula negativa",IF(COUNTIFS($A$5:$A$1200,A1191,$B$5:$B$1200,B1191)&gt;1,"ERRO: período e curso duplicados","OK")))</f>
        <v/>
      </c>
    </row>
    <row r="1192" ht="15" customHeight="1" s="131">
      <c r="A1192" s="220" t="n"/>
      <c r="B1192" s="222" t="n"/>
      <c r="C1192" s="220" t="n"/>
      <c r="D1192" s="179">
        <f>IFERROR(C1192,"")</f>
        <v/>
      </c>
      <c r="E1192" s="219" t="n"/>
      <c r="F1192" s="220" t="n"/>
      <c r="G1192" s="221">
        <f>IF(COUNTA(A1192:C1192)=0,"",IF(C1192&lt;0,"ERRO: matrícula negativa",IF(COUNTIFS($A$5:$A$1200,A1192,$B$5:$B$1200,B1192)&gt;1,"ERRO: período e curso duplicados","OK")))</f>
        <v/>
      </c>
    </row>
    <row r="1193" ht="15" customHeight="1" s="131">
      <c r="A1193" s="220" t="n"/>
      <c r="B1193" s="222" t="n"/>
      <c r="C1193" s="220" t="n"/>
      <c r="D1193" s="179">
        <f>IFERROR(C1193,"")</f>
        <v/>
      </c>
      <c r="E1193" s="219" t="n"/>
      <c r="F1193" s="220" t="n"/>
      <c r="G1193" s="221">
        <f>IF(COUNTA(A1193:C1193)=0,"",IF(C1193&lt;0,"ERRO: matrícula negativa",IF(COUNTIFS($A$5:$A$1200,A1193,$B$5:$B$1200,B1193)&gt;1,"ERRO: período e curso duplicados","OK")))</f>
        <v/>
      </c>
    </row>
    <row r="1194" ht="15" customHeight="1" s="131">
      <c r="A1194" s="220" t="n"/>
      <c r="B1194" s="222" t="n"/>
      <c r="C1194" s="220" t="n"/>
      <c r="D1194" s="179">
        <f>IFERROR(C1194,"")</f>
        <v/>
      </c>
      <c r="E1194" s="219" t="n"/>
      <c r="F1194" s="220" t="n"/>
      <c r="G1194" s="221">
        <f>IF(COUNTA(A1194:C1194)=0,"",IF(C1194&lt;0,"ERRO: matrícula negativa",IF(COUNTIFS($A$5:$A$1200,A1194,$B$5:$B$1200,B1194)&gt;1,"ERRO: período e curso duplicados","OK")))</f>
        <v/>
      </c>
    </row>
    <row r="1195" ht="15" customHeight="1" s="131">
      <c r="A1195" s="220" t="n"/>
      <c r="B1195" s="222" t="n"/>
      <c r="C1195" s="220" t="n"/>
      <c r="D1195" s="179">
        <f>IFERROR(C1195,"")</f>
        <v/>
      </c>
      <c r="E1195" s="219" t="n"/>
      <c r="F1195" s="220" t="n"/>
      <c r="G1195" s="221">
        <f>IF(COUNTA(A1195:C1195)=0,"",IF(C1195&lt;0,"ERRO: matrícula negativa",IF(COUNTIFS($A$5:$A$1200,A1195,$B$5:$B$1200,B1195)&gt;1,"ERRO: período e curso duplicados","OK")))</f>
        <v/>
      </c>
    </row>
    <row r="1196" ht="15" customHeight="1" s="131">
      <c r="A1196" s="220" t="n"/>
      <c r="B1196" s="222" t="n"/>
      <c r="C1196" s="220" t="n"/>
      <c r="D1196" s="179">
        <f>IFERROR(C1196,"")</f>
        <v/>
      </c>
      <c r="E1196" s="219" t="n"/>
      <c r="F1196" s="220" t="n"/>
      <c r="G1196" s="221">
        <f>IF(COUNTA(A1196:C1196)=0,"",IF(C1196&lt;0,"ERRO: matrícula negativa",IF(COUNTIFS($A$5:$A$1200,A1196,$B$5:$B$1200,B1196)&gt;1,"ERRO: período e curso duplicados","OK")))</f>
        <v/>
      </c>
    </row>
    <row r="1197" ht="15" customHeight="1" s="131">
      <c r="A1197" s="220" t="n"/>
      <c r="B1197" s="222" t="n"/>
      <c r="C1197" s="220" t="n"/>
      <c r="D1197" s="179">
        <f>IFERROR(C1197,"")</f>
        <v/>
      </c>
      <c r="E1197" s="219" t="n"/>
      <c r="F1197" s="220" t="n"/>
      <c r="G1197" s="221">
        <f>IF(COUNTA(A1197:C1197)=0,"",IF(C1197&lt;0,"ERRO: matrícula negativa",IF(COUNTIFS($A$5:$A$1200,A1197,$B$5:$B$1200,B1197)&gt;1,"ERRO: período e curso duplicados","OK")))</f>
        <v/>
      </c>
    </row>
    <row r="1198" ht="15" customHeight="1" s="131">
      <c r="A1198" s="220" t="n"/>
      <c r="B1198" s="222" t="n"/>
      <c r="C1198" s="220" t="n"/>
      <c r="D1198" s="179">
        <f>IFERROR(C1198,"")</f>
        <v/>
      </c>
      <c r="E1198" s="219" t="n"/>
      <c r="F1198" s="220" t="n"/>
      <c r="G1198" s="221">
        <f>IF(COUNTA(A1198:C1198)=0,"",IF(C1198&lt;0,"ERRO: matrícula negativa",IF(COUNTIFS($A$5:$A$1200,A1198,$B$5:$B$1200,B1198)&gt;1,"ERRO: período e curso duplicados","OK")))</f>
        <v/>
      </c>
    </row>
    <row r="1199" ht="15" customHeight="1" s="131">
      <c r="A1199" s="220" t="n"/>
      <c r="B1199" s="222" t="n"/>
      <c r="C1199" s="220" t="n"/>
      <c r="D1199" s="179">
        <f>IFERROR(C1199,"")</f>
        <v/>
      </c>
      <c r="E1199" s="219" t="n"/>
      <c r="F1199" s="220" t="n"/>
      <c r="G1199" s="221">
        <f>IF(COUNTA(A1199:C1199)=0,"",IF(C1199&lt;0,"ERRO: matrícula negativa",IF(COUNTIFS($A$5:$A$1200,A1199,$B$5:$B$1200,B1199)&gt;1,"ERRO: período e curso duplicados","OK")))</f>
        <v/>
      </c>
    </row>
    <row r="1200" ht="15" customHeight="1" s="131">
      <c r="A1200" s="220" t="n"/>
      <c r="B1200" s="222" t="n"/>
      <c r="C1200" s="220" t="n"/>
      <c r="D1200" s="179">
        <f>IFERROR(C1200,"")</f>
        <v/>
      </c>
      <c r="E1200" s="219" t="n"/>
      <c r="F1200" s="220" t="n"/>
      <c r="G1200" s="221">
        <f>IF(COUNTA(A1200:C1200)=0,"",IF(C1200&lt;0,"ERRO: matrícula negativa",IF(COUNTIFS($A$5:$A$1200,A1200,$B$5:$B$1200,B1200)&gt;1,"ERRO: período e curso duplicados","OK")))</f>
        <v/>
      </c>
    </row>
  </sheetData>
  <mergeCells count="2">
    <mergeCell ref="A2:F2"/>
    <mergeCell ref="A1:F1"/>
  </mergeCells>
  <conditionalFormatting sqref="G5:G1200">
    <cfRule type="expression" rank="0" priority="2" equalAverage="0" aboveAverage="0" dxfId="15" text="" percent="0" bottom="0">
      <formula>LEFT(G5,4)="ERRO"</formula>
    </cfRule>
  </conditionalFormatting>
  <dataValidations count="2">
    <dataValidation sqref="A5:A1200" showDropDown="0" showInputMessage="0" showErrorMessage="1" allowBlank="1" errorTitle="Período inválido" error="Escolha um código da lista. Grão declarado: Mensal." type="list" errorStyle="stop" operator="between">
      <formula1>LST_PER_DTNH_02</formula1>
      <formula2>0</formula2>
    </dataValidation>
    <dataValidation sqref="B5:B1200" showDropDown="0" showInputMessage="0" showErrorMessage="1" allowBlank="1" errorTitle="Curso inválido" error="Escolha um curso da aba CURSOS." type="list" errorStyle="stop" operator="between">
      <formula1>LST_CURSOS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I1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7" customWidth="1" style="130" min="1" max="1"/>
    <col width="34" customWidth="1" style="130" min="2" max="3"/>
    <col width="19" customWidth="1" style="130" min="4" max="5"/>
    <col width="16" customWidth="1" style="130" min="6" max="6"/>
    <col width="20" customWidth="1" style="130" min="7" max="7"/>
    <col width="22" customWidth="1" style="130" min="8" max="8"/>
    <col width="34" customWidth="1" style="130" min="9" max="9"/>
  </cols>
  <sheetData>
    <row r="1" ht="24" customHeight="1" s="131">
      <c r="A1" s="132" t="inlineStr">
        <is>
          <t>ENTRADA — DTNH-03 · Frequência Média Discente</t>
        </is>
      </c>
    </row>
    <row r="2" ht="30" customHeight="1" s="131">
      <c r="A2" s="133" t="inlineStr">
        <is>
          <t>Periodicidade de alimentação: Mensal. Uma linha por mês, curso e disciplina. Colunas amarelas de preenchimento; "Valor da Linha" é calculada.</t>
        </is>
      </c>
    </row>
    <row r="4" ht="30" customHeight="1" s="131">
      <c r="A4" s="199" t="inlineStr">
        <is>
          <t>Período</t>
        </is>
      </c>
      <c r="B4" s="199" t="inlineStr">
        <is>
          <t>Curso</t>
        </is>
      </c>
      <c r="C4" s="199" t="inlineStr">
        <is>
          <t>Disciplina</t>
        </is>
      </c>
      <c r="D4" s="199" t="inlineStr">
        <is>
          <t>Presenças Previstas</t>
        </is>
      </c>
      <c r="E4" s="199" t="inlineStr">
        <is>
          <t>Presenças Registradas</t>
        </is>
      </c>
      <c r="F4" s="199" t="inlineStr">
        <is>
          <t>Valor da Linha</t>
        </is>
      </c>
      <c r="G4" s="199" t="inlineStr">
        <is>
          <t>Data de Lançamento</t>
        </is>
      </c>
      <c r="H4" s="199" t="inlineStr">
        <is>
          <t>Lançado Por</t>
        </is>
      </c>
      <c r="I4" s="199" t="inlineStr">
        <is>
          <t>Validação da linha</t>
        </is>
      </c>
    </row>
    <row r="5" ht="15" customHeight="1" s="131">
      <c r="A5" s="164" t="inlineStr">
        <is>
          <t>2026-06</t>
        </is>
      </c>
      <c r="B5" s="218" t="inlineStr">
        <is>
          <t>Administração</t>
        </is>
      </c>
      <c r="C5" s="218" t="inlineStr">
        <is>
          <t>Teoria Geral da Administração</t>
        </is>
      </c>
      <c r="D5" s="164" t="n">
        <v>3168</v>
      </c>
      <c r="E5" s="164" t="n">
        <v>2309</v>
      </c>
      <c r="F5" s="181">
        <f>IFERROR(E5/D5,"")</f>
        <v/>
      </c>
      <c r="G5" s="219" t="inlineStr">
        <is>
          <t>2026-08-10</t>
        </is>
      </c>
      <c r="H5" s="220" t="inlineStr">
        <is>
          <t>mateus.valentim@ivc.br</t>
        </is>
      </c>
      <c r="I5" s="221">
        <f>IF(COUNTA(A5:E5)=0,"",IF(OR(D5&lt;=0,E5&lt;0),"ERRO: bases inválidas",IF(E5&gt;D5,"ERRO: presenças acima do previsto",IF(COUNTIFS($A$5:$A$1200,A5,$B$5:$B$1200,B5,$C$5:$C$1200,C5)&gt;1,"ERRO: chave duplicada",IF(COUNTIFS(DISCIPLINAS!$A$5:$A$101,B5,DISCIPLINAS!$B$5:$B$101,C5)=0,"ERRO: disciplina não pertence ao curso","OK")))))</f>
        <v/>
      </c>
    </row>
    <row r="6" ht="15" customHeight="1" s="131">
      <c r="A6" s="164" t="inlineStr">
        <is>
          <t>2026-06</t>
        </is>
      </c>
      <c r="B6" s="218" t="inlineStr">
        <is>
          <t>Administração</t>
        </is>
      </c>
      <c r="C6" s="218" t="inlineStr">
        <is>
          <t>Gestão Financeira</t>
        </is>
      </c>
      <c r="D6" s="164" t="n">
        <v>3062</v>
      </c>
      <c r="E6" s="164" t="n">
        <v>2472</v>
      </c>
      <c r="F6" s="181">
        <f>IFERROR(E6/D6,"")</f>
        <v/>
      </c>
      <c r="G6" s="219" t="inlineStr">
        <is>
          <t>2026-08-10</t>
        </is>
      </c>
      <c r="H6" s="220" t="inlineStr">
        <is>
          <t>mateus.valentim@ivc.br</t>
        </is>
      </c>
      <c r="I6" s="221">
        <f>IF(COUNTA(A6:E6)=0,"",IF(OR(D6&lt;=0,E6&lt;0),"ERRO: bases inválidas",IF(E6&gt;D6,"ERRO: presenças acima do previsto",IF(COUNTIFS($A$5:$A$1200,A6,$B$5:$B$1200,B6,$C$5:$C$1200,C6)&gt;1,"ERRO: chave duplicada",IF(COUNTIFS(DISCIPLINAS!$A$5:$A$101,B6,DISCIPLINAS!$B$5:$B$101,C6)=0,"ERRO: disciplina não pertence ao curso","OK")))))</f>
        <v/>
      </c>
    </row>
    <row r="7" ht="15" customHeight="1" s="131">
      <c r="A7" s="164" t="inlineStr">
        <is>
          <t>2026-06</t>
        </is>
      </c>
      <c r="B7" s="218" t="inlineStr">
        <is>
          <t>Administração</t>
        </is>
      </c>
      <c r="C7" s="218" t="inlineStr">
        <is>
          <t>Marketing</t>
        </is>
      </c>
      <c r="D7" s="164" t="n">
        <v>3177</v>
      </c>
      <c r="E7" s="164" t="n">
        <v>2571</v>
      </c>
      <c r="F7" s="181">
        <f>IFERROR(E7/D7,"")</f>
        <v/>
      </c>
      <c r="G7" s="219" t="inlineStr">
        <is>
          <t>2026-08-10</t>
        </is>
      </c>
      <c r="H7" s="220" t="inlineStr">
        <is>
          <t>mateus.valentim@ivc.br</t>
        </is>
      </c>
      <c r="I7" s="221">
        <f>IF(COUNTA(A7:E7)=0,"",IF(OR(D7&lt;=0,E7&lt;0),"ERRO: bases inválidas",IF(E7&gt;D7,"ERRO: presenças acima do previsto",IF(COUNTIFS($A$5:$A$1200,A7,$B$5:$B$1200,B7,$C$5:$C$1200,C7)&gt;1,"ERRO: chave duplicada",IF(COUNTIFS(DISCIPLINAS!$A$5:$A$101,B7,DISCIPLINAS!$B$5:$B$101,C7)=0,"ERRO: disciplina não pertence ao curso","OK")))))</f>
        <v/>
      </c>
    </row>
    <row r="8" ht="15" customHeight="1" s="131">
      <c r="A8" s="164" t="inlineStr">
        <is>
          <t>2026-06</t>
        </is>
      </c>
      <c r="B8" s="218" t="inlineStr">
        <is>
          <t>Administração</t>
        </is>
      </c>
      <c r="C8" s="218" t="inlineStr">
        <is>
          <t>Gestão de Pessoas</t>
        </is>
      </c>
      <c r="D8" s="164" t="n">
        <v>3291</v>
      </c>
      <c r="E8" s="164" t="n">
        <v>2477</v>
      </c>
      <c r="F8" s="181">
        <f>IFERROR(E8/D8,"")</f>
        <v/>
      </c>
      <c r="G8" s="219" t="inlineStr">
        <is>
          <t>2026-08-10</t>
        </is>
      </c>
      <c r="H8" s="220" t="inlineStr">
        <is>
          <t>mateus.valentim@ivc.br</t>
        </is>
      </c>
      <c r="I8" s="221">
        <f>IF(COUNTA(A8:E8)=0,"",IF(OR(D8&lt;=0,E8&lt;0),"ERRO: bases inválidas",IF(E8&gt;D8,"ERRO: presenças acima do previsto",IF(COUNTIFS($A$5:$A$1200,A8,$B$5:$B$1200,B8,$C$5:$C$1200,C8)&gt;1,"ERRO: chave duplicada",IF(COUNTIFS(DISCIPLINAS!$A$5:$A$101,B8,DISCIPLINAS!$B$5:$B$101,C8)=0,"ERRO: disciplina não pertence ao curso","OK")))))</f>
        <v/>
      </c>
    </row>
    <row r="9" ht="15" customHeight="1" s="131">
      <c r="A9" s="164" t="inlineStr">
        <is>
          <t>2026-06</t>
        </is>
      </c>
      <c r="B9" s="218" t="inlineStr">
        <is>
          <t>Agronomia</t>
        </is>
      </c>
      <c r="C9" s="218" t="inlineStr">
        <is>
          <t>Fitopatologia</t>
        </is>
      </c>
      <c r="D9" s="164" t="n">
        <v>2018</v>
      </c>
      <c r="E9" s="164" t="n">
        <v>1279</v>
      </c>
      <c r="F9" s="181">
        <f>IFERROR(E9/D9,"")</f>
        <v/>
      </c>
      <c r="G9" s="219" t="inlineStr">
        <is>
          <t>2026-08-10</t>
        </is>
      </c>
      <c r="H9" s="220" t="inlineStr">
        <is>
          <t>mateus.valentim@ivc.br</t>
        </is>
      </c>
      <c r="I9" s="221">
        <f>IF(COUNTA(A9:E9)=0,"",IF(OR(D9&lt;=0,E9&lt;0),"ERRO: bases inválidas",IF(E9&gt;D9,"ERRO: presenças acima do previsto",IF(COUNTIFS($A$5:$A$1200,A9,$B$5:$B$1200,B9,$C$5:$C$1200,C9)&gt;1,"ERRO: chave duplicada",IF(COUNTIFS(DISCIPLINAS!$A$5:$A$101,B9,DISCIPLINAS!$B$5:$B$101,C9)=0,"ERRO: disciplina não pertence ao curso","OK")))))</f>
        <v/>
      </c>
    </row>
    <row r="10" ht="15" customHeight="1" s="131">
      <c r="A10" s="164" t="inlineStr">
        <is>
          <t>2026-06</t>
        </is>
      </c>
      <c r="B10" s="218" t="inlineStr">
        <is>
          <t>Agronomia</t>
        </is>
      </c>
      <c r="C10" s="218" t="inlineStr">
        <is>
          <t>Solos e Nutrição de Plantas</t>
        </is>
      </c>
      <c r="D10" s="164" t="n">
        <v>1927</v>
      </c>
      <c r="E10" s="164" t="n">
        <v>1371</v>
      </c>
      <c r="F10" s="181">
        <f>IFERROR(E10/D10,"")</f>
        <v/>
      </c>
      <c r="G10" s="219" t="inlineStr">
        <is>
          <t>2026-08-10</t>
        </is>
      </c>
      <c r="H10" s="220" t="inlineStr">
        <is>
          <t>mateus.valentim@ivc.br</t>
        </is>
      </c>
      <c r="I10" s="221">
        <f>IF(COUNTA(A10:E10)=0,"",IF(OR(D10&lt;=0,E10&lt;0),"ERRO: bases inválidas",IF(E10&gt;D10,"ERRO: presenças acima do previsto",IF(COUNTIFS($A$5:$A$1200,A10,$B$5:$B$1200,B10,$C$5:$C$1200,C10)&gt;1,"ERRO: chave duplicada",IF(COUNTIFS(DISCIPLINAS!$A$5:$A$101,B10,DISCIPLINAS!$B$5:$B$101,C10)=0,"ERRO: disciplina não pertence ao curso","OK")))))</f>
        <v/>
      </c>
    </row>
    <row r="11" ht="15" customHeight="1" s="131">
      <c r="A11" s="164" t="inlineStr">
        <is>
          <t>2026-06</t>
        </is>
      </c>
      <c r="B11" s="218" t="inlineStr">
        <is>
          <t>Agronomia</t>
        </is>
      </c>
      <c r="C11" s="218" t="inlineStr">
        <is>
          <t>Zootecnia</t>
        </is>
      </c>
      <c r="D11" s="164" t="n">
        <v>2152</v>
      </c>
      <c r="E11" s="164" t="n">
        <v>1564</v>
      </c>
      <c r="F11" s="181">
        <f>IFERROR(E11/D11,"")</f>
        <v/>
      </c>
      <c r="G11" s="219" t="inlineStr">
        <is>
          <t>2026-08-10</t>
        </is>
      </c>
      <c r="H11" s="220" t="inlineStr">
        <is>
          <t>mateus.valentim@ivc.br</t>
        </is>
      </c>
      <c r="I11" s="221">
        <f>IF(COUNTA(A11:E11)=0,"",IF(OR(D11&lt;=0,E11&lt;0),"ERRO: bases inválidas",IF(E11&gt;D11,"ERRO: presenças acima do previsto",IF(COUNTIFS($A$5:$A$1200,A11,$B$5:$B$1200,B11,$C$5:$C$1200,C11)&gt;1,"ERRO: chave duplicada",IF(COUNTIFS(DISCIPLINAS!$A$5:$A$101,B11,DISCIPLINAS!$B$5:$B$101,C11)=0,"ERRO: disciplina não pertence ao curso","OK")))))</f>
        <v/>
      </c>
    </row>
    <row r="12" ht="15" customHeight="1" s="131">
      <c r="A12" s="164" t="inlineStr">
        <is>
          <t>2026-06</t>
        </is>
      </c>
      <c r="B12" s="218" t="inlineStr">
        <is>
          <t>Agronomia</t>
        </is>
      </c>
      <c r="C12" s="218" t="inlineStr">
        <is>
          <t>Irrigação e Drenagem</t>
        </is>
      </c>
      <c r="D12" s="164" t="n">
        <v>1974</v>
      </c>
      <c r="E12" s="164" t="n">
        <v>1331</v>
      </c>
      <c r="F12" s="181">
        <f>IFERROR(E12/D12,"")</f>
        <v/>
      </c>
      <c r="G12" s="219" t="inlineStr">
        <is>
          <t>2026-08-10</t>
        </is>
      </c>
      <c r="H12" s="220" t="inlineStr">
        <is>
          <t>mateus.valentim@ivc.br</t>
        </is>
      </c>
      <c r="I12" s="221">
        <f>IF(COUNTA(A12:E12)=0,"",IF(OR(D12&lt;=0,E12&lt;0),"ERRO: bases inválidas",IF(E12&gt;D12,"ERRO: presenças acima do previsto",IF(COUNTIFS($A$5:$A$1200,A12,$B$5:$B$1200,B12,$C$5:$C$1200,C12)&gt;1,"ERRO: chave duplicada",IF(COUNTIFS(DISCIPLINAS!$A$5:$A$101,B12,DISCIPLINAS!$B$5:$B$101,C12)=0,"ERRO: disciplina não pertence ao curso","OK")))))</f>
        <v/>
      </c>
    </row>
    <row r="13" ht="15" customHeight="1" s="131">
      <c r="A13" s="164" t="inlineStr">
        <is>
          <t>2026-06</t>
        </is>
      </c>
      <c r="B13" s="218" t="inlineStr">
        <is>
          <t>Análise e Desenvolvimento de Sistemas</t>
        </is>
      </c>
      <c r="C13" s="218" t="inlineStr">
        <is>
          <t>Programação Orientada a Objetos</t>
        </is>
      </c>
      <c r="D13" s="164" t="n">
        <v>3975</v>
      </c>
      <c r="E13" s="164" t="n">
        <v>2971</v>
      </c>
      <c r="F13" s="181">
        <f>IFERROR(E13/D13,"")</f>
        <v/>
      </c>
      <c r="G13" s="219" t="inlineStr">
        <is>
          <t>2026-08-10</t>
        </is>
      </c>
      <c r="H13" s="220" t="inlineStr">
        <is>
          <t>mateus.valentim@ivc.br</t>
        </is>
      </c>
      <c r="I13" s="221">
        <f>IF(COUNTA(A13:E13)=0,"",IF(OR(D13&lt;=0,E13&lt;0),"ERRO: bases inválidas",IF(E13&gt;D13,"ERRO: presenças acima do previsto",IF(COUNTIFS($A$5:$A$1200,A13,$B$5:$B$1200,B13,$C$5:$C$1200,C13)&gt;1,"ERRO: chave duplicada",IF(COUNTIFS(DISCIPLINAS!$A$5:$A$101,B13,DISCIPLINAS!$B$5:$B$101,C13)=0,"ERRO: disciplina não pertence ao curso","OK")))))</f>
        <v/>
      </c>
    </row>
    <row r="14" ht="15" customHeight="1" s="131">
      <c r="A14" s="164" t="inlineStr">
        <is>
          <t>2026-06</t>
        </is>
      </c>
      <c r="B14" s="218" t="inlineStr">
        <is>
          <t>Análise e Desenvolvimento de Sistemas</t>
        </is>
      </c>
      <c r="C14" s="218" t="inlineStr">
        <is>
          <t>Banco de Dados</t>
        </is>
      </c>
      <c r="D14" s="164" t="n">
        <v>3982</v>
      </c>
      <c r="E14" s="164" t="n">
        <v>3312</v>
      </c>
      <c r="F14" s="181">
        <f>IFERROR(E14/D14,"")</f>
        <v/>
      </c>
      <c r="G14" s="219" t="inlineStr">
        <is>
          <t>2026-08-10</t>
        </is>
      </c>
      <c r="H14" s="220" t="inlineStr">
        <is>
          <t>mateus.valentim@ivc.br</t>
        </is>
      </c>
      <c r="I14" s="221">
        <f>IF(COUNTA(A14:E14)=0,"",IF(OR(D14&lt;=0,E14&lt;0),"ERRO: bases inválidas",IF(E14&gt;D14,"ERRO: presenças acima do previsto",IF(COUNTIFS($A$5:$A$1200,A14,$B$5:$B$1200,B14,$C$5:$C$1200,C14)&gt;1,"ERRO: chave duplicada",IF(COUNTIFS(DISCIPLINAS!$A$5:$A$101,B14,DISCIPLINAS!$B$5:$B$101,C14)=0,"ERRO: disciplina não pertence ao curso","OK")))))</f>
        <v/>
      </c>
    </row>
    <row r="15" ht="15" customHeight="1" s="131">
      <c r="A15" s="164" t="inlineStr">
        <is>
          <t>2026-06</t>
        </is>
      </c>
      <c r="B15" s="218" t="inlineStr">
        <is>
          <t>Análise e Desenvolvimento de Sistemas</t>
        </is>
      </c>
      <c r="C15" s="218" t="inlineStr">
        <is>
          <t>Engenharia de Software</t>
        </is>
      </c>
      <c r="D15" s="164" t="n">
        <v>3940</v>
      </c>
      <c r="E15" s="164" t="n">
        <v>3353</v>
      </c>
      <c r="F15" s="181">
        <f>IFERROR(E15/D15,"")</f>
        <v/>
      </c>
      <c r="G15" s="219" t="inlineStr">
        <is>
          <t>2026-08-10</t>
        </is>
      </c>
      <c r="H15" s="220" t="inlineStr">
        <is>
          <t>mateus.valentim@ivc.br</t>
        </is>
      </c>
      <c r="I15" s="221">
        <f>IF(COUNTA(A15:E15)=0,"",IF(OR(D15&lt;=0,E15&lt;0),"ERRO: bases inválidas",IF(E15&gt;D15,"ERRO: presenças acima do previsto",IF(COUNTIFS($A$5:$A$1200,A15,$B$5:$B$1200,B15,$C$5:$C$1200,C15)&gt;1,"ERRO: chave duplicada",IF(COUNTIFS(DISCIPLINAS!$A$5:$A$101,B15,DISCIPLINAS!$B$5:$B$101,C15)=0,"ERRO: disciplina não pertence ao curso","OK")))))</f>
        <v/>
      </c>
    </row>
    <row r="16" ht="15" customHeight="1" s="131">
      <c r="A16" s="164" t="inlineStr">
        <is>
          <t>2026-06</t>
        </is>
      </c>
      <c r="B16" s="218" t="inlineStr">
        <is>
          <t>Análise e Desenvolvimento de Sistemas</t>
        </is>
      </c>
      <c r="C16" s="218" t="inlineStr">
        <is>
          <t>Redes de Computadores</t>
        </is>
      </c>
      <c r="D16" s="164" t="n">
        <v>3749</v>
      </c>
      <c r="E16" s="164" t="n">
        <v>2938</v>
      </c>
      <c r="F16" s="181">
        <f>IFERROR(E16/D16,"")</f>
        <v/>
      </c>
      <c r="G16" s="219" t="inlineStr">
        <is>
          <t>2026-08-10</t>
        </is>
      </c>
      <c r="H16" s="220" t="inlineStr">
        <is>
          <t>mateus.valentim@ivc.br</t>
        </is>
      </c>
      <c r="I16" s="221">
        <f>IF(COUNTA(A16:E16)=0,"",IF(OR(D16&lt;=0,E16&lt;0),"ERRO: bases inválidas",IF(E16&gt;D16,"ERRO: presenças acima do previsto",IF(COUNTIFS($A$5:$A$1200,A16,$B$5:$B$1200,B16,$C$5:$C$1200,C16)&gt;1,"ERRO: chave duplicada",IF(COUNTIFS(DISCIPLINAS!$A$5:$A$101,B16,DISCIPLINAS!$B$5:$B$101,C16)=0,"ERRO: disciplina não pertence ao curso","OK")))))</f>
        <v/>
      </c>
    </row>
    <row r="17" ht="15" customHeight="1" s="131">
      <c r="A17" s="164" t="inlineStr">
        <is>
          <t>2026-06</t>
        </is>
      </c>
      <c r="B17" s="218" t="inlineStr">
        <is>
          <t>Ciências Contábeis</t>
        </is>
      </c>
      <c r="C17" s="218" t="inlineStr">
        <is>
          <t>Contabilidade Geral</t>
        </is>
      </c>
      <c r="D17" s="164" t="n">
        <v>3008</v>
      </c>
      <c r="E17" s="164" t="n">
        <v>2410</v>
      </c>
      <c r="F17" s="181">
        <f>IFERROR(E17/D17,"")</f>
        <v/>
      </c>
      <c r="G17" s="219" t="inlineStr">
        <is>
          <t>2026-08-10</t>
        </is>
      </c>
      <c r="H17" s="220" t="inlineStr">
        <is>
          <t>mateus.valentim@ivc.br</t>
        </is>
      </c>
      <c r="I17" s="221">
        <f>IF(COUNTA(A17:E17)=0,"",IF(OR(D17&lt;=0,E17&lt;0),"ERRO: bases inválidas",IF(E17&gt;D17,"ERRO: presenças acima do previsto",IF(COUNTIFS($A$5:$A$1200,A17,$B$5:$B$1200,B17,$C$5:$C$1200,C17)&gt;1,"ERRO: chave duplicada",IF(COUNTIFS(DISCIPLINAS!$A$5:$A$101,B17,DISCIPLINAS!$B$5:$B$101,C17)=0,"ERRO: disciplina não pertence ao curso","OK")))))</f>
        <v/>
      </c>
    </row>
    <row r="18" ht="15" customHeight="1" s="131">
      <c r="A18" s="164" t="inlineStr">
        <is>
          <t>2026-06</t>
        </is>
      </c>
      <c r="B18" s="218" t="inlineStr">
        <is>
          <t>Ciências Contábeis</t>
        </is>
      </c>
      <c r="C18" s="218" t="inlineStr">
        <is>
          <t>Contabilidade de Custos</t>
        </is>
      </c>
      <c r="D18" s="164" t="n">
        <v>2964</v>
      </c>
      <c r="E18" s="164" t="n">
        <v>2628</v>
      </c>
      <c r="F18" s="181">
        <f>IFERROR(E18/D18,"")</f>
        <v/>
      </c>
      <c r="G18" s="219" t="inlineStr">
        <is>
          <t>2026-08-10</t>
        </is>
      </c>
      <c r="H18" s="220" t="inlineStr">
        <is>
          <t>mateus.valentim@ivc.br</t>
        </is>
      </c>
      <c r="I18" s="221">
        <f>IF(COUNTA(A18:E18)=0,"",IF(OR(D18&lt;=0,E18&lt;0),"ERRO: bases inválidas",IF(E18&gt;D18,"ERRO: presenças acima do previsto",IF(COUNTIFS($A$5:$A$1200,A18,$B$5:$B$1200,B18,$C$5:$C$1200,C18)&gt;1,"ERRO: chave duplicada",IF(COUNTIFS(DISCIPLINAS!$A$5:$A$101,B18,DISCIPLINAS!$B$5:$B$101,C18)=0,"ERRO: disciplina não pertence ao curso","OK")))))</f>
        <v/>
      </c>
    </row>
    <row r="19" ht="15" customHeight="1" s="131">
      <c r="A19" s="164" t="inlineStr">
        <is>
          <t>2026-06</t>
        </is>
      </c>
      <c r="B19" s="218" t="inlineStr">
        <is>
          <t>Ciências Contábeis</t>
        </is>
      </c>
      <c r="C19" s="218" t="inlineStr">
        <is>
          <t>Auditoria</t>
        </is>
      </c>
      <c r="D19" s="164" t="n">
        <v>2980</v>
      </c>
      <c r="E19" s="164" t="n">
        <v>2675</v>
      </c>
      <c r="F19" s="181">
        <f>IFERROR(E19/D19,"")</f>
        <v/>
      </c>
      <c r="G19" s="219" t="inlineStr">
        <is>
          <t>2026-08-10</t>
        </is>
      </c>
      <c r="H19" s="220" t="inlineStr">
        <is>
          <t>mateus.valentim@ivc.br</t>
        </is>
      </c>
      <c r="I19" s="221">
        <f>IF(COUNTA(A19:E19)=0,"",IF(OR(D19&lt;=0,E19&lt;0),"ERRO: bases inválidas",IF(E19&gt;D19,"ERRO: presenças acima do previsto",IF(COUNTIFS($A$5:$A$1200,A19,$B$5:$B$1200,B19,$C$5:$C$1200,C19)&gt;1,"ERRO: chave duplicada",IF(COUNTIFS(DISCIPLINAS!$A$5:$A$101,B19,DISCIPLINAS!$B$5:$B$101,C19)=0,"ERRO: disciplina não pertence ao curso","OK")))))</f>
        <v/>
      </c>
    </row>
    <row r="20" ht="15" customHeight="1" s="131">
      <c r="A20" s="164" t="inlineStr">
        <is>
          <t>2026-06</t>
        </is>
      </c>
      <c r="B20" s="218" t="inlineStr">
        <is>
          <t>Ciências Contábeis</t>
        </is>
      </c>
      <c r="C20" s="218" t="inlineStr">
        <is>
          <t>Legislação Tributária</t>
        </is>
      </c>
      <c r="D20" s="164" t="n">
        <v>3062</v>
      </c>
      <c r="E20" s="164" t="n">
        <v>2551</v>
      </c>
      <c r="F20" s="181">
        <f>IFERROR(E20/D20,"")</f>
        <v/>
      </c>
      <c r="G20" s="219" t="inlineStr">
        <is>
          <t>2026-08-10</t>
        </is>
      </c>
      <c r="H20" s="220" t="inlineStr">
        <is>
          <t>mateus.valentim@ivc.br</t>
        </is>
      </c>
      <c r="I20" s="221">
        <f>IF(COUNTA(A20:E20)=0,"",IF(OR(D20&lt;=0,E20&lt;0),"ERRO: bases inválidas",IF(E20&gt;D20,"ERRO: presenças acima do previsto",IF(COUNTIFS($A$5:$A$1200,A20,$B$5:$B$1200,B20,$C$5:$C$1200,C20)&gt;1,"ERRO: chave duplicada",IF(COUNTIFS(DISCIPLINAS!$A$5:$A$101,B20,DISCIPLINAS!$B$5:$B$101,C20)=0,"ERRO: disciplina não pertence ao curso","OK")))))</f>
        <v/>
      </c>
    </row>
    <row r="21" ht="15" customHeight="1" s="131">
      <c r="A21" s="164" t="inlineStr">
        <is>
          <t>2026-06</t>
        </is>
      </c>
      <c r="B21" s="218" t="inlineStr">
        <is>
          <t>Comunicação Social</t>
        </is>
      </c>
      <c r="C21" s="218" t="inlineStr">
        <is>
          <t>Teorias da Comunicação</t>
        </is>
      </c>
      <c r="D21" s="164" t="n">
        <v>1817</v>
      </c>
      <c r="E21" s="164" t="n">
        <v>1168</v>
      </c>
      <c r="F21" s="181">
        <f>IFERROR(E21/D21,"")</f>
        <v/>
      </c>
      <c r="G21" s="219" t="inlineStr">
        <is>
          <t>2026-08-10</t>
        </is>
      </c>
      <c r="H21" s="220" t="inlineStr">
        <is>
          <t>mateus.valentim@ivc.br</t>
        </is>
      </c>
      <c r="I21" s="221">
        <f>IF(COUNTA(A21:E21)=0,"",IF(OR(D21&lt;=0,E21&lt;0),"ERRO: bases inválidas",IF(E21&gt;D21,"ERRO: presenças acima do previsto",IF(COUNTIFS($A$5:$A$1200,A21,$B$5:$B$1200,B21,$C$5:$C$1200,C21)&gt;1,"ERRO: chave duplicada",IF(COUNTIFS(DISCIPLINAS!$A$5:$A$101,B21,DISCIPLINAS!$B$5:$B$101,C21)=0,"ERRO: disciplina não pertence ao curso","OK")))))</f>
        <v/>
      </c>
    </row>
    <row r="22" ht="15" customHeight="1" s="131">
      <c r="A22" s="164" t="inlineStr">
        <is>
          <t>2026-06</t>
        </is>
      </c>
      <c r="B22" s="218" t="inlineStr">
        <is>
          <t>Comunicação Social</t>
        </is>
      </c>
      <c r="C22" s="218" t="inlineStr">
        <is>
          <t>Redação Publicitária</t>
        </is>
      </c>
      <c r="D22" s="164" t="n">
        <v>1799</v>
      </c>
      <c r="E22" s="164" t="n">
        <v>1310</v>
      </c>
      <c r="F22" s="181">
        <f>IFERROR(E22/D22,"")</f>
        <v/>
      </c>
      <c r="G22" s="219" t="inlineStr">
        <is>
          <t>2026-08-10</t>
        </is>
      </c>
      <c r="H22" s="220" t="inlineStr">
        <is>
          <t>mateus.valentim@ivc.br</t>
        </is>
      </c>
      <c r="I22" s="221">
        <f>IF(COUNTA(A22:E22)=0,"",IF(OR(D22&lt;=0,E22&lt;0),"ERRO: bases inválidas",IF(E22&gt;D22,"ERRO: presenças acima do previsto",IF(COUNTIFS($A$5:$A$1200,A22,$B$5:$B$1200,B22,$C$5:$C$1200,C22)&gt;1,"ERRO: chave duplicada",IF(COUNTIFS(DISCIPLINAS!$A$5:$A$101,B22,DISCIPLINAS!$B$5:$B$101,C22)=0,"ERRO: disciplina não pertence ao curso","OK")))))</f>
        <v/>
      </c>
    </row>
    <row r="23" ht="15" customHeight="1" s="131">
      <c r="A23" s="164" t="inlineStr">
        <is>
          <t>2026-06</t>
        </is>
      </c>
      <c r="B23" s="218" t="inlineStr">
        <is>
          <t>Comunicação Social</t>
        </is>
      </c>
      <c r="C23" s="218" t="inlineStr">
        <is>
          <t>Produção Audiovisual</t>
        </is>
      </c>
      <c r="D23" s="164" t="n">
        <v>1653</v>
      </c>
      <c r="E23" s="164" t="n">
        <v>1233</v>
      </c>
      <c r="F23" s="181">
        <f>IFERROR(E23/D23,"")</f>
        <v/>
      </c>
      <c r="G23" s="219" t="inlineStr">
        <is>
          <t>2026-08-10</t>
        </is>
      </c>
      <c r="H23" s="220" t="inlineStr">
        <is>
          <t>mateus.valentim@ivc.br</t>
        </is>
      </c>
      <c r="I23" s="221">
        <f>IF(COUNTA(A23:E23)=0,"",IF(OR(D23&lt;=0,E23&lt;0),"ERRO: bases inválidas",IF(E23&gt;D23,"ERRO: presenças acima do previsto",IF(COUNTIFS($A$5:$A$1200,A23,$B$5:$B$1200,B23,$C$5:$C$1200,C23)&gt;1,"ERRO: chave duplicada",IF(COUNTIFS(DISCIPLINAS!$A$5:$A$101,B23,DISCIPLINAS!$B$5:$B$101,C23)=0,"ERRO: disciplina não pertence ao curso","OK")))))</f>
        <v/>
      </c>
    </row>
    <row r="24" ht="15" customHeight="1" s="131">
      <c r="A24" s="164" t="inlineStr">
        <is>
          <t>2026-06</t>
        </is>
      </c>
      <c r="B24" s="218" t="inlineStr">
        <is>
          <t>Comunicação Social</t>
        </is>
      </c>
      <c r="C24" s="218" t="inlineStr">
        <is>
          <t>Assessoria de Imprensa</t>
        </is>
      </c>
      <c r="D24" s="164" t="n">
        <v>1661</v>
      </c>
      <c r="E24" s="164" t="n">
        <v>1121</v>
      </c>
      <c r="F24" s="181">
        <f>IFERROR(E24/D24,"")</f>
        <v/>
      </c>
      <c r="G24" s="219" t="inlineStr">
        <is>
          <t>2026-08-10</t>
        </is>
      </c>
      <c r="H24" s="220" t="inlineStr">
        <is>
          <t>mateus.valentim@ivc.br</t>
        </is>
      </c>
      <c r="I24" s="221">
        <f>IF(COUNTA(A24:E24)=0,"",IF(OR(D24&lt;=0,E24&lt;0),"ERRO: bases inválidas",IF(E24&gt;D24,"ERRO: presenças acima do previsto",IF(COUNTIFS($A$5:$A$1200,A24,$B$5:$B$1200,B24,$C$5:$C$1200,C24)&gt;1,"ERRO: chave duplicada",IF(COUNTIFS(DISCIPLINAS!$A$5:$A$101,B24,DISCIPLINAS!$B$5:$B$101,C24)=0,"ERRO: disciplina não pertence ao curso","OK")))))</f>
        <v/>
      </c>
    </row>
    <row r="25" ht="15" customHeight="1" s="131">
      <c r="A25" s="164" t="inlineStr">
        <is>
          <t>2026-06</t>
        </is>
      </c>
      <c r="B25" s="218" t="inlineStr">
        <is>
          <t>Direito</t>
        </is>
      </c>
      <c r="C25" s="218" t="inlineStr">
        <is>
          <t>Direito Constitucional</t>
        </is>
      </c>
      <c r="D25" s="164" t="n">
        <v>5764</v>
      </c>
      <c r="E25" s="164" t="n">
        <v>4320</v>
      </c>
      <c r="F25" s="181">
        <f>IFERROR(E25/D25,"")</f>
        <v/>
      </c>
      <c r="G25" s="219" t="inlineStr">
        <is>
          <t>2026-08-10</t>
        </is>
      </c>
      <c r="H25" s="220" t="inlineStr">
        <is>
          <t>mateus.valentim@ivc.br</t>
        </is>
      </c>
      <c r="I25" s="221">
        <f>IF(COUNTA(A25:E25)=0,"",IF(OR(D25&lt;=0,E25&lt;0),"ERRO: bases inválidas",IF(E25&gt;D25,"ERRO: presenças acima do previsto",IF(COUNTIFS($A$5:$A$1200,A25,$B$5:$B$1200,B25,$C$5:$C$1200,C25)&gt;1,"ERRO: chave duplicada",IF(COUNTIFS(DISCIPLINAS!$A$5:$A$101,B25,DISCIPLINAS!$B$5:$B$101,C25)=0,"ERRO: disciplina não pertence ao curso","OK")))))</f>
        <v/>
      </c>
    </row>
    <row r="26" ht="15" customHeight="1" s="131">
      <c r="A26" s="164" t="inlineStr">
        <is>
          <t>2026-06</t>
        </is>
      </c>
      <c r="B26" s="218" t="inlineStr">
        <is>
          <t>Direito</t>
        </is>
      </c>
      <c r="C26" s="218" t="inlineStr">
        <is>
          <t>Direito Civil</t>
        </is>
      </c>
      <c r="D26" s="164" t="n">
        <v>5520</v>
      </c>
      <c r="E26" s="164" t="n">
        <v>4598</v>
      </c>
      <c r="F26" s="181">
        <f>IFERROR(E26/D26,"")</f>
        <v/>
      </c>
      <c r="G26" s="219" t="inlineStr">
        <is>
          <t>2026-08-10</t>
        </is>
      </c>
      <c r="H26" s="220" t="inlineStr">
        <is>
          <t>mateus.valentim@ivc.br</t>
        </is>
      </c>
      <c r="I26" s="221">
        <f>IF(COUNTA(A26:E26)=0,"",IF(OR(D26&lt;=0,E26&lt;0),"ERRO: bases inválidas",IF(E26&gt;D26,"ERRO: presenças acima do previsto",IF(COUNTIFS($A$5:$A$1200,A26,$B$5:$B$1200,B26,$C$5:$C$1200,C26)&gt;1,"ERRO: chave duplicada",IF(COUNTIFS(DISCIPLINAS!$A$5:$A$101,B26,DISCIPLINAS!$B$5:$B$101,C26)=0,"ERRO: disciplina não pertence ao curso","OK")))))</f>
        <v/>
      </c>
    </row>
    <row r="27" ht="15" customHeight="1" s="131">
      <c r="A27" s="164" t="inlineStr">
        <is>
          <t>2026-06</t>
        </is>
      </c>
      <c r="B27" s="218" t="inlineStr">
        <is>
          <t>Direito</t>
        </is>
      </c>
      <c r="C27" s="218" t="inlineStr">
        <is>
          <t>Direito Penal</t>
        </is>
      </c>
      <c r="D27" s="164" t="n">
        <v>5462</v>
      </c>
      <c r="E27" s="164" t="n">
        <v>4617</v>
      </c>
      <c r="F27" s="181">
        <f>IFERROR(E27/D27,"")</f>
        <v/>
      </c>
      <c r="G27" s="219" t="inlineStr">
        <is>
          <t>2026-08-10</t>
        </is>
      </c>
      <c r="H27" s="220" t="inlineStr">
        <is>
          <t>mateus.valentim@ivc.br</t>
        </is>
      </c>
      <c r="I27" s="221">
        <f>IF(COUNTA(A27:E27)=0,"",IF(OR(D27&lt;=0,E27&lt;0),"ERRO: bases inválidas",IF(E27&gt;D27,"ERRO: presenças acima do previsto",IF(COUNTIFS($A$5:$A$1200,A27,$B$5:$B$1200,B27,$C$5:$C$1200,C27)&gt;1,"ERRO: chave duplicada",IF(COUNTIFS(DISCIPLINAS!$A$5:$A$101,B27,DISCIPLINAS!$B$5:$B$101,C27)=0,"ERRO: disciplina não pertence ao curso","OK")))))</f>
        <v/>
      </c>
    </row>
    <row r="28" ht="15" customHeight="1" s="131">
      <c r="A28" s="164" t="inlineStr">
        <is>
          <t>2026-06</t>
        </is>
      </c>
      <c r="B28" s="218" t="inlineStr">
        <is>
          <t>Direito</t>
        </is>
      </c>
      <c r="C28" s="218" t="inlineStr">
        <is>
          <t>Legislação Trabalhista</t>
        </is>
      </c>
      <c r="D28" s="164" t="n">
        <v>5439</v>
      </c>
      <c r="E28" s="164" t="n">
        <v>4213</v>
      </c>
      <c r="F28" s="181">
        <f>IFERROR(E28/D28,"")</f>
        <v/>
      </c>
      <c r="G28" s="219" t="inlineStr">
        <is>
          <t>2026-08-10</t>
        </is>
      </c>
      <c r="H28" s="220" t="inlineStr">
        <is>
          <t>mateus.valentim@ivc.br</t>
        </is>
      </c>
      <c r="I28" s="221">
        <f>IF(COUNTA(A28:E28)=0,"",IF(OR(D28&lt;=0,E28&lt;0),"ERRO: bases inválidas",IF(E28&gt;D28,"ERRO: presenças acima do previsto",IF(COUNTIFS($A$5:$A$1200,A28,$B$5:$B$1200,B28,$C$5:$C$1200,C28)&gt;1,"ERRO: chave duplicada",IF(COUNTIFS(DISCIPLINAS!$A$5:$A$101,B28,DISCIPLINAS!$B$5:$B$101,C28)=0,"ERRO: disciplina não pertence ao curso","OK")))))</f>
        <v/>
      </c>
    </row>
    <row r="29" ht="15" customHeight="1" s="131">
      <c r="A29" s="164" t="inlineStr">
        <is>
          <t>2026-06</t>
        </is>
      </c>
      <c r="B29" s="218" t="inlineStr">
        <is>
          <t>Direito</t>
        </is>
      </c>
      <c r="C29" s="218" t="inlineStr">
        <is>
          <t>Processo Civil</t>
        </is>
      </c>
      <c r="D29" s="164" t="n">
        <v>5713</v>
      </c>
      <c r="E29" s="164" t="n">
        <v>4679</v>
      </c>
      <c r="F29" s="181">
        <f>IFERROR(E29/D29,"")</f>
        <v/>
      </c>
      <c r="G29" s="219" t="inlineStr">
        <is>
          <t>2026-08-10</t>
        </is>
      </c>
      <c r="H29" s="220" t="inlineStr">
        <is>
          <t>mateus.valentim@ivc.br</t>
        </is>
      </c>
      <c r="I29" s="221">
        <f>IF(COUNTA(A29:E29)=0,"",IF(OR(D29&lt;=0,E29&lt;0),"ERRO: bases inválidas",IF(E29&gt;D29,"ERRO: presenças acima do previsto",IF(COUNTIFS($A$5:$A$1200,A29,$B$5:$B$1200,B29,$C$5:$C$1200,C29)&gt;1,"ERRO: chave duplicada",IF(COUNTIFS(DISCIPLINAS!$A$5:$A$101,B29,DISCIPLINAS!$B$5:$B$101,C29)=0,"ERRO: disciplina não pertence ao curso","OK")))))</f>
        <v/>
      </c>
    </row>
    <row r="30" ht="15" customHeight="1" s="131">
      <c r="A30" s="164" t="inlineStr">
        <is>
          <t>2026-06</t>
        </is>
      </c>
      <c r="B30" s="218" t="inlineStr">
        <is>
          <t>Engenharia de Produção</t>
        </is>
      </c>
      <c r="C30" s="218" t="inlineStr">
        <is>
          <t>Pesquisa Operacional</t>
        </is>
      </c>
      <c r="D30" s="164" t="n">
        <v>2522</v>
      </c>
      <c r="E30" s="164" t="n">
        <v>1784</v>
      </c>
      <c r="F30" s="181">
        <f>IFERROR(E30/D30,"")</f>
        <v/>
      </c>
      <c r="G30" s="219" t="inlineStr">
        <is>
          <t>2026-08-10</t>
        </is>
      </c>
      <c r="H30" s="220" t="inlineStr">
        <is>
          <t>mateus.valentim@ivc.br</t>
        </is>
      </c>
      <c r="I30" s="221">
        <f>IF(COUNTA(A30:E30)=0,"",IF(OR(D30&lt;=0,E30&lt;0),"ERRO: bases inválidas",IF(E30&gt;D30,"ERRO: presenças acima do previsto",IF(COUNTIFS($A$5:$A$1200,A30,$B$5:$B$1200,B30,$C$5:$C$1200,C30)&gt;1,"ERRO: chave duplicada",IF(COUNTIFS(DISCIPLINAS!$A$5:$A$101,B30,DISCIPLINAS!$B$5:$B$101,C30)=0,"ERRO: disciplina não pertence ao curso","OK")))))</f>
        <v/>
      </c>
    </row>
    <row r="31" ht="15" customHeight="1" s="131">
      <c r="A31" s="164" t="inlineStr">
        <is>
          <t>2026-06</t>
        </is>
      </c>
      <c r="B31" s="218" t="inlineStr">
        <is>
          <t>Engenharia de Produção</t>
        </is>
      </c>
      <c r="C31" s="218" t="inlineStr">
        <is>
          <t>Planejamento e Controle da Produção</t>
        </is>
      </c>
      <c r="D31" s="164" t="n">
        <v>2409</v>
      </c>
      <c r="E31" s="164" t="n">
        <v>1897</v>
      </c>
      <c r="F31" s="181">
        <f>IFERROR(E31/D31,"")</f>
        <v/>
      </c>
      <c r="G31" s="219" t="inlineStr">
        <is>
          <t>2026-08-10</t>
        </is>
      </c>
      <c r="H31" s="220" t="inlineStr">
        <is>
          <t>mateus.valentim@ivc.br</t>
        </is>
      </c>
      <c r="I31" s="221">
        <f>IF(COUNTA(A31:E31)=0,"",IF(OR(D31&lt;=0,E31&lt;0),"ERRO: bases inválidas",IF(E31&gt;D31,"ERRO: presenças acima do previsto",IF(COUNTIFS($A$5:$A$1200,A31,$B$5:$B$1200,B31,$C$5:$C$1200,C31)&gt;1,"ERRO: chave duplicada",IF(COUNTIFS(DISCIPLINAS!$A$5:$A$101,B31,DISCIPLINAS!$B$5:$B$101,C31)=0,"ERRO: disciplina não pertence ao curso","OK")))))</f>
        <v/>
      </c>
    </row>
    <row r="32" ht="15" customHeight="1" s="131">
      <c r="A32" s="164" t="inlineStr">
        <is>
          <t>2026-06</t>
        </is>
      </c>
      <c r="B32" s="218" t="inlineStr">
        <is>
          <t>Engenharia de Produção</t>
        </is>
      </c>
      <c r="C32" s="218" t="inlineStr">
        <is>
          <t>Engenharia da Qualidade</t>
        </is>
      </c>
      <c r="D32" s="164" t="n">
        <v>2497</v>
      </c>
      <c r="E32" s="164" t="n">
        <v>2029</v>
      </c>
      <c r="F32" s="181">
        <f>IFERROR(E32/D32,"")</f>
        <v/>
      </c>
      <c r="G32" s="219" t="inlineStr">
        <is>
          <t>2026-08-10</t>
        </is>
      </c>
      <c r="H32" s="220" t="inlineStr">
        <is>
          <t>mateus.valentim@ivc.br</t>
        </is>
      </c>
      <c r="I32" s="221">
        <f>IF(COUNTA(A32:E32)=0,"",IF(OR(D32&lt;=0,E32&lt;0),"ERRO: bases inválidas",IF(E32&gt;D32,"ERRO: presenças acima do previsto",IF(COUNTIFS($A$5:$A$1200,A32,$B$5:$B$1200,B32,$C$5:$C$1200,C32)&gt;1,"ERRO: chave duplicada",IF(COUNTIFS(DISCIPLINAS!$A$5:$A$101,B32,DISCIPLINAS!$B$5:$B$101,C32)=0,"ERRO: disciplina não pertence ao curso","OK")))))</f>
        <v/>
      </c>
    </row>
    <row r="33" ht="15" customHeight="1" s="131">
      <c r="A33" s="164" t="inlineStr">
        <is>
          <t>2026-06</t>
        </is>
      </c>
      <c r="B33" s="218" t="inlineStr">
        <is>
          <t>Engenharia de Produção</t>
        </is>
      </c>
      <c r="C33" s="218" t="inlineStr">
        <is>
          <t>Custos Industriais</t>
        </is>
      </c>
      <c r="D33" s="164" t="n">
        <v>2452</v>
      </c>
      <c r="E33" s="164" t="n">
        <v>1814</v>
      </c>
      <c r="F33" s="181">
        <f>IFERROR(E33/D33,"")</f>
        <v/>
      </c>
      <c r="G33" s="219" t="inlineStr">
        <is>
          <t>2026-08-10</t>
        </is>
      </c>
      <c r="H33" s="220" t="inlineStr">
        <is>
          <t>mateus.valentim@ivc.br</t>
        </is>
      </c>
      <c r="I33" s="221">
        <f>IF(COUNTA(A33:E33)=0,"",IF(OR(D33&lt;=0,E33&lt;0),"ERRO: bases inválidas",IF(E33&gt;D33,"ERRO: presenças acima do previsto",IF(COUNTIFS($A$5:$A$1200,A33,$B$5:$B$1200,B33,$C$5:$C$1200,C33)&gt;1,"ERRO: chave duplicada",IF(COUNTIFS(DISCIPLINAS!$A$5:$A$101,B33,DISCIPLINAS!$B$5:$B$101,C33)=0,"ERRO: disciplina não pertence ao curso","OK")))))</f>
        <v/>
      </c>
    </row>
    <row r="34" ht="15" customHeight="1" s="131">
      <c r="A34" s="164" t="inlineStr">
        <is>
          <t>2026-06</t>
        </is>
      </c>
      <c r="B34" s="218" t="inlineStr">
        <is>
          <t>Engenharia Mecânica</t>
        </is>
      </c>
      <c r="C34" s="218" t="inlineStr">
        <is>
          <t>Resistência dos Materiais</t>
        </is>
      </c>
      <c r="D34" s="164" t="n">
        <v>2652</v>
      </c>
      <c r="E34" s="164" t="n">
        <v>1925</v>
      </c>
      <c r="F34" s="181">
        <f>IFERROR(E34/D34,"")</f>
        <v/>
      </c>
      <c r="G34" s="219" t="inlineStr">
        <is>
          <t>2026-08-10</t>
        </is>
      </c>
      <c r="H34" s="220" t="inlineStr">
        <is>
          <t>mateus.valentim@ivc.br</t>
        </is>
      </c>
      <c r="I34" s="221">
        <f>IF(COUNTA(A34:E34)=0,"",IF(OR(D34&lt;=0,E34&lt;0),"ERRO: bases inválidas",IF(E34&gt;D34,"ERRO: presenças acima do previsto",IF(COUNTIFS($A$5:$A$1200,A34,$B$5:$B$1200,B34,$C$5:$C$1200,C34)&gt;1,"ERRO: chave duplicada",IF(COUNTIFS(DISCIPLINAS!$A$5:$A$101,B34,DISCIPLINAS!$B$5:$B$101,C34)=0,"ERRO: disciplina não pertence ao curso","OK")))))</f>
        <v/>
      </c>
    </row>
    <row r="35" ht="15" customHeight="1" s="131">
      <c r="A35" s="164" t="inlineStr">
        <is>
          <t>2026-06</t>
        </is>
      </c>
      <c r="B35" s="218" t="inlineStr">
        <is>
          <t>Engenharia Mecânica</t>
        </is>
      </c>
      <c r="C35" s="218" t="inlineStr">
        <is>
          <t>Termodinâmica</t>
        </is>
      </c>
      <c r="D35" s="164" t="n">
        <v>2837</v>
      </c>
      <c r="E35" s="164" t="n">
        <v>2265</v>
      </c>
      <c r="F35" s="181">
        <f>IFERROR(E35/D35,"")</f>
        <v/>
      </c>
      <c r="G35" s="219" t="inlineStr">
        <is>
          <t>2026-08-10</t>
        </is>
      </c>
      <c r="H35" s="220" t="inlineStr">
        <is>
          <t>mateus.valentim@ivc.br</t>
        </is>
      </c>
      <c r="I35" s="221">
        <f>IF(COUNTA(A35:E35)=0,"",IF(OR(D35&lt;=0,E35&lt;0),"ERRO: bases inválidas",IF(E35&gt;D35,"ERRO: presenças acima do previsto",IF(COUNTIFS($A$5:$A$1200,A35,$B$5:$B$1200,B35,$C$5:$C$1200,C35)&gt;1,"ERRO: chave duplicada",IF(COUNTIFS(DISCIPLINAS!$A$5:$A$101,B35,DISCIPLINAS!$B$5:$B$101,C35)=0,"ERRO: disciplina não pertence ao curso","OK")))))</f>
        <v/>
      </c>
    </row>
    <row r="36" ht="15" customHeight="1" s="131">
      <c r="A36" s="164" t="inlineStr">
        <is>
          <t>2026-06</t>
        </is>
      </c>
      <c r="B36" s="218" t="inlineStr">
        <is>
          <t>Engenharia Mecânica</t>
        </is>
      </c>
      <c r="C36" s="218" t="inlineStr">
        <is>
          <t>Desenho Técnico</t>
        </is>
      </c>
      <c r="D36" s="164" t="n">
        <v>2772</v>
      </c>
      <c r="E36" s="164" t="n">
        <v>2286</v>
      </c>
      <c r="F36" s="181">
        <f>IFERROR(E36/D36,"")</f>
        <v/>
      </c>
      <c r="G36" s="219" t="inlineStr">
        <is>
          <t>2026-08-10</t>
        </is>
      </c>
      <c r="H36" s="220" t="inlineStr">
        <is>
          <t>mateus.valentim@ivc.br</t>
        </is>
      </c>
      <c r="I36" s="221">
        <f>IF(COUNTA(A36:E36)=0,"",IF(OR(D36&lt;=0,E36&lt;0),"ERRO: bases inválidas",IF(E36&gt;D36,"ERRO: presenças acima do previsto",IF(COUNTIFS($A$5:$A$1200,A36,$B$5:$B$1200,B36,$C$5:$C$1200,C36)&gt;1,"ERRO: chave duplicada",IF(COUNTIFS(DISCIPLINAS!$A$5:$A$101,B36,DISCIPLINAS!$B$5:$B$101,C36)=0,"ERRO: disciplina não pertence ao curso","OK")))))</f>
        <v/>
      </c>
    </row>
    <row r="37" ht="15" customHeight="1" s="131">
      <c r="A37" s="164" t="inlineStr">
        <is>
          <t>2026-06</t>
        </is>
      </c>
      <c r="B37" s="218" t="inlineStr">
        <is>
          <t>Engenharia Mecânica</t>
        </is>
      </c>
      <c r="C37" s="218" t="inlineStr">
        <is>
          <t>Processos de Fabricação</t>
        </is>
      </c>
      <c r="D37" s="164" t="n">
        <v>2799</v>
      </c>
      <c r="E37" s="164" t="n">
        <v>2107</v>
      </c>
      <c r="F37" s="181">
        <f>IFERROR(E37/D37,"")</f>
        <v/>
      </c>
      <c r="G37" s="219" t="inlineStr">
        <is>
          <t>2026-08-10</t>
        </is>
      </c>
      <c r="H37" s="220" t="inlineStr">
        <is>
          <t>mateus.valentim@ivc.br</t>
        </is>
      </c>
      <c r="I37" s="221">
        <f>IF(COUNTA(A37:E37)=0,"",IF(OR(D37&lt;=0,E37&lt;0),"ERRO: bases inválidas",IF(E37&gt;D37,"ERRO: presenças acima do previsto",IF(COUNTIFS($A$5:$A$1200,A37,$B$5:$B$1200,B37,$C$5:$C$1200,C37)&gt;1,"ERRO: chave duplicada",IF(COUNTIFS(DISCIPLINAS!$A$5:$A$101,B37,DISCIPLINAS!$B$5:$B$101,C37)=0,"ERRO: disciplina não pertence ao curso","OK")))))</f>
        <v/>
      </c>
    </row>
    <row r="38" ht="15" customHeight="1" s="131">
      <c r="A38" s="164" t="inlineStr">
        <is>
          <t>2026-07</t>
        </is>
      </c>
      <c r="B38" s="218" t="inlineStr">
        <is>
          <t>Administração</t>
        </is>
      </c>
      <c r="C38" s="218" t="inlineStr">
        <is>
          <t>Teoria Geral da Administração</t>
        </is>
      </c>
      <c r="D38" s="164" t="n">
        <v>3323</v>
      </c>
      <c r="E38" s="164" t="n">
        <v>2287</v>
      </c>
      <c r="F38" s="181">
        <f>IFERROR(E38/D38,"")</f>
        <v/>
      </c>
      <c r="G38" s="219" t="inlineStr">
        <is>
          <t>2026-08-10</t>
        </is>
      </c>
      <c r="H38" s="220" t="inlineStr">
        <is>
          <t>mateus.valentim@ivc.br</t>
        </is>
      </c>
      <c r="I38" s="221">
        <f>IF(COUNTA(A38:E38)=0,"",IF(OR(D38&lt;=0,E38&lt;0),"ERRO: bases inválidas",IF(E38&gt;D38,"ERRO: presenças acima do previsto",IF(COUNTIFS($A$5:$A$1200,A38,$B$5:$B$1200,B38,$C$5:$C$1200,C38)&gt;1,"ERRO: chave duplicada",IF(COUNTIFS(DISCIPLINAS!$A$5:$A$101,B38,DISCIPLINAS!$B$5:$B$101,C38)=0,"ERRO: disciplina não pertence ao curso","OK")))))</f>
        <v/>
      </c>
    </row>
    <row r="39" ht="15" customHeight="1" s="131">
      <c r="A39" s="164" t="inlineStr">
        <is>
          <t>2026-07</t>
        </is>
      </c>
      <c r="B39" s="218" t="inlineStr">
        <is>
          <t>Administração</t>
        </is>
      </c>
      <c r="C39" s="218" t="inlineStr">
        <is>
          <t>Gestão Financeira</t>
        </is>
      </c>
      <c r="D39" s="164" t="n">
        <v>3216</v>
      </c>
      <c r="E39" s="164" t="n">
        <v>2465</v>
      </c>
      <c r="F39" s="181">
        <f>IFERROR(E39/D39,"")</f>
        <v/>
      </c>
      <c r="G39" s="219" t="inlineStr">
        <is>
          <t>2026-08-10</t>
        </is>
      </c>
      <c r="H39" s="220" t="inlineStr">
        <is>
          <t>mateus.valentim@ivc.br</t>
        </is>
      </c>
      <c r="I39" s="221">
        <f>IF(COUNTA(A39:E39)=0,"",IF(OR(D39&lt;=0,E39&lt;0),"ERRO: bases inválidas",IF(E39&gt;D39,"ERRO: presenças acima do previsto",IF(COUNTIFS($A$5:$A$1200,A39,$B$5:$B$1200,B39,$C$5:$C$1200,C39)&gt;1,"ERRO: chave duplicada",IF(COUNTIFS(DISCIPLINAS!$A$5:$A$101,B39,DISCIPLINAS!$B$5:$B$101,C39)=0,"ERRO: disciplina não pertence ao curso","OK")))))</f>
        <v/>
      </c>
    </row>
    <row r="40" ht="15" customHeight="1" s="131">
      <c r="A40" s="164" t="inlineStr">
        <is>
          <t>2026-07</t>
        </is>
      </c>
      <c r="B40" s="218" t="inlineStr">
        <is>
          <t>Administração</t>
        </is>
      </c>
      <c r="C40" s="218" t="inlineStr">
        <is>
          <t>Marketing</t>
        </is>
      </c>
      <c r="D40" s="164" t="n">
        <v>3037</v>
      </c>
      <c r="E40" s="164" t="n">
        <v>2380</v>
      </c>
      <c r="F40" s="181">
        <f>IFERROR(E40/D40,"")</f>
        <v/>
      </c>
      <c r="G40" s="219" t="inlineStr">
        <is>
          <t>2026-08-10</t>
        </is>
      </c>
      <c r="H40" s="220" t="inlineStr">
        <is>
          <t>mateus.valentim@ivc.br</t>
        </is>
      </c>
      <c r="I40" s="221">
        <f>IF(COUNTA(A40:E40)=0,"",IF(OR(D40&lt;=0,E40&lt;0),"ERRO: bases inválidas",IF(E40&gt;D40,"ERRO: presenças acima do previsto",IF(COUNTIFS($A$5:$A$1200,A40,$B$5:$B$1200,B40,$C$5:$C$1200,C40)&gt;1,"ERRO: chave duplicada",IF(COUNTIFS(DISCIPLINAS!$A$5:$A$101,B40,DISCIPLINAS!$B$5:$B$101,C40)=0,"ERRO: disciplina não pertence ao curso","OK")))))</f>
        <v/>
      </c>
    </row>
    <row r="41" ht="15" customHeight="1" s="131">
      <c r="A41" s="164" t="inlineStr">
        <is>
          <t>2026-07</t>
        </is>
      </c>
      <c r="B41" s="218" t="inlineStr">
        <is>
          <t>Administração</t>
        </is>
      </c>
      <c r="C41" s="218" t="inlineStr">
        <is>
          <t>Gestão de Pessoas</t>
        </is>
      </c>
      <c r="D41" s="164" t="n">
        <v>3233</v>
      </c>
      <c r="E41" s="164" t="n">
        <v>2324</v>
      </c>
      <c r="F41" s="181">
        <f>IFERROR(E41/D41,"")</f>
        <v/>
      </c>
      <c r="G41" s="219" t="inlineStr">
        <is>
          <t>2026-08-10</t>
        </is>
      </c>
      <c r="H41" s="220" t="inlineStr">
        <is>
          <t>mateus.valentim@ivc.br</t>
        </is>
      </c>
      <c r="I41" s="221">
        <f>IF(COUNTA(A41:E41)=0,"",IF(OR(D41&lt;=0,E41&lt;0),"ERRO: bases inválidas",IF(E41&gt;D41,"ERRO: presenças acima do previsto",IF(COUNTIFS($A$5:$A$1200,A41,$B$5:$B$1200,B41,$C$5:$C$1200,C41)&gt;1,"ERRO: chave duplicada",IF(COUNTIFS(DISCIPLINAS!$A$5:$A$101,B41,DISCIPLINAS!$B$5:$B$101,C41)=0,"ERRO: disciplina não pertence ao curso","OK")))))</f>
        <v/>
      </c>
    </row>
    <row r="42" ht="15" customHeight="1" s="131">
      <c r="A42" s="164" t="inlineStr">
        <is>
          <t>2026-07</t>
        </is>
      </c>
      <c r="B42" s="218" t="inlineStr">
        <is>
          <t>Agronomia</t>
        </is>
      </c>
      <c r="C42" s="218" t="inlineStr">
        <is>
          <t>Fitopatologia</t>
        </is>
      </c>
      <c r="D42" s="164" t="n">
        <v>2003</v>
      </c>
      <c r="E42" s="164" t="n">
        <v>1204</v>
      </c>
      <c r="F42" s="181">
        <f>IFERROR(E42/D42,"")</f>
        <v/>
      </c>
      <c r="G42" s="219" t="inlineStr">
        <is>
          <t>2026-08-10</t>
        </is>
      </c>
      <c r="H42" s="220" t="inlineStr">
        <is>
          <t>mateus.valentim@ivc.br</t>
        </is>
      </c>
      <c r="I42" s="221">
        <f>IF(COUNTA(A42:E42)=0,"",IF(OR(D42&lt;=0,E42&lt;0),"ERRO: bases inválidas",IF(E42&gt;D42,"ERRO: presenças acima do previsto",IF(COUNTIFS($A$5:$A$1200,A42,$B$5:$B$1200,B42,$C$5:$C$1200,C42)&gt;1,"ERRO: chave duplicada",IF(COUNTIFS(DISCIPLINAS!$A$5:$A$101,B42,DISCIPLINAS!$B$5:$B$101,C42)=0,"ERRO: disciplina não pertence ao curso","OK")))))</f>
        <v/>
      </c>
    </row>
    <row r="43" ht="15" customHeight="1" s="131">
      <c r="A43" s="164" t="inlineStr">
        <is>
          <t>2026-07</t>
        </is>
      </c>
      <c r="B43" s="218" t="inlineStr">
        <is>
          <t>Agronomia</t>
        </is>
      </c>
      <c r="C43" s="218" t="inlineStr">
        <is>
          <t>Solos e Nutrição de Plantas</t>
        </is>
      </c>
      <c r="D43" s="164" t="n">
        <v>2271</v>
      </c>
      <c r="E43" s="164" t="n">
        <v>1560</v>
      </c>
      <c r="F43" s="181">
        <f>IFERROR(E43/D43,"")</f>
        <v/>
      </c>
      <c r="G43" s="219" t="inlineStr">
        <is>
          <t>2026-08-10</t>
        </is>
      </c>
      <c r="H43" s="220" t="inlineStr">
        <is>
          <t>mateus.valentim@ivc.br</t>
        </is>
      </c>
      <c r="I43" s="221">
        <f>IF(COUNTA(A43:E43)=0,"",IF(OR(D43&lt;=0,E43&lt;0),"ERRO: bases inválidas",IF(E43&gt;D43,"ERRO: presenças acima do previsto",IF(COUNTIFS($A$5:$A$1200,A43,$B$5:$B$1200,B43,$C$5:$C$1200,C43)&gt;1,"ERRO: chave duplicada",IF(COUNTIFS(DISCIPLINAS!$A$5:$A$101,B43,DISCIPLINAS!$B$5:$B$101,C43)=0,"ERRO: disciplina não pertence ao curso","OK")))))</f>
        <v/>
      </c>
    </row>
    <row r="44" ht="15" customHeight="1" s="131">
      <c r="A44" s="164" t="inlineStr">
        <is>
          <t>2026-07</t>
        </is>
      </c>
      <c r="B44" s="218" t="inlineStr">
        <is>
          <t>Agronomia</t>
        </is>
      </c>
      <c r="C44" s="218" t="inlineStr">
        <is>
          <t>Zootecnia</t>
        </is>
      </c>
      <c r="D44" s="164" t="n">
        <v>2033</v>
      </c>
      <c r="E44" s="164" t="n">
        <v>1403</v>
      </c>
      <c r="F44" s="181">
        <f>IFERROR(E44/D44,"")</f>
        <v/>
      </c>
      <c r="G44" s="219" t="inlineStr">
        <is>
          <t>2026-08-10</t>
        </is>
      </c>
      <c r="H44" s="220" t="inlineStr">
        <is>
          <t>mateus.valentim@ivc.br</t>
        </is>
      </c>
      <c r="I44" s="221">
        <f>IF(COUNTA(A44:E44)=0,"",IF(OR(D44&lt;=0,E44&lt;0),"ERRO: bases inválidas",IF(E44&gt;D44,"ERRO: presenças acima do previsto",IF(COUNTIFS($A$5:$A$1200,A44,$B$5:$B$1200,B44,$C$5:$C$1200,C44)&gt;1,"ERRO: chave duplicada",IF(COUNTIFS(DISCIPLINAS!$A$5:$A$101,B44,DISCIPLINAS!$B$5:$B$101,C44)=0,"ERRO: disciplina não pertence ao curso","OK")))))</f>
        <v/>
      </c>
    </row>
    <row r="45" ht="15" customHeight="1" s="131">
      <c r="A45" s="164" t="inlineStr">
        <is>
          <t>2026-07</t>
        </is>
      </c>
      <c r="B45" s="218" t="inlineStr">
        <is>
          <t>Agronomia</t>
        </is>
      </c>
      <c r="C45" s="218" t="inlineStr">
        <is>
          <t>Irrigação e Drenagem</t>
        </is>
      </c>
      <c r="D45" s="164" t="n">
        <v>1949</v>
      </c>
      <c r="E45" s="164" t="n">
        <v>1247</v>
      </c>
      <c r="F45" s="181">
        <f>IFERROR(E45/D45,"")</f>
        <v/>
      </c>
      <c r="G45" s="219" t="inlineStr">
        <is>
          <t>2026-08-10</t>
        </is>
      </c>
      <c r="H45" s="220" t="inlineStr">
        <is>
          <t>mateus.valentim@ivc.br</t>
        </is>
      </c>
      <c r="I45" s="221">
        <f>IF(COUNTA(A45:E45)=0,"",IF(OR(D45&lt;=0,E45&lt;0),"ERRO: bases inválidas",IF(E45&gt;D45,"ERRO: presenças acima do previsto",IF(COUNTIFS($A$5:$A$1200,A45,$B$5:$B$1200,B45,$C$5:$C$1200,C45)&gt;1,"ERRO: chave duplicada",IF(COUNTIFS(DISCIPLINAS!$A$5:$A$101,B45,DISCIPLINAS!$B$5:$B$101,C45)=0,"ERRO: disciplina não pertence ao curso","OK")))))</f>
        <v/>
      </c>
    </row>
    <row r="46" ht="15" customHeight="1" s="131">
      <c r="A46" s="164" t="inlineStr">
        <is>
          <t>2026-07</t>
        </is>
      </c>
      <c r="B46" s="218" t="inlineStr">
        <is>
          <t>Análise e Desenvolvimento de Sistemas</t>
        </is>
      </c>
      <c r="C46" s="218" t="inlineStr">
        <is>
          <t>Programação Orientada a Objetos</t>
        </is>
      </c>
      <c r="D46" s="164" t="n">
        <v>3947</v>
      </c>
      <c r="E46" s="164" t="n">
        <v>2955</v>
      </c>
      <c r="F46" s="181">
        <f>IFERROR(E46/D46,"")</f>
        <v/>
      </c>
      <c r="G46" s="219" t="inlineStr">
        <is>
          <t>2026-08-10</t>
        </is>
      </c>
      <c r="H46" s="220" t="inlineStr">
        <is>
          <t>mateus.valentim@ivc.br</t>
        </is>
      </c>
      <c r="I46" s="221">
        <f>IF(COUNTA(A46:E46)=0,"",IF(OR(D46&lt;=0,E46&lt;0),"ERRO: bases inválidas",IF(E46&gt;D46,"ERRO: presenças acima do previsto",IF(COUNTIFS($A$5:$A$1200,A46,$B$5:$B$1200,B46,$C$5:$C$1200,C46)&gt;1,"ERRO: chave duplicada",IF(COUNTIFS(DISCIPLINAS!$A$5:$A$101,B46,DISCIPLINAS!$B$5:$B$101,C46)=0,"ERRO: disciplina não pertence ao curso","OK")))))</f>
        <v/>
      </c>
    </row>
    <row r="47" ht="15" customHeight="1" s="131">
      <c r="A47" s="164" t="inlineStr">
        <is>
          <t>2026-07</t>
        </is>
      </c>
      <c r="B47" s="218" t="inlineStr">
        <is>
          <t>Análise e Desenvolvimento de Sistemas</t>
        </is>
      </c>
      <c r="C47" s="218" t="inlineStr">
        <is>
          <t>Banco de Dados</t>
        </is>
      </c>
      <c r="D47" s="164" t="n">
        <v>3897</v>
      </c>
      <c r="E47" s="164" t="n">
        <v>3238</v>
      </c>
      <c r="F47" s="181">
        <f>IFERROR(E47/D47,"")</f>
        <v/>
      </c>
      <c r="G47" s="219" t="inlineStr">
        <is>
          <t>2026-08-10</t>
        </is>
      </c>
      <c r="H47" s="220" t="inlineStr">
        <is>
          <t>mateus.valentim@ivc.br</t>
        </is>
      </c>
      <c r="I47" s="221">
        <f>IF(COUNTA(A47:E47)=0,"",IF(OR(D47&lt;=0,E47&lt;0),"ERRO: bases inválidas",IF(E47&gt;D47,"ERRO: presenças acima do previsto",IF(COUNTIFS($A$5:$A$1200,A47,$B$5:$B$1200,B47,$C$5:$C$1200,C47)&gt;1,"ERRO: chave duplicada",IF(COUNTIFS(DISCIPLINAS!$A$5:$A$101,B47,DISCIPLINAS!$B$5:$B$101,C47)=0,"ERRO: disciplina não pertence ao curso","OK")))))</f>
        <v/>
      </c>
    </row>
    <row r="48" ht="15" customHeight="1" s="131">
      <c r="A48" s="164" t="inlineStr">
        <is>
          <t>2026-07</t>
        </is>
      </c>
      <c r="B48" s="218" t="inlineStr">
        <is>
          <t>Análise e Desenvolvimento de Sistemas</t>
        </is>
      </c>
      <c r="C48" s="218" t="inlineStr">
        <is>
          <t>Engenharia de Software</t>
        </is>
      </c>
      <c r="D48" s="164" t="n">
        <v>3913</v>
      </c>
      <c r="E48" s="164" t="n">
        <v>3268</v>
      </c>
      <c r="F48" s="181">
        <f>IFERROR(E48/D48,"")</f>
        <v/>
      </c>
      <c r="G48" s="219" t="inlineStr">
        <is>
          <t>2026-08-10</t>
        </is>
      </c>
      <c r="H48" s="220" t="inlineStr">
        <is>
          <t>mateus.valentim@ivc.br</t>
        </is>
      </c>
      <c r="I48" s="221">
        <f>IF(COUNTA(A48:E48)=0,"",IF(OR(D48&lt;=0,E48&lt;0),"ERRO: bases inválidas",IF(E48&gt;D48,"ERRO: presenças acima do previsto",IF(COUNTIFS($A$5:$A$1200,A48,$B$5:$B$1200,B48,$C$5:$C$1200,C48)&gt;1,"ERRO: chave duplicada",IF(COUNTIFS(DISCIPLINAS!$A$5:$A$101,B48,DISCIPLINAS!$B$5:$B$101,C48)=0,"ERRO: disciplina não pertence ao curso","OK")))))</f>
        <v/>
      </c>
    </row>
    <row r="49" ht="15" customHeight="1" s="131">
      <c r="A49" s="164" t="inlineStr">
        <is>
          <t>2026-07</t>
        </is>
      </c>
      <c r="B49" s="218" t="inlineStr">
        <is>
          <t>Análise e Desenvolvimento de Sistemas</t>
        </is>
      </c>
      <c r="C49" s="218" t="inlineStr">
        <is>
          <t>Redes de Computadores</t>
        </is>
      </c>
      <c r="D49" s="164" t="n">
        <v>3738</v>
      </c>
      <c r="E49" s="164" t="n">
        <v>2915</v>
      </c>
      <c r="F49" s="181">
        <f>IFERROR(E49/D49,"")</f>
        <v/>
      </c>
      <c r="G49" s="219" t="inlineStr">
        <is>
          <t>2026-08-10</t>
        </is>
      </c>
      <c r="H49" s="220" t="inlineStr">
        <is>
          <t>mateus.valentim@ivc.br</t>
        </is>
      </c>
      <c r="I49" s="221">
        <f>IF(COUNTA(A49:E49)=0,"",IF(OR(D49&lt;=0,E49&lt;0),"ERRO: bases inválidas",IF(E49&gt;D49,"ERRO: presenças acima do previsto",IF(COUNTIFS($A$5:$A$1200,A49,$B$5:$B$1200,B49,$C$5:$C$1200,C49)&gt;1,"ERRO: chave duplicada",IF(COUNTIFS(DISCIPLINAS!$A$5:$A$101,B49,DISCIPLINAS!$B$5:$B$101,C49)=0,"ERRO: disciplina não pertence ao curso","OK")))))</f>
        <v/>
      </c>
    </row>
    <row r="50" ht="15" customHeight="1" s="131">
      <c r="A50" s="164" t="inlineStr">
        <is>
          <t>2026-07</t>
        </is>
      </c>
      <c r="B50" s="218" t="inlineStr">
        <is>
          <t>Ciências Contábeis</t>
        </is>
      </c>
      <c r="C50" s="218" t="inlineStr">
        <is>
          <t>Contabilidade Geral</t>
        </is>
      </c>
      <c r="D50" s="164" t="n">
        <v>2906</v>
      </c>
      <c r="E50" s="164" t="n">
        <v>2335</v>
      </c>
      <c r="F50" s="181">
        <f>IFERROR(E50/D50,"")</f>
        <v/>
      </c>
      <c r="G50" s="219" t="inlineStr">
        <is>
          <t>2026-08-10</t>
        </is>
      </c>
      <c r="H50" s="220" t="inlineStr">
        <is>
          <t>mateus.valentim@ivc.br</t>
        </is>
      </c>
      <c r="I50" s="221">
        <f>IF(COUNTA(A50:E50)=0,"",IF(OR(D50&lt;=0,E50&lt;0),"ERRO: bases inválidas",IF(E50&gt;D50,"ERRO: presenças acima do previsto",IF(COUNTIFS($A$5:$A$1200,A50,$B$5:$B$1200,B50,$C$5:$C$1200,C50)&gt;1,"ERRO: chave duplicada",IF(COUNTIFS(DISCIPLINAS!$A$5:$A$101,B50,DISCIPLINAS!$B$5:$B$101,C50)=0,"ERRO: disciplina não pertence ao curso","OK")))))</f>
        <v/>
      </c>
    </row>
    <row r="51" ht="15" customHeight="1" s="131">
      <c r="A51" s="164" t="inlineStr">
        <is>
          <t>2026-07</t>
        </is>
      </c>
      <c r="B51" s="218" t="inlineStr">
        <is>
          <t>Ciências Contábeis</t>
        </is>
      </c>
      <c r="C51" s="218" t="inlineStr">
        <is>
          <t>Contabilidade de Custos</t>
        </is>
      </c>
      <c r="D51" s="164" t="n">
        <v>3105</v>
      </c>
      <c r="E51" s="164" t="n">
        <v>2748</v>
      </c>
      <c r="F51" s="181">
        <f>IFERROR(E51/D51,"")</f>
        <v/>
      </c>
      <c r="G51" s="219" t="inlineStr">
        <is>
          <t>2026-08-10</t>
        </is>
      </c>
      <c r="H51" s="220" t="inlineStr">
        <is>
          <t>mateus.valentim@ivc.br</t>
        </is>
      </c>
      <c r="I51" s="221">
        <f>IF(COUNTA(A51:E51)=0,"",IF(OR(D51&lt;=0,E51&lt;0),"ERRO: bases inválidas",IF(E51&gt;D51,"ERRO: presenças acima do previsto",IF(COUNTIFS($A$5:$A$1200,A51,$B$5:$B$1200,B51,$C$5:$C$1200,C51)&gt;1,"ERRO: chave duplicada",IF(COUNTIFS(DISCIPLINAS!$A$5:$A$101,B51,DISCIPLINAS!$B$5:$B$101,C51)=0,"ERRO: disciplina não pertence ao curso","OK")))))</f>
        <v/>
      </c>
    </row>
    <row r="52" ht="15" customHeight="1" s="131">
      <c r="A52" s="164" t="inlineStr">
        <is>
          <t>2026-07</t>
        </is>
      </c>
      <c r="B52" s="218" t="inlineStr">
        <is>
          <t>Ciências Contábeis</t>
        </is>
      </c>
      <c r="C52" s="218" t="inlineStr">
        <is>
          <t>Auditoria</t>
        </is>
      </c>
      <c r="D52" s="164" t="n">
        <v>2949</v>
      </c>
      <c r="E52" s="164" t="n">
        <v>2663</v>
      </c>
      <c r="F52" s="181">
        <f>IFERROR(E52/D52,"")</f>
        <v/>
      </c>
      <c r="G52" s="219" t="inlineStr">
        <is>
          <t>2026-08-10</t>
        </is>
      </c>
      <c r="H52" s="220" t="inlineStr">
        <is>
          <t>mateus.valentim@ivc.br</t>
        </is>
      </c>
      <c r="I52" s="221">
        <f>IF(COUNTA(A52:E52)=0,"",IF(OR(D52&lt;=0,E52&lt;0),"ERRO: bases inválidas",IF(E52&gt;D52,"ERRO: presenças acima do previsto",IF(COUNTIFS($A$5:$A$1200,A52,$B$5:$B$1200,B52,$C$5:$C$1200,C52)&gt;1,"ERRO: chave duplicada",IF(COUNTIFS(DISCIPLINAS!$A$5:$A$101,B52,DISCIPLINAS!$B$5:$B$101,C52)=0,"ERRO: disciplina não pertence ao curso","OK")))))</f>
        <v/>
      </c>
    </row>
    <row r="53" ht="15" customHeight="1" s="131">
      <c r="A53" s="164" t="inlineStr">
        <is>
          <t>2026-07</t>
        </is>
      </c>
      <c r="B53" s="218" t="inlineStr">
        <is>
          <t>Ciências Contábeis</t>
        </is>
      </c>
      <c r="C53" s="218" t="inlineStr">
        <is>
          <t>Legislação Tributária</t>
        </is>
      </c>
      <c r="D53" s="164" t="n">
        <v>2904</v>
      </c>
      <c r="E53" s="164" t="n">
        <v>2406</v>
      </c>
      <c r="F53" s="181">
        <f>IFERROR(E53/D53,"")</f>
        <v/>
      </c>
      <c r="G53" s="219" t="inlineStr">
        <is>
          <t>2026-08-10</t>
        </is>
      </c>
      <c r="H53" s="220" t="inlineStr">
        <is>
          <t>mateus.valentim@ivc.br</t>
        </is>
      </c>
      <c r="I53" s="221">
        <f>IF(COUNTA(A53:E53)=0,"",IF(OR(D53&lt;=0,E53&lt;0),"ERRO: bases inválidas",IF(E53&gt;D53,"ERRO: presenças acima do previsto",IF(COUNTIFS($A$5:$A$1200,A53,$B$5:$B$1200,B53,$C$5:$C$1200,C53)&gt;1,"ERRO: chave duplicada",IF(COUNTIFS(DISCIPLINAS!$A$5:$A$101,B53,DISCIPLINAS!$B$5:$B$101,C53)=0,"ERRO: disciplina não pertence ao curso","OK")))))</f>
        <v/>
      </c>
    </row>
    <row r="54" ht="15" customHeight="1" s="131">
      <c r="A54" s="164" t="inlineStr">
        <is>
          <t>2026-07</t>
        </is>
      </c>
      <c r="B54" s="218" t="inlineStr">
        <is>
          <t>Comunicação Social</t>
        </is>
      </c>
      <c r="C54" s="218" t="inlineStr">
        <is>
          <t>Teorias da Comunicação</t>
        </is>
      </c>
      <c r="D54" s="164" t="n">
        <v>1797</v>
      </c>
      <c r="E54" s="164" t="n">
        <v>1127</v>
      </c>
      <c r="F54" s="181">
        <f>IFERROR(E54/D54,"")</f>
        <v/>
      </c>
      <c r="G54" s="219" t="inlineStr">
        <is>
          <t>2026-08-10</t>
        </is>
      </c>
      <c r="H54" s="220" t="inlineStr">
        <is>
          <t>mateus.valentim@ivc.br</t>
        </is>
      </c>
      <c r="I54" s="221">
        <f>IF(COUNTA(A54:E54)=0,"",IF(OR(D54&lt;=0,E54&lt;0),"ERRO: bases inválidas",IF(E54&gt;D54,"ERRO: presenças acima do previsto",IF(COUNTIFS($A$5:$A$1200,A54,$B$5:$B$1200,B54,$C$5:$C$1200,C54)&gt;1,"ERRO: chave duplicada",IF(COUNTIFS(DISCIPLINAS!$A$5:$A$101,B54,DISCIPLINAS!$B$5:$B$101,C54)=0,"ERRO: disciplina não pertence ao curso","OK")))))</f>
        <v/>
      </c>
    </row>
    <row r="55" ht="15" customHeight="1" s="131">
      <c r="A55" s="164" t="inlineStr">
        <is>
          <t>2026-07</t>
        </is>
      </c>
      <c r="B55" s="218" t="inlineStr">
        <is>
          <t>Comunicação Social</t>
        </is>
      </c>
      <c r="C55" s="218" t="inlineStr">
        <is>
          <t>Redação Publicitária</t>
        </is>
      </c>
      <c r="D55" s="164" t="n">
        <v>1906</v>
      </c>
      <c r="E55" s="164" t="n">
        <v>1342</v>
      </c>
      <c r="F55" s="181">
        <f>IFERROR(E55/D55,"")</f>
        <v/>
      </c>
      <c r="G55" s="219" t="inlineStr">
        <is>
          <t>2026-08-10</t>
        </is>
      </c>
      <c r="H55" s="220" t="inlineStr">
        <is>
          <t>mateus.valentim@ivc.br</t>
        </is>
      </c>
      <c r="I55" s="221">
        <f>IF(COUNTA(A55:E55)=0,"",IF(OR(D55&lt;=0,E55&lt;0),"ERRO: bases inválidas",IF(E55&gt;D55,"ERRO: presenças acima do previsto",IF(COUNTIFS($A$5:$A$1200,A55,$B$5:$B$1200,B55,$C$5:$C$1200,C55)&gt;1,"ERRO: chave duplicada",IF(COUNTIFS(DISCIPLINAS!$A$5:$A$101,B55,DISCIPLINAS!$B$5:$B$101,C55)=0,"ERRO: disciplina não pertence ao curso","OK")))))</f>
        <v/>
      </c>
    </row>
    <row r="56" ht="15" customHeight="1" s="131">
      <c r="A56" s="164" t="inlineStr">
        <is>
          <t>2026-07</t>
        </is>
      </c>
      <c r="B56" s="218" t="inlineStr">
        <is>
          <t>Comunicação Social</t>
        </is>
      </c>
      <c r="C56" s="218" t="inlineStr">
        <is>
          <t>Produção Audiovisual</t>
        </is>
      </c>
      <c r="D56" s="164" t="n">
        <v>1654</v>
      </c>
      <c r="E56" s="164" t="n">
        <v>1195</v>
      </c>
      <c r="F56" s="181">
        <f>IFERROR(E56/D56,"")</f>
        <v/>
      </c>
      <c r="G56" s="219" t="inlineStr">
        <is>
          <t>2026-08-10</t>
        </is>
      </c>
      <c r="H56" s="220" t="inlineStr">
        <is>
          <t>mateus.valentim@ivc.br</t>
        </is>
      </c>
      <c r="I56" s="221">
        <f>IF(COUNTA(A56:E56)=0,"",IF(OR(D56&lt;=0,E56&lt;0),"ERRO: bases inválidas",IF(E56&gt;D56,"ERRO: presenças acima do previsto",IF(COUNTIFS($A$5:$A$1200,A56,$B$5:$B$1200,B56,$C$5:$C$1200,C56)&gt;1,"ERRO: chave duplicada",IF(COUNTIFS(DISCIPLINAS!$A$5:$A$101,B56,DISCIPLINAS!$B$5:$B$101,C56)=0,"ERRO: disciplina não pertence ao curso","OK")))))</f>
        <v/>
      </c>
    </row>
    <row r="57" ht="15" customHeight="1" s="131">
      <c r="A57" s="164" t="inlineStr">
        <is>
          <t>2026-07</t>
        </is>
      </c>
      <c r="B57" s="218" t="inlineStr">
        <is>
          <t>Comunicação Social</t>
        </is>
      </c>
      <c r="C57" s="218" t="inlineStr">
        <is>
          <t>Assessoria de Imprensa</t>
        </is>
      </c>
      <c r="D57" s="164" t="n">
        <v>1922</v>
      </c>
      <c r="E57" s="164" t="n">
        <v>1267</v>
      </c>
      <c r="F57" s="181">
        <f>IFERROR(E57/D57,"")</f>
        <v/>
      </c>
      <c r="G57" s="219" t="inlineStr">
        <is>
          <t>2026-08-10</t>
        </is>
      </c>
      <c r="H57" s="220" t="inlineStr">
        <is>
          <t>mateus.valentim@ivc.br</t>
        </is>
      </c>
      <c r="I57" s="221">
        <f>IF(COUNTA(A57:E57)=0,"",IF(OR(D57&lt;=0,E57&lt;0),"ERRO: bases inválidas",IF(E57&gt;D57,"ERRO: presenças acima do previsto",IF(COUNTIFS($A$5:$A$1200,A57,$B$5:$B$1200,B57,$C$5:$C$1200,C57)&gt;1,"ERRO: chave duplicada",IF(COUNTIFS(DISCIPLINAS!$A$5:$A$101,B57,DISCIPLINAS!$B$5:$B$101,C57)=0,"ERRO: disciplina não pertence ao curso","OK")))))</f>
        <v/>
      </c>
    </row>
    <row r="58" ht="15" customHeight="1" s="131">
      <c r="A58" s="164" t="inlineStr">
        <is>
          <t>2026-07</t>
        </is>
      </c>
      <c r="B58" s="218" t="inlineStr">
        <is>
          <t>Direito</t>
        </is>
      </c>
      <c r="C58" s="218" t="inlineStr">
        <is>
          <t>Direito Constitucional</t>
        </is>
      </c>
      <c r="D58" s="164" t="n">
        <v>5455</v>
      </c>
      <c r="E58" s="164" t="n">
        <v>3971</v>
      </c>
      <c r="F58" s="181">
        <f>IFERROR(E58/D58,"")</f>
        <v/>
      </c>
      <c r="G58" s="219" t="inlineStr">
        <is>
          <t>2026-08-10</t>
        </is>
      </c>
      <c r="H58" s="220" t="inlineStr">
        <is>
          <t>mateus.valentim@ivc.br</t>
        </is>
      </c>
      <c r="I58" s="221">
        <f>IF(COUNTA(A58:E58)=0,"",IF(OR(D58&lt;=0,E58&lt;0),"ERRO: bases inválidas",IF(E58&gt;D58,"ERRO: presenças acima do previsto",IF(COUNTIFS($A$5:$A$1200,A58,$B$5:$B$1200,B58,$C$5:$C$1200,C58)&gt;1,"ERRO: chave duplicada",IF(COUNTIFS(DISCIPLINAS!$A$5:$A$101,B58,DISCIPLINAS!$B$5:$B$101,C58)=0,"ERRO: disciplina não pertence ao curso","OK")))))</f>
        <v/>
      </c>
    </row>
    <row r="59" ht="15" customHeight="1" s="131">
      <c r="A59" s="164" t="inlineStr">
        <is>
          <t>2026-07</t>
        </is>
      </c>
      <c r="B59" s="218" t="inlineStr">
        <is>
          <t>Direito</t>
        </is>
      </c>
      <c r="C59" s="218" t="inlineStr">
        <is>
          <t>Direito Civil</t>
        </is>
      </c>
      <c r="D59" s="164" t="n">
        <v>5747</v>
      </c>
      <c r="E59" s="164" t="n">
        <v>4627</v>
      </c>
      <c r="F59" s="181">
        <f>IFERROR(E59/D59,"")</f>
        <v/>
      </c>
      <c r="G59" s="219" t="inlineStr">
        <is>
          <t>2026-08-10</t>
        </is>
      </c>
      <c r="H59" s="220" t="inlineStr">
        <is>
          <t>mateus.valentim@ivc.br</t>
        </is>
      </c>
      <c r="I59" s="221">
        <f>IF(COUNTA(A59:E59)=0,"",IF(OR(D59&lt;=0,E59&lt;0),"ERRO: bases inválidas",IF(E59&gt;D59,"ERRO: presenças acima do previsto",IF(COUNTIFS($A$5:$A$1200,A59,$B$5:$B$1200,B59,$C$5:$C$1200,C59)&gt;1,"ERRO: chave duplicada",IF(COUNTIFS(DISCIPLINAS!$A$5:$A$101,B59,DISCIPLINAS!$B$5:$B$101,C59)=0,"ERRO: disciplina não pertence ao curso","OK")))))</f>
        <v/>
      </c>
    </row>
    <row r="60" ht="15" customHeight="1" s="131">
      <c r="A60" s="164" t="inlineStr">
        <is>
          <t>2026-07</t>
        </is>
      </c>
      <c r="B60" s="218" t="inlineStr">
        <is>
          <t>Direito</t>
        </is>
      </c>
      <c r="C60" s="218" t="inlineStr">
        <is>
          <t>Direito Penal</t>
        </is>
      </c>
      <c r="D60" s="164" t="n">
        <v>5699</v>
      </c>
      <c r="E60" s="164" t="n">
        <v>4684</v>
      </c>
      <c r="F60" s="181">
        <f>IFERROR(E60/D60,"")</f>
        <v/>
      </c>
      <c r="G60" s="219" t="inlineStr">
        <is>
          <t>2026-08-10</t>
        </is>
      </c>
      <c r="H60" s="220" t="inlineStr">
        <is>
          <t>mateus.valentim@ivc.br</t>
        </is>
      </c>
      <c r="I60" s="221">
        <f>IF(COUNTA(A60:E60)=0,"",IF(OR(D60&lt;=0,E60&lt;0),"ERRO: bases inválidas",IF(E60&gt;D60,"ERRO: presenças acima do previsto",IF(COUNTIFS($A$5:$A$1200,A60,$B$5:$B$1200,B60,$C$5:$C$1200,C60)&gt;1,"ERRO: chave duplicada",IF(COUNTIFS(DISCIPLINAS!$A$5:$A$101,B60,DISCIPLINAS!$B$5:$B$101,C60)=0,"ERRO: disciplina não pertence ao curso","OK")))))</f>
        <v/>
      </c>
    </row>
    <row r="61" ht="15" customHeight="1" s="131">
      <c r="A61" s="164" t="inlineStr">
        <is>
          <t>2026-07</t>
        </is>
      </c>
      <c r="B61" s="218" t="inlineStr">
        <is>
          <t>Direito</t>
        </is>
      </c>
      <c r="C61" s="218" t="inlineStr">
        <is>
          <t>Legislação Trabalhista</t>
        </is>
      </c>
      <c r="D61" s="164" t="n">
        <v>5629</v>
      </c>
      <c r="E61" s="164" t="n">
        <v>4231</v>
      </c>
      <c r="F61" s="181">
        <f>IFERROR(E61/D61,"")</f>
        <v/>
      </c>
      <c r="G61" s="219" t="inlineStr">
        <is>
          <t>2026-08-10</t>
        </is>
      </c>
      <c r="H61" s="220" t="inlineStr">
        <is>
          <t>mateus.valentim@ivc.br</t>
        </is>
      </c>
      <c r="I61" s="221">
        <f>IF(COUNTA(A61:E61)=0,"",IF(OR(D61&lt;=0,E61&lt;0),"ERRO: bases inválidas",IF(E61&gt;D61,"ERRO: presenças acima do previsto",IF(COUNTIFS($A$5:$A$1200,A61,$B$5:$B$1200,B61,$C$5:$C$1200,C61)&gt;1,"ERRO: chave duplicada",IF(COUNTIFS(DISCIPLINAS!$A$5:$A$101,B61,DISCIPLINAS!$B$5:$B$101,C61)=0,"ERRO: disciplina não pertence ao curso","OK")))))</f>
        <v/>
      </c>
    </row>
    <row r="62" ht="15" customHeight="1" s="131">
      <c r="A62" s="164" t="inlineStr">
        <is>
          <t>2026-07</t>
        </is>
      </c>
      <c r="B62" s="218" t="inlineStr">
        <is>
          <t>Direito</t>
        </is>
      </c>
      <c r="C62" s="218" t="inlineStr">
        <is>
          <t>Processo Civil</t>
        </is>
      </c>
      <c r="D62" s="164" t="n">
        <v>5705</v>
      </c>
      <c r="E62" s="164" t="n">
        <v>4500</v>
      </c>
      <c r="F62" s="181">
        <f>IFERROR(E62/D62,"")</f>
        <v/>
      </c>
      <c r="G62" s="219" t="inlineStr">
        <is>
          <t>2026-08-10</t>
        </is>
      </c>
      <c r="H62" s="220" t="inlineStr">
        <is>
          <t>mateus.valentim@ivc.br</t>
        </is>
      </c>
      <c r="I62" s="221">
        <f>IF(COUNTA(A62:E62)=0,"",IF(OR(D62&lt;=0,E62&lt;0),"ERRO: bases inválidas",IF(E62&gt;D62,"ERRO: presenças acima do previsto",IF(COUNTIFS($A$5:$A$1200,A62,$B$5:$B$1200,B62,$C$5:$C$1200,C62)&gt;1,"ERRO: chave duplicada",IF(COUNTIFS(DISCIPLINAS!$A$5:$A$101,B62,DISCIPLINAS!$B$5:$B$101,C62)=0,"ERRO: disciplina não pertence ao curso","OK")))))</f>
        <v/>
      </c>
    </row>
    <row r="63" ht="15" customHeight="1" s="131">
      <c r="A63" s="164" t="inlineStr">
        <is>
          <t>2026-07</t>
        </is>
      </c>
      <c r="B63" s="218" t="inlineStr">
        <is>
          <t>Engenharia de Produção</t>
        </is>
      </c>
      <c r="C63" s="218" t="inlineStr">
        <is>
          <t>Pesquisa Operacional</t>
        </is>
      </c>
      <c r="D63" s="164" t="n">
        <v>2246</v>
      </c>
      <c r="E63" s="164" t="n">
        <v>1590</v>
      </c>
      <c r="F63" s="181">
        <f>IFERROR(E63/D63,"")</f>
        <v/>
      </c>
      <c r="G63" s="219" t="inlineStr">
        <is>
          <t>2026-08-10</t>
        </is>
      </c>
      <c r="H63" s="220" t="inlineStr">
        <is>
          <t>mateus.valentim@ivc.br</t>
        </is>
      </c>
      <c r="I63" s="221">
        <f>IF(COUNTA(A63:E63)=0,"",IF(OR(D63&lt;=0,E63&lt;0),"ERRO: bases inválidas",IF(E63&gt;D63,"ERRO: presenças acima do previsto",IF(COUNTIFS($A$5:$A$1200,A63,$B$5:$B$1200,B63,$C$5:$C$1200,C63)&gt;1,"ERRO: chave duplicada",IF(COUNTIFS(DISCIPLINAS!$A$5:$A$101,B63,DISCIPLINAS!$B$5:$B$101,C63)=0,"ERRO: disciplina não pertence ao curso","OK")))))</f>
        <v/>
      </c>
    </row>
    <row r="64" ht="15" customHeight="1" s="131">
      <c r="A64" s="164" t="inlineStr">
        <is>
          <t>2026-07</t>
        </is>
      </c>
      <c r="B64" s="218" t="inlineStr">
        <is>
          <t>Engenharia de Produção</t>
        </is>
      </c>
      <c r="C64" s="218" t="inlineStr">
        <is>
          <t>Planejamento e Controle da Produção</t>
        </is>
      </c>
      <c r="D64" s="164" t="n">
        <v>2275</v>
      </c>
      <c r="E64" s="164" t="n">
        <v>1798</v>
      </c>
      <c r="F64" s="181">
        <f>IFERROR(E64/D64,"")</f>
        <v/>
      </c>
      <c r="G64" s="219" t="inlineStr">
        <is>
          <t>2026-08-10</t>
        </is>
      </c>
      <c r="H64" s="220" t="inlineStr">
        <is>
          <t>mateus.valentim@ivc.br</t>
        </is>
      </c>
      <c r="I64" s="221">
        <f>IF(COUNTA(A64:E64)=0,"",IF(OR(D64&lt;=0,E64&lt;0),"ERRO: bases inválidas",IF(E64&gt;D64,"ERRO: presenças acima do previsto",IF(COUNTIFS($A$5:$A$1200,A64,$B$5:$B$1200,B64,$C$5:$C$1200,C64)&gt;1,"ERRO: chave duplicada",IF(COUNTIFS(DISCIPLINAS!$A$5:$A$101,B64,DISCIPLINAS!$B$5:$B$101,C64)=0,"ERRO: disciplina não pertence ao curso","OK")))))</f>
        <v/>
      </c>
    </row>
    <row r="65" ht="15" customHeight="1" s="131">
      <c r="A65" s="164" t="inlineStr">
        <is>
          <t>2026-07</t>
        </is>
      </c>
      <c r="B65" s="218" t="inlineStr">
        <is>
          <t>Engenharia de Produção</t>
        </is>
      </c>
      <c r="C65" s="218" t="inlineStr">
        <is>
          <t>Engenharia da Qualidade</t>
        </is>
      </c>
      <c r="D65" s="164" t="n">
        <v>2291</v>
      </c>
      <c r="E65" s="164" t="n">
        <v>1818</v>
      </c>
      <c r="F65" s="181">
        <f>IFERROR(E65/D65,"")</f>
        <v/>
      </c>
      <c r="G65" s="219" t="inlineStr">
        <is>
          <t>2026-08-10</t>
        </is>
      </c>
      <c r="H65" s="220" t="inlineStr">
        <is>
          <t>mateus.valentim@ivc.br</t>
        </is>
      </c>
      <c r="I65" s="221">
        <f>IF(COUNTA(A65:E65)=0,"",IF(OR(D65&lt;=0,E65&lt;0),"ERRO: bases inválidas",IF(E65&gt;D65,"ERRO: presenças acima do previsto",IF(COUNTIFS($A$5:$A$1200,A65,$B$5:$B$1200,B65,$C$5:$C$1200,C65)&gt;1,"ERRO: chave duplicada",IF(COUNTIFS(DISCIPLINAS!$A$5:$A$101,B65,DISCIPLINAS!$B$5:$B$101,C65)=0,"ERRO: disciplina não pertence ao curso","OK")))))</f>
        <v/>
      </c>
    </row>
    <row r="66" ht="15" customHeight="1" s="131">
      <c r="A66" s="164" t="inlineStr">
        <is>
          <t>2026-07</t>
        </is>
      </c>
      <c r="B66" s="218" t="inlineStr">
        <is>
          <t>Engenharia de Produção</t>
        </is>
      </c>
      <c r="C66" s="218" t="inlineStr">
        <is>
          <t>Custos Industriais</t>
        </is>
      </c>
      <c r="D66" s="164" t="n">
        <v>2506</v>
      </c>
      <c r="E66" s="164" t="n">
        <v>1843</v>
      </c>
      <c r="F66" s="181">
        <f>IFERROR(E66/D66,"")</f>
        <v/>
      </c>
      <c r="G66" s="219" t="inlineStr">
        <is>
          <t>2026-08-10</t>
        </is>
      </c>
      <c r="H66" s="220" t="inlineStr">
        <is>
          <t>mateus.valentim@ivc.br</t>
        </is>
      </c>
      <c r="I66" s="221">
        <f>IF(COUNTA(A66:E66)=0,"",IF(OR(D66&lt;=0,E66&lt;0),"ERRO: bases inválidas",IF(E66&gt;D66,"ERRO: presenças acima do previsto",IF(COUNTIFS($A$5:$A$1200,A66,$B$5:$B$1200,B66,$C$5:$C$1200,C66)&gt;1,"ERRO: chave duplicada",IF(COUNTIFS(DISCIPLINAS!$A$5:$A$101,B66,DISCIPLINAS!$B$5:$B$101,C66)=0,"ERRO: disciplina não pertence ao curso","OK")))))</f>
        <v/>
      </c>
    </row>
    <row r="67" ht="15" customHeight="1" s="131">
      <c r="A67" s="164" t="inlineStr">
        <is>
          <t>2026-07</t>
        </is>
      </c>
      <c r="B67" s="218" t="inlineStr">
        <is>
          <t>Engenharia Mecânica</t>
        </is>
      </c>
      <c r="C67" s="218" t="inlineStr">
        <is>
          <t>Resistência dos Materiais</t>
        </is>
      </c>
      <c r="D67" s="164" t="n">
        <v>2740</v>
      </c>
      <c r="E67" s="164" t="n">
        <v>1964</v>
      </c>
      <c r="F67" s="181">
        <f>IFERROR(E67/D67,"")</f>
        <v/>
      </c>
      <c r="G67" s="219" t="inlineStr">
        <is>
          <t>2026-08-10</t>
        </is>
      </c>
      <c r="H67" s="220" t="inlineStr">
        <is>
          <t>mateus.valentim@ivc.br</t>
        </is>
      </c>
      <c r="I67" s="221">
        <f>IF(COUNTA(A67:E67)=0,"",IF(OR(D67&lt;=0,E67&lt;0),"ERRO: bases inválidas",IF(E67&gt;D67,"ERRO: presenças acima do previsto",IF(COUNTIFS($A$5:$A$1200,A67,$B$5:$B$1200,B67,$C$5:$C$1200,C67)&gt;1,"ERRO: chave duplicada",IF(COUNTIFS(DISCIPLINAS!$A$5:$A$101,B67,DISCIPLINAS!$B$5:$B$101,C67)=0,"ERRO: disciplina não pertence ao curso","OK")))))</f>
        <v/>
      </c>
    </row>
    <row r="68" ht="15" customHeight="1" s="131">
      <c r="A68" s="164" t="inlineStr">
        <is>
          <t>2026-07</t>
        </is>
      </c>
      <c r="B68" s="218" t="inlineStr">
        <is>
          <t>Engenharia Mecânica</t>
        </is>
      </c>
      <c r="C68" s="218" t="inlineStr">
        <is>
          <t>Termodinâmica</t>
        </is>
      </c>
      <c r="D68" s="164" t="n">
        <v>2858</v>
      </c>
      <c r="E68" s="164" t="n">
        <v>2252</v>
      </c>
      <c r="F68" s="181">
        <f>IFERROR(E68/D68,"")</f>
        <v/>
      </c>
      <c r="G68" s="219" t="inlineStr">
        <is>
          <t>2026-08-10</t>
        </is>
      </c>
      <c r="H68" s="220" t="inlineStr">
        <is>
          <t>mateus.valentim@ivc.br</t>
        </is>
      </c>
      <c r="I68" s="221">
        <f>IF(COUNTA(A68:E68)=0,"",IF(OR(D68&lt;=0,E68&lt;0),"ERRO: bases inválidas",IF(E68&gt;D68,"ERRO: presenças acima do previsto",IF(COUNTIFS($A$5:$A$1200,A68,$B$5:$B$1200,B68,$C$5:$C$1200,C68)&gt;1,"ERRO: chave duplicada",IF(COUNTIFS(DISCIPLINAS!$A$5:$A$101,B68,DISCIPLINAS!$B$5:$B$101,C68)=0,"ERRO: disciplina não pertence ao curso","OK")))))</f>
        <v/>
      </c>
    </row>
    <row r="69" ht="15" customHeight="1" s="131">
      <c r="A69" s="164" t="inlineStr">
        <is>
          <t>2026-07</t>
        </is>
      </c>
      <c r="B69" s="218" t="inlineStr">
        <is>
          <t>Engenharia Mecânica</t>
        </is>
      </c>
      <c r="C69" s="218" t="inlineStr">
        <is>
          <t>Desenho Técnico</t>
        </is>
      </c>
      <c r="D69" s="164" t="n">
        <v>2807</v>
      </c>
      <c r="E69" s="164" t="n">
        <v>2249</v>
      </c>
      <c r="F69" s="181">
        <f>IFERROR(E69/D69,"")</f>
        <v/>
      </c>
      <c r="G69" s="219" t="inlineStr">
        <is>
          <t>2026-08-10</t>
        </is>
      </c>
      <c r="H69" s="220" t="inlineStr">
        <is>
          <t>mateus.valentim@ivc.br</t>
        </is>
      </c>
      <c r="I69" s="221">
        <f>IF(COUNTA(A69:E69)=0,"",IF(OR(D69&lt;=0,E69&lt;0),"ERRO: bases inválidas",IF(E69&gt;D69,"ERRO: presenças acima do previsto",IF(COUNTIFS($A$5:$A$1200,A69,$B$5:$B$1200,B69,$C$5:$C$1200,C69)&gt;1,"ERRO: chave duplicada",IF(COUNTIFS(DISCIPLINAS!$A$5:$A$101,B69,DISCIPLINAS!$B$5:$B$101,C69)=0,"ERRO: disciplina não pertence ao curso","OK")))))</f>
        <v/>
      </c>
    </row>
    <row r="70" ht="15" customHeight="1" s="131">
      <c r="A70" s="164" t="inlineStr">
        <is>
          <t>2026-07</t>
        </is>
      </c>
      <c r="B70" s="218" t="inlineStr">
        <is>
          <t>Engenharia Mecânica</t>
        </is>
      </c>
      <c r="C70" s="218" t="inlineStr">
        <is>
          <t>Processos de Fabricação</t>
        </is>
      </c>
      <c r="D70" s="164" t="n">
        <v>2578</v>
      </c>
      <c r="E70" s="164" t="n">
        <v>1928</v>
      </c>
      <c r="F70" s="181">
        <f>IFERROR(E70/D70,"")</f>
        <v/>
      </c>
      <c r="G70" s="219" t="inlineStr">
        <is>
          <t>2026-08-10</t>
        </is>
      </c>
      <c r="H70" s="220" t="inlineStr">
        <is>
          <t>mateus.valentim@ivc.br</t>
        </is>
      </c>
      <c r="I70" s="221">
        <f>IF(COUNTA(A70:E70)=0,"",IF(OR(D70&lt;=0,E70&lt;0),"ERRO: bases inválidas",IF(E70&gt;D70,"ERRO: presenças acima do previsto",IF(COUNTIFS($A$5:$A$1200,A70,$B$5:$B$1200,B70,$C$5:$C$1200,C70)&gt;1,"ERRO: chave duplicada",IF(COUNTIFS(DISCIPLINAS!$A$5:$A$101,B70,DISCIPLINAS!$B$5:$B$101,C70)=0,"ERRO: disciplina não pertence ao curso","OK")))))</f>
        <v/>
      </c>
    </row>
    <row r="71" ht="15" customHeight="1" s="131">
      <c r="A71" s="164" t="inlineStr">
        <is>
          <t>2026-SEM1</t>
        </is>
      </c>
      <c r="B71" s="218" t="inlineStr">
        <is>
          <t>Administração</t>
        </is>
      </c>
      <c r="C71" s="218" t="inlineStr">
        <is>
          <t>Teoria Geral da Administração</t>
        </is>
      </c>
      <c r="D71" s="164" t="n">
        <v>3168</v>
      </c>
      <c r="E71" s="164" t="n">
        <v>2309</v>
      </c>
      <c r="F71" s="181">
        <f>IFERROR(E71/D71,"")</f>
        <v/>
      </c>
      <c r="G71" s="219" t="inlineStr">
        <is>
          <t>2026-08-10</t>
        </is>
      </c>
      <c r="H71" s="220" t="inlineStr">
        <is>
          <t>mateus.valentim@ivc.br</t>
        </is>
      </c>
      <c r="I71" s="221">
        <f>IF(COUNTA(A71:E71)=0,"",IF(OR(D71&lt;=0,E71&lt;0),"ERRO: bases inválidas",IF(E71&gt;D71,"ERRO: presenças acima do previsto",IF(COUNTIFS($A$5:$A$1200,A71,$B$5:$B$1200,B71,$C$5:$C$1200,C71)&gt;1,"ERRO: chave duplicada",IF(COUNTIFS(DISCIPLINAS!$A$5:$A$101,B71,DISCIPLINAS!$B$5:$B$101,C71)=0,"ERRO: disciplina não pertence ao curso","OK")))))</f>
        <v/>
      </c>
    </row>
    <row r="72" ht="15" customHeight="1" s="131">
      <c r="A72" s="164" t="inlineStr">
        <is>
          <t>2026-SEM1</t>
        </is>
      </c>
      <c r="B72" s="218" t="inlineStr">
        <is>
          <t>Administração</t>
        </is>
      </c>
      <c r="C72" s="218" t="inlineStr">
        <is>
          <t>Gestão Financeira</t>
        </is>
      </c>
      <c r="D72" s="164" t="n">
        <v>3062</v>
      </c>
      <c r="E72" s="164" t="n">
        <v>2472</v>
      </c>
      <c r="F72" s="181">
        <f>IFERROR(E72/D72,"")</f>
        <v/>
      </c>
      <c r="G72" s="219" t="inlineStr">
        <is>
          <t>2026-08-10</t>
        </is>
      </c>
      <c r="H72" s="220" t="inlineStr">
        <is>
          <t>mateus.valentim@ivc.br</t>
        </is>
      </c>
      <c r="I72" s="221">
        <f>IF(COUNTA(A72:E72)=0,"",IF(OR(D72&lt;=0,E72&lt;0),"ERRO: bases inválidas",IF(E72&gt;D72,"ERRO: presenças acima do previsto",IF(COUNTIFS($A$5:$A$1200,A72,$B$5:$B$1200,B72,$C$5:$C$1200,C72)&gt;1,"ERRO: chave duplicada",IF(COUNTIFS(DISCIPLINAS!$A$5:$A$101,B72,DISCIPLINAS!$B$5:$B$101,C72)=0,"ERRO: disciplina não pertence ao curso","OK")))))</f>
        <v/>
      </c>
    </row>
    <row r="73" ht="15" customHeight="1" s="131">
      <c r="A73" s="164" t="inlineStr">
        <is>
          <t>2026-SEM1</t>
        </is>
      </c>
      <c r="B73" s="218" t="inlineStr">
        <is>
          <t>Administração</t>
        </is>
      </c>
      <c r="C73" s="218" t="inlineStr">
        <is>
          <t>Marketing</t>
        </is>
      </c>
      <c r="D73" s="164" t="n">
        <v>3177</v>
      </c>
      <c r="E73" s="164" t="n">
        <v>2571</v>
      </c>
      <c r="F73" s="181">
        <f>IFERROR(E73/D73,"")</f>
        <v/>
      </c>
      <c r="G73" s="219" t="inlineStr">
        <is>
          <t>2026-08-10</t>
        </is>
      </c>
      <c r="H73" s="220" t="inlineStr">
        <is>
          <t>mateus.valentim@ivc.br</t>
        </is>
      </c>
      <c r="I73" s="221">
        <f>IF(COUNTA(A73:E73)=0,"",IF(OR(D73&lt;=0,E73&lt;0),"ERRO: bases inválidas",IF(E73&gt;D73,"ERRO: presenças acima do previsto",IF(COUNTIFS($A$5:$A$1200,A73,$B$5:$B$1200,B73,$C$5:$C$1200,C73)&gt;1,"ERRO: chave duplicada",IF(COUNTIFS(DISCIPLINAS!$A$5:$A$101,B73,DISCIPLINAS!$B$5:$B$101,C73)=0,"ERRO: disciplina não pertence ao curso","OK")))))</f>
        <v/>
      </c>
    </row>
    <row r="74" ht="15" customHeight="1" s="131">
      <c r="A74" s="164" t="inlineStr">
        <is>
          <t>2026-SEM1</t>
        </is>
      </c>
      <c r="B74" s="218" t="inlineStr">
        <is>
          <t>Administração</t>
        </is>
      </c>
      <c r="C74" s="218" t="inlineStr">
        <is>
          <t>Gestão de Pessoas</t>
        </is>
      </c>
      <c r="D74" s="164" t="n">
        <v>3291</v>
      </c>
      <c r="E74" s="164" t="n">
        <v>2477</v>
      </c>
      <c r="F74" s="181">
        <f>IFERROR(E74/D74,"")</f>
        <v/>
      </c>
      <c r="G74" s="219" t="inlineStr">
        <is>
          <t>2026-08-10</t>
        </is>
      </c>
      <c r="H74" s="220" t="inlineStr">
        <is>
          <t>mateus.valentim@ivc.br</t>
        </is>
      </c>
      <c r="I74" s="221">
        <f>IF(COUNTA(A74:E74)=0,"",IF(OR(D74&lt;=0,E74&lt;0),"ERRO: bases inválidas",IF(E74&gt;D74,"ERRO: presenças acima do previsto",IF(COUNTIFS($A$5:$A$1200,A74,$B$5:$B$1200,B74,$C$5:$C$1200,C74)&gt;1,"ERRO: chave duplicada",IF(COUNTIFS(DISCIPLINAS!$A$5:$A$101,B74,DISCIPLINAS!$B$5:$B$101,C74)=0,"ERRO: disciplina não pertence ao curso","OK")))))</f>
        <v/>
      </c>
    </row>
    <row r="75" ht="15" customHeight="1" s="131">
      <c r="A75" s="164" t="inlineStr">
        <is>
          <t>2026-SEM1</t>
        </is>
      </c>
      <c r="B75" s="218" t="inlineStr">
        <is>
          <t>Agronomia</t>
        </is>
      </c>
      <c r="C75" s="218" t="inlineStr">
        <is>
          <t>Fitopatologia</t>
        </is>
      </c>
      <c r="D75" s="164" t="n">
        <v>2018</v>
      </c>
      <c r="E75" s="164" t="n">
        <v>1279</v>
      </c>
      <c r="F75" s="181">
        <f>IFERROR(E75/D75,"")</f>
        <v/>
      </c>
      <c r="G75" s="219" t="inlineStr">
        <is>
          <t>2026-08-10</t>
        </is>
      </c>
      <c r="H75" s="220" t="inlineStr">
        <is>
          <t>mateus.valentim@ivc.br</t>
        </is>
      </c>
      <c r="I75" s="221">
        <f>IF(COUNTA(A75:E75)=0,"",IF(OR(D75&lt;=0,E75&lt;0),"ERRO: bases inválidas",IF(E75&gt;D75,"ERRO: presenças acima do previsto",IF(COUNTIFS($A$5:$A$1200,A75,$B$5:$B$1200,B75,$C$5:$C$1200,C75)&gt;1,"ERRO: chave duplicada",IF(COUNTIFS(DISCIPLINAS!$A$5:$A$101,B75,DISCIPLINAS!$B$5:$B$101,C75)=0,"ERRO: disciplina não pertence ao curso","OK")))))</f>
        <v/>
      </c>
    </row>
    <row r="76" ht="15" customHeight="1" s="131">
      <c r="A76" s="164" t="inlineStr">
        <is>
          <t>2026-SEM1</t>
        </is>
      </c>
      <c r="B76" s="218" t="inlineStr">
        <is>
          <t>Agronomia</t>
        </is>
      </c>
      <c r="C76" s="218" t="inlineStr">
        <is>
          <t>Solos e Nutrição de Plantas</t>
        </is>
      </c>
      <c r="D76" s="164" t="n">
        <v>1927</v>
      </c>
      <c r="E76" s="164" t="n">
        <v>1371</v>
      </c>
      <c r="F76" s="181">
        <f>IFERROR(E76/D76,"")</f>
        <v/>
      </c>
      <c r="G76" s="219" t="inlineStr">
        <is>
          <t>2026-08-10</t>
        </is>
      </c>
      <c r="H76" s="220" t="inlineStr">
        <is>
          <t>mateus.valentim@ivc.br</t>
        </is>
      </c>
      <c r="I76" s="221">
        <f>IF(COUNTA(A76:E76)=0,"",IF(OR(D76&lt;=0,E76&lt;0),"ERRO: bases inválidas",IF(E76&gt;D76,"ERRO: presenças acima do previsto",IF(COUNTIFS($A$5:$A$1200,A76,$B$5:$B$1200,B76,$C$5:$C$1200,C76)&gt;1,"ERRO: chave duplicada",IF(COUNTIFS(DISCIPLINAS!$A$5:$A$101,B76,DISCIPLINAS!$B$5:$B$101,C76)=0,"ERRO: disciplina não pertence ao curso","OK")))))</f>
        <v/>
      </c>
    </row>
    <row r="77" ht="15" customHeight="1" s="131">
      <c r="A77" s="164" t="inlineStr">
        <is>
          <t>2026-SEM1</t>
        </is>
      </c>
      <c r="B77" s="218" t="inlineStr">
        <is>
          <t>Agronomia</t>
        </is>
      </c>
      <c r="C77" s="218" t="inlineStr">
        <is>
          <t>Zootecnia</t>
        </is>
      </c>
      <c r="D77" s="164" t="n">
        <v>2152</v>
      </c>
      <c r="E77" s="164" t="n">
        <v>1564</v>
      </c>
      <c r="F77" s="181">
        <f>IFERROR(E77/D77,"")</f>
        <v/>
      </c>
      <c r="G77" s="219" t="inlineStr">
        <is>
          <t>2026-08-10</t>
        </is>
      </c>
      <c r="H77" s="220" t="inlineStr">
        <is>
          <t>mateus.valentim@ivc.br</t>
        </is>
      </c>
      <c r="I77" s="221">
        <f>IF(COUNTA(A77:E77)=0,"",IF(OR(D77&lt;=0,E77&lt;0),"ERRO: bases inválidas",IF(E77&gt;D77,"ERRO: presenças acima do previsto",IF(COUNTIFS($A$5:$A$1200,A77,$B$5:$B$1200,B77,$C$5:$C$1200,C77)&gt;1,"ERRO: chave duplicada",IF(COUNTIFS(DISCIPLINAS!$A$5:$A$101,B77,DISCIPLINAS!$B$5:$B$101,C77)=0,"ERRO: disciplina não pertence ao curso","OK")))))</f>
        <v/>
      </c>
    </row>
    <row r="78" ht="15" customHeight="1" s="131">
      <c r="A78" s="164" t="inlineStr">
        <is>
          <t>2026-SEM1</t>
        </is>
      </c>
      <c r="B78" s="218" t="inlineStr">
        <is>
          <t>Agronomia</t>
        </is>
      </c>
      <c r="C78" s="218" t="inlineStr">
        <is>
          <t>Irrigação e Drenagem</t>
        </is>
      </c>
      <c r="D78" s="164" t="n">
        <v>1974</v>
      </c>
      <c r="E78" s="164" t="n">
        <v>1331</v>
      </c>
      <c r="F78" s="181">
        <f>IFERROR(E78/D78,"")</f>
        <v/>
      </c>
      <c r="G78" s="219" t="inlineStr">
        <is>
          <t>2026-08-10</t>
        </is>
      </c>
      <c r="H78" s="220" t="inlineStr">
        <is>
          <t>mateus.valentim@ivc.br</t>
        </is>
      </c>
      <c r="I78" s="221">
        <f>IF(COUNTA(A78:E78)=0,"",IF(OR(D78&lt;=0,E78&lt;0),"ERRO: bases inválidas",IF(E78&gt;D78,"ERRO: presenças acima do previsto",IF(COUNTIFS($A$5:$A$1200,A78,$B$5:$B$1200,B78,$C$5:$C$1200,C78)&gt;1,"ERRO: chave duplicada",IF(COUNTIFS(DISCIPLINAS!$A$5:$A$101,B78,DISCIPLINAS!$B$5:$B$101,C78)=0,"ERRO: disciplina não pertence ao curso","OK")))))</f>
        <v/>
      </c>
    </row>
    <row r="79" ht="15" customHeight="1" s="131">
      <c r="A79" s="220" t="inlineStr">
        <is>
          <t>2026-SEM1</t>
        </is>
      </c>
      <c r="B79" s="222" t="inlineStr">
        <is>
          <t>Análise e Desenvolvimento de Sistemas</t>
        </is>
      </c>
      <c r="C79" s="222" t="inlineStr">
        <is>
          <t>Programação Orientada a Objetos</t>
        </is>
      </c>
      <c r="D79" s="220" t="n">
        <v>3975</v>
      </c>
      <c r="E79" s="220" t="n">
        <v>2971</v>
      </c>
      <c r="F79" s="181">
        <f>IFERROR(E79/D79,"")</f>
        <v/>
      </c>
      <c r="G79" s="219" t="inlineStr">
        <is>
          <t>2026-08-10</t>
        </is>
      </c>
      <c r="H79" s="220" t="inlineStr">
        <is>
          <t>mateus.valentim@ivc.br</t>
        </is>
      </c>
      <c r="I79" s="221">
        <f>IF(COUNTA(A79:E79)=0,"",IF(OR(D79&lt;=0,E79&lt;0),"ERRO: bases inválidas",IF(E79&gt;D79,"ERRO: presenças acima do previsto",IF(COUNTIFS($A$5:$A$1200,A79,$B$5:$B$1200,B79,$C$5:$C$1200,C79)&gt;1,"ERRO: chave duplicada",IF(COUNTIFS(DISCIPLINAS!$A$5:$A$101,B79,DISCIPLINAS!$B$5:$B$101,C79)=0,"ERRO: disciplina não pertence ao curso","OK")))))</f>
        <v/>
      </c>
    </row>
    <row r="80" ht="15" customHeight="1" s="131">
      <c r="A80" s="220" t="inlineStr">
        <is>
          <t>2026-SEM1</t>
        </is>
      </c>
      <c r="B80" s="222" t="inlineStr">
        <is>
          <t>Análise e Desenvolvimento de Sistemas</t>
        </is>
      </c>
      <c r="C80" s="222" t="inlineStr">
        <is>
          <t>Banco de Dados</t>
        </is>
      </c>
      <c r="D80" s="220" t="n">
        <v>3982</v>
      </c>
      <c r="E80" s="220" t="n">
        <v>3312</v>
      </c>
      <c r="F80" s="181">
        <f>IFERROR(E80/D80,"")</f>
        <v/>
      </c>
      <c r="G80" s="219" t="inlineStr">
        <is>
          <t>2026-08-10</t>
        </is>
      </c>
      <c r="H80" s="220" t="inlineStr">
        <is>
          <t>mateus.valentim@ivc.br</t>
        </is>
      </c>
      <c r="I80" s="221">
        <f>IF(COUNTA(A80:E80)=0,"",IF(OR(D80&lt;=0,E80&lt;0),"ERRO: bases inválidas",IF(E80&gt;D80,"ERRO: presenças acima do previsto",IF(COUNTIFS($A$5:$A$1200,A80,$B$5:$B$1200,B80,$C$5:$C$1200,C80)&gt;1,"ERRO: chave duplicada",IF(COUNTIFS(DISCIPLINAS!$A$5:$A$101,B80,DISCIPLINAS!$B$5:$B$101,C80)=0,"ERRO: disciplina não pertence ao curso","OK")))))</f>
        <v/>
      </c>
    </row>
    <row r="81" ht="15" customHeight="1" s="131">
      <c r="A81" s="220" t="inlineStr">
        <is>
          <t>2026-SEM1</t>
        </is>
      </c>
      <c r="B81" s="222" t="inlineStr">
        <is>
          <t>Análise e Desenvolvimento de Sistemas</t>
        </is>
      </c>
      <c r="C81" s="222" t="inlineStr">
        <is>
          <t>Engenharia de Software</t>
        </is>
      </c>
      <c r="D81" s="220" t="n">
        <v>3940</v>
      </c>
      <c r="E81" s="220" t="n">
        <v>3353</v>
      </c>
      <c r="F81" s="181">
        <f>IFERROR(E81/D81,"")</f>
        <v/>
      </c>
      <c r="G81" s="219" t="inlineStr">
        <is>
          <t>2026-08-10</t>
        </is>
      </c>
      <c r="H81" s="220" t="inlineStr">
        <is>
          <t>mateus.valentim@ivc.br</t>
        </is>
      </c>
      <c r="I81" s="221">
        <f>IF(COUNTA(A81:E81)=0,"",IF(OR(D81&lt;=0,E81&lt;0),"ERRO: bases inválidas",IF(E81&gt;D81,"ERRO: presenças acima do previsto",IF(COUNTIFS($A$5:$A$1200,A81,$B$5:$B$1200,B81,$C$5:$C$1200,C81)&gt;1,"ERRO: chave duplicada",IF(COUNTIFS(DISCIPLINAS!$A$5:$A$101,B81,DISCIPLINAS!$B$5:$B$101,C81)=0,"ERRO: disciplina não pertence ao curso","OK")))))</f>
        <v/>
      </c>
    </row>
    <row r="82" ht="15" customHeight="1" s="131">
      <c r="A82" s="220" t="inlineStr">
        <is>
          <t>2026-SEM1</t>
        </is>
      </c>
      <c r="B82" s="222" t="inlineStr">
        <is>
          <t>Análise e Desenvolvimento de Sistemas</t>
        </is>
      </c>
      <c r="C82" s="222" t="inlineStr">
        <is>
          <t>Redes de Computadores</t>
        </is>
      </c>
      <c r="D82" s="220" t="n">
        <v>3749</v>
      </c>
      <c r="E82" s="220" t="n">
        <v>2938</v>
      </c>
      <c r="F82" s="181">
        <f>IFERROR(E82/D82,"")</f>
        <v/>
      </c>
      <c r="G82" s="219" t="inlineStr">
        <is>
          <t>2026-08-10</t>
        </is>
      </c>
      <c r="H82" s="220" t="inlineStr">
        <is>
          <t>mateus.valentim@ivc.br</t>
        </is>
      </c>
      <c r="I82" s="221">
        <f>IF(COUNTA(A82:E82)=0,"",IF(OR(D82&lt;=0,E82&lt;0),"ERRO: bases inválidas",IF(E82&gt;D82,"ERRO: presenças acima do previsto",IF(COUNTIFS($A$5:$A$1200,A82,$B$5:$B$1200,B82,$C$5:$C$1200,C82)&gt;1,"ERRO: chave duplicada",IF(COUNTIFS(DISCIPLINAS!$A$5:$A$101,B82,DISCIPLINAS!$B$5:$B$101,C82)=0,"ERRO: disciplina não pertence ao curso","OK")))))</f>
        <v/>
      </c>
    </row>
    <row r="83" ht="15" customHeight="1" s="131">
      <c r="A83" s="220" t="inlineStr">
        <is>
          <t>2026-SEM1</t>
        </is>
      </c>
      <c r="B83" s="222" t="inlineStr">
        <is>
          <t>Ciências Contábeis</t>
        </is>
      </c>
      <c r="C83" s="222" t="inlineStr">
        <is>
          <t>Contabilidade Geral</t>
        </is>
      </c>
      <c r="D83" s="220" t="n">
        <v>3008</v>
      </c>
      <c r="E83" s="220" t="n">
        <v>2410</v>
      </c>
      <c r="F83" s="181">
        <f>IFERROR(E83/D83,"")</f>
        <v/>
      </c>
      <c r="G83" s="219" t="inlineStr">
        <is>
          <t>2026-08-10</t>
        </is>
      </c>
      <c r="H83" s="220" t="inlineStr">
        <is>
          <t>mateus.valentim@ivc.br</t>
        </is>
      </c>
      <c r="I83" s="221">
        <f>IF(COUNTA(A83:E83)=0,"",IF(OR(D83&lt;=0,E83&lt;0),"ERRO: bases inválidas",IF(E83&gt;D83,"ERRO: presenças acima do previsto",IF(COUNTIFS($A$5:$A$1200,A83,$B$5:$B$1200,B83,$C$5:$C$1200,C83)&gt;1,"ERRO: chave duplicada",IF(COUNTIFS(DISCIPLINAS!$A$5:$A$101,B83,DISCIPLINAS!$B$5:$B$101,C83)=0,"ERRO: disciplina não pertence ao curso","OK")))))</f>
        <v/>
      </c>
    </row>
    <row r="84" ht="15" customHeight="1" s="131">
      <c r="A84" s="220" t="inlineStr">
        <is>
          <t>2026-SEM1</t>
        </is>
      </c>
      <c r="B84" s="222" t="inlineStr">
        <is>
          <t>Ciências Contábeis</t>
        </is>
      </c>
      <c r="C84" s="222" t="inlineStr">
        <is>
          <t>Contabilidade de Custos</t>
        </is>
      </c>
      <c r="D84" s="220" t="n">
        <v>2964</v>
      </c>
      <c r="E84" s="220" t="n">
        <v>2628</v>
      </c>
      <c r="F84" s="181">
        <f>IFERROR(E84/D84,"")</f>
        <v/>
      </c>
      <c r="G84" s="219" t="inlineStr">
        <is>
          <t>2026-08-10</t>
        </is>
      </c>
      <c r="H84" s="220" t="inlineStr">
        <is>
          <t>mateus.valentim@ivc.br</t>
        </is>
      </c>
      <c r="I84" s="221">
        <f>IF(COUNTA(A84:E84)=0,"",IF(OR(D84&lt;=0,E84&lt;0),"ERRO: bases inválidas",IF(E84&gt;D84,"ERRO: presenças acima do previsto",IF(COUNTIFS($A$5:$A$1200,A84,$B$5:$B$1200,B84,$C$5:$C$1200,C84)&gt;1,"ERRO: chave duplicada",IF(COUNTIFS(DISCIPLINAS!$A$5:$A$101,B84,DISCIPLINAS!$B$5:$B$101,C84)=0,"ERRO: disciplina não pertence ao curso","OK")))))</f>
        <v/>
      </c>
    </row>
    <row r="85" ht="15" customHeight="1" s="131">
      <c r="A85" s="220" t="inlineStr">
        <is>
          <t>2026-SEM1</t>
        </is>
      </c>
      <c r="B85" s="222" t="inlineStr">
        <is>
          <t>Ciências Contábeis</t>
        </is>
      </c>
      <c r="C85" s="222" t="inlineStr">
        <is>
          <t>Auditoria</t>
        </is>
      </c>
      <c r="D85" s="220" t="n">
        <v>2980</v>
      </c>
      <c r="E85" s="220" t="n">
        <v>2675</v>
      </c>
      <c r="F85" s="181">
        <f>IFERROR(E85/D85,"")</f>
        <v/>
      </c>
      <c r="G85" s="219" t="inlineStr">
        <is>
          <t>2026-08-10</t>
        </is>
      </c>
      <c r="H85" s="220" t="inlineStr">
        <is>
          <t>mateus.valentim@ivc.br</t>
        </is>
      </c>
      <c r="I85" s="221">
        <f>IF(COUNTA(A85:E85)=0,"",IF(OR(D85&lt;=0,E85&lt;0),"ERRO: bases inválidas",IF(E85&gt;D85,"ERRO: presenças acima do previsto",IF(COUNTIFS($A$5:$A$1200,A85,$B$5:$B$1200,B85,$C$5:$C$1200,C85)&gt;1,"ERRO: chave duplicada",IF(COUNTIFS(DISCIPLINAS!$A$5:$A$101,B85,DISCIPLINAS!$B$5:$B$101,C85)=0,"ERRO: disciplina não pertence ao curso","OK")))))</f>
        <v/>
      </c>
    </row>
    <row r="86" ht="15" customHeight="1" s="131">
      <c r="A86" s="220" t="inlineStr">
        <is>
          <t>2026-SEM1</t>
        </is>
      </c>
      <c r="B86" s="222" t="inlineStr">
        <is>
          <t>Ciências Contábeis</t>
        </is>
      </c>
      <c r="C86" s="222" t="inlineStr">
        <is>
          <t>Legislação Tributária</t>
        </is>
      </c>
      <c r="D86" s="220" t="n">
        <v>3062</v>
      </c>
      <c r="E86" s="220" t="n">
        <v>2551</v>
      </c>
      <c r="F86" s="181">
        <f>IFERROR(E86/D86,"")</f>
        <v/>
      </c>
      <c r="G86" s="219" t="inlineStr">
        <is>
          <t>2026-08-10</t>
        </is>
      </c>
      <c r="H86" s="220" t="inlineStr">
        <is>
          <t>mateus.valentim@ivc.br</t>
        </is>
      </c>
      <c r="I86" s="221">
        <f>IF(COUNTA(A86:E86)=0,"",IF(OR(D86&lt;=0,E86&lt;0),"ERRO: bases inválidas",IF(E86&gt;D86,"ERRO: presenças acima do previsto",IF(COUNTIFS($A$5:$A$1200,A86,$B$5:$B$1200,B86,$C$5:$C$1200,C86)&gt;1,"ERRO: chave duplicada",IF(COUNTIFS(DISCIPLINAS!$A$5:$A$101,B86,DISCIPLINAS!$B$5:$B$101,C86)=0,"ERRO: disciplina não pertence ao curso","OK")))))</f>
        <v/>
      </c>
    </row>
    <row r="87" ht="15" customHeight="1" s="131">
      <c r="A87" s="220" t="inlineStr">
        <is>
          <t>2026-SEM1</t>
        </is>
      </c>
      <c r="B87" s="222" t="inlineStr">
        <is>
          <t>Comunicação Social</t>
        </is>
      </c>
      <c r="C87" s="222" t="inlineStr">
        <is>
          <t>Teorias da Comunicação</t>
        </is>
      </c>
      <c r="D87" s="220" t="n">
        <v>1817</v>
      </c>
      <c r="E87" s="220" t="n">
        <v>1168</v>
      </c>
      <c r="F87" s="181">
        <f>IFERROR(E87/D87,"")</f>
        <v/>
      </c>
      <c r="G87" s="219" t="inlineStr">
        <is>
          <t>2026-08-10</t>
        </is>
      </c>
      <c r="H87" s="220" t="inlineStr">
        <is>
          <t>mateus.valentim@ivc.br</t>
        </is>
      </c>
      <c r="I87" s="221">
        <f>IF(COUNTA(A87:E87)=0,"",IF(OR(D87&lt;=0,E87&lt;0),"ERRO: bases inválidas",IF(E87&gt;D87,"ERRO: presenças acima do previsto",IF(COUNTIFS($A$5:$A$1200,A87,$B$5:$B$1200,B87,$C$5:$C$1200,C87)&gt;1,"ERRO: chave duplicada",IF(COUNTIFS(DISCIPLINAS!$A$5:$A$101,B87,DISCIPLINAS!$B$5:$B$101,C87)=0,"ERRO: disciplina não pertence ao curso","OK")))))</f>
        <v/>
      </c>
    </row>
    <row r="88" ht="15" customHeight="1" s="131">
      <c r="A88" s="220" t="inlineStr">
        <is>
          <t>2026-SEM1</t>
        </is>
      </c>
      <c r="B88" s="222" t="inlineStr">
        <is>
          <t>Comunicação Social</t>
        </is>
      </c>
      <c r="C88" s="222" t="inlineStr">
        <is>
          <t>Redação Publicitária</t>
        </is>
      </c>
      <c r="D88" s="220" t="n">
        <v>1799</v>
      </c>
      <c r="E88" s="220" t="n">
        <v>1310</v>
      </c>
      <c r="F88" s="181">
        <f>IFERROR(E88/D88,"")</f>
        <v/>
      </c>
      <c r="G88" s="219" t="inlineStr">
        <is>
          <t>2026-08-10</t>
        </is>
      </c>
      <c r="H88" s="220" t="inlineStr">
        <is>
          <t>mateus.valentim@ivc.br</t>
        </is>
      </c>
      <c r="I88" s="221">
        <f>IF(COUNTA(A88:E88)=0,"",IF(OR(D88&lt;=0,E88&lt;0),"ERRO: bases inválidas",IF(E88&gt;D88,"ERRO: presenças acima do previsto",IF(COUNTIFS($A$5:$A$1200,A88,$B$5:$B$1200,B88,$C$5:$C$1200,C88)&gt;1,"ERRO: chave duplicada",IF(COUNTIFS(DISCIPLINAS!$A$5:$A$101,B88,DISCIPLINAS!$B$5:$B$101,C88)=0,"ERRO: disciplina não pertence ao curso","OK")))))</f>
        <v/>
      </c>
    </row>
    <row r="89" ht="15" customHeight="1" s="131">
      <c r="A89" s="220" t="inlineStr">
        <is>
          <t>2026-SEM1</t>
        </is>
      </c>
      <c r="B89" s="222" t="inlineStr">
        <is>
          <t>Comunicação Social</t>
        </is>
      </c>
      <c r="C89" s="222" t="inlineStr">
        <is>
          <t>Produção Audiovisual</t>
        </is>
      </c>
      <c r="D89" s="220" t="n">
        <v>1653</v>
      </c>
      <c r="E89" s="220" t="n">
        <v>1233</v>
      </c>
      <c r="F89" s="181">
        <f>IFERROR(E89/D89,"")</f>
        <v/>
      </c>
      <c r="G89" s="219" t="inlineStr">
        <is>
          <t>2026-08-10</t>
        </is>
      </c>
      <c r="H89" s="220" t="inlineStr">
        <is>
          <t>mateus.valentim@ivc.br</t>
        </is>
      </c>
      <c r="I89" s="221">
        <f>IF(COUNTA(A89:E89)=0,"",IF(OR(D89&lt;=0,E89&lt;0),"ERRO: bases inválidas",IF(E89&gt;D89,"ERRO: presenças acima do previsto",IF(COUNTIFS($A$5:$A$1200,A89,$B$5:$B$1200,B89,$C$5:$C$1200,C89)&gt;1,"ERRO: chave duplicada",IF(COUNTIFS(DISCIPLINAS!$A$5:$A$101,B89,DISCIPLINAS!$B$5:$B$101,C89)=0,"ERRO: disciplina não pertence ao curso","OK")))))</f>
        <v/>
      </c>
    </row>
    <row r="90" ht="15" customHeight="1" s="131">
      <c r="A90" s="220" t="inlineStr">
        <is>
          <t>2026-SEM1</t>
        </is>
      </c>
      <c r="B90" s="222" t="inlineStr">
        <is>
          <t>Comunicação Social</t>
        </is>
      </c>
      <c r="C90" s="222" t="inlineStr">
        <is>
          <t>Assessoria de Imprensa</t>
        </is>
      </c>
      <c r="D90" s="220" t="n">
        <v>1661</v>
      </c>
      <c r="E90" s="220" t="n">
        <v>1121</v>
      </c>
      <c r="F90" s="181">
        <f>IFERROR(E90/D90,"")</f>
        <v/>
      </c>
      <c r="G90" s="219" t="inlineStr">
        <is>
          <t>2026-08-10</t>
        </is>
      </c>
      <c r="H90" s="220" t="inlineStr">
        <is>
          <t>mateus.valentim@ivc.br</t>
        </is>
      </c>
      <c r="I90" s="221">
        <f>IF(COUNTA(A90:E90)=0,"",IF(OR(D90&lt;=0,E90&lt;0),"ERRO: bases inválidas",IF(E90&gt;D90,"ERRO: presenças acima do previsto",IF(COUNTIFS($A$5:$A$1200,A90,$B$5:$B$1200,B90,$C$5:$C$1200,C90)&gt;1,"ERRO: chave duplicada",IF(COUNTIFS(DISCIPLINAS!$A$5:$A$101,B90,DISCIPLINAS!$B$5:$B$101,C90)=0,"ERRO: disciplina não pertence ao curso","OK")))))</f>
        <v/>
      </c>
    </row>
    <row r="91" ht="15" customHeight="1" s="131">
      <c r="A91" s="220" t="inlineStr">
        <is>
          <t>2026-SEM1</t>
        </is>
      </c>
      <c r="B91" s="222" t="inlineStr">
        <is>
          <t>Direito</t>
        </is>
      </c>
      <c r="C91" s="222" t="inlineStr">
        <is>
          <t>Direito Constitucional</t>
        </is>
      </c>
      <c r="D91" s="220" t="n">
        <v>5764</v>
      </c>
      <c r="E91" s="220" t="n">
        <v>4320</v>
      </c>
      <c r="F91" s="181">
        <f>IFERROR(E91/D91,"")</f>
        <v/>
      </c>
      <c r="G91" s="219" t="inlineStr">
        <is>
          <t>2026-08-10</t>
        </is>
      </c>
      <c r="H91" s="220" t="inlineStr">
        <is>
          <t>mateus.valentim@ivc.br</t>
        </is>
      </c>
      <c r="I91" s="221">
        <f>IF(COUNTA(A91:E91)=0,"",IF(OR(D91&lt;=0,E91&lt;0),"ERRO: bases inválidas",IF(E91&gt;D91,"ERRO: presenças acima do previsto",IF(COUNTIFS($A$5:$A$1200,A91,$B$5:$B$1200,B91,$C$5:$C$1200,C91)&gt;1,"ERRO: chave duplicada",IF(COUNTIFS(DISCIPLINAS!$A$5:$A$101,B91,DISCIPLINAS!$B$5:$B$101,C91)=0,"ERRO: disciplina não pertence ao curso","OK")))))</f>
        <v/>
      </c>
    </row>
    <row r="92" ht="15" customHeight="1" s="131">
      <c r="A92" s="220" t="inlineStr">
        <is>
          <t>2026-SEM1</t>
        </is>
      </c>
      <c r="B92" s="222" t="inlineStr">
        <is>
          <t>Direito</t>
        </is>
      </c>
      <c r="C92" s="222" t="inlineStr">
        <is>
          <t>Direito Civil</t>
        </is>
      </c>
      <c r="D92" s="220" t="n">
        <v>5520</v>
      </c>
      <c r="E92" s="220" t="n">
        <v>4598</v>
      </c>
      <c r="F92" s="181">
        <f>IFERROR(E92/D92,"")</f>
        <v/>
      </c>
      <c r="G92" s="219" t="inlineStr">
        <is>
          <t>2026-08-10</t>
        </is>
      </c>
      <c r="H92" s="220" t="inlineStr">
        <is>
          <t>mateus.valentim@ivc.br</t>
        </is>
      </c>
      <c r="I92" s="221">
        <f>IF(COUNTA(A92:E92)=0,"",IF(OR(D92&lt;=0,E92&lt;0),"ERRO: bases inválidas",IF(E92&gt;D92,"ERRO: presenças acima do previsto",IF(COUNTIFS($A$5:$A$1200,A92,$B$5:$B$1200,B92,$C$5:$C$1200,C92)&gt;1,"ERRO: chave duplicada",IF(COUNTIFS(DISCIPLINAS!$A$5:$A$101,B92,DISCIPLINAS!$B$5:$B$101,C92)=0,"ERRO: disciplina não pertence ao curso","OK")))))</f>
        <v/>
      </c>
    </row>
    <row r="93" ht="15" customHeight="1" s="131">
      <c r="A93" s="220" t="inlineStr">
        <is>
          <t>2026-SEM1</t>
        </is>
      </c>
      <c r="B93" s="222" t="inlineStr">
        <is>
          <t>Direito</t>
        </is>
      </c>
      <c r="C93" s="222" t="inlineStr">
        <is>
          <t>Direito Penal</t>
        </is>
      </c>
      <c r="D93" s="220" t="n">
        <v>5462</v>
      </c>
      <c r="E93" s="220" t="n">
        <v>4617</v>
      </c>
      <c r="F93" s="181">
        <f>IFERROR(E93/D93,"")</f>
        <v/>
      </c>
      <c r="G93" s="219" t="inlineStr">
        <is>
          <t>2026-08-10</t>
        </is>
      </c>
      <c r="H93" s="220" t="inlineStr">
        <is>
          <t>mateus.valentim@ivc.br</t>
        </is>
      </c>
      <c r="I93" s="221">
        <f>IF(COUNTA(A93:E93)=0,"",IF(OR(D93&lt;=0,E93&lt;0),"ERRO: bases inválidas",IF(E93&gt;D93,"ERRO: presenças acima do previsto",IF(COUNTIFS($A$5:$A$1200,A93,$B$5:$B$1200,B93,$C$5:$C$1200,C93)&gt;1,"ERRO: chave duplicada",IF(COUNTIFS(DISCIPLINAS!$A$5:$A$101,B93,DISCIPLINAS!$B$5:$B$101,C93)=0,"ERRO: disciplina não pertence ao curso","OK")))))</f>
        <v/>
      </c>
    </row>
    <row r="94" ht="15" customHeight="1" s="131">
      <c r="A94" s="220" t="inlineStr">
        <is>
          <t>2026-SEM1</t>
        </is>
      </c>
      <c r="B94" s="222" t="inlineStr">
        <is>
          <t>Direito</t>
        </is>
      </c>
      <c r="C94" s="222" t="inlineStr">
        <is>
          <t>Legislação Trabalhista</t>
        </is>
      </c>
      <c r="D94" s="220" t="n">
        <v>5439</v>
      </c>
      <c r="E94" s="220" t="n">
        <v>4213</v>
      </c>
      <c r="F94" s="181">
        <f>IFERROR(E94/D94,"")</f>
        <v/>
      </c>
      <c r="G94" s="219" t="inlineStr">
        <is>
          <t>2026-08-10</t>
        </is>
      </c>
      <c r="H94" s="220" t="inlineStr">
        <is>
          <t>mateus.valentim@ivc.br</t>
        </is>
      </c>
      <c r="I94" s="221">
        <f>IF(COUNTA(A94:E94)=0,"",IF(OR(D94&lt;=0,E94&lt;0),"ERRO: bases inválidas",IF(E94&gt;D94,"ERRO: presenças acima do previsto",IF(COUNTIFS($A$5:$A$1200,A94,$B$5:$B$1200,B94,$C$5:$C$1200,C94)&gt;1,"ERRO: chave duplicada",IF(COUNTIFS(DISCIPLINAS!$A$5:$A$101,B94,DISCIPLINAS!$B$5:$B$101,C94)=0,"ERRO: disciplina não pertence ao curso","OK")))))</f>
        <v/>
      </c>
    </row>
    <row r="95" ht="15" customHeight="1" s="131">
      <c r="A95" s="220" t="inlineStr">
        <is>
          <t>2026-SEM1</t>
        </is>
      </c>
      <c r="B95" s="222" t="inlineStr">
        <is>
          <t>Direito</t>
        </is>
      </c>
      <c r="C95" s="222" t="inlineStr">
        <is>
          <t>Processo Civil</t>
        </is>
      </c>
      <c r="D95" s="220" t="n">
        <v>5713</v>
      </c>
      <c r="E95" s="220" t="n">
        <v>4679</v>
      </c>
      <c r="F95" s="181">
        <f>IFERROR(E95/D95,"")</f>
        <v/>
      </c>
      <c r="G95" s="219" t="inlineStr">
        <is>
          <t>2026-08-10</t>
        </is>
      </c>
      <c r="H95" s="220" t="inlineStr">
        <is>
          <t>mateus.valentim@ivc.br</t>
        </is>
      </c>
      <c r="I95" s="221">
        <f>IF(COUNTA(A95:E95)=0,"",IF(OR(D95&lt;=0,E95&lt;0),"ERRO: bases inválidas",IF(E95&gt;D95,"ERRO: presenças acima do previsto",IF(COUNTIFS($A$5:$A$1200,A95,$B$5:$B$1200,B95,$C$5:$C$1200,C95)&gt;1,"ERRO: chave duplicada",IF(COUNTIFS(DISCIPLINAS!$A$5:$A$101,B95,DISCIPLINAS!$B$5:$B$101,C95)=0,"ERRO: disciplina não pertence ao curso","OK")))))</f>
        <v/>
      </c>
    </row>
    <row r="96" ht="15" customHeight="1" s="131">
      <c r="A96" s="220" t="inlineStr">
        <is>
          <t>2026-SEM1</t>
        </is>
      </c>
      <c r="B96" s="222" t="inlineStr">
        <is>
          <t>Engenharia de Produção</t>
        </is>
      </c>
      <c r="C96" s="222" t="inlineStr">
        <is>
          <t>Pesquisa Operacional</t>
        </is>
      </c>
      <c r="D96" s="220" t="n">
        <v>2522</v>
      </c>
      <c r="E96" s="220" t="n">
        <v>1784</v>
      </c>
      <c r="F96" s="181">
        <f>IFERROR(E96/D96,"")</f>
        <v/>
      </c>
      <c r="G96" s="219" t="inlineStr">
        <is>
          <t>2026-08-10</t>
        </is>
      </c>
      <c r="H96" s="220" t="inlineStr">
        <is>
          <t>mateus.valentim@ivc.br</t>
        </is>
      </c>
      <c r="I96" s="221">
        <f>IF(COUNTA(A96:E96)=0,"",IF(OR(D96&lt;=0,E96&lt;0),"ERRO: bases inválidas",IF(E96&gt;D96,"ERRO: presenças acima do previsto",IF(COUNTIFS($A$5:$A$1200,A96,$B$5:$B$1200,B96,$C$5:$C$1200,C96)&gt;1,"ERRO: chave duplicada",IF(COUNTIFS(DISCIPLINAS!$A$5:$A$101,B96,DISCIPLINAS!$B$5:$B$101,C96)=0,"ERRO: disciplina não pertence ao curso","OK")))))</f>
        <v/>
      </c>
    </row>
    <row r="97" ht="15" customHeight="1" s="131">
      <c r="A97" s="220" t="inlineStr">
        <is>
          <t>2026-SEM1</t>
        </is>
      </c>
      <c r="B97" s="222" t="inlineStr">
        <is>
          <t>Engenharia de Produção</t>
        </is>
      </c>
      <c r="C97" s="222" t="inlineStr">
        <is>
          <t>Planejamento e Controle da Produção</t>
        </is>
      </c>
      <c r="D97" s="220" t="n">
        <v>2409</v>
      </c>
      <c r="E97" s="220" t="n">
        <v>1897</v>
      </c>
      <c r="F97" s="181">
        <f>IFERROR(E97/D97,"")</f>
        <v/>
      </c>
      <c r="G97" s="219" t="inlineStr">
        <is>
          <t>2026-08-10</t>
        </is>
      </c>
      <c r="H97" s="220" t="inlineStr">
        <is>
          <t>mateus.valentim@ivc.br</t>
        </is>
      </c>
      <c r="I97" s="221">
        <f>IF(COUNTA(A97:E97)=0,"",IF(OR(D97&lt;=0,E97&lt;0),"ERRO: bases inválidas",IF(E97&gt;D97,"ERRO: presenças acima do previsto",IF(COUNTIFS($A$5:$A$1200,A97,$B$5:$B$1200,B97,$C$5:$C$1200,C97)&gt;1,"ERRO: chave duplicada",IF(COUNTIFS(DISCIPLINAS!$A$5:$A$101,B97,DISCIPLINAS!$B$5:$B$101,C97)=0,"ERRO: disciplina não pertence ao curso","OK")))))</f>
        <v/>
      </c>
    </row>
    <row r="98" ht="15" customHeight="1" s="131">
      <c r="A98" s="220" t="inlineStr">
        <is>
          <t>2026-SEM1</t>
        </is>
      </c>
      <c r="B98" s="222" t="inlineStr">
        <is>
          <t>Engenharia de Produção</t>
        </is>
      </c>
      <c r="C98" s="222" t="inlineStr">
        <is>
          <t>Engenharia da Qualidade</t>
        </is>
      </c>
      <c r="D98" s="220" t="n">
        <v>2497</v>
      </c>
      <c r="E98" s="220" t="n">
        <v>2029</v>
      </c>
      <c r="F98" s="181">
        <f>IFERROR(E98/D98,"")</f>
        <v/>
      </c>
      <c r="G98" s="219" t="inlineStr">
        <is>
          <t>2026-08-10</t>
        </is>
      </c>
      <c r="H98" s="220" t="inlineStr">
        <is>
          <t>mateus.valentim@ivc.br</t>
        </is>
      </c>
      <c r="I98" s="221">
        <f>IF(COUNTA(A98:E98)=0,"",IF(OR(D98&lt;=0,E98&lt;0),"ERRO: bases inválidas",IF(E98&gt;D98,"ERRO: presenças acima do previsto",IF(COUNTIFS($A$5:$A$1200,A98,$B$5:$B$1200,B98,$C$5:$C$1200,C98)&gt;1,"ERRO: chave duplicada",IF(COUNTIFS(DISCIPLINAS!$A$5:$A$101,B98,DISCIPLINAS!$B$5:$B$101,C98)=0,"ERRO: disciplina não pertence ao curso","OK")))))</f>
        <v/>
      </c>
    </row>
    <row r="99" ht="15" customHeight="1" s="131">
      <c r="A99" s="220" t="inlineStr">
        <is>
          <t>2026-SEM1</t>
        </is>
      </c>
      <c r="B99" s="222" t="inlineStr">
        <is>
          <t>Engenharia de Produção</t>
        </is>
      </c>
      <c r="C99" s="222" t="inlineStr">
        <is>
          <t>Custos Industriais</t>
        </is>
      </c>
      <c r="D99" s="220" t="n">
        <v>2452</v>
      </c>
      <c r="E99" s="220" t="n">
        <v>1814</v>
      </c>
      <c r="F99" s="181">
        <f>IFERROR(E99/D99,"")</f>
        <v/>
      </c>
      <c r="G99" s="219" t="inlineStr">
        <is>
          <t>2026-08-10</t>
        </is>
      </c>
      <c r="H99" s="220" t="inlineStr">
        <is>
          <t>mateus.valentim@ivc.br</t>
        </is>
      </c>
      <c r="I99" s="221">
        <f>IF(COUNTA(A99:E99)=0,"",IF(OR(D99&lt;=0,E99&lt;0),"ERRO: bases inválidas",IF(E99&gt;D99,"ERRO: presenças acima do previsto",IF(COUNTIFS($A$5:$A$1200,A99,$B$5:$B$1200,B99,$C$5:$C$1200,C99)&gt;1,"ERRO: chave duplicada",IF(COUNTIFS(DISCIPLINAS!$A$5:$A$101,B99,DISCIPLINAS!$B$5:$B$101,C99)=0,"ERRO: disciplina não pertence ao curso","OK")))))</f>
        <v/>
      </c>
    </row>
    <row r="100" ht="15" customHeight="1" s="131">
      <c r="A100" s="220" t="inlineStr">
        <is>
          <t>2026-SEM1</t>
        </is>
      </c>
      <c r="B100" s="222" t="inlineStr">
        <is>
          <t>Engenharia Mecânica</t>
        </is>
      </c>
      <c r="C100" s="222" t="inlineStr">
        <is>
          <t>Resistência dos Materiais</t>
        </is>
      </c>
      <c r="D100" s="220" t="n">
        <v>2652</v>
      </c>
      <c r="E100" s="220" t="n">
        <v>1925</v>
      </c>
      <c r="F100" s="181">
        <f>IFERROR(E100/D100,"")</f>
        <v/>
      </c>
      <c r="G100" s="219" t="inlineStr">
        <is>
          <t>2026-08-10</t>
        </is>
      </c>
      <c r="H100" s="220" t="inlineStr">
        <is>
          <t>mateus.valentim@ivc.br</t>
        </is>
      </c>
      <c r="I100" s="221">
        <f>IF(COUNTA(A100:E100)=0,"",IF(OR(D100&lt;=0,E100&lt;0),"ERRO: bases inválidas",IF(E100&gt;D100,"ERRO: presenças acima do previsto",IF(COUNTIFS($A$5:$A$1200,A100,$B$5:$B$1200,B100,$C$5:$C$1200,C100)&gt;1,"ERRO: chave duplicada",IF(COUNTIFS(DISCIPLINAS!$A$5:$A$101,B100,DISCIPLINAS!$B$5:$B$101,C100)=0,"ERRO: disciplina não pertence ao curso","OK")))))</f>
        <v/>
      </c>
    </row>
    <row r="101" ht="15" customHeight="1" s="131">
      <c r="A101" s="220" t="inlineStr">
        <is>
          <t>2026-SEM1</t>
        </is>
      </c>
      <c r="B101" s="222" t="inlineStr">
        <is>
          <t>Engenharia Mecânica</t>
        </is>
      </c>
      <c r="C101" s="222" t="inlineStr">
        <is>
          <t>Termodinâmica</t>
        </is>
      </c>
      <c r="D101" s="220" t="n">
        <v>2837</v>
      </c>
      <c r="E101" s="220" t="n">
        <v>2265</v>
      </c>
      <c r="F101" s="181">
        <f>IFERROR(E101/D101,"")</f>
        <v/>
      </c>
      <c r="G101" s="219" t="inlineStr">
        <is>
          <t>2026-08-10</t>
        </is>
      </c>
      <c r="H101" s="220" t="inlineStr">
        <is>
          <t>mateus.valentim@ivc.br</t>
        </is>
      </c>
      <c r="I101" s="221">
        <f>IF(COUNTA(A101:E101)=0,"",IF(OR(D101&lt;=0,E101&lt;0),"ERRO: bases inválidas",IF(E101&gt;D101,"ERRO: presenças acima do previsto",IF(COUNTIFS($A$5:$A$1200,A101,$B$5:$B$1200,B101,$C$5:$C$1200,C101)&gt;1,"ERRO: chave duplicada",IF(COUNTIFS(DISCIPLINAS!$A$5:$A$101,B101,DISCIPLINAS!$B$5:$B$101,C101)=0,"ERRO: disciplina não pertence ao curso","OK")))))</f>
        <v/>
      </c>
    </row>
    <row r="102" ht="15" customHeight="1" s="131">
      <c r="A102" s="220" t="inlineStr">
        <is>
          <t>2026-SEM1</t>
        </is>
      </c>
      <c r="B102" s="222" t="inlineStr">
        <is>
          <t>Engenharia Mecânica</t>
        </is>
      </c>
      <c r="C102" s="222" t="inlineStr">
        <is>
          <t>Desenho Técnico</t>
        </is>
      </c>
      <c r="D102" s="220" t="n">
        <v>2772</v>
      </c>
      <c r="E102" s="220" t="n">
        <v>2286</v>
      </c>
      <c r="F102" s="181">
        <f>IFERROR(E102/D102,"")</f>
        <v/>
      </c>
      <c r="G102" s="219" t="inlineStr">
        <is>
          <t>2026-08-10</t>
        </is>
      </c>
      <c r="H102" s="220" t="inlineStr">
        <is>
          <t>mateus.valentim@ivc.br</t>
        </is>
      </c>
      <c r="I102" s="221">
        <f>IF(COUNTA(A102:E102)=0,"",IF(OR(D102&lt;=0,E102&lt;0),"ERRO: bases inválidas",IF(E102&gt;D102,"ERRO: presenças acima do previsto",IF(COUNTIFS($A$5:$A$1200,A102,$B$5:$B$1200,B102,$C$5:$C$1200,C102)&gt;1,"ERRO: chave duplicada",IF(COUNTIFS(DISCIPLINAS!$A$5:$A$101,B102,DISCIPLINAS!$B$5:$B$101,C102)=0,"ERRO: disciplina não pertence ao curso","OK")))))</f>
        <v/>
      </c>
    </row>
    <row r="103" ht="15" customHeight="1" s="131">
      <c r="A103" s="220" t="inlineStr">
        <is>
          <t>2026-SEM1</t>
        </is>
      </c>
      <c r="B103" s="222" t="inlineStr">
        <is>
          <t>Engenharia Mecânica</t>
        </is>
      </c>
      <c r="C103" s="222" t="inlineStr">
        <is>
          <t>Processos de Fabricação</t>
        </is>
      </c>
      <c r="D103" s="220" t="n">
        <v>2799</v>
      </c>
      <c r="E103" s="220" t="n">
        <v>2107</v>
      </c>
      <c r="F103" s="181">
        <f>IFERROR(E103/D103,"")</f>
        <v/>
      </c>
      <c r="G103" s="219" t="inlineStr">
        <is>
          <t>2026-08-10</t>
        </is>
      </c>
      <c r="H103" s="220" t="inlineStr">
        <is>
          <t>mateus.valentim@ivc.br</t>
        </is>
      </c>
      <c r="I103" s="221">
        <f>IF(COUNTA(A103:E103)=0,"",IF(OR(D103&lt;=0,E103&lt;0),"ERRO: bases inválidas",IF(E103&gt;D103,"ERRO: presenças acima do previsto",IF(COUNTIFS($A$5:$A$1200,A103,$B$5:$B$1200,B103,$C$5:$C$1200,C103)&gt;1,"ERRO: chave duplicada",IF(COUNTIFS(DISCIPLINAS!$A$5:$A$101,B103,DISCIPLINAS!$B$5:$B$101,C103)=0,"ERRO: disciplina não pertence ao curso","OK")))))</f>
        <v/>
      </c>
    </row>
    <row r="104" ht="15" customHeight="1" s="131">
      <c r="A104" s="220" t="inlineStr">
        <is>
          <t>2026-SEM2</t>
        </is>
      </c>
      <c r="B104" s="222" t="inlineStr">
        <is>
          <t>Administração</t>
        </is>
      </c>
      <c r="C104" s="222" t="inlineStr">
        <is>
          <t>Teoria Geral da Administração</t>
        </is>
      </c>
      <c r="D104" s="220" t="n">
        <v>3323</v>
      </c>
      <c r="E104" s="220" t="n">
        <v>2287</v>
      </c>
      <c r="F104" s="181">
        <f>IFERROR(E104/D104,"")</f>
        <v/>
      </c>
      <c r="G104" s="219" t="inlineStr">
        <is>
          <t>2026-08-10</t>
        </is>
      </c>
      <c r="H104" s="220" t="inlineStr">
        <is>
          <t>mateus.valentim@ivc.br</t>
        </is>
      </c>
      <c r="I104" s="221">
        <f>IF(COUNTA(A104:E104)=0,"",IF(OR(D104&lt;=0,E104&lt;0),"ERRO: bases inválidas",IF(E104&gt;D104,"ERRO: presenças acima do previsto",IF(COUNTIFS($A$5:$A$1200,A104,$B$5:$B$1200,B104,$C$5:$C$1200,C104)&gt;1,"ERRO: chave duplicada",IF(COUNTIFS(DISCIPLINAS!$A$5:$A$101,B104,DISCIPLINAS!$B$5:$B$101,C104)=0,"ERRO: disciplina não pertence ao curso","OK")))))</f>
        <v/>
      </c>
    </row>
    <row r="105" ht="15" customHeight="1" s="131">
      <c r="A105" s="220" t="inlineStr">
        <is>
          <t>2026-SEM2</t>
        </is>
      </c>
      <c r="B105" s="222" t="inlineStr">
        <is>
          <t>Administração</t>
        </is>
      </c>
      <c r="C105" s="222" t="inlineStr">
        <is>
          <t>Gestão Financeira</t>
        </is>
      </c>
      <c r="D105" s="220" t="n">
        <v>3216</v>
      </c>
      <c r="E105" s="220" t="n">
        <v>2465</v>
      </c>
      <c r="F105" s="181">
        <f>IFERROR(E105/D105,"")</f>
        <v/>
      </c>
      <c r="G105" s="219" t="inlineStr">
        <is>
          <t>2026-08-10</t>
        </is>
      </c>
      <c r="H105" s="220" t="inlineStr">
        <is>
          <t>mateus.valentim@ivc.br</t>
        </is>
      </c>
      <c r="I105" s="221">
        <f>IF(COUNTA(A105:E105)=0,"",IF(OR(D105&lt;=0,E105&lt;0),"ERRO: bases inválidas",IF(E105&gt;D105,"ERRO: presenças acima do previsto",IF(COUNTIFS($A$5:$A$1200,A105,$B$5:$B$1200,B105,$C$5:$C$1200,C105)&gt;1,"ERRO: chave duplicada",IF(COUNTIFS(DISCIPLINAS!$A$5:$A$101,B105,DISCIPLINAS!$B$5:$B$101,C105)=0,"ERRO: disciplina não pertence ao curso","OK")))))</f>
        <v/>
      </c>
    </row>
    <row r="106" ht="15" customHeight="1" s="131">
      <c r="A106" s="220" t="inlineStr">
        <is>
          <t>2026-SEM2</t>
        </is>
      </c>
      <c r="B106" s="222" t="inlineStr">
        <is>
          <t>Administração</t>
        </is>
      </c>
      <c r="C106" s="222" t="inlineStr">
        <is>
          <t>Marketing</t>
        </is>
      </c>
      <c r="D106" s="220" t="n">
        <v>3037</v>
      </c>
      <c r="E106" s="220" t="n">
        <v>2380</v>
      </c>
      <c r="F106" s="181">
        <f>IFERROR(E106/D106,"")</f>
        <v/>
      </c>
      <c r="G106" s="219" t="inlineStr">
        <is>
          <t>2026-08-10</t>
        </is>
      </c>
      <c r="H106" s="220" t="inlineStr">
        <is>
          <t>mateus.valentim@ivc.br</t>
        </is>
      </c>
      <c r="I106" s="221">
        <f>IF(COUNTA(A106:E106)=0,"",IF(OR(D106&lt;=0,E106&lt;0),"ERRO: bases inválidas",IF(E106&gt;D106,"ERRO: presenças acima do previsto",IF(COUNTIFS($A$5:$A$1200,A106,$B$5:$B$1200,B106,$C$5:$C$1200,C106)&gt;1,"ERRO: chave duplicada",IF(COUNTIFS(DISCIPLINAS!$A$5:$A$101,B106,DISCIPLINAS!$B$5:$B$101,C106)=0,"ERRO: disciplina não pertence ao curso","OK")))))</f>
        <v/>
      </c>
    </row>
    <row r="107" ht="15" customHeight="1" s="131">
      <c r="A107" s="220" t="inlineStr">
        <is>
          <t>2026-SEM2</t>
        </is>
      </c>
      <c r="B107" s="222" t="inlineStr">
        <is>
          <t>Administração</t>
        </is>
      </c>
      <c r="C107" s="222" t="inlineStr">
        <is>
          <t>Gestão de Pessoas</t>
        </is>
      </c>
      <c r="D107" s="220" t="n">
        <v>3233</v>
      </c>
      <c r="E107" s="220" t="n">
        <v>2324</v>
      </c>
      <c r="F107" s="181">
        <f>IFERROR(E107/D107,"")</f>
        <v/>
      </c>
      <c r="G107" s="219" t="inlineStr">
        <is>
          <t>2026-08-10</t>
        </is>
      </c>
      <c r="H107" s="220" t="inlineStr">
        <is>
          <t>mateus.valentim@ivc.br</t>
        </is>
      </c>
      <c r="I107" s="221">
        <f>IF(COUNTA(A107:E107)=0,"",IF(OR(D107&lt;=0,E107&lt;0),"ERRO: bases inválidas",IF(E107&gt;D107,"ERRO: presenças acima do previsto",IF(COUNTIFS($A$5:$A$1200,A107,$B$5:$B$1200,B107,$C$5:$C$1200,C107)&gt;1,"ERRO: chave duplicada",IF(COUNTIFS(DISCIPLINAS!$A$5:$A$101,B107,DISCIPLINAS!$B$5:$B$101,C107)=0,"ERRO: disciplina não pertence ao curso","OK")))))</f>
        <v/>
      </c>
    </row>
    <row r="108" ht="15" customHeight="1" s="131">
      <c r="A108" s="220" t="inlineStr">
        <is>
          <t>2026-SEM2</t>
        </is>
      </c>
      <c r="B108" s="222" t="inlineStr">
        <is>
          <t>Agronomia</t>
        </is>
      </c>
      <c r="C108" s="222" t="inlineStr">
        <is>
          <t>Fitopatologia</t>
        </is>
      </c>
      <c r="D108" s="220" t="n">
        <v>2003</v>
      </c>
      <c r="E108" s="220" t="n">
        <v>1204</v>
      </c>
      <c r="F108" s="181">
        <f>IFERROR(E108/D108,"")</f>
        <v/>
      </c>
      <c r="G108" s="219" t="inlineStr">
        <is>
          <t>2026-08-10</t>
        </is>
      </c>
      <c r="H108" s="220" t="inlineStr">
        <is>
          <t>mateus.valentim@ivc.br</t>
        </is>
      </c>
      <c r="I108" s="221">
        <f>IF(COUNTA(A108:E108)=0,"",IF(OR(D108&lt;=0,E108&lt;0),"ERRO: bases inválidas",IF(E108&gt;D108,"ERRO: presenças acima do previsto",IF(COUNTIFS($A$5:$A$1200,A108,$B$5:$B$1200,B108,$C$5:$C$1200,C108)&gt;1,"ERRO: chave duplicada",IF(COUNTIFS(DISCIPLINAS!$A$5:$A$101,B108,DISCIPLINAS!$B$5:$B$101,C108)=0,"ERRO: disciplina não pertence ao curso","OK")))))</f>
        <v/>
      </c>
    </row>
    <row r="109" ht="15" customHeight="1" s="131">
      <c r="A109" s="220" t="inlineStr">
        <is>
          <t>2026-SEM2</t>
        </is>
      </c>
      <c r="B109" s="222" t="inlineStr">
        <is>
          <t>Agronomia</t>
        </is>
      </c>
      <c r="C109" s="222" t="inlineStr">
        <is>
          <t>Solos e Nutrição de Plantas</t>
        </is>
      </c>
      <c r="D109" s="220" t="n">
        <v>2271</v>
      </c>
      <c r="E109" s="220" t="n">
        <v>1560</v>
      </c>
      <c r="F109" s="181">
        <f>IFERROR(E109/D109,"")</f>
        <v/>
      </c>
      <c r="G109" s="219" t="inlineStr">
        <is>
          <t>2026-08-10</t>
        </is>
      </c>
      <c r="H109" s="220" t="inlineStr">
        <is>
          <t>mateus.valentim@ivc.br</t>
        </is>
      </c>
      <c r="I109" s="221">
        <f>IF(COUNTA(A109:E109)=0,"",IF(OR(D109&lt;=0,E109&lt;0),"ERRO: bases inválidas",IF(E109&gt;D109,"ERRO: presenças acima do previsto",IF(COUNTIFS($A$5:$A$1200,A109,$B$5:$B$1200,B109,$C$5:$C$1200,C109)&gt;1,"ERRO: chave duplicada",IF(COUNTIFS(DISCIPLINAS!$A$5:$A$101,B109,DISCIPLINAS!$B$5:$B$101,C109)=0,"ERRO: disciplina não pertence ao curso","OK")))))</f>
        <v/>
      </c>
    </row>
    <row r="110" ht="15" customHeight="1" s="131">
      <c r="A110" s="220" t="inlineStr">
        <is>
          <t>2026-SEM2</t>
        </is>
      </c>
      <c r="B110" s="222" t="inlineStr">
        <is>
          <t>Agronomia</t>
        </is>
      </c>
      <c r="C110" s="222" t="inlineStr">
        <is>
          <t>Zootecnia</t>
        </is>
      </c>
      <c r="D110" s="220" t="n">
        <v>2033</v>
      </c>
      <c r="E110" s="220" t="n">
        <v>1403</v>
      </c>
      <c r="F110" s="181">
        <f>IFERROR(E110/D110,"")</f>
        <v/>
      </c>
      <c r="G110" s="219" t="inlineStr">
        <is>
          <t>2026-08-10</t>
        </is>
      </c>
      <c r="H110" s="220" t="inlineStr">
        <is>
          <t>mateus.valentim@ivc.br</t>
        </is>
      </c>
      <c r="I110" s="221">
        <f>IF(COUNTA(A110:E110)=0,"",IF(OR(D110&lt;=0,E110&lt;0),"ERRO: bases inválidas",IF(E110&gt;D110,"ERRO: presenças acima do previsto",IF(COUNTIFS($A$5:$A$1200,A110,$B$5:$B$1200,B110,$C$5:$C$1200,C110)&gt;1,"ERRO: chave duplicada",IF(COUNTIFS(DISCIPLINAS!$A$5:$A$101,B110,DISCIPLINAS!$B$5:$B$101,C110)=0,"ERRO: disciplina não pertence ao curso","OK")))))</f>
        <v/>
      </c>
    </row>
    <row r="111" ht="15" customHeight="1" s="131">
      <c r="A111" s="220" t="inlineStr">
        <is>
          <t>2026-SEM2</t>
        </is>
      </c>
      <c r="B111" s="222" t="inlineStr">
        <is>
          <t>Agronomia</t>
        </is>
      </c>
      <c r="C111" s="222" t="inlineStr">
        <is>
          <t>Irrigação e Drenagem</t>
        </is>
      </c>
      <c r="D111" s="220" t="n">
        <v>1949</v>
      </c>
      <c r="E111" s="220" t="n">
        <v>1247</v>
      </c>
      <c r="F111" s="181">
        <f>IFERROR(E111/D111,"")</f>
        <v/>
      </c>
      <c r="G111" s="219" t="inlineStr">
        <is>
          <t>2026-08-10</t>
        </is>
      </c>
      <c r="H111" s="220" t="inlineStr">
        <is>
          <t>mateus.valentim@ivc.br</t>
        </is>
      </c>
      <c r="I111" s="221">
        <f>IF(COUNTA(A111:E111)=0,"",IF(OR(D111&lt;=0,E111&lt;0),"ERRO: bases inválidas",IF(E111&gt;D111,"ERRO: presenças acima do previsto",IF(COUNTIFS($A$5:$A$1200,A111,$B$5:$B$1200,B111,$C$5:$C$1200,C111)&gt;1,"ERRO: chave duplicada",IF(COUNTIFS(DISCIPLINAS!$A$5:$A$101,B111,DISCIPLINAS!$B$5:$B$101,C111)=0,"ERRO: disciplina não pertence ao curso","OK")))))</f>
        <v/>
      </c>
    </row>
    <row r="112" ht="15" customHeight="1" s="131">
      <c r="A112" s="220" t="inlineStr">
        <is>
          <t>2026-SEM2</t>
        </is>
      </c>
      <c r="B112" s="222" t="inlineStr">
        <is>
          <t>Análise e Desenvolvimento de Sistemas</t>
        </is>
      </c>
      <c r="C112" s="222" t="inlineStr">
        <is>
          <t>Programação Orientada a Objetos</t>
        </is>
      </c>
      <c r="D112" s="220" t="n">
        <v>3947</v>
      </c>
      <c r="E112" s="220" t="n">
        <v>2955</v>
      </c>
      <c r="F112" s="181">
        <f>IFERROR(E112/D112,"")</f>
        <v/>
      </c>
      <c r="G112" s="219" t="inlineStr">
        <is>
          <t>2026-08-10</t>
        </is>
      </c>
      <c r="H112" s="220" t="inlineStr">
        <is>
          <t>mateus.valentim@ivc.br</t>
        </is>
      </c>
      <c r="I112" s="221">
        <f>IF(COUNTA(A112:E112)=0,"",IF(OR(D112&lt;=0,E112&lt;0),"ERRO: bases inválidas",IF(E112&gt;D112,"ERRO: presenças acima do previsto",IF(COUNTIFS($A$5:$A$1200,A112,$B$5:$B$1200,B112,$C$5:$C$1200,C112)&gt;1,"ERRO: chave duplicada",IF(COUNTIFS(DISCIPLINAS!$A$5:$A$101,B112,DISCIPLINAS!$B$5:$B$101,C112)=0,"ERRO: disciplina não pertence ao curso","OK")))))</f>
        <v/>
      </c>
    </row>
    <row r="113" ht="15" customHeight="1" s="131">
      <c r="A113" s="220" t="inlineStr">
        <is>
          <t>2026-SEM2</t>
        </is>
      </c>
      <c r="B113" s="222" t="inlineStr">
        <is>
          <t>Análise e Desenvolvimento de Sistemas</t>
        </is>
      </c>
      <c r="C113" s="222" t="inlineStr">
        <is>
          <t>Banco de Dados</t>
        </is>
      </c>
      <c r="D113" s="220" t="n">
        <v>3897</v>
      </c>
      <c r="E113" s="220" t="n">
        <v>3238</v>
      </c>
      <c r="F113" s="181">
        <f>IFERROR(E113/D113,"")</f>
        <v/>
      </c>
      <c r="G113" s="219" t="inlineStr">
        <is>
          <t>2026-08-10</t>
        </is>
      </c>
      <c r="H113" s="220" t="inlineStr">
        <is>
          <t>mateus.valentim@ivc.br</t>
        </is>
      </c>
      <c r="I113" s="221">
        <f>IF(COUNTA(A113:E113)=0,"",IF(OR(D113&lt;=0,E113&lt;0),"ERRO: bases inválidas",IF(E113&gt;D113,"ERRO: presenças acima do previsto",IF(COUNTIFS($A$5:$A$1200,A113,$B$5:$B$1200,B113,$C$5:$C$1200,C113)&gt;1,"ERRO: chave duplicada",IF(COUNTIFS(DISCIPLINAS!$A$5:$A$101,B113,DISCIPLINAS!$B$5:$B$101,C113)=0,"ERRO: disciplina não pertence ao curso","OK")))))</f>
        <v/>
      </c>
    </row>
    <row r="114" ht="15" customHeight="1" s="131">
      <c r="A114" s="220" t="inlineStr">
        <is>
          <t>2026-SEM2</t>
        </is>
      </c>
      <c r="B114" s="222" t="inlineStr">
        <is>
          <t>Análise e Desenvolvimento de Sistemas</t>
        </is>
      </c>
      <c r="C114" s="222" t="inlineStr">
        <is>
          <t>Engenharia de Software</t>
        </is>
      </c>
      <c r="D114" s="220" t="n">
        <v>3913</v>
      </c>
      <c r="E114" s="220" t="n">
        <v>3268</v>
      </c>
      <c r="F114" s="181">
        <f>IFERROR(E114/D114,"")</f>
        <v/>
      </c>
      <c r="G114" s="219" t="inlineStr">
        <is>
          <t>2026-08-10</t>
        </is>
      </c>
      <c r="H114" s="220" t="inlineStr">
        <is>
          <t>mateus.valentim@ivc.br</t>
        </is>
      </c>
      <c r="I114" s="221">
        <f>IF(COUNTA(A114:E114)=0,"",IF(OR(D114&lt;=0,E114&lt;0),"ERRO: bases inválidas",IF(E114&gt;D114,"ERRO: presenças acima do previsto",IF(COUNTIFS($A$5:$A$1200,A114,$B$5:$B$1200,B114,$C$5:$C$1200,C114)&gt;1,"ERRO: chave duplicada",IF(COUNTIFS(DISCIPLINAS!$A$5:$A$101,B114,DISCIPLINAS!$B$5:$B$101,C114)=0,"ERRO: disciplina não pertence ao curso","OK")))))</f>
        <v/>
      </c>
    </row>
    <row r="115" ht="15" customHeight="1" s="131">
      <c r="A115" s="220" t="inlineStr">
        <is>
          <t>2026-SEM2</t>
        </is>
      </c>
      <c r="B115" s="222" t="inlineStr">
        <is>
          <t>Análise e Desenvolvimento de Sistemas</t>
        </is>
      </c>
      <c r="C115" s="222" t="inlineStr">
        <is>
          <t>Redes de Computadores</t>
        </is>
      </c>
      <c r="D115" s="220" t="n">
        <v>3738</v>
      </c>
      <c r="E115" s="220" t="n">
        <v>2915</v>
      </c>
      <c r="F115" s="181">
        <f>IFERROR(E115/D115,"")</f>
        <v/>
      </c>
      <c r="G115" s="219" t="inlineStr">
        <is>
          <t>2026-08-10</t>
        </is>
      </c>
      <c r="H115" s="220" t="inlineStr">
        <is>
          <t>mateus.valentim@ivc.br</t>
        </is>
      </c>
      <c r="I115" s="221">
        <f>IF(COUNTA(A115:E115)=0,"",IF(OR(D115&lt;=0,E115&lt;0),"ERRO: bases inválidas",IF(E115&gt;D115,"ERRO: presenças acima do previsto",IF(COUNTIFS($A$5:$A$1200,A115,$B$5:$B$1200,B115,$C$5:$C$1200,C115)&gt;1,"ERRO: chave duplicada",IF(COUNTIFS(DISCIPLINAS!$A$5:$A$101,B115,DISCIPLINAS!$B$5:$B$101,C115)=0,"ERRO: disciplina não pertence ao curso","OK")))))</f>
        <v/>
      </c>
    </row>
    <row r="116" ht="15" customHeight="1" s="131">
      <c r="A116" s="220" t="inlineStr">
        <is>
          <t>2026-SEM2</t>
        </is>
      </c>
      <c r="B116" s="222" t="inlineStr">
        <is>
          <t>Ciências Contábeis</t>
        </is>
      </c>
      <c r="C116" s="222" t="inlineStr">
        <is>
          <t>Contabilidade Geral</t>
        </is>
      </c>
      <c r="D116" s="220" t="n">
        <v>2906</v>
      </c>
      <c r="E116" s="220" t="n">
        <v>2335</v>
      </c>
      <c r="F116" s="181">
        <f>IFERROR(E116/D116,"")</f>
        <v/>
      </c>
      <c r="G116" s="219" t="inlineStr">
        <is>
          <t>2026-08-10</t>
        </is>
      </c>
      <c r="H116" s="220" t="inlineStr">
        <is>
          <t>mateus.valentim@ivc.br</t>
        </is>
      </c>
      <c r="I116" s="221">
        <f>IF(COUNTA(A116:E116)=0,"",IF(OR(D116&lt;=0,E116&lt;0),"ERRO: bases inválidas",IF(E116&gt;D116,"ERRO: presenças acima do previsto",IF(COUNTIFS($A$5:$A$1200,A116,$B$5:$B$1200,B116,$C$5:$C$1200,C116)&gt;1,"ERRO: chave duplicada",IF(COUNTIFS(DISCIPLINAS!$A$5:$A$101,B116,DISCIPLINAS!$B$5:$B$101,C116)=0,"ERRO: disciplina não pertence ao curso","OK")))))</f>
        <v/>
      </c>
    </row>
    <row r="117" ht="15" customHeight="1" s="131">
      <c r="A117" s="220" t="inlineStr">
        <is>
          <t>2026-SEM2</t>
        </is>
      </c>
      <c r="B117" s="222" t="inlineStr">
        <is>
          <t>Ciências Contábeis</t>
        </is>
      </c>
      <c r="C117" s="222" t="inlineStr">
        <is>
          <t>Contabilidade de Custos</t>
        </is>
      </c>
      <c r="D117" s="220" t="n">
        <v>3105</v>
      </c>
      <c r="E117" s="220" t="n">
        <v>2748</v>
      </c>
      <c r="F117" s="181">
        <f>IFERROR(E117/D117,"")</f>
        <v/>
      </c>
      <c r="G117" s="219" t="inlineStr">
        <is>
          <t>2026-08-10</t>
        </is>
      </c>
      <c r="H117" s="220" t="inlineStr">
        <is>
          <t>mateus.valentim@ivc.br</t>
        </is>
      </c>
      <c r="I117" s="221">
        <f>IF(COUNTA(A117:E117)=0,"",IF(OR(D117&lt;=0,E117&lt;0),"ERRO: bases inválidas",IF(E117&gt;D117,"ERRO: presenças acima do previsto",IF(COUNTIFS($A$5:$A$1200,A117,$B$5:$B$1200,B117,$C$5:$C$1200,C117)&gt;1,"ERRO: chave duplicada",IF(COUNTIFS(DISCIPLINAS!$A$5:$A$101,B117,DISCIPLINAS!$B$5:$B$101,C117)=0,"ERRO: disciplina não pertence ao curso","OK")))))</f>
        <v/>
      </c>
    </row>
    <row r="118" ht="15" customHeight="1" s="131">
      <c r="A118" s="220" t="inlineStr">
        <is>
          <t>2026-SEM2</t>
        </is>
      </c>
      <c r="B118" s="222" t="inlineStr">
        <is>
          <t>Ciências Contábeis</t>
        </is>
      </c>
      <c r="C118" s="222" t="inlineStr">
        <is>
          <t>Auditoria</t>
        </is>
      </c>
      <c r="D118" s="220" t="n">
        <v>2949</v>
      </c>
      <c r="E118" s="220" t="n">
        <v>2663</v>
      </c>
      <c r="F118" s="181">
        <f>IFERROR(E118/D118,"")</f>
        <v/>
      </c>
      <c r="G118" s="219" t="inlineStr">
        <is>
          <t>2026-08-10</t>
        </is>
      </c>
      <c r="H118" s="220" t="inlineStr">
        <is>
          <t>mateus.valentim@ivc.br</t>
        </is>
      </c>
      <c r="I118" s="221">
        <f>IF(COUNTA(A118:E118)=0,"",IF(OR(D118&lt;=0,E118&lt;0),"ERRO: bases inválidas",IF(E118&gt;D118,"ERRO: presenças acima do previsto",IF(COUNTIFS($A$5:$A$1200,A118,$B$5:$B$1200,B118,$C$5:$C$1200,C118)&gt;1,"ERRO: chave duplicada",IF(COUNTIFS(DISCIPLINAS!$A$5:$A$101,B118,DISCIPLINAS!$B$5:$B$101,C118)=0,"ERRO: disciplina não pertence ao curso","OK")))))</f>
        <v/>
      </c>
    </row>
    <row r="119" ht="15" customHeight="1" s="131">
      <c r="A119" s="220" t="inlineStr">
        <is>
          <t>2026-SEM2</t>
        </is>
      </c>
      <c r="B119" s="222" t="inlineStr">
        <is>
          <t>Ciências Contábeis</t>
        </is>
      </c>
      <c r="C119" s="222" t="inlineStr">
        <is>
          <t>Legislação Tributária</t>
        </is>
      </c>
      <c r="D119" s="220" t="n">
        <v>2904</v>
      </c>
      <c r="E119" s="220" t="n">
        <v>2406</v>
      </c>
      <c r="F119" s="181">
        <f>IFERROR(E119/D119,"")</f>
        <v/>
      </c>
      <c r="G119" s="219" t="inlineStr">
        <is>
          <t>2026-08-10</t>
        </is>
      </c>
      <c r="H119" s="220" t="inlineStr">
        <is>
          <t>mateus.valentim@ivc.br</t>
        </is>
      </c>
      <c r="I119" s="221">
        <f>IF(COUNTA(A119:E119)=0,"",IF(OR(D119&lt;=0,E119&lt;0),"ERRO: bases inválidas",IF(E119&gt;D119,"ERRO: presenças acima do previsto",IF(COUNTIFS($A$5:$A$1200,A119,$B$5:$B$1200,B119,$C$5:$C$1200,C119)&gt;1,"ERRO: chave duplicada",IF(COUNTIFS(DISCIPLINAS!$A$5:$A$101,B119,DISCIPLINAS!$B$5:$B$101,C119)=0,"ERRO: disciplina não pertence ao curso","OK")))))</f>
        <v/>
      </c>
    </row>
    <row r="120" ht="15" customHeight="1" s="131">
      <c r="A120" s="220" t="inlineStr">
        <is>
          <t>2026-SEM2</t>
        </is>
      </c>
      <c r="B120" s="222" t="inlineStr">
        <is>
          <t>Comunicação Social</t>
        </is>
      </c>
      <c r="C120" s="222" t="inlineStr">
        <is>
          <t>Teorias da Comunicação</t>
        </is>
      </c>
      <c r="D120" s="220" t="n">
        <v>1797</v>
      </c>
      <c r="E120" s="220" t="n">
        <v>1127</v>
      </c>
      <c r="F120" s="181">
        <f>IFERROR(E120/D120,"")</f>
        <v/>
      </c>
      <c r="G120" s="219" t="inlineStr">
        <is>
          <t>2026-08-10</t>
        </is>
      </c>
      <c r="H120" s="220" t="inlineStr">
        <is>
          <t>mateus.valentim@ivc.br</t>
        </is>
      </c>
      <c r="I120" s="221">
        <f>IF(COUNTA(A120:E120)=0,"",IF(OR(D120&lt;=0,E120&lt;0),"ERRO: bases inválidas",IF(E120&gt;D120,"ERRO: presenças acima do previsto",IF(COUNTIFS($A$5:$A$1200,A120,$B$5:$B$1200,B120,$C$5:$C$1200,C120)&gt;1,"ERRO: chave duplicada",IF(COUNTIFS(DISCIPLINAS!$A$5:$A$101,B120,DISCIPLINAS!$B$5:$B$101,C120)=0,"ERRO: disciplina não pertence ao curso","OK")))))</f>
        <v/>
      </c>
    </row>
    <row r="121" ht="15" customHeight="1" s="131">
      <c r="A121" s="220" t="inlineStr">
        <is>
          <t>2026-SEM2</t>
        </is>
      </c>
      <c r="B121" s="222" t="inlineStr">
        <is>
          <t>Comunicação Social</t>
        </is>
      </c>
      <c r="C121" s="222" t="inlineStr">
        <is>
          <t>Redação Publicitária</t>
        </is>
      </c>
      <c r="D121" s="220" t="n">
        <v>1906</v>
      </c>
      <c r="E121" s="220" t="n">
        <v>1342</v>
      </c>
      <c r="F121" s="181">
        <f>IFERROR(E121/D121,"")</f>
        <v/>
      </c>
      <c r="G121" s="219" t="inlineStr">
        <is>
          <t>2026-08-10</t>
        </is>
      </c>
      <c r="H121" s="220" t="inlineStr">
        <is>
          <t>mateus.valentim@ivc.br</t>
        </is>
      </c>
      <c r="I121" s="221">
        <f>IF(COUNTA(A121:E121)=0,"",IF(OR(D121&lt;=0,E121&lt;0),"ERRO: bases inválidas",IF(E121&gt;D121,"ERRO: presenças acima do previsto",IF(COUNTIFS($A$5:$A$1200,A121,$B$5:$B$1200,B121,$C$5:$C$1200,C121)&gt;1,"ERRO: chave duplicada",IF(COUNTIFS(DISCIPLINAS!$A$5:$A$101,B121,DISCIPLINAS!$B$5:$B$101,C121)=0,"ERRO: disciplina não pertence ao curso","OK")))))</f>
        <v/>
      </c>
    </row>
    <row r="122" ht="15" customHeight="1" s="131">
      <c r="A122" s="220" t="inlineStr">
        <is>
          <t>2026-SEM2</t>
        </is>
      </c>
      <c r="B122" s="222" t="inlineStr">
        <is>
          <t>Comunicação Social</t>
        </is>
      </c>
      <c r="C122" s="222" t="inlineStr">
        <is>
          <t>Produção Audiovisual</t>
        </is>
      </c>
      <c r="D122" s="220" t="n">
        <v>1654</v>
      </c>
      <c r="E122" s="220" t="n">
        <v>1195</v>
      </c>
      <c r="F122" s="181">
        <f>IFERROR(E122/D122,"")</f>
        <v/>
      </c>
      <c r="G122" s="219" t="inlineStr">
        <is>
          <t>2026-08-10</t>
        </is>
      </c>
      <c r="H122" s="220" t="inlineStr">
        <is>
          <t>mateus.valentim@ivc.br</t>
        </is>
      </c>
      <c r="I122" s="221">
        <f>IF(COUNTA(A122:E122)=0,"",IF(OR(D122&lt;=0,E122&lt;0),"ERRO: bases inválidas",IF(E122&gt;D122,"ERRO: presenças acima do previsto",IF(COUNTIFS($A$5:$A$1200,A122,$B$5:$B$1200,B122,$C$5:$C$1200,C122)&gt;1,"ERRO: chave duplicada",IF(COUNTIFS(DISCIPLINAS!$A$5:$A$101,B122,DISCIPLINAS!$B$5:$B$101,C122)=0,"ERRO: disciplina não pertence ao curso","OK")))))</f>
        <v/>
      </c>
    </row>
    <row r="123" ht="15" customHeight="1" s="131">
      <c r="A123" s="220" t="inlineStr">
        <is>
          <t>2026-SEM2</t>
        </is>
      </c>
      <c r="B123" s="222" t="inlineStr">
        <is>
          <t>Comunicação Social</t>
        </is>
      </c>
      <c r="C123" s="222" t="inlineStr">
        <is>
          <t>Assessoria de Imprensa</t>
        </is>
      </c>
      <c r="D123" s="220" t="n">
        <v>1922</v>
      </c>
      <c r="E123" s="220" t="n">
        <v>1267</v>
      </c>
      <c r="F123" s="181">
        <f>IFERROR(E123/D123,"")</f>
        <v/>
      </c>
      <c r="G123" s="219" t="inlineStr">
        <is>
          <t>2026-08-10</t>
        </is>
      </c>
      <c r="H123" s="220" t="inlineStr">
        <is>
          <t>mateus.valentim@ivc.br</t>
        </is>
      </c>
      <c r="I123" s="221">
        <f>IF(COUNTA(A123:E123)=0,"",IF(OR(D123&lt;=0,E123&lt;0),"ERRO: bases inválidas",IF(E123&gt;D123,"ERRO: presenças acima do previsto",IF(COUNTIFS($A$5:$A$1200,A123,$B$5:$B$1200,B123,$C$5:$C$1200,C123)&gt;1,"ERRO: chave duplicada",IF(COUNTIFS(DISCIPLINAS!$A$5:$A$101,B123,DISCIPLINAS!$B$5:$B$101,C123)=0,"ERRO: disciplina não pertence ao curso","OK")))))</f>
        <v/>
      </c>
    </row>
    <row r="124" ht="15" customHeight="1" s="131">
      <c r="A124" s="220" t="inlineStr">
        <is>
          <t>2026-SEM2</t>
        </is>
      </c>
      <c r="B124" s="222" t="inlineStr">
        <is>
          <t>Direito</t>
        </is>
      </c>
      <c r="C124" s="222" t="inlineStr">
        <is>
          <t>Direito Constitucional</t>
        </is>
      </c>
      <c r="D124" s="220" t="n">
        <v>5455</v>
      </c>
      <c r="E124" s="220" t="n">
        <v>3971</v>
      </c>
      <c r="F124" s="181">
        <f>IFERROR(E124/D124,"")</f>
        <v/>
      </c>
      <c r="G124" s="219" t="inlineStr">
        <is>
          <t>2026-08-10</t>
        </is>
      </c>
      <c r="H124" s="220" t="inlineStr">
        <is>
          <t>mateus.valentim@ivc.br</t>
        </is>
      </c>
      <c r="I124" s="221">
        <f>IF(COUNTA(A124:E124)=0,"",IF(OR(D124&lt;=0,E124&lt;0),"ERRO: bases inválidas",IF(E124&gt;D124,"ERRO: presenças acima do previsto",IF(COUNTIFS($A$5:$A$1200,A124,$B$5:$B$1200,B124,$C$5:$C$1200,C124)&gt;1,"ERRO: chave duplicada",IF(COUNTIFS(DISCIPLINAS!$A$5:$A$101,B124,DISCIPLINAS!$B$5:$B$101,C124)=0,"ERRO: disciplina não pertence ao curso","OK")))))</f>
        <v/>
      </c>
    </row>
    <row r="125" ht="15" customHeight="1" s="131">
      <c r="A125" s="220" t="inlineStr">
        <is>
          <t>2026-SEM2</t>
        </is>
      </c>
      <c r="B125" s="222" t="inlineStr">
        <is>
          <t>Direito</t>
        </is>
      </c>
      <c r="C125" s="222" t="inlineStr">
        <is>
          <t>Direito Civil</t>
        </is>
      </c>
      <c r="D125" s="220" t="n">
        <v>5747</v>
      </c>
      <c r="E125" s="220" t="n">
        <v>4627</v>
      </c>
      <c r="F125" s="181">
        <f>IFERROR(E125/D125,"")</f>
        <v/>
      </c>
      <c r="G125" s="219" t="inlineStr">
        <is>
          <t>2026-08-10</t>
        </is>
      </c>
      <c r="H125" s="220" t="inlineStr">
        <is>
          <t>mateus.valentim@ivc.br</t>
        </is>
      </c>
      <c r="I125" s="221">
        <f>IF(COUNTA(A125:E125)=0,"",IF(OR(D125&lt;=0,E125&lt;0),"ERRO: bases inválidas",IF(E125&gt;D125,"ERRO: presenças acima do previsto",IF(COUNTIFS($A$5:$A$1200,A125,$B$5:$B$1200,B125,$C$5:$C$1200,C125)&gt;1,"ERRO: chave duplicada",IF(COUNTIFS(DISCIPLINAS!$A$5:$A$101,B125,DISCIPLINAS!$B$5:$B$101,C125)=0,"ERRO: disciplina não pertence ao curso","OK")))))</f>
        <v/>
      </c>
    </row>
    <row r="126" ht="15" customHeight="1" s="131">
      <c r="A126" s="220" t="inlineStr">
        <is>
          <t>2026-SEM2</t>
        </is>
      </c>
      <c r="B126" s="222" t="inlineStr">
        <is>
          <t>Direito</t>
        </is>
      </c>
      <c r="C126" s="222" t="inlineStr">
        <is>
          <t>Direito Penal</t>
        </is>
      </c>
      <c r="D126" s="220" t="n">
        <v>5699</v>
      </c>
      <c r="E126" s="220" t="n">
        <v>4684</v>
      </c>
      <c r="F126" s="181">
        <f>IFERROR(E126/D126,"")</f>
        <v/>
      </c>
      <c r="G126" s="219" t="inlineStr">
        <is>
          <t>2026-08-10</t>
        </is>
      </c>
      <c r="H126" s="220" t="inlineStr">
        <is>
          <t>mateus.valentim@ivc.br</t>
        </is>
      </c>
      <c r="I126" s="221">
        <f>IF(COUNTA(A126:E126)=0,"",IF(OR(D126&lt;=0,E126&lt;0),"ERRO: bases inválidas",IF(E126&gt;D126,"ERRO: presenças acima do previsto",IF(COUNTIFS($A$5:$A$1200,A126,$B$5:$B$1200,B126,$C$5:$C$1200,C126)&gt;1,"ERRO: chave duplicada",IF(COUNTIFS(DISCIPLINAS!$A$5:$A$101,B126,DISCIPLINAS!$B$5:$B$101,C126)=0,"ERRO: disciplina não pertence ao curso","OK")))))</f>
        <v/>
      </c>
    </row>
    <row r="127" ht="15" customHeight="1" s="131">
      <c r="A127" s="220" t="inlineStr">
        <is>
          <t>2026-SEM2</t>
        </is>
      </c>
      <c r="B127" s="222" t="inlineStr">
        <is>
          <t>Direito</t>
        </is>
      </c>
      <c r="C127" s="222" t="inlineStr">
        <is>
          <t>Legislação Trabalhista</t>
        </is>
      </c>
      <c r="D127" s="220" t="n">
        <v>5629</v>
      </c>
      <c r="E127" s="220" t="n">
        <v>4231</v>
      </c>
      <c r="F127" s="181">
        <f>IFERROR(E127/D127,"")</f>
        <v/>
      </c>
      <c r="G127" s="219" t="inlineStr">
        <is>
          <t>2026-08-10</t>
        </is>
      </c>
      <c r="H127" s="220" t="inlineStr">
        <is>
          <t>mateus.valentim@ivc.br</t>
        </is>
      </c>
      <c r="I127" s="221">
        <f>IF(COUNTA(A127:E127)=0,"",IF(OR(D127&lt;=0,E127&lt;0),"ERRO: bases inválidas",IF(E127&gt;D127,"ERRO: presenças acima do previsto",IF(COUNTIFS($A$5:$A$1200,A127,$B$5:$B$1200,B127,$C$5:$C$1200,C127)&gt;1,"ERRO: chave duplicada",IF(COUNTIFS(DISCIPLINAS!$A$5:$A$101,B127,DISCIPLINAS!$B$5:$B$101,C127)=0,"ERRO: disciplina não pertence ao curso","OK")))))</f>
        <v/>
      </c>
    </row>
    <row r="128" ht="15" customHeight="1" s="131">
      <c r="A128" s="220" t="inlineStr">
        <is>
          <t>2026-SEM2</t>
        </is>
      </c>
      <c r="B128" s="222" t="inlineStr">
        <is>
          <t>Direito</t>
        </is>
      </c>
      <c r="C128" s="222" t="inlineStr">
        <is>
          <t>Processo Civil</t>
        </is>
      </c>
      <c r="D128" s="220" t="n">
        <v>5705</v>
      </c>
      <c r="E128" s="220" t="n">
        <v>4500</v>
      </c>
      <c r="F128" s="181">
        <f>IFERROR(E128/D128,"")</f>
        <v/>
      </c>
      <c r="G128" s="219" t="inlineStr">
        <is>
          <t>2026-08-10</t>
        </is>
      </c>
      <c r="H128" s="220" t="inlineStr">
        <is>
          <t>mateus.valentim@ivc.br</t>
        </is>
      </c>
      <c r="I128" s="221">
        <f>IF(COUNTA(A128:E128)=0,"",IF(OR(D128&lt;=0,E128&lt;0),"ERRO: bases inválidas",IF(E128&gt;D128,"ERRO: presenças acima do previsto",IF(COUNTIFS($A$5:$A$1200,A128,$B$5:$B$1200,B128,$C$5:$C$1200,C128)&gt;1,"ERRO: chave duplicada",IF(COUNTIFS(DISCIPLINAS!$A$5:$A$101,B128,DISCIPLINAS!$B$5:$B$101,C128)=0,"ERRO: disciplina não pertence ao curso","OK")))))</f>
        <v/>
      </c>
    </row>
    <row r="129" ht="15" customHeight="1" s="131">
      <c r="A129" s="220" t="inlineStr">
        <is>
          <t>2026-SEM2</t>
        </is>
      </c>
      <c r="B129" s="222" t="inlineStr">
        <is>
          <t>Engenharia de Produção</t>
        </is>
      </c>
      <c r="C129" s="222" t="inlineStr">
        <is>
          <t>Pesquisa Operacional</t>
        </is>
      </c>
      <c r="D129" s="220" t="n">
        <v>2246</v>
      </c>
      <c r="E129" s="220" t="n">
        <v>1590</v>
      </c>
      <c r="F129" s="181">
        <f>IFERROR(E129/D129,"")</f>
        <v/>
      </c>
      <c r="G129" s="219" t="inlineStr">
        <is>
          <t>2026-08-10</t>
        </is>
      </c>
      <c r="H129" s="220" t="inlineStr">
        <is>
          <t>mateus.valentim@ivc.br</t>
        </is>
      </c>
      <c r="I129" s="221">
        <f>IF(COUNTA(A129:E129)=0,"",IF(OR(D129&lt;=0,E129&lt;0),"ERRO: bases inválidas",IF(E129&gt;D129,"ERRO: presenças acima do previsto",IF(COUNTIFS($A$5:$A$1200,A129,$B$5:$B$1200,B129,$C$5:$C$1200,C129)&gt;1,"ERRO: chave duplicada",IF(COUNTIFS(DISCIPLINAS!$A$5:$A$101,B129,DISCIPLINAS!$B$5:$B$101,C129)=0,"ERRO: disciplina não pertence ao curso","OK")))))</f>
        <v/>
      </c>
    </row>
    <row r="130" ht="15" customHeight="1" s="131">
      <c r="A130" s="220" t="inlineStr">
        <is>
          <t>2026-SEM2</t>
        </is>
      </c>
      <c r="B130" s="222" t="inlineStr">
        <is>
          <t>Engenharia de Produção</t>
        </is>
      </c>
      <c r="C130" s="222" t="inlineStr">
        <is>
          <t>Planejamento e Controle da Produção</t>
        </is>
      </c>
      <c r="D130" s="220" t="n">
        <v>2275</v>
      </c>
      <c r="E130" s="220" t="n">
        <v>1798</v>
      </c>
      <c r="F130" s="181">
        <f>IFERROR(E130/D130,"")</f>
        <v/>
      </c>
      <c r="G130" s="219" t="inlineStr">
        <is>
          <t>2026-08-10</t>
        </is>
      </c>
      <c r="H130" s="220" t="inlineStr">
        <is>
          <t>mateus.valentim@ivc.br</t>
        </is>
      </c>
      <c r="I130" s="221">
        <f>IF(COUNTA(A130:E130)=0,"",IF(OR(D130&lt;=0,E130&lt;0),"ERRO: bases inválidas",IF(E130&gt;D130,"ERRO: presenças acima do previsto",IF(COUNTIFS($A$5:$A$1200,A130,$B$5:$B$1200,B130,$C$5:$C$1200,C130)&gt;1,"ERRO: chave duplicada",IF(COUNTIFS(DISCIPLINAS!$A$5:$A$101,B130,DISCIPLINAS!$B$5:$B$101,C130)=0,"ERRO: disciplina não pertence ao curso","OK")))))</f>
        <v/>
      </c>
    </row>
    <row r="131" ht="15" customHeight="1" s="131">
      <c r="A131" s="220" t="inlineStr">
        <is>
          <t>2026-SEM2</t>
        </is>
      </c>
      <c r="B131" s="222" t="inlineStr">
        <is>
          <t>Engenharia de Produção</t>
        </is>
      </c>
      <c r="C131" s="222" t="inlineStr">
        <is>
          <t>Engenharia da Qualidade</t>
        </is>
      </c>
      <c r="D131" s="220" t="n">
        <v>2291</v>
      </c>
      <c r="E131" s="220" t="n">
        <v>1818</v>
      </c>
      <c r="F131" s="181">
        <f>IFERROR(E131/D131,"")</f>
        <v/>
      </c>
      <c r="G131" s="219" t="inlineStr">
        <is>
          <t>2026-08-10</t>
        </is>
      </c>
      <c r="H131" s="220" t="inlineStr">
        <is>
          <t>mateus.valentim@ivc.br</t>
        </is>
      </c>
      <c r="I131" s="221">
        <f>IF(COUNTA(A131:E131)=0,"",IF(OR(D131&lt;=0,E131&lt;0),"ERRO: bases inválidas",IF(E131&gt;D131,"ERRO: presenças acima do previsto",IF(COUNTIFS($A$5:$A$1200,A131,$B$5:$B$1200,B131,$C$5:$C$1200,C131)&gt;1,"ERRO: chave duplicada",IF(COUNTIFS(DISCIPLINAS!$A$5:$A$101,B131,DISCIPLINAS!$B$5:$B$101,C131)=0,"ERRO: disciplina não pertence ao curso","OK")))))</f>
        <v/>
      </c>
    </row>
    <row r="132" ht="15" customHeight="1" s="131">
      <c r="A132" s="220" t="inlineStr">
        <is>
          <t>2026-SEM2</t>
        </is>
      </c>
      <c r="B132" s="222" t="inlineStr">
        <is>
          <t>Engenharia de Produção</t>
        </is>
      </c>
      <c r="C132" s="222" t="inlineStr">
        <is>
          <t>Custos Industriais</t>
        </is>
      </c>
      <c r="D132" s="220" t="n">
        <v>2506</v>
      </c>
      <c r="E132" s="220" t="n">
        <v>1843</v>
      </c>
      <c r="F132" s="181">
        <f>IFERROR(E132/D132,"")</f>
        <v/>
      </c>
      <c r="G132" s="219" t="inlineStr">
        <is>
          <t>2026-08-10</t>
        </is>
      </c>
      <c r="H132" s="220" t="inlineStr">
        <is>
          <t>mateus.valentim@ivc.br</t>
        </is>
      </c>
      <c r="I132" s="221">
        <f>IF(COUNTA(A132:E132)=0,"",IF(OR(D132&lt;=0,E132&lt;0),"ERRO: bases inválidas",IF(E132&gt;D132,"ERRO: presenças acima do previsto",IF(COUNTIFS($A$5:$A$1200,A132,$B$5:$B$1200,B132,$C$5:$C$1200,C132)&gt;1,"ERRO: chave duplicada",IF(COUNTIFS(DISCIPLINAS!$A$5:$A$101,B132,DISCIPLINAS!$B$5:$B$101,C132)=0,"ERRO: disciplina não pertence ao curso","OK")))))</f>
        <v/>
      </c>
    </row>
    <row r="133" ht="15" customHeight="1" s="131">
      <c r="A133" s="220" t="inlineStr">
        <is>
          <t>2026-SEM2</t>
        </is>
      </c>
      <c r="B133" s="222" t="inlineStr">
        <is>
          <t>Engenharia Mecânica</t>
        </is>
      </c>
      <c r="C133" s="222" t="inlineStr">
        <is>
          <t>Resistência dos Materiais</t>
        </is>
      </c>
      <c r="D133" s="220" t="n">
        <v>2740</v>
      </c>
      <c r="E133" s="220" t="n">
        <v>1964</v>
      </c>
      <c r="F133" s="181">
        <f>IFERROR(E133/D133,"")</f>
        <v/>
      </c>
      <c r="G133" s="219" t="inlineStr">
        <is>
          <t>2026-08-10</t>
        </is>
      </c>
      <c r="H133" s="220" t="inlineStr">
        <is>
          <t>mateus.valentim@ivc.br</t>
        </is>
      </c>
      <c r="I133" s="221">
        <f>IF(COUNTA(A133:E133)=0,"",IF(OR(D133&lt;=0,E133&lt;0),"ERRO: bases inválidas",IF(E133&gt;D133,"ERRO: presenças acima do previsto",IF(COUNTIFS($A$5:$A$1200,A133,$B$5:$B$1200,B133,$C$5:$C$1200,C133)&gt;1,"ERRO: chave duplicada",IF(COUNTIFS(DISCIPLINAS!$A$5:$A$101,B133,DISCIPLINAS!$B$5:$B$101,C133)=0,"ERRO: disciplina não pertence ao curso","OK")))))</f>
        <v/>
      </c>
    </row>
    <row r="134" ht="15" customHeight="1" s="131">
      <c r="A134" s="220" t="inlineStr">
        <is>
          <t>2026-SEM2</t>
        </is>
      </c>
      <c r="B134" s="222" t="inlineStr">
        <is>
          <t>Engenharia Mecânica</t>
        </is>
      </c>
      <c r="C134" s="222" t="inlineStr">
        <is>
          <t>Termodinâmica</t>
        </is>
      </c>
      <c r="D134" s="220" t="n">
        <v>2858</v>
      </c>
      <c r="E134" s="220" t="n">
        <v>2252</v>
      </c>
      <c r="F134" s="181">
        <f>IFERROR(E134/D134,"")</f>
        <v/>
      </c>
      <c r="G134" s="219" t="inlineStr">
        <is>
          <t>2026-08-10</t>
        </is>
      </c>
      <c r="H134" s="220" t="inlineStr">
        <is>
          <t>mateus.valentim@ivc.br</t>
        </is>
      </c>
      <c r="I134" s="221">
        <f>IF(COUNTA(A134:E134)=0,"",IF(OR(D134&lt;=0,E134&lt;0),"ERRO: bases inválidas",IF(E134&gt;D134,"ERRO: presenças acima do previsto",IF(COUNTIFS($A$5:$A$1200,A134,$B$5:$B$1200,B134,$C$5:$C$1200,C134)&gt;1,"ERRO: chave duplicada",IF(COUNTIFS(DISCIPLINAS!$A$5:$A$101,B134,DISCIPLINAS!$B$5:$B$101,C134)=0,"ERRO: disciplina não pertence ao curso","OK")))))</f>
        <v/>
      </c>
    </row>
    <row r="135" ht="15" customHeight="1" s="131">
      <c r="A135" s="220" t="inlineStr">
        <is>
          <t>2026-SEM2</t>
        </is>
      </c>
      <c r="B135" s="222" t="inlineStr">
        <is>
          <t>Engenharia Mecânica</t>
        </is>
      </c>
      <c r="C135" s="222" t="inlineStr">
        <is>
          <t>Desenho Técnico</t>
        </is>
      </c>
      <c r="D135" s="220" t="n">
        <v>2807</v>
      </c>
      <c r="E135" s="220" t="n">
        <v>2249</v>
      </c>
      <c r="F135" s="181">
        <f>IFERROR(E135/D135,"")</f>
        <v/>
      </c>
      <c r="G135" s="219" t="inlineStr">
        <is>
          <t>2026-08-10</t>
        </is>
      </c>
      <c r="H135" s="220" t="inlineStr">
        <is>
          <t>mateus.valentim@ivc.br</t>
        </is>
      </c>
      <c r="I135" s="221">
        <f>IF(COUNTA(A135:E135)=0,"",IF(OR(D135&lt;=0,E135&lt;0),"ERRO: bases inválidas",IF(E135&gt;D135,"ERRO: presenças acima do previsto",IF(COUNTIFS($A$5:$A$1200,A135,$B$5:$B$1200,B135,$C$5:$C$1200,C135)&gt;1,"ERRO: chave duplicada",IF(COUNTIFS(DISCIPLINAS!$A$5:$A$101,B135,DISCIPLINAS!$B$5:$B$101,C135)=0,"ERRO: disciplina não pertence ao curso","OK")))))</f>
        <v/>
      </c>
    </row>
    <row r="136" ht="15" customHeight="1" s="131">
      <c r="A136" s="220" t="inlineStr">
        <is>
          <t>2026-SEM2</t>
        </is>
      </c>
      <c r="B136" s="222" t="inlineStr">
        <is>
          <t>Engenharia Mecânica</t>
        </is>
      </c>
      <c r="C136" s="222" t="inlineStr">
        <is>
          <t>Processos de Fabricação</t>
        </is>
      </c>
      <c r="D136" s="220" t="n">
        <v>2578</v>
      </c>
      <c r="E136" s="220" t="n">
        <v>1928</v>
      </c>
      <c r="F136" s="181">
        <f>IFERROR(E136/D136,"")</f>
        <v/>
      </c>
      <c r="G136" s="219" t="inlineStr">
        <is>
          <t>2026-08-10</t>
        </is>
      </c>
      <c r="H136" s="220" t="inlineStr">
        <is>
          <t>mateus.valentim@ivc.br</t>
        </is>
      </c>
      <c r="I136" s="221">
        <f>IF(COUNTA(A136:E136)=0,"",IF(OR(D136&lt;=0,E136&lt;0),"ERRO: bases inválidas",IF(E136&gt;D136,"ERRO: presenças acima do previsto",IF(COUNTIFS($A$5:$A$1200,A136,$B$5:$B$1200,B136,$C$5:$C$1200,C136)&gt;1,"ERRO: chave duplicada",IF(COUNTIFS(DISCIPLINAS!$A$5:$A$101,B136,DISCIPLINAS!$B$5:$B$101,C136)=0,"ERRO: disciplina não pertence ao curso","OK")))))</f>
        <v/>
      </c>
    </row>
    <row r="137" ht="15" customHeight="1" s="131">
      <c r="A137" s="220" t="n"/>
      <c r="B137" s="222" t="n"/>
      <c r="C137" s="222" t="n"/>
      <c r="D137" s="220" t="n"/>
      <c r="E137" s="220" t="n"/>
      <c r="F137" s="181">
        <f>IFERROR(E137/D137,"")</f>
        <v/>
      </c>
      <c r="G137" s="219" t="n"/>
      <c r="H137" s="220" t="n"/>
      <c r="I137" s="221">
        <f>IF(COUNTA(A137:E137)=0,"",IF(OR(D137&lt;=0,E137&lt;0),"ERRO: bases inválidas",IF(E137&gt;D137,"ERRO: presenças acima do previsto",IF(COUNTIFS($A$5:$A$1200,A137,$B$5:$B$1200,B137,$C$5:$C$1200,C137)&gt;1,"ERRO: chave duplicada",IF(COUNTIFS(DISCIPLINAS!$A$5:$A$101,B137,DISCIPLINAS!$B$5:$B$101,C137)=0,"ERRO: disciplina não pertence ao curso","OK")))))</f>
        <v/>
      </c>
    </row>
    <row r="138" ht="15" customHeight="1" s="131">
      <c r="A138" s="220" t="n"/>
      <c r="B138" s="222" t="n"/>
      <c r="C138" s="222" t="n"/>
      <c r="D138" s="220" t="n"/>
      <c r="E138" s="220" t="n"/>
      <c r="F138" s="181">
        <f>IFERROR(E138/D138,"")</f>
        <v/>
      </c>
      <c r="G138" s="219" t="n"/>
      <c r="H138" s="220" t="n"/>
      <c r="I138" s="221">
        <f>IF(COUNTA(A138:E138)=0,"",IF(OR(D138&lt;=0,E138&lt;0),"ERRO: bases inválidas",IF(E138&gt;D138,"ERRO: presenças acima do previsto",IF(COUNTIFS($A$5:$A$1200,A138,$B$5:$B$1200,B138,$C$5:$C$1200,C138)&gt;1,"ERRO: chave duplicada",IF(COUNTIFS(DISCIPLINAS!$A$5:$A$101,B138,DISCIPLINAS!$B$5:$B$101,C138)=0,"ERRO: disciplina não pertence ao curso","OK")))))</f>
        <v/>
      </c>
    </row>
    <row r="139" ht="15" customHeight="1" s="131">
      <c r="A139" s="220" t="n"/>
      <c r="B139" s="222" t="n"/>
      <c r="C139" s="222" t="n"/>
      <c r="D139" s="220" t="n"/>
      <c r="E139" s="220" t="n"/>
      <c r="F139" s="181">
        <f>IFERROR(E139/D139,"")</f>
        <v/>
      </c>
      <c r="G139" s="219" t="n"/>
      <c r="H139" s="220" t="n"/>
      <c r="I139" s="221">
        <f>IF(COUNTA(A139:E139)=0,"",IF(OR(D139&lt;=0,E139&lt;0),"ERRO: bases inválidas",IF(E139&gt;D139,"ERRO: presenças acima do previsto",IF(COUNTIFS($A$5:$A$1200,A139,$B$5:$B$1200,B139,$C$5:$C$1200,C139)&gt;1,"ERRO: chave duplicada",IF(COUNTIFS(DISCIPLINAS!$A$5:$A$101,B139,DISCIPLINAS!$B$5:$B$101,C139)=0,"ERRO: disciplina não pertence ao curso","OK")))))</f>
        <v/>
      </c>
    </row>
    <row r="140" ht="15" customHeight="1" s="131">
      <c r="A140" s="220" t="n"/>
      <c r="B140" s="222" t="n"/>
      <c r="C140" s="222" t="n"/>
      <c r="D140" s="220" t="n"/>
      <c r="E140" s="220" t="n"/>
      <c r="F140" s="181">
        <f>IFERROR(E140/D140,"")</f>
        <v/>
      </c>
      <c r="G140" s="219" t="n"/>
      <c r="H140" s="220" t="n"/>
      <c r="I140" s="221">
        <f>IF(COUNTA(A140:E140)=0,"",IF(OR(D140&lt;=0,E140&lt;0),"ERRO: bases inválidas",IF(E140&gt;D140,"ERRO: presenças acima do previsto",IF(COUNTIFS($A$5:$A$1200,A140,$B$5:$B$1200,B140,$C$5:$C$1200,C140)&gt;1,"ERRO: chave duplicada",IF(COUNTIFS(DISCIPLINAS!$A$5:$A$101,B140,DISCIPLINAS!$B$5:$B$101,C140)=0,"ERRO: disciplina não pertence ao curso","OK")))))</f>
        <v/>
      </c>
    </row>
    <row r="141" ht="15" customHeight="1" s="131">
      <c r="A141" s="220" t="n"/>
      <c r="B141" s="222" t="n"/>
      <c r="C141" s="222" t="n"/>
      <c r="D141" s="220" t="n"/>
      <c r="E141" s="220" t="n"/>
      <c r="F141" s="181">
        <f>IFERROR(E141/D141,"")</f>
        <v/>
      </c>
      <c r="G141" s="219" t="n"/>
      <c r="H141" s="220" t="n"/>
      <c r="I141" s="221">
        <f>IF(COUNTA(A141:E141)=0,"",IF(OR(D141&lt;=0,E141&lt;0),"ERRO: bases inválidas",IF(E141&gt;D141,"ERRO: presenças acima do previsto",IF(COUNTIFS($A$5:$A$1200,A141,$B$5:$B$1200,B141,$C$5:$C$1200,C141)&gt;1,"ERRO: chave duplicada",IF(COUNTIFS(DISCIPLINAS!$A$5:$A$101,B141,DISCIPLINAS!$B$5:$B$101,C141)=0,"ERRO: disciplina não pertence ao curso","OK")))))</f>
        <v/>
      </c>
    </row>
    <row r="142" ht="15" customHeight="1" s="131">
      <c r="A142" s="220" t="n"/>
      <c r="B142" s="222" t="n"/>
      <c r="C142" s="222" t="n"/>
      <c r="D142" s="220" t="n"/>
      <c r="E142" s="220" t="n"/>
      <c r="F142" s="181">
        <f>IFERROR(E142/D142,"")</f>
        <v/>
      </c>
      <c r="G142" s="219" t="n"/>
      <c r="H142" s="220" t="n"/>
      <c r="I142" s="221">
        <f>IF(COUNTA(A142:E142)=0,"",IF(OR(D142&lt;=0,E142&lt;0),"ERRO: bases inválidas",IF(E142&gt;D142,"ERRO: presenças acima do previsto",IF(COUNTIFS($A$5:$A$1200,A142,$B$5:$B$1200,B142,$C$5:$C$1200,C142)&gt;1,"ERRO: chave duplicada",IF(COUNTIFS(DISCIPLINAS!$A$5:$A$101,B142,DISCIPLINAS!$B$5:$B$101,C142)=0,"ERRO: disciplina não pertence ao curso","OK")))))</f>
        <v/>
      </c>
    </row>
    <row r="143" ht="15" customHeight="1" s="131">
      <c r="A143" s="220" t="n"/>
      <c r="B143" s="222" t="n"/>
      <c r="C143" s="222" t="n"/>
      <c r="D143" s="220" t="n"/>
      <c r="E143" s="220" t="n"/>
      <c r="F143" s="181">
        <f>IFERROR(E143/D143,"")</f>
        <v/>
      </c>
      <c r="G143" s="219" t="n"/>
      <c r="H143" s="220" t="n"/>
      <c r="I143" s="221">
        <f>IF(COUNTA(A143:E143)=0,"",IF(OR(D143&lt;=0,E143&lt;0),"ERRO: bases inválidas",IF(E143&gt;D143,"ERRO: presenças acima do previsto",IF(COUNTIFS($A$5:$A$1200,A143,$B$5:$B$1200,B143,$C$5:$C$1200,C143)&gt;1,"ERRO: chave duplicada",IF(COUNTIFS(DISCIPLINAS!$A$5:$A$101,B143,DISCIPLINAS!$B$5:$B$101,C143)=0,"ERRO: disciplina não pertence ao curso","OK")))))</f>
        <v/>
      </c>
    </row>
    <row r="144" ht="15" customHeight="1" s="131">
      <c r="A144" s="220" t="n"/>
      <c r="B144" s="222" t="n"/>
      <c r="C144" s="222" t="n"/>
      <c r="D144" s="220" t="n"/>
      <c r="E144" s="220" t="n"/>
      <c r="F144" s="181">
        <f>IFERROR(E144/D144,"")</f>
        <v/>
      </c>
      <c r="G144" s="219" t="n"/>
      <c r="H144" s="220" t="n"/>
      <c r="I144" s="221">
        <f>IF(COUNTA(A144:E144)=0,"",IF(OR(D144&lt;=0,E144&lt;0),"ERRO: bases inválidas",IF(E144&gt;D144,"ERRO: presenças acima do previsto",IF(COUNTIFS($A$5:$A$1200,A144,$B$5:$B$1200,B144,$C$5:$C$1200,C144)&gt;1,"ERRO: chave duplicada",IF(COUNTIFS(DISCIPLINAS!$A$5:$A$101,B144,DISCIPLINAS!$B$5:$B$101,C144)=0,"ERRO: disciplina não pertence ao curso","OK")))))</f>
        <v/>
      </c>
    </row>
    <row r="145" ht="15" customHeight="1" s="131">
      <c r="A145" s="220" t="n"/>
      <c r="B145" s="222" t="n"/>
      <c r="C145" s="222" t="n"/>
      <c r="D145" s="220" t="n"/>
      <c r="E145" s="220" t="n"/>
      <c r="F145" s="181">
        <f>IFERROR(E145/D145,"")</f>
        <v/>
      </c>
      <c r="G145" s="219" t="n"/>
      <c r="H145" s="220" t="n"/>
      <c r="I145" s="221">
        <f>IF(COUNTA(A145:E145)=0,"",IF(OR(D145&lt;=0,E145&lt;0),"ERRO: bases inválidas",IF(E145&gt;D145,"ERRO: presenças acima do previsto",IF(COUNTIFS($A$5:$A$1200,A145,$B$5:$B$1200,B145,$C$5:$C$1200,C145)&gt;1,"ERRO: chave duplicada",IF(COUNTIFS(DISCIPLINAS!$A$5:$A$101,B145,DISCIPLINAS!$B$5:$B$101,C145)=0,"ERRO: disciplina não pertence ao curso","OK")))))</f>
        <v/>
      </c>
    </row>
    <row r="146" ht="15" customHeight="1" s="131">
      <c r="A146" s="220" t="n"/>
      <c r="B146" s="222" t="n"/>
      <c r="C146" s="222" t="n"/>
      <c r="D146" s="220" t="n"/>
      <c r="E146" s="220" t="n"/>
      <c r="F146" s="181">
        <f>IFERROR(E146/D146,"")</f>
        <v/>
      </c>
      <c r="G146" s="219" t="n"/>
      <c r="H146" s="220" t="n"/>
      <c r="I146" s="221">
        <f>IF(COUNTA(A146:E146)=0,"",IF(OR(D146&lt;=0,E146&lt;0),"ERRO: bases inválidas",IF(E146&gt;D146,"ERRO: presenças acima do previsto",IF(COUNTIFS($A$5:$A$1200,A146,$B$5:$B$1200,B146,$C$5:$C$1200,C146)&gt;1,"ERRO: chave duplicada",IF(COUNTIFS(DISCIPLINAS!$A$5:$A$101,B146,DISCIPLINAS!$B$5:$B$101,C146)=0,"ERRO: disciplina não pertence ao curso","OK")))))</f>
        <v/>
      </c>
    </row>
    <row r="147" ht="15" customHeight="1" s="131">
      <c r="A147" s="220" t="n"/>
      <c r="B147" s="222" t="n"/>
      <c r="C147" s="222" t="n"/>
      <c r="D147" s="220" t="n"/>
      <c r="E147" s="220" t="n"/>
      <c r="F147" s="181">
        <f>IFERROR(E147/D147,"")</f>
        <v/>
      </c>
      <c r="G147" s="219" t="n"/>
      <c r="H147" s="220" t="n"/>
      <c r="I147" s="221">
        <f>IF(COUNTA(A147:E147)=0,"",IF(OR(D147&lt;=0,E147&lt;0),"ERRO: bases inválidas",IF(E147&gt;D147,"ERRO: presenças acima do previsto",IF(COUNTIFS($A$5:$A$1200,A147,$B$5:$B$1200,B147,$C$5:$C$1200,C147)&gt;1,"ERRO: chave duplicada",IF(COUNTIFS(DISCIPLINAS!$A$5:$A$101,B147,DISCIPLINAS!$B$5:$B$101,C147)=0,"ERRO: disciplina não pertence ao curso","OK")))))</f>
        <v/>
      </c>
    </row>
    <row r="148" ht="15" customHeight="1" s="131">
      <c r="A148" s="220" t="n"/>
      <c r="B148" s="222" t="n"/>
      <c r="C148" s="222" t="n"/>
      <c r="D148" s="220" t="n"/>
      <c r="E148" s="220" t="n"/>
      <c r="F148" s="181">
        <f>IFERROR(E148/D148,"")</f>
        <v/>
      </c>
      <c r="G148" s="219" t="n"/>
      <c r="H148" s="220" t="n"/>
      <c r="I148" s="221">
        <f>IF(COUNTA(A148:E148)=0,"",IF(OR(D148&lt;=0,E148&lt;0),"ERRO: bases inválidas",IF(E148&gt;D148,"ERRO: presenças acima do previsto",IF(COUNTIFS($A$5:$A$1200,A148,$B$5:$B$1200,B148,$C$5:$C$1200,C148)&gt;1,"ERRO: chave duplicada",IF(COUNTIFS(DISCIPLINAS!$A$5:$A$101,B148,DISCIPLINAS!$B$5:$B$101,C148)=0,"ERRO: disciplina não pertence ao curso","OK")))))</f>
        <v/>
      </c>
    </row>
    <row r="149" ht="15" customHeight="1" s="131">
      <c r="A149" s="220" t="n"/>
      <c r="B149" s="222" t="n"/>
      <c r="C149" s="222" t="n"/>
      <c r="D149" s="220" t="n"/>
      <c r="E149" s="220" t="n"/>
      <c r="F149" s="181">
        <f>IFERROR(E149/D149,"")</f>
        <v/>
      </c>
      <c r="G149" s="219" t="n"/>
      <c r="H149" s="220" t="n"/>
      <c r="I149" s="221">
        <f>IF(COUNTA(A149:E149)=0,"",IF(OR(D149&lt;=0,E149&lt;0),"ERRO: bases inválidas",IF(E149&gt;D149,"ERRO: presenças acima do previsto",IF(COUNTIFS($A$5:$A$1200,A149,$B$5:$B$1200,B149,$C$5:$C$1200,C149)&gt;1,"ERRO: chave duplicada",IF(COUNTIFS(DISCIPLINAS!$A$5:$A$101,B149,DISCIPLINAS!$B$5:$B$101,C149)=0,"ERRO: disciplina não pertence ao curso","OK")))))</f>
        <v/>
      </c>
    </row>
    <row r="150" ht="15" customHeight="1" s="131">
      <c r="A150" s="220" t="n"/>
      <c r="B150" s="222" t="n"/>
      <c r="C150" s="222" t="n"/>
      <c r="D150" s="220" t="n"/>
      <c r="E150" s="220" t="n"/>
      <c r="F150" s="181">
        <f>IFERROR(E150/D150,"")</f>
        <v/>
      </c>
      <c r="G150" s="219" t="n"/>
      <c r="H150" s="220" t="n"/>
      <c r="I150" s="221">
        <f>IF(COUNTA(A150:E150)=0,"",IF(OR(D150&lt;=0,E150&lt;0),"ERRO: bases inválidas",IF(E150&gt;D150,"ERRO: presenças acima do previsto",IF(COUNTIFS($A$5:$A$1200,A150,$B$5:$B$1200,B150,$C$5:$C$1200,C150)&gt;1,"ERRO: chave duplicada",IF(COUNTIFS(DISCIPLINAS!$A$5:$A$101,B150,DISCIPLINAS!$B$5:$B$101,C150)=0,"ERRO: disciplina não pertence ao curso","OK")))))</f>
        <v/>
      </c>
    </row>
    <row r="151" ht="15" customHeight="1" s="131">
      <c r="A151" s="220" t="n"/>
      <c r="B151" s="222" t="n"/>
      <c r="C151" s="222" t="n"/>
      <c r="D151" s="220" t="n"/>
      <c r="E151" s="220" t="n"/>
      <c r="F151" s="181">
        <f>IFERROR(E151/D151,"")</f>
        <v/>
      </c>
      <c r="G151" s="219" t="n"/>
      <c r="H151" s="220" t="n"/>
      <c r="I151" s="221">
        <f>IF(COUNTA(A151:E151)=0,"",IF(OR(D151&lt;=0,E151&lt;0),"ERRO: bases inválidas",IF(E151&gt;D151,"ERRO: presenças acima do previsto",IF(COUNTIFS($A$5:$A$1200,A151,$B$5:$B$1200,B151,$C$5:$C$1200,C151)&gt;1,"ERRO: chave duplicada",IF(COUNTIFS(DISCIPLINAS!$A$5:$A$101,B151,DISCIPLINAS!$B$5:$B$101,C151)=0,"ERRO: disciplina não pertence ao curso","OK")))))</f>
        <v/>
      </c>
    </row>
    <row r="152" ht="15" customHeight="1" s="131">
      <c r="A152" s="220" t="n"/>
      <c r="B152" s="222" t="n"/>
      <c r="C152" s="222" t="n"/>
      <c r="D152" s="220" t="n"/>
      <c r="E152" s="220" t="n"/>
      <c r="F152" s="181">
        <f>IFERROR(E152/D152,"")</f>
        <v/>
      </c>
      <c r="G152" s="219" t="n"/>
      <c r="H152" s="220" t="n"/>
      <c r="I152" s="221">
        <f>IF(COUNTA(A152:E152)=0,"",IF(OR(D152&lt;=0,E152&lt;0),"ERRO: bases inválidas",IF(E152&gt;D152,"ERRO: presenças acima do previsto",IF(COUNTIFS($A$5:$A$1200,A152,$B$5:$B$1200,B152,$C$5:$C$1200,C152)&gt;1,"ERRO: chave duplicada",IF(COUNTIFS(DISCIPLINAS!$A$5:$A$101,B152,DISCIPLINAS!$B$5:$B$101,C152)=0,"ERRO: disciplina não pertence ao curso","OK")))))</f>
        <v/>
      </c>
    </row>
    <row r="153" ht="15" customHeight="1" s="131">
      <c r="A153" s="220" t="n"/>
      <c r="B153" s="222" t="n"/>
      <c r="C153" s="222" t="n"/>
      <c r="D153" s="220" t="n"/>
      <c r="E153" s="220" t="n"/>
      <c r="F153" s="181">
        <f>IFERROR(E153/D153,"")</f>
        <v/>
      </c>
      <c r="G153" s="219" t="n"/>
      <c r="H153" s="220" t="n"/>
      <c r="I153" s="221">
        <f>IF(COUNTA(A153:E153)=0,"",IF(OR(D153&lt;=0,E153&lt;0),"ERRO: bases inválidas",IF(E153&gt;D153,"ERRO: presenças acima do previsto",IF(COUNTIFS($A$5:$A$1200,A153,$B$5:$B$1200,B153,$C$5:$C$1200,C153)&gt;1,"ERRO: chave duplicada",IF(COUNTIFS(DISCIPLINAS!$A$5:$A$101,B153,DISCIPLINAS!$B$5:$B$101,C153)=0,"ERRO: disciplina não pertence ao curso","OK")))))</f>
        <v/>
      </c>
    </row>
    <row r="154" ht="15" customHeight="1" s="131">
      <c r="A154" s="220" t="n"/>
      <c r="B154" s="222" t="n"/>
      <c r="C154" s="222" t="n"/>
      <c r="D154" s="220" t="n"/>
      <c r="E154" s="220" t="n"/>
      <c r="F154" s="181">
        <f>IFERROR(E154/D154,"")</f>
        <v/>
      </c>
      <c r="G154" s="219" t="n"/>
      <c r="H154" s="220" t="n"/>
      <c r="I154" s="221">
        <f>IF(COUNTA(A154:E154)=0,"",IF(OR(D154&lt;=0,E154&lt;0),"ERRO: bases inválidas",IF(E154&gt;D154,"ERRO: presenças acima do previsto",IF(COUNTIFS($A$5:$A$1200,A154,$B$5:$B$1200,B154,$C$5:$C$1200,C154)&gt;1,"ERRO: chave duplicada",IF(COUNTIFS(DISCIPLINAS!$A$5:$A$101,B154,DISCIPLINAS!$B$5:$B$101,C154)=0,"ERRO: disciplina não pertence ao curso","OK")))))</f>
        <v/>
      </c>
    </row>
    <row r="155" ht="15" customHeight="1" s="131">
      <c r="A155" s="220" t="n"/>
      <c r="B155" s="222" t="n"/>
      <c r="C155" s="222" t="n"/>
      <c r="D155" s="220" t="n"/>
      <c r="E155" s="220" t="n"/>
      <c r="F155" s="181">
        <f>IFERROR(E155/D155,"")</f>
        <v/>
      </c>
      <c r="G155" s="219" t="n"/>
      <c r="H155" s="220" t="n"/>
      <c r="I155" s="221">
        <f>IF(COUNTA(A155:E155)=0,"",IF(OR(D155&lt;=0,E155&lt;0),"ERRO: bases inválidas",IF(E155&gt;D155,"ERRO: presenças acima do previsto",IF(COUNTIFS($A$5:$A$1200,A155,$B$5:$B$1200,B155,$C$5:$C$1200,C155)&gt;1,"ERRO: chave duplicada",IF(COUNTIFS(DISCIPLINAS!$A$5:$A$101,B155,DISCIPLINAS!$B$5:$B$101,C155)=0,"ERRO: disciplina não pertence ao curso","OK")))))</f>
        <v/>
      </c>
    </row>
    <row r="156" ht="15" customHeight="1" s="131">
      <c r="A156" s="220" t="n"/>
      <c r="B156" s="222" t="n"/>
      <c r="C156" s="222" t="n"/>
      <c r="D156" s="220" t="n"/>
      <c r="E156" s="220" t="n"/>
      <c r="F156" s="181">
        <f>IFERROR(E156/D156,"")</f>
        <v/>
      </c>
      <c r="G156" s="219" t="n"/>
      <c r="H156" s="220" t="n"/>
      <c r="I156" s="221">
        <f>IF(COUNTA(A156:E156)=0,"",IF(OR(D156&lt;=0,E156&lt;0),"ERRO: bases inválidas",IF(E156&gt;D156,"ERRO: presenças acima do previsto",IF(COUNTIFS($A$5:$A$1200,A156,$B$5:$B$1200,B156,$C$5:$C$1200,C156)&gt;1,"ERRO: chave duplicada",IF(COUNTIFS(DISCIPLINAS!$A$5:$A$101,B156,DISCIPLINAS!$B$5:$B$101,C156)=0,"ERRO: disciplina não pertence ao curso","OK")))))</f>
        <v/>
      </c>
    </row>
    <row r="157" ht="15" customHeight="1" s="131">
      <c r="A157" s="220" t="n"/>
      <c r="B157" s="222" t="n"/>
      <c r="C157" s="222" t="n"/>
      <c r="D157" s="220" t="n"/>
      <c r="E157" s="220" t="n"/>
      <c r="F157" s="181">
        <f>IFERROR(E157/D157,"")</f>
        <v/>
      </c>
      <c r="G157" s="219" t="n"/>
      <c r="H157" s="220" t="n"/>
      <c r="I157" s="221">
        <f>IF(COUNTA(A157:E157)=0,"",IF(OR(D157&lt;=0,E157&lt;0),"ERRO: bases inválidas",IF(E157&gt;D157,"ERRO: presenças acima do previsto",IF(COUNTIFS($A$5:$A$1200,A157,$B$5:$B$1200,B157,$C$5:$C$1200,C157)&gt;1,"ERRO: chave duplicada",IF(COUNTIFS(DISCIPLINAS!$A$5:$A$101,B157,DISCIPLINAS!$B$5:$B$101,C157)=0,"ERRO: disciplina não pertence ao curso","OK")))))</f>
        <v/>
      </c>
    </row>
    <row r="158" ht="15" customHeight="1" s="131">
      <c r="A158" s="220" t="n"/>
      <c r="B158" s="222" t="n"/>
      <c r="C158" s="222" t="n"/>
      <c r="D158" s="220" t="n"/>
      <c r="E158" s="220" t="n"/>
      <c r="F158" s="181">
        <f>IFERROR(E158/D158,"")</f>
        <v/>
      </c>
      <c r="G158" s="219" t="n"/>
      <c r="H158" s="220" t="n"/>
      <c r="I158" s="221">
        <f>IF(COUNTA(A158:E158)=0,"",IF(OR(D158&lt;=0,E158&lt;0),"ERRO: bases inválidas",IF(E158&gt;D158,"ERRO: presenças acima do previsto",IF(COUNTIFS($A$5:$A$1200,A158,$B$5:$B$1200,B158,$C$5:$C$1200,C158)&gt;1,"ERRO: chave duplicada",IF(COUNTIFS(DISCIPLINAS!$A$5:$A$101,B158,DISCIPLINAS!$B$5:$B$101,C158)=0,"ERRO: disciplina não pertence ao curso","OK")))))</f>
        <v/>
      </c>
    </row>
    <row r="159" ht="15" customHeight="1" s="131">
      <c r="A159" s="220" t="n"/>
      <c r="B159" s="222" t="n"/>
      <c r="C159" s="222" t="n"/>
      <c r="D159" s="220" t="n"/>
      <c r="E159" s="220" t="n"/>
      <c r="F159" s="181">
        <f>IFERROR(E159/D159,"")</f>
        <v/>
      </c>
      <c r="G159" s="219" t="n"/>
      <c r="H159" s="220" t="n"/>
      <c r="I159" s="221">
        <f>IF(COUNTA(A159:E159)=0,"",IF(OR(D159&lt;=0,E159&lt;0),"ERRO: bases inválidas",IF(E159&gt;D159,"ERRO: presenças acima do previsto",IF(COUNTIFS($A$5:$A$1200,A159,$B$5:$B$1200,B159,$C$5:$C$1200,C159)&gt;1,"ERRO: chave duplicada",IF(COUNTIFS(DISCIPLINAS!$A$5:$A$101,B159,DISCIPLINAS!$B$5:$B$101,C159)=0,"ERRO: disciplina não pertence ao curso","OK")))))</f>
        <v/>
      </c>
    </row>
    <row r="160" ht="15" customHeight="1" s="131">
      <c r="A160" s="220" t="n"/>
      <c r="B160" s="222" t="n"/>
      <c r="C160" s="222" t="n"/>
      <c r="D160" s="220" t="n"/>
      <c r="E160" s="220" t="n"/>
      <c r="F160" s="181">
        <f>IFERROR(E160/D160,"")</f>
        <v/>
      </c>
      <c r="G160" s="219" t="n"/>
      <c r="H160" s="220" t="n"/>
      <c r="I160" s="221">
        <f>IF(COUNTA(A160:E160)=0,"",IF(OR(D160&lt;=0,E160&lt;0),"ERRO: bases inválidas",IF(E160&gt;D160,"ERRO: presenças acima do previsto",IF(COUNTIFS($A$5:$A$1200,A160,$B$5:$B$1200,B160,$C$5:$C$1200,C160)&gt;1,"ERRO: chave duplicada",IF(COUNTIFS(DISCIPLINAS!$A$5:$A$101,B160,DISCIPLINAS!$B$5:$B$101,C160)=0,"ERRO: disciplina não pertence ao curso","OK")))))</f>
        <v/>
      </c>
    </row>
    <row r="161" ht="15" customHeight="1" s="131">
      <c r="A161" s="220" t="n"/>
      <c r="B161" s="222" t="n"/>
      <c r="C161" s="222" t="n"/>
      <c r="D161" s="220" t="n"/>
      <c r="E161" s="220" t="n"/>
      <c r="F161" s="181">
        <f>IFERROR(E161/D161,"")</f>
        <v/>
      </c>
      <c r="G161" s="219" t="n"/>
      <c r="H161" s="220" t="n"/>
      <c r="I161" s="221">
        <f>IF(COUNTA(A161:E161)=0,"",IF(OR(D161&lt;=0,E161&lt;0),"ERRO: bases inválidas",IF(E161&gt;D161,"ERRO: presenças acima do previsto",IF(COUNTIFS($A$5:$A$1200,A161,$B$5:$B$1200,B161,$C$5:$C$1200,C161)&gt;1,"ERRO: chave duplicada",IF(COUNTIFS(DISCIPLINAS!$A$5:$A$101,B161,DISCIPLINAS!$B$5:$B$101,C161)=0,"ERRO: disciplina não pertence ao curso","OK")))))</f>
        <v/>
      </c>
    </row>
    <row r="162" ht="15" customHeight="1" s="131">
      <c r="A162" s="220" t="n"/>
      <c r="B162" s="222" t="n"/>
      <c r="C162" s="222" t="n"/>
      <c r="D162" s="220" t="n"/>
      <c r="E162" s="220" t="n"/>
      <c r="F162" s="181">
        <f>IFERROR(E162/D162,"")</f>
        <v/>
      </c>
      <c r="G162" s="219" t="n"/>
      <c r="H162" s="220" t="n"/>
      <c r="I162" s="221">
        <f>IF(COUNTA(A162:E162)=0,"",IF(OR(D162&lt;=0,E162&lt;0),"ERRO: bases inválidas",IF(E162&gt;D162,"ERRO: presenças acima do previsto",IF(COUNTIFS($A$5:$A$1200,A162,$B$5:$B$1200,B162,$C$5:$C$1200,C162)&gt;1,"ERRO: chave duplicada",IF(COUNTIFS(DISCIPLINAS!$A$5:$A$101,B162,DISCIPLINAS!$B$5:$B$101,C162)=0,"ERRO: disciplina não pertence ao curso","OK")))))</f>
        <v/>
      </c>
    </row>
    <row r="163" ht="15" customHeight="1" s="131">
      <c r="A163" s="220" t="n"/>
      <c r="B163" s="222" t="n"/>
      <c r="C163" s="222" t="n"/>
      <c r="D163" s="220" t="n"/>
      <c r="E163" s="220" t="n"/>
      <c r="F163" s="181">
        <f>IFERROR(E163/D163,"")</f>
        <v/>
      </c>
      <c r="G163" s="219" t="n"/>
      <c r="H163" s="220" t="n"/>
      <c r="I163" s="221">
        <f>IF(COUNTA(A163:E163)=0,"",IF(OR(D163&lt;=0,E163&lt;0),"ERRO: bases inválidas",IF(E163&gt;D163,"ERRO: presenças acima do previsto",IF(COUNTIFS($A$5:$A$1200,A163,$B$5:$B$1200,B163,$C$5:$C$1200,C163)&gt;1,"ERRO: chave duplicada",IF(COUNTIFS(DISCIPLINAS!$A$5:$A$101,B163,DISCIPLINAS!$B$5:$B$101,C163)=0,"ERRO: disciplina não pertence ao curso","OK")))))</f>
        <v/>
      </c>
    </row>
    <row r="164" ht="15" customHeight="1" s="131">
      <c r="A164" s="220" t="n"/>
      <c r="B164" s="222" t="n"/>
      <c r="C164" s="222" t="n"/>
      <c r="D164" s="220" t="n"/>
      <c r="E164" s="220" t="n"/>
      <c r="F164" s="181">
        <f>IFERROR(E164/D164,"")</f>
        <v/>
      </c>
      <c r="G164" s="219" t="n"/>
      <c r="H164" s="220" t="n"/>
      <c r="I164" s="221">
        <f>IF(COUNTA(A164:E164)=0,"",IF(OR(D164&lt;=0,E164&lt;0),"ERRO: bases inválidas",IF(E164&gt;D164,"ERRO: presenças acima do previsto",IF(COUNTIFS($A$5:$A$1200,A164,$B$5:$B$1200,B164,$C$5:$C$1200,C164)&gt;1,"ERRO: chave duplicada",IF(COUNTIFS(DISCIPLINAS!$A$5:$A$101,B164,DISCIPLINAS!$B$5:$B$101,C164)=0,"ERRO: disciplina não pertence ao curso","OK")))))</f>
        <v/>
      </c>
    </row>
    <row r="165" ht="15" customHeight="1" s="131">
      <c r="A165" s="220" t="n"/>
      <c r="B165" s="222" t="n"/>
      <c r="C165" s="222" t="n"/>
      <c r="D165" s="220" t="n"/>
      <c r="E165" s="220" t="n"/>
      <c r="F165" s="181">
        <f>IFERROR(E165/D165,"")</f>
        <v/>
      </c>
      <c r="G165" s="219" t="n"/>
      <c r="H165" s="220" t="n"/>
      <c r="I165" s="221">
        <f>IF(COUNTA(A165:E165)=0,"",IF(OR(D165&lt;=0,E165&lt;0),"ERRO: bases inválidas",IF(E165&gt;D165,"ERRO: presenças acima do previsto",IF(COUNTIFS($A$5:$A$1200,A165,$B$5:$B$1200,B165,$C$5:$C$1200,C165)&gt;1,"ERRO: chave duplicada",IF(COUNTIFS(DISCIPLINAS!$A$5:$A$101,B165,DISCIPLINAS!$B$5:$B$101,C165)=0,"ERRO: disciplina não pertence ao curso","OK")))))</f>
        <v/>
      </c>
    </row>
    <row r="166" ht="15" customHeight="1" s="131">
      <c r="A166" s="220" t="n"/>
      <c r="B166" s="222" t="n"/>
      <c r="C166" s="222" t="n"/>
      <c r="D166" s="220" t="n"/>
      <c r="E166" s="220" t="n"/>
      <c r="F166" s="181">
        <f>IFERROR(E166/D166,"")</f>
        <v/>
      </c>
      <c r="G166" s="219" t="n"/>
      <c r="H166" s="220" t="n"/>
      <c r="I166" s="221">
        <f>IF(COUNTA(A166:E166)=0,"",IF(OR(D166&lt;=0,E166&lt;0),"ERRO: bases inválidas",IF(E166&gt;D166,"ERRO: presenças acima do previsto",IF(COUNTIFS($A$5:$A$1200,A166,$B$5:$B$1200,B166,$C$5:$C$1200,C166)&gt;1,"ERRO: chave duplicada",IF(COUNTIFS(DISCIPLINAS!$A$5:$A$101,B166,DISCIPLINAS!$B$5:$B$101,C166)=0,"ERRO: disciplina não pertence ao curso","OK")))))</f>
        <v/>
      </c>
    </row>
    <row r="167" ht="15" customHeight="1" s="131">
      <c r="A167" s="220" t="n"/>
      <c r="B167" s="222" t="n"/>
      <c r="C167" s="222" t="n"/>
      <c r="D167" s="220" t="n"/>
      <c r="E167" s="220" t="n"/>
      <c r="F167" s="181">
        <f>IFERROR(E167/D167,"")</f>
        <v/>
      </c>
      <c r="G167" s="219" t="n"/>
      <c r="H167" s="220" t="n"/>
      <c r="I167" s="221">
        <f>IF(COUNTA(A167:E167)=0,"",IF(OR(D167&lt;=0,E167&lt;0),"ERRO: bases inválidas",IF(E167&gt;D167,"ERRO: presenças acima do previsto",IF(COUNTIFS($A$5:$A$1200,A167,$B$5:$B$1200,B167,$C$5:$C$1200,C167)&gt;1,"ERRO: chave duplicada",IF(COUNTIFS(DISCIPLINAS!$A$5:$A$101,B167,DISCIPLINAS!$B$5:$B$101,C167)=0,"ERRO: disciplina não pertence ao curso","OK")))))</f>
        <v/>
      </c>
    </row>
    <row r="168" ht="15" customHeight="1" s="131">
      <c r="A168" s="220" t="n"/>
      <c r="B168" s="222" t="n"/>
      <c r="C168" s="222" t="n"/>
      <c r="D168" s="220" t="n"/>
      <c r="E168" s="220" t="n"/>
      <c r="F168" s="181">
        <f>IFERROR(E168/D168,"")</f>
        <v/>
      </c>
      <c r="G168" s="219" t="n"/>
      <c r="H168" s="220" t="n"/>
      <c r="I168" s="221">
        <f>IF(COUNTA(A168:E168)=0,"",IF(OR(D168&lt;=0,E168&lt;0),"ERRO: bases inválidas",IF(E168&gt;D168,"ERRO: presenças acima do previsto",IF(COUNTIFS($A$5:$A$1200,A168,$B$5:$B$1200,B168,$C$5:$C$1200,C168)&gt;1,"ERRO: chave duplicada",IF(COUNTIFS(DISCIPLINAS!$A$5:$A$101,B168,DISCIPLINAS!$B$5:$B$101,C168)=0,"ERRO: disciplina não pertence ao curso","OK")))))</f>
        <v/>
      </c>
    </row>
    <row r="169" ht="15" customHeight="1" s="131">
      <c r="A169" s="220" t="n"/>
      <c r="B169" s="222" t="n"/>
      <c r="C169" s="222" t="n"/>
      <c r="D169" s="220" t="n"/>
      <c r="E169" s="220" t="n"/>
      <c r="F169" s="181">
        <f>IFERROR(E169/D169,"")</f>
        <v/>
      </c>
      <c r="G169" s="219" t="n"/>
      <c r="H169" s="220" t="n"/>
      <c r="I169" s="221">
        <f>IF(COUNTA(A169:E169)=0,"",IF(OR(D169&lt;=0,E169&lt;0),"ERRO: bases inválidas",IF(E169&gt;D169,"ERRO: presenças acima do previsto",IF(COUNTIFS($A$5:$A$1200,A169,$B$5:$B$1200,B169,$C$5:$C$1200,C169)&gt;1,"ERRO: chave duplicada",IF(COUNTIFS(DISCIPLINAS!$A$5:$A$101,B169,DISCIPLINAS!$B$5:$B$101,C169)=0,"ERRO: disciplina não pertence ao curso","OK")))))</f>
        <v/>
      </c>
    </row>
    <row r="170" ht="15" customHeight="1" s="131">
      <c r="A170" s="220" t="n"/>
      <c r="B170" s="222" t="n"/>
      <c r="C170" s="222" t="n"/>
      <c r="D170" s="220" t="n"/>
      <c r="E170" s="220" t="n"/>
      <c r="F170" s="181">
        <f>IFERROR(E170/D170,"")</f>
        <v/>
      </c>
      <c r="G170" s="219" t="n"/>
      <c r="H170" s="220" t="n"/>
      <c r="I170" s="221">
        <f>IF(COUNTA(A170:E170)=0,"",IF(OR(D170&lt;=0,E170&lt;0),"ERRO: bases inválidas",IF(E170&gt;D170,"ERRO: presenças acima do previsto",IF(COUNTIFS($A$5:$A$1200,A170,$B$5:$B$1200,B170,$C$5:$C$1200,C170)&gt;1,"ERRO: chave duplicada",IF(COUNTIFS(DISCIPLINAS!$A$5:$A$101,B170,DISCIPLINAS!$B$5:$B$101,C170)=0,"ERRO: disciplina não pertence ao curso","OK")))))</f>
        <v/>
      </c>
    </row>
    <row r="171" ht="15" customHeight="1" s="131">
      <c r="A171" s="220" t="n"/>
      <c r="B171" s="222" t="n"/>
      <c r="C171" s="222" t="n"/>
      <c r="D171" s="220" t="n"/>
      <c r="E171" s="220" t="n"/>
      <c r="F171" s="181">
        <f>IFERROR(E171/D171,"")</f>
        <v/>
      </c>
      <c r="G171" s="219" t="n"/>
      <c r="H171" s="220" t="n"/>
      <c r="I171" s="221">
        <f>IF(COUNTA(A171:E171)=0,"",IF(OR(D171&lt;=0,E171&lt;0),"ERRO: bases inválidas",IF(E171&gt;D171,"ERRO: presenças acima do previsto",IF(COUNTIFS($A$5:$A$1200,A171,$B$5:$B$1200,B171,$C$5:$C$1200,C171)&gt;1,"ERRO: chave duplicada",IF(COUNTIFS(DISCIPLINAS!$A$5:$A$101,B171,DISCIPLINAS!$B$5:$B$101,C171)=0,"ERRO: disciplina não pertence ao curso","OK")))))</f>
        <v/>
      </c>
    </row>
    <row r="172" ht="15" customHeight="1" s="131">
      <c r="A172" s="220" t="n"/>
      <c r="B172" s="222" t="n"/>
      <c r="C172" s="222" t="n"/>
      <c r="D172" s="220" t="n"/>
      <c r="E172" s="220" t="n"/>
      <c r="F172" s="181">
        <f>IFERROR(E172/D172,"")</f>
        <v/>
      </c>
      <c r="G172" s="219" t="n"/>
      <c r="H172" s="220" t="n"/>
      <c r="I172" s="221">
        <f>IF(COUNTA(A172:E172)=0,"",IF(OR(D172&lt;=0,E172&lt;0),"ERRO: bases inválidas",IF(E172&gt;D172,"ERRO: presenças acima do previsto",IF(COUNTIFS($A$5:$A$1200,A172,$B$5:$B$1200,B172,$C$5:$C$1200,C172)&gt;1,"ERRO: chave duplicada",IF(COUNTIFS(DISCIPLINAS!$A$5:$A$101,B172,DISCIPLINAS!$B$5:$B$101,C172)=0,"ERRO: disciplina não pertence ao curso","OK")))))</f>
        <v/>
      </c>
    </row>
    <row r="173" ht="15" customHeight="1" s="131">
      <c r="A173" s="220" t="n"/>
      <c r="B173" s="222" t="n"/>
      <c r="C173" s="222" t="n"/>
      <c r="D173" s="220" t="n"/>
      <c r="E173" s="220" t="n"/>
      <c r="F173" s="181">
        <f>IFERROR(E173/D173,"")</f>
        <v/>
      </c>
      <c r="G173" s="219" t="n"/>
      <c r="H173" s="220" t="n"/>
      <c r="I173" s="221">
        <f>IF(COUNTA(A173:E173)=0,"",IF(OR(D173&lt;=0,E173&lt;0),"ERRO: bases inválidas",IF(E173&gt;D173,"ERRO: presenças acima do previsto",IF(COUNTIFS($A$5:$A$1200,A173,$B$5:$B$1200,B173,$C$5:$C$1200,C173)&gt;1,"ERRO: chave duplicada",IF(COUNTIFS(DISCIPLINAS!$A$5:$A$101,B173,DISCIPLINAS!$B$5:$B$101,C173)=0,"ERRO: disciplina não pertence ao curso","OK")))))</f>
        <v/>
      </c>
    </row>
    <row r="174" ht="15" customHeight="1" s="131">
      <c r="A174" s="220" t="n"/>
      <c r="B174" s="222" t="n"/>
      <c r="C174" s="222" t="n"/>
      <c r="D174" s="220" t="n"/>
      <c r="E174" s="220" t="n"/>
      <c r="F174" s="181">
        <f>IFERROR(E174/D174,"")</f>
        <v/>
      </c>
      <c r="G174" s="219" t="n"/>
      <c r="H174" s="220" t="n"/>
      <c r="I174" s="221">
        <f>IF(COUNTA(A174:E174)=0,"",IF(OR(D174&lt;=0,E174&lt;0),"ERRO: bases inválidas",IF(E174&gt;D174,"ERRO: presenças acima do previsto",IF(COUNTIFS($A$5:$A$1200,A174,$B$5:$B$1200,B174,$C$5:$C$1200,C174)&gt;1,"ERRO: chave duplicada",IF(COUNTIFS(DISCIPLINAS!$A$5:$A$101,B174,DISCIPLINAS!$B$5:$B$101,C174)=0,"ERRO: disciplina não pertence ao curso","OK")))))</f>
        <v/>
      </c>
    </row>
    <row r="175" ht="15" customHeight="1" s="131">
      <c r="A175" s="220" t="n"/>
      <c r="B175" s="222" t="n"/>
      <c r="C175" s="222" t="n"/>
      <c r="D175" s="220" t="n"/>
      <c r="E175" s="220" t="n"/>
      <c r="F175" s="181">
        <f>IFERROR(E175/D175,"")</f>
        <v/>
      </c>
      <c r="G175" s="219" t="n"/>
      <c r="H175" s="220" t="n"/>
      <c r="I175" s="221">
        <f>IF(COUNTA(A175:E175)=0,"",IF(OR(D175&lt;=0,E175&lt;0),"ERRO: bases inválidas",IF(E175&gt;D175,"ERRO: presenças acima do previsto",IF(COUNTIFS($A$5:$A$1200,A175,$B$5:$B$1200,B175,$C$5:$C$1200,C175)&gt;1,"ERRO: chave duplicada",IF(COUNTIFS(DISCIPLINAS!$A$5:$A$101,B175,DISCIPLINAS!$B$5:$B$101,C175)=0,"ERRO: disciplina não pertence ao curso","OK")))))</f>
        <v/>
      </c>
    </row>
    <row r="176" ht="15" customHeight="1" s="131">
      <c r="A176" s="220" t="n"/>
      <c r="B176" s="222" t="n"/>
      <c r="C176" s="222" t="n"/>
      <c r="D176" s="220" t="n"/>
      <c r="E176" s="220" t="n"/>
      <c r="F176" s="181">
        <f>IFERROR(E176/D176,"")</f>
        <v/>
      </c>
      <c r="G176" s="219" t="n"/>
      <c r="H176" s="220" t="n"/>
      <c r="I176" s="221">
        <f>IF(COUNTA(A176:E176)=0,"",IF(OR(D176&lt;=0,E176&lt;0),"ERRO: bases inválidas",IF(E176&gt;D176,"ERRO: presenças acima do previsto",IF(COUNTIFS($A$5:$A$1200,A176,$B$5:$B$1200,B176,$C$5:$C$1200,C176)&gt;1,"ERRO: chave duplicada",IF(COUNTIFS(DISCIPLINAS!$A$5:$A$101,B176,DISCIPLINAS!$B$5:$B$101,C176)=0,"ERRO: disciplina não pertence ao curso","OK")))))</f>
        <v/>
      </c>
    </row>
    <row r="177" ht="15" customHeight="1" s="131">
      <c r="A177" s="220" t="n"/>
      <c r="B177" s="222" t="n"/>
      <c r="C177" s="222" t="n"/>
      <c r="D177" s="220" t="n"/>
      <c r="E177" s="220" t="n"/>
      <c r="F177" s="181">
        <f>IFERROR(E177/D177,"")</f>
        <v/>
      </c>
      <c r="G177" s="219" t="n"/>
      <c r="H177" s="220" t="n"/>
      <c r="I177" s="221">
        <f>IF(COUNTA(A177:E177)=0,"",IF(OR(D177&lt;=0,E177&lt;0),"ERRO: bases inválidas",IF(E177&gt;D177,"ERRO: presenças acima do previsto",IF(COUNTIFS($A$5:$A$1200,A177,$B$5:$B$1200,B177,$C$5:$C$1200,C177)&gt;1,"ERRO: chave duplicada",IF(COUNTIFS(DISCIPLINAS!$A$5:$A$101,B177,DISCIPLINAS!$B$5:$B$101,C177)=0,"ERRO: disciplina não pertence ao curso","OK")))))</f>
        <v/>
      </c>
    </row>
    <row r="178" ht="15" customHeight="1" s="131">
      <c r="A178" s="220" t="n"/>
      <c r="B178" s="222" t="n"/>
      <c r="C178" s="222" t="n"/>
      <c r="D178" s="220" t="n"/>
      <c r="E178" s="220" t="n"/>
      <c r="F178" s="181">
        <f>IFERROR(E178/D178,"")</f>
        <v/>
      </c>
      <c r="G178" s="219" t="n"/>
      <c r="H178" s="220" t="n"/>
      <c r="I178" s="221">
        <f>IF(COUNTA(A178:E178)=0,"",IF(OR(D178&lt;=0,E178&lt;0),"ERRO: bases inválidas",IF(E178&gt;D178,"ERRO: presenças acima do previsto",IF(COUNTIFS($A$5:$A$1200,A178,$B$5:$B$1200,B178,$C$5:$C$1200,C178)&gt;1,"ERRO: chave duplicada",IF(COUNTIFS(DISCIPLINAS!$A$5:$A$101,B178,DISCIPLINAS!$B$5:$B$101,C178)=0,"ERRO: disciplina não pertence ao curso","OK")))))</f>
        <v/>
      </c>
    </row>
    <row r="179" ht="15" customHeight="1" s="131">
      <c r="A179" s="220" t="n"/>
      <c r="B179" s="222" t="n"/>
      <c r="C179" s="222" t="n"/>
      <c r="D179" s="220" t="n"/>
      <c r="E179" s="220" t="n"/>
      <c r="F179" s="181">
        <f>IFERROR(E179/D179,"")</f>
        <v/>
      </c>
      <c r="G179" s="219" t="n"/>
      <c r="H179" s="220" t="n"/>
      <c r="I179" s="221">
        <f>IF(COUNTA(A179:E179)=0,"",IF(OR(D179&lt;=0,E179&lt;0),"ERRO: bases inválidas",IF(E179&gt;D179,"ERRO: presenças acima do previsto",IF(COUNTIFS($A$5:$A$1200,A179,$B$5:$B$1200,B179,$C$5:$C$1200,C179)&gt;1,"ERRO: chave duplicada",IF(COUNTIFS(DISCIPLINAS!$A$5:$A$101,B179,DISCIPLINAS!$B$5:$B$101,C179)=0,"ERRO: disciplina não pertence ao curso","OK")))))</f>
        <v/>
      </c>
    </row>
    <row r="180" ht="15" customHeight="1" s="131">
      <c r="A180" s="220" t="n"/>
      <c r="B180" s="222" t="n"/>
      <c r="C180" s="222" t="n"/>
      <c r="D180" s="220" t="n"/>
      <c r="E180" s="220" t="n"/>
      <c r="F180" s="181">
        <f>IFERROR(E180/D180,"")</f>
        <v/>
      </c>
      <c r="G180" s="219" t="n"/>
      <c r="H180" s="220" t="n"/>
      <c r="I180" s="221">
        <f>IF(COUNTA(A180:E180)=0,"",IF(OR(D180&lt;=0,E180&lt;0),"ERRO: bases inválidas",IF(E180&gt;D180,"ERRO: presenças acima do previsto",IF(COUNTIFS($A$5:$A$1200,A180,$B$5:$B$1200,B180,$C$5:$C$1200,C180)&gt;1,"ERRO: chave duplicada",IF(COUNTIFS(DISCIPLINAS!$A$5:$A$101,B180,DISCIPLINAS!$B$5:$B$101,C180)=0,"ERRO: disciplina não pertence ao curso","OK")))))</f>
        <v/>
      </c>
    </row>
    <row r="181" ht="15" customHeight="1" s="131">
      <c r="A181" s="220" t="n"/>
      <c r="B181" s="222" t="n"/>
      <c r="C181" s="222" t="n"/>
      <c r="D181" s="220" t="n"/>
      <c r="E181" s="220" t="n"/>
      <c r="F181" s="181">
        <f>IFERROR(E181/D181,"")</f>
        <v/>
      </c>
      <c r="G181" s="219" t="n"/>
      <c r="H181" s="220" t="n"/>
      <c r="I181" s="221">
        <f>IF(COUNTA(A181:E181)=0,"",IF(OR(D181&lt;=0,E181&lt;0),"ERRO: bases inválidas",IF(E181&gt;D181,"ERRO: presenças acima do previsto",IF(COUNTIFS($A$5:$A$1200,A181,$B$5:$B$1200,B181,$C$5:$C$1200,C181)&gt;1,"ERRO: chave duplicada",IF(COUNTIFS(DISCIPLINAS!$A$5:$A$101,B181,DISCIPLINAS!$B$5:$B$101,C181)=0,"ERRO: disciplina não pertence ao curso","OK")))))</f>
        <v/>
      </c>
    </row>
    <row r="182" ht="15" customHeight="1" s="131">
      <c r="A182" s="220" t="n"/>
      <c r="B182" s="222" t="n"/>
      <c r="C182" s="222" t="n"/>
      <c r="D182" s="220" t="n"/>
      <c r="E182" s="220" t="n"/>
      <c r="F182" s="181">
        <f>IFERROR(E182/D182,"")</f>
        <v/>
      </c>
      <c r="G182" s="219" t="n"/>
      <c r="H182" s="220" t="n"/>
      <c r="I182" s="221">
        <f>IF(COUNTA(A182:E182)=0,"",IF(OR(D182&lt;=0,E182&lt;0),"ERRO: bases inválidas",IF(E182&gt;D182,"ERRO: presenças acima do previsto",IF(COUNTIFS($A$5:$A$1200,A182,$B$5:$B$1200,B182,$C$5:$C$1200,C182)&gt;1,"ERRO: chave duplicada",IF(COUNTIFS(DISCIPLINAS!$A$5:$A$101,B182,DISCIPLINAS!$B$5:$B$101,C182)=0,"ERRO: disciplina não pertence ao curso","OK")))))</f>
        <v/>
      </c>
    </row>
    <row r="183" ht="15" customHeight="1" s="131">
      <c r="A183" s="220" t="n"/>
      <c r="B183" s="222" t="n"/>
      <c r="C183" s="222" t="n"/>
      <c r="D183" s="220" t="n"/>
      <c r="E183" s="220" t="n"/>
      <c r="F183" s="181">
        <f>IFERROR(E183/D183,"")</f>
        <v/>
      </c>
      <c r="G183" s="219" t="n"/>
      <c r="H183" s="220" t="n"/>
      <c r="I183" s="221">
        <f>IF(COUNTA(A183:E183)=0,"",IF(OR(D183&lt;=0,E183&lt;0),"ERRO: bases inválidas",IF(E183&gt;D183,"ERRO: presenças acima do previsto",IF(COUNTIFS($A$5:$A$1200,A183,$B$5:$B$1200,B183,$C$5:$C$1200,C183)&gt;1,"ERRO: chave duplicada",IF(COUNTIFS(DISCIPLINAS!$A$5:$A$101,B183,DISCIPLINAS!$B$5:$B$101,C183)=0,"ERRO: disciplina não pertence ao curso","OK")))))</f>
        <v/>
      </c>
    </row>
    <row r="184" ht="15" customHeight="1" s="131">
      <c r="A184" s="220" t="n"/>
      <c r="B184" s="222" t="n"/>
      <c r="C184" s="222" t="n"/>
      <c r="D184" s="220" t="n"/>
      <c r="E184" s="220" t="n"/>
      <c r="F184" s="181">
        <f>IFERROR(E184/D184,"")</f>
        <v/>
      </c>
      <c r="G184" s="219" t="n"/>
      <c r="H184" s="220" t="n"/>
      <c r="I184" s="221">
        <f>IF(COUNTA(A184:E184)=0,"",IF(OR(D184&lt;=0,E184&lt;0),"ERRO: bases inválidas",IF(E184&gt;D184,"ERRO: presenças acima do previsto",IF(COUNTIFS($A$5:$A$1200,A184,$B$5:$B$1200,B184,$C$5:$C$1200,C184)&gt;1,"ERRO: chave duplicada",IF(COUNTIFS(DISCIPLINAS!$A$5:$A$101,B184,DISCIPLINAS!$B$5:$B$101,C184)=0,"ERRO: disciplina não pertence ao curso","OK")))))</f>
        <v/>
      </c>
    </row>
    <row r="185" ht="15" customHeight="1" s="131">
      <c r="A185" s="220" t="n"/>
      <c r="B185" s="222" t="n"/>
      <c r="C185" s="222" t="n"/>
      <c r="D185" s="220" t="n"/>
      <c r="E185" s="220" t="n"/>
      <c r="F185" s="181">
        <f>IFERROR(E185/D185,"")</f>
        <v/>
      </c>
      <c r="G185" s="219" t="n"/>
      <c r="H185" s="220" t="n"/>
      <c r="I185" s="221">
        <f>IF(COUNTA(A185:E185)=0,"",IF(OR(D185&lt;=0,E185&lt;0),"ERRO: bases inválidas",IF(E185&gt;D185,"ERRO: presenças acima do previsto",IF(COUNTIFS($A$5:$A$1200,A185,$B$5:$B$1200,B185,$C$5:$C$1200,C185)&gt;1,"ERRO: chave duplicada",IF(COUNTIFS(DISCIPLINAS!$A$5:$A$101,B185,DISCIPLINAS!$B$5:$B$101,C185)=0,"ERRO: disciplina não pertence ao curso","OK")))))</f>
        <v/>
      </c>
    </row>
    <row r="186" ht="15" customHeight="1" s="131">
      <c r="A186" s="220" t="n"/>
      <c r="B186" s="222" t="n"/>
      <c r="C186" s="222" t="n"/>
      <c r="D186" s="220" t="n"/>
      <c r="E186" s="220" t="n"/>
      <c r="F186" s="181">
        <f>IFERROR(E186/D186,"")</f>
        <v/>
      </c>
      <c r="G186" s="219" t="n"/>
      <c r="H186" s="220" t="n"/>
      <c r="I186" s="221">
        <f>IF(COUNTA(A186:E186)=0,"",IF(OR(D186&lt;=0,E186&lt;0),"ERRO: bases inválidas",IF(E186&gt;D186,"ERRO: presenças acima do previsto",IF(COUNTIFS($A$5:$A$1200,A186,$B$5:$B$1200,B186,$C$5:$C$1200,C186)&gt;1,"ERRO: chave duplicada",IF(COUNTIFS(DISCIPLINAS!$A$5:$A$101,B186,DISCIPLINAS!$B$5:$B$101,C186)=0,"ERRO: disciplina não pertence ao curso","OK")))))</f>
        <v/>
      </c>
    </row>
    <row r="187" ht="15" customHeight="1" s="131">
      <c r="A187" s="220" t="n"/>
      <c r="B187" s="222" t="n"/>
      <c r="C187" s="222" t="n"/>
      <c r="D187" s="220" t="n"/>
      <c r="E187" s="220" t="n"/>
      <c r="F187" s="181">
        <f>IFERROR(E187/D187,"")</f>
        <v/>
      </c>
      <c r="G187" s="219" t="n"/>
      <c r="H187" s="220" t="n"/>
      <c r="I187" s="221">
        <f>IF(COUNTA(A187:E187)=0,"",IF(OR(D187&lt;=0,E187&lt;0),"ERRO: bases inválidas",IF(E187&gt;D187,"ERRO: presenças acima do previsto",IF(COUNTIFS($A$5:$A$1200,A187,$B$5:$B$1200,B187,$C$5:$C$1200,C187)&gt;1,"ERRO: chave duplicada",IF(COUNTIFS(DISCIPLINAS!$A$5:$A$101,B187,DISCIPLINAS!$B$5:$B$101,C187)=0,"ERRO: disciplina não pertence ao curso","OK")))))</f>
        <v/>
      </c>
    </row>
    <row r="188" ht="15" customHeight="1" s="131">
      <c r="A188" s="220" t="n"/>
      <c r="B188" s="222" t="n"/>
      <c r="C188" s="222" t="n"/>
      <c r="D188" s="220" t="n"/>
      <c r="E188" s="220" t="n"/>
      <c r="F188" s="181">
        <f>IFERROR(E188/D188,"")</f>
        <v/>
      </c>
      <c r="G188" s="219" t="n"/>
      <c r="H188" s="220" t="n"/>
      <c r="I188" s="221">
        <f>IF(COUNTA(A188:E188)=0,"",IF(OR(D188&lt;=0,E188&lt;0),"ERRO: bases inválidas",IF(E188&gt;D188,"ERRO: presenças acima do previsto",IF(COUNTIFS($A$5:$A$1200,A188,$B$5:$B$1200,B188,$C$5:$C$1200,C188)&gt;1,"ERRO: chave duplicada",IF(COUNTIFS(DISCIPLINAS!$A$5:$A$101,B188,DISCIPLINAS!$B$5:$B$101,C188)=0,"ERRO: disciplina não pertence ao curso","OK")))))</f>
        <v/>
      </c>
    </row>
    <row r="189" ht="15" customHeight="1" s="131">
      <c r="A189" s="220" t="n"/>
      <c r="B189" s="222" t="n"/>
      <c r="C189" s="222" t="n"/>
      <c r="D189" s="220" t="n"/>
      <c r="E189" s="220" t="n"/>
      <c r="F189" s="181">
        <f>IFERROR(E189/D189,"")</f>
        <v/>
      </c>
      <c r="G189" s="219" t="n"/>
      <c r="H189" s="220" t="n"/>
      <c r="I189" s="221">
        <f>IF(COUNTA(A189:E189)=0,"",IF(OR(D189&lt;=0,E189&lt;0),"ERRO: bases inválidas",IF(E189&gt;D189,"ERRO: presenças acima do previsto",IF(COUNTIFS($A$5:$A$1200,A189,$B$5:$B$1200,B189,$C$5:$C$1200,C189)&gt;1,"ERRO: chave duplicada",IF(COUNTIFS(DISCIPLINAS!$A$5:$A$101,B189,DISCIPLINAS!$B$5:$B$101,C189)=0,"ERRO: disciplina não pertence ao curso","OK")))))</f>
        <v/>
      </c>
    </row>
    <row r="190" ht="15" customHeight="1" s="131">
      <c r="A190" s="220" t="n"/>
      <c r="B190" s="222" t="n"/>
      <c r="C190" s="222" t="n"/>
      <c r="D190" s="220" t="n"/>
      <c r="E190" s="220" t="n"/>
      <c r="F190" s="181">
        <f>IFERROR(E190/D190,"")</f>
        <v/>
      </c>
      <c r="G190" s="219" t="n"/>
      <c r="H190" s="220" t="n"/>
      <c r="I190" s="221">
        <f>IF(COUNTA(A190:E190)=0,"",IF(OR(D190&lt;=0,E190&lt;0),"ERRO: bases inválidas",IF(E190&gt;D190,"ERRO: presenças acima do previsto",IF(COUNTIFS($A$5:$A$1200,A190,$B$5:$B$1200,B190,$C$5:$C$1200,C190)&gt;1,"ERRO: chave duplicada",IF(COUNTIFS(DISCIPLINAS!$A$5:$A$101,B190,DISCIPLINAS!$B$5:$B$101,C190)=0,"ERRO: disciplina não pertence ao curso","OK")))))</f>
        <v/>
      </c>
    </row>
    <row r="191" ht="15" customHeight="1" s="131">
      <c r="A191" s="220" t="n"/>
      <c r="B191" s="222" t="n"/>
      <c r="C191" s="222" t="n"/>
      <c r="D191" s="220" t="n"/>
      <c r="E191" s="220" t="n"/>
      <c r="F191" s="181">
        <f>IFERROR(E191/D191,"")</f>
        <v/>
      </c>
      <c r="G191" s="219" t="n"/>
      <c r="H191" s="220" t="n"/>
      <c r="I191" s="221">
        <f>IF(COUNTA(A191:E191)=0,"",IF(OR(D191&lt;=0,E191&lt;0),"ERRO: bases inválidas",IF(E191&gt;D191,"ERRO: presenças acima do previsto",IF(COUNTIFS($A$5:$A$1200,A191,$B$5:$B$1200,B191,$C$5:$C$1200,C191)&gt;1,"ERRO: chave duplicada",IF(COUNTIFS(DISCIPLINAS!$A$5:$A$101,B191,DISCIPLINAS!$B$5:$B$101,C191)=0,"ERRO: disciplina não pertence ao curso","OK")))))</f>
        <v/>
      </c>
    </row>
    <row r="192" ht="15" customHeight="1" s="131">
      <c r="A192" s="220" t="n"/>
      <c r="B192" s="222" t="n"/>
      <c r="C192" s="222" t="n"/>
      <c r="D192" s="220" t="n"/>
      <c r="E192" s="220" t="n"/>
      <c r="F192" s="181">
        <f>IFERROR(E192/D192,"")</f>
        <v/>
      </c>
      <c r="G192" s="219" t="n"/>
      <c r="H192" s="220" t="n"/>
      <c r="I192" s="221">
        <f>IF(COUNTA(A192:E192)=0,"",IF(OR(D192&lt;=0,E192&lt;0),"ERRO: bases inválidas",IF(E192&gt;D192,"ERRO: presenças acima do previsto",IF(COUNTIFS($A$5:$A$1200,A192,$B$5:$B$1200,B192,$C$5:$C$1200,C192)&gt;1,"ERRO: chave duplicada",IF(COUNTIFS(DISCIPLINAS!$A$5:$A$101,B192,DISCIPLINAS!$B$5:$B$101,C192)=0,"ERRO: disciplina não pertence ao curso","OK")))))</f>
        <v/>
      </c>
    </row>
    <row r="193" ht="15" customHeight="1" s="131">
      <c r="A193" s="220" t="n"/>
      <c r="B193" s="222" t="n"/>
      <c r="C193" s="222" t="n"/>
      <c r="D193" s="220" t="n"/>
      <c r="E193" s="220" t="n"/>
      <c r="F193" s="181">
        <f>IFERROR(E193/D193,"")</f>
        <v/>
      </c>
      <c r="G193" s="219" t="n"/>
      <c r="H193" s="220" t="n"/>
      <c r="I193" s="221">
        <f>IF(COUNTA(A193:E193)=0,"",IF(OR(D193&lt;=0,E193&lt;0),"ERRO: bases inválidas",IF(E193&gt;D193,"ERRO: presenças acima do previsto",IF(COUNTIFS($A$5:$A$1200,A193,$B$5:$B$1200,B193,$C$5:$C$1200,C193)&gt;1,"ERRO: chave duplicada",IF(COUNTIFS(DISCIPLINAS!$A$5:$A$101,B193,DISCIPLINAS!$B$5:$B$101,C193)=0,"ERRO: disciplina não pertence ao curso","OK")))))</f>
        <v/>
      </c>
    </row>
    <row r="194" ht="15" customHeight="1" s="131">
      <c r="A194" s="220" t="n"/>
      <c r="B194" s="222" t="n"/>
      <c r="C194" s="222" t="n"/>
      <c r="D194" s="220" t="n"/>
      <c r="E194" s="220" t="n"/>
      <c r="F194" s="181">
        <f>IFERROR(E194/D194,"")</f>
        <v/>
      </c>
      <c r="G194" s="219" t="n"/>
      <c r="H194" s="220" t="n"/>
      <c r="I194" s="221">
        <f>IF(COUNTA(A194:E194)=0,"",IF(OR(D194&lt;=0,E194&lt;0),"ERRO: bases inválidas",IF(E194&gt;D194,"ERRO: presenças acima do previsto",IF(COUNTIFS($A$5:$A$1200,A194,$B$5:$B$1200,B194,$C$5:$C$1200,C194)&gt;1,"ERRO: chave duplicada",IF(COUNTIFS(DISCIPLINAS!$A$5:$A$101,B194,DISCIPLINAS!$B$5:$B$101,C194)=0,"ERRO: disciplina não pertence ao curso","OK")))))</f>
        <v/>
      </c>
    </row>
    <row r="195" ht="15" customHeight="1" s="131">
      <c r="A195" s="220" t="n"/>
      <c r="B195" s="222" t="n"/>
      <c r="C195" s="222" t="n"/>
      <c r="D195" s="220" t="n"/>
      <c r="E195" s="220" t="n"/>
      <c r="F195" s="181">
        <f>IFERROR(E195/D195,"")</f>
        <v/>
      </c>
      <c r="G195" s="219" t="n"/>
      <c r="H195" s="220" t="n"/>
      <c r="I195" s="221">
        <f>IF(COUNTA(A195:E195)=0,"",IF(OR(D195&lt;=0,E195&lt;0),"ERRO: bases inválidas",IF(E195&gt;D195,"ERRO: presenças acima do previsto",IF(COUNTIFS($A$5:$A$1200,A195,$B$5:$B$1200,B195,$C$5:$C$1200,C195)&gt;1,"ERRO: chave duplicada",IF(COUNTIFS(DISCIPLINAS!$A$5:$A$101,B195,DISCIPLINAS!$B$5:$B$101,C195)=0,"ERRO: disciplina não pertence ao curso","OK")))))</f>
        <v/>
      </c>
    </row>
    <row r="196" ht="15" customHeight="1" s="131">
      <c r="A196" s="220" t="n"/>
      <c r="B196" s="222" t="n"/>
      <c r="C196" s="222" t="n"/>
      <c r="D196" s="220" t="n"/>
      <c r="E196" s="220" t="n"/>
      <c r="F196" s="181">
        <f>IFERROR(E196/D196,"")</f>
        <v/>
      </c>
      <c r="G196" s="219" t="n"/>
      <c r="H196" s="220" t="n"/>
      <c r="I196" s="221">
        <f>IF(COUNTA(A196:E196)=0,"",IF(OR(D196&lt;=0,E196&lt;0),"ERRO: bases inválidas",IF(E196&gt;D196,"ERRO: presenças acima do previsto",IF(COUNTIFS($A$5:$A$1200,A196,$B$5:$B$1200,B196,$C$5:$C$1200,C196)&gt;1,"ERRO: chave duplicada",IF(COUNTIFS(DISCIPLINAS!$A$5:$A$101,B196,DISCIPLINAS!$B$5:$B$101,C196)=0,"ERRO: disciplina não pertence ao curso","OK")))))</f>
        <v/>
      </c>
    </row>
    <row r="197" ht="15" customHeight="1" s="131">
      <c r="A197" s="220" t="n"/>
      <c r="B197" s="222" t="n"/>
      <c r="C197" s="222" t="n"/>
      <c r="D197" s="220" t="n"/>
      <c r="E197" s="220" t="n"/>
      <c r="F197" s="181">
        <f>IFERROR(E197/D197,"")</f>
        <v/>
      </c>
      <c r="G197" s="219" t="n"/>
      <c r="H197" s="220" t="n"/>
      <c r="I197" s="221">
        <f>IF(COUNTA(A197:E197)=0,"",IF(OR(D197&lt;=0,E197&lt;0),"ERRO: bases inválidas",IF(E197&gt;D197,"ERRO: presenças acima do previsto",IF(COUNTIFS($A$5:$A$1200,A197,$B$5:$B$1200,B197,$C$5:$C$1200,C197)&gt;1,"ERRO: chave duplicada",IF(COUNTIFS(DISCIPLINAS!$A$5:$A$101,B197,DISCIPLINAS!$B$5:$B$101,C197)=0,"ERRO: disciplina não pertence ao curso","OK")))))</f>
        <v/>
      </c>
    </row>
    <row r="198" ht="15" customHeight="1" s="131">
      <c r="A198" s="220" t="n"/>
      <c r="B198" s="222" t="n"/>
      <c r="C198" s="222" t="n"/>
      <c r="D198" s="220" t="n"/>
      <c r="E198" s="220" t="n"/>
      <c r="F198" s="181">
        <f>IFERROR(E198/D198,"")</f>
        <v/>
      </c>
      <c r="G198" s="219" t="n"/>
      <c r="H198" s="220" t="n"/>
      <c r="I198" s="221">
        <f>IF(COUNTA(A198:E198)=0,"",IF(OR(D198&lt;=0,E198&lt;0),"ERRO: bases inválidas",IF(E198&gt;D198,"ERRO: presenças acima do previsto",IF(COUNTIFS($A$5:$A$1200,A198,$B$5:$B$1200,B198,$C$5:$C$1200,C198)&gt;1,"ERRO: chave duplicada",IF(COUNTIFS(DISCIPLINAS!$A$5:$A$101,B198,DISCIPLINAS!$B$5:$B$101,C198)=0,"ERRO: disciplina não pertence ao curso","OK")))))</f>
        <v/>
      </c>
    </row>
    <row r="199" ht="15" customHeight="1" s="131">
      <c r="A199" s="220" t="n"/>
      <c r="B199" s="222" t="n"/>
      <c r="C199" s="222" t="n"/>
      <c r="D199" s="220" t="n"/>
      <c r="E199" s="220" t="n"/>
      <c r="F199" s="181">
        <f>IFERROR(E199/D199,"")</f>
        <v/>
      </c>
      <c r="G199" s="219" t="n"/>
      <c r="H199" s="220" t="n"/>
      <c r="I199" s="221">
        <f>IF(COUNTA(A199:E199)=0,"",IF(OR(D199&lt;=0,E199&lt;0),"ERRO: bases inválidas",IF(E199&gt;D199,"ERRO: presenças acima do previsto",IF(COUNTIFS($A$5:$A$1200,A199,$B$5:$B$1200,B199,$C$5:$C$1200,C199)&gt;1,"ERRO: chave duplicada",IF(COUNTIFS(DISCIPLINAS!$A$5:$A$101,B199,DISCIPLINAS!$B$5:$B$101,C199)=0,"ERRO: disciplina não pertence ao curso","OK")))))</f>
        <v/>
      </c>
    </row>
    <row r="200" ht="15" customHeight="1" s="131">
      <c r="A200" s="220" t="n"/>
      <c r="B200" s="222" t="n"/>
      <c r="C200" s="222" t="n"/>
      <c r="D200" s="220" t="n"/>
      <c r="E200" s="220" t="n"/>
      <c r="F200" s="181">
        <f>IFERROR(E200/D200,"")</f>
        <v/>
      </c>
      <c r="G200" s="219" t="n"/>
      <c r="H200" s="220" t="n"/>
      <c r="I200" s="221">
        <f>IF(COUNTA(A200:E200)=0,"",IF(OR(D200&lt;=0,E200&lt;0),"ERRO: bases inválidas",IF(E200&gt;D200,"ERRO: presenças acima do previsto",IF(COUNTIFS($A$5:$A$1200,A200,$B$5:$B$1200,B200,$C$5:$C$1200,C200)&gt;1,"ERRO: chave duplicada",IF(COUNTIFS(DISCIPLINAS!$A$5:$A$101,B200,DISCIPLINAS!$B$5:$B$101,C200)=0,"ERRO: disciplina não pertence ao curso","OK")))))</f>
        <v/>
      </c>
    </row>
    <row r="201" ht="15" customHeight="1" s="131">
      <c r="A201" s="220" t="n"/>
      <c r="B201" s="222" t="n"/>
      <c r="C201" s="222" t="n"/>
      <c r="D201" s="220" t="n"/>
      <c r="E201" s="220" t="n"/>
      <c r="F201" s="181">
        <f>IFERROR(E201/D201,"")</f>
        <v/>
      </c>
      <c r="G201" s="219" t="n"/>
      <c r="H201" s="220" t="n"/>
      <c r="I201" s="221">
        <f>IF(COUNTA(A201:E201)=0,"",IF(OR(D201&lt;=0,E201&lt;0),"ERRO: bases inválidas",IF(E201&gt;D201,"ERRO: presenças acima do previsto",IF(COUNTIFS($A$5:$A$1200,A201,$B$5:$B$1200,B201,$C$5:$C$1200,C201)&gt;1,"ERRO: chave duplicada",IF(COUNTIFS(DISCIPLINAS!$A$5:$A$101,B201,DISCIPLINAS!$B$5:$B$101,C201)=0,"ERRO: disciplina não pertence ao curso","OK")))))</f>
        <v/>
      </c>
    </row>
    <row r="202" ht="15" customHeight="1" s="131">
      <c r="A202" s="220" t="n"/>
      <c r="B202" s="222" t="n"/>
      <c r="C202" s="222" t="n"/>
      <c r="D202" s="220" t="n"/>
      <c r="E202" s="220" t="n"/>
      <c r="F202" s="181">
        <f>IFERROR(E202/D202,"")</f>
        <v/>
      </c>
      <c r="G202" s="219" t="n"/>
      <c r="H202" s="220" t="n"/>
      <c r="I202" s="221">
        <f>IF(COUNTA(A202:E202)=0,"",IF(OR(D202&lt;=0,E202&lt;0),"ERRO: bases inválidas",IF(E202&gt;D202,"ERRO: presenças acima do previsto",IF(COUNTIFS($A$5:$A$1200,A202,$B$5:$B$1200,B202,$C$5:$C$1200,C202)&gt;1,"ERRO: chave duplicada",IF(COUNTIFS(DISCIPLINAS!$A$5:$A$101,B202,DISCIPLINAS!$B$5:$B$101,C202)=0,"ERRO: disciplina não pertence ao curso","OK")))))</f>
        <v/>
      </c>
    </row>
    <row r="203" ht="15" customHeight="1" s="131">
      <c r="A203" s="220" t="n"/>
      <c r="B203" s="222" t="n"/>
      <c r="C203" s="222" t="n"/>
      <c r="D203" s="220" t="n"/>
      <c r="E203" s="220" t="n"/>
      <c r="F203" s="181">
        <f>IFERROR(E203/D203,"")</f>
        <v/>
      </c>
      <c r="G203" s="219" t="n"/>
      <c r="H203" s="220" t="n"/>
      <c r="I203" s="221">
        <f>IF(COUNTA(A203:E203)=0,"",IF(OR(D203&lt;=0,E203&lt;0),"ERRO: bases inválidas",IF(E203&gt;D203,"ERRO: presenças acima do previsto",IF(COUNTIFS($A$5:$A$1200,A203,$B$5:$B$1200,B203,$C$5:$C$1200,C203)&gt;1,"ERRO: chave duplicada",IF(COUNTIFS(DISCIPLINAS!$A$5:$A$101,B203,DISCIPLINAS!$B$5:$B$101,C203)=0,"ERRO: disciplina não pertence ao curso","OK")))))</f>
        <v/>
      </c>
    </row>
    <row r="204" ht="15" customHeight="1" s="131">
      <c r="A204" s="220" t="n"/>
      <c r="B204" s="222" t="n"/>
      <c r="C204" s="222" t="n"/>
      <c r="D204" s="220" t="n"/>
      <c r="E204" s="220" t="n"/>
      <c r="F204" s="181">
        <f>IFERROR(E204/D204,"")</f>
        <v/>
      </c>
      <c r="G204" s="219" t="n"/>
      <c r="H204" s="220" t="n"/>
      <c r="I204" s="221">
        <f>IF(COUNTA(A204:E204)=0,"",IF(OR(D204&lt;=0,E204&lt;0),"ERRO: bases inválidas",IF(E204&gt;D204,"ERRO: presenças acima do previsto",IF(COUNTIFS($A$5:$A$1200,A204,$B$5:$B$1200,B204,$C$5:$C$1200,C204)&gt;1,"ERRO: chave duplicada",IF(COUNTIFS(DISCIPLINAS!$A$5:$A$101,B204,DISCIPLINAS!$B$5:$B$101,C204)=0,"ERRO: disciplina não pertence ao curso","OK")))))</f>
        <v/>
      </c>
    </row>
    <row r="205" ht="15" customHeight="1" s="131">
      <c r="A205" s="220" t="n"/>
      <c r="B205" s="222" t="n"/>
      <c r="C205" s="222" t="n"/>
      <c r="D205" s="220" t="n"/>
      <c r="E205" s="220" t="n"/>
      <c r="F205" s="181">
        <f>IFERROR(E205/D205,"")</f>
        <v/>
      </c>
      <c r="G205" s="219" t="n"/>
      <c r="H205" s="220" t="n"/>
      <c r="I205" s="221">
        <f>IF(COUNTA(A205:E205)=0,"",IF(OR(D205&lt;=0,E205&lt;0),"ERRO: bases inválidas",IF(E205&gt;D205,"ERRO: presenças acima do previsto",IF(COUNTIFS($A$5:$A$1200,A205,$B$5:$B$1200,B205,$C$5:$C$1200,C205)&gt;1,"ERRO: chave duplicada",IF(COUNTIFS(DISCIPLINAS!$A$5:$A$101,B205,DISCIPLINAS!$B$5:$B$101,C205)=0,"ERRO: disciplina não pertence ao curso","OK")))))</f>
        <v/>
      </c>
    </row>
    <row r="206" ht="15" customHeight="1" s="131">
      <c r="A206" s="220" t="n"/>
      <c r="B206" s="222" t="n"/>
      <c r="C206" s="222" t="n"/>
      <c r="D206" s="220" t="n"/>
      <c r="E206" s="220" t="n"/>
      <c r="F206" s="181">
        <f>IFERROR(E206/D206,"")</f>
        <v/>
      </c>
      <c r="G206" s="219" t="n"/>
      <c r="H206" s="220" t="n"/>
      <c r="I206" s="221">
        <f>IF(COUNTA(A206:E206)=0,"",IF(OR(D206&lt;=0,E206&lt;0),"ERRO: bases inválidas",IF(E206&gt;D206,"ERRO: presenças acima do previsto",IF(COUNTIFS($A$5:$A$1200,A206,$B$5:$B$1200,B206,$C$5:$C$1200,C206)&gt;1,"ERRO: chave duplicada",IF(COUNTIFS(DISCIPLINAS!$A$5:$A$101,B206,DISCIPLINAS!$B$5:$B$101,C206)=0,"ERRO: disciplina não pertence ao curso","OK")))))</f>
        <v/>
      </c>
    </row>
    <row r="207" ht="15" customHeight="1" s="131">
      <c r="A207" s="220" t="n"/>
      <c r="B207" s="222" t="n"/>
      <c r="C207" s="222" t="n"/>
      <c r="D207" s="220" t="n"/>
      <c r="E207" s="220" t="n"/>
      <c r="F207" s="181">
        <f>IFERROR(E207/D207,"")</f>
        <v/>
      </c>
      <c r="G207" s="219" t="n"/>
      <c r="H207" s="220" t="n"/>
      <c r="I207" s="221">
        <f>IF(COUNTA(A207:E207)=0,"",IF(OR(D207&lt;=0,E207&lt;0),"ERRO: bases inválidas",IF(E207&gt;D207,"ERRO: presenças acima do previsto",IF(COUNTIFS($A$5:$A$1200,A207,$B$5:$B$1200,B207,$C$5:$C$1200,C207)&gt;1,"ERRO: chave duplicada",IF(COUNTIFS(DISCIPLINAS!$A$5:$A$101,B207,DISCIPLINAS!$B$5:$B$101,C207)=0,"ERRO: disciplina não pertence ao curso","OK")))))</f>
        <v/>
      </c>
    </row>
    <row r="208" ht="15" customHeight="1" s="131">
      <c r="A208" s="220" t="n"/>
      <c r="B208" s="222" t="n"/>
      <c r="C208" s="222" t="n"/>
      <c r="D208" s="220" t="n"/>
      <c r="E208" s="220" t="n"/>
      <c r="F208" s="181">
        <f>IFERROR(E208/D208,"")</f>
        <v/>
      </c>
      <c r="G208" s="219" t="n"/>
      <c r="H208" s="220" t="n"/>
      <c r="I208" s="221">
        <f>IF(COUNTA(A208:E208)=0,"",IF(OR(D208&lt;=0,E208&lt;0),"ERRO: bases inválidas",IF(E208&gt;D208,"ERRO: presenças acima do previsto",IF(COUNTIFS($A$5:$A$1200,A208,$B$5:$B$1200,B208,$C$5:$C$1200,C208)&gt;1,"ERRO: chave duplicada",IF(COUNTIFS(DISCIPLINAS!$A$5:$A$101,B208,DISCIPLINAS!$B$5:$B$101,C208)=0,"ERRO: disciplina não pertence ao curso","OK")))))</f>
        <v/>
      </c>
    </row>
    <row r="209" ht="15" customHeight="1" s="131">
      <c r="A209" s="220" t="n"/>
      <c r="B209" s="222" t="n"/>
      <c r="C209" s="222" t="n"/>
      <c r="D209" s="220" t="n"/>
      <c r="E209" s="220" t="n"/>
      <c r="F209" s="181">
        <f>IFERROR(E209/D209,"")</f>
        <v/>
      </c>
      <c r="G209" s="219" t="n"/>
      <c r="H209" s="220" t="n"/>
      <c r="I209" s="221">
        <f>IF(COUNTA(A209:E209)=0,"",IF(OR(D209&lt;=0,E209&lt;0),"ERRO: bases inválidas",IF(E209&gt;D209,"ERRO: presenças acima do previsto",IF(COUNTIFS($A$5:$A$1200,A209,$B$5:$B$1200,B209,$C$5:$C$1200,C209)&gt;1,"ERRO: chave duplicada",IF(COUNTIFS(DISCIPLINAS!$A$5:$A$101,B209,DISCIPLINAS!$B$5:$B$101,C209)=0,"ERRO: disciplina não pertence ao curso","OK")))))</f>
        <v/>
      </c>
    </row>
    <row r="210" ht="15" customHeight="1" s="131">
      <c r="A210" s="220" t="n"/>
      <c r="B210" s="222" t="n"/>
      <c r="C210" s="222" t="n"/>
      <c r="D210" s="220" t="n"/>
      <c r="E210" s="220" t="n"/>
      <c r="F210" s="181">
        <f>IFERROR(E210/D210,"")</f>
        <v/>
      </c>
      <c r="G210" s="219" t="n"/>
      <c r="H210" s="220" t="n"/>
      <c r="I210" s="221">
        <f>IF(COUNTA(A210:E210)=0,"",IF(OR(D210&lt;=0,E210&lt;0),"ERRO: bases inválidas",IF(E210&gt;D210,"ERRO: presenças acima do previsto",IF(COUNTIFS($A$5:$A$1200,A210,$B$5:$B$1200,B210,$C$5:$C$1200,C210)&gt;1,"ERRO: chave duplicada",IF(COUNTIFS(DISCIPLINAS!$A$5:$A$101,B210,DISCIPLINAS!$B$5:$B$101,C210)=0,"ERRO: disciplina não pertence ao curso","OK")))))</f>
        <v/>
      </c>
    </row>
    <row r="211" ht="15" customHeight="1" s="131">
      <c r="A211" s="220" t="n"/>
      <c r="B211" s="222" t="n"/>
      <c r="C211" s="222" t="n"/>
      <c r="D211" s="220" t="n"/>
      <c r="E211" s="220" t="n"/>
      <c r="F211" s="181">
        <f>IFERROR(E211/D211,"")</f>
        <v/>
      </c>
      <c r="G211" s="219" t="n"/>
      <c r="H211" s="220" t="n"/>
      <c r="I211" s="221">
        <f>IF(COUNTA(A211:E211)=0,"",IF(OR(D211&lt;=0,E211&lt;0),"ERRO: bases inválidas",IF(E211&gt;D211,"ERRO: presenças acima do previsto",IF(COUNTIFS($A$5:$A$1200,A211,$B$5:$B$1200,B211,$C$5:$C$1200,C211)&gt;1,"ERRO: chave duplicada",IF(COUNTIFS(DISCIPLINAS!$A$5:$A$101,B211,DISCIPLINAS!$B$5:$B$101,C211)=0,"ERRO: disciplina não pertence ao curso","OK")))))</f>
        <v/>
      </c>
    </row>
    <row r="212" ht="15" customHeight="1" s="131">
      <c r="A212" s="220" t="n"/>
      <c r="B212" s="222" t="n"/>
      <c r="C212" s="222" t="n"/>
      <c r="D212" s="220" t="n"/>
      <c r="E212" s="220" t="n"/>
      <c r="F212" s="181">
        <f>IFERROR(E212/D212,"")</f>
        <v/>
      </c>
      <c r="G212" s="219" t="n"/>
      <c r="H212" s="220" t="n"/>
      <c r="I212" s="221">
        <f>IF(COUNTA(A212:E212)=0,"",IF(OR(D212&lt;=0,E212&lt;0),"ERRO: bases inválidas",IF(E212&gt;D212,"ERRO: presenças acima do previsto",IF(COUNTIFS($A$5:$A$1200,A212,$B$5:$B$1200,B212,$C$5:$C$1200,C212)&gt;1,"ERRO: chave duplicada",IF(COUNTIFS(DISCIPLINAS!$A$5:$A$101,B212,DISCIPLINAS!$B$5:$B$101,C212)=0,"ERRO: disciplina não pertence ao curso","OK")))))</f>
        <v/>
      </c>
    </row>
    <row r="213" ht="15" customHeight="1" s="131">
      <c r="A213" s="220" t="n"/>
      <c r="B213" s="222" t="n"/>
      <c r="C213" s="222" t="n"/>
      <c r="D213" s="220" t="n"/>
      <c r="E213" s="220" t="n"/>
      <c r="F213" s="181">
        <f>IFERROR(E213/D213,"")</f>
        <v/>
      </c>
      <c r="G213" s="219" t="n"/>
      <c r="H213" s="220" t="n"/>
      <c r="I213" s="221">
        <f>IF(COUNTA(A213:E213)=0,"",IF(OR(D213&lt;=0,E213&lt;0),"ERRO: bases inválidas",IF(E213&gt;D213,"ERRO: presenças acima do previsto",IF(COUNTIFS($A$5:$A$1200,A213,$B$5:$B$1200,B213,$C$5:$C$1200,C213)&gt;1,"ERRO: chave duplicada",IF(COUNTIFS(DISCIPLINAS!$A$5:$A$101,B213,DISCIPLINAS!$B$5:$B$101,C213)=0,"ERRO: disciplina não pertence ao curso","OK")))))</f>
        <v/>
      </c>
    </row>
    <row r="214" ht="15" customHeight="1" s="131">
      <c r="A214" s="220" t="n"/>
      <c r="B214" s="222" t="n"/>
      <c r="C214" s="222" t="n"/>
      <c r="D214" s="220" t="n"/>
      <c r="E214" s="220" t="n"/>
      <c r="F214" s="181">
        <f>IFERROR(E214/D214,"")</f>
        <v/>
      </c>
      <c r="G214" s="219" t="n"/>
      <c r="H214" s="220" t="n"/>
      <c r="I214" s="221">
        <f>IF(COUNTA(A214:E214)=0,"",IF(OR(D214&lt;=0,E214&lt;0),"ERRO: bases inválidas",IF(E214&gt;D214,"ERRO: presenças acima do previsto",IF(COUNTIFS($A$5:$A$1200,A214,$B$5:$B$1200,B214,$C$5:$C$1200,C214)&gt;1,"ERRO: chave duplicada",IF(COUNTIFS(DISCIPLINAS!$A$5:$A$101,B214,DISCIPLINAS!$B$5:$B$101,C214)=0,"ERRO: disciplina não pertence ao curso","OK")))))</f>
        <v/>
      </c>
    </row>
    <row r="215" ht="15" customHeight="1" s="131">
      <c r="A215" s="220" t="n"/>
      <c r="B215" s="222" t="n"/>
      <c r="C215" s="222" t="n"/>
      <c r="D215" s="220" t="n"/>
      <c r="E215" s="220" t="n"/>
      <c r="F215" s="181">
        <f>IFERROR(E215/D215,"")</f>
        <v/>
      </c>
      <c r="G215" s="219" t="n"/>
      <c r="H215" s="220" t="n"/>
      <c r="I215" s="221">
        <f>IF(COUNTA(A215:E215)=0,"",IF(OR(D215&lt;=0,E215&lt;0),"ERRO: bases inválidas",IF(E215&gt;D215,"ERRO: presenças acima do previsto",IF(COUNTIFS($A$5:$A$1200,A215,$B$5:$B$1200,B215,$C$5:$C$1200,C215)&gt;1,"ERRO: chave duplicada",IF(COUNTIFS(DISCIPLINAS!$A$5:$A$101,B215,DISCIPLINAS!$B$5:$B$101,C215)=0,"ERRO: disciplina não pertence ao curso","OK")))))</f>
        <v/>
      </c>
    </row>
    <row r="216" ht="15" customHeight="1" s="131">
      <c r="A216" s="220" t="n"/>
      <c r="B216" s="222" t="n"/>
      <c r="C216" s="222" t="n"/>
      <c r="D216" s="220" t="n"/>
      <c r="E216" s="220" t="n"/>
      <c r="F216" s="181">
        <f>IFERROR(E216/D216,"")</f>
        <v/>
      </c>
      <c r="G216" s="219" t="n"/>
      <c r="H216" s="220" t="n"/>
      <c r="I216" s="221">
        <f>IF(COUNTA(A216:E216)=0,"",IF(OR(D216&lt;=0,E216&lt;0),"ERRO: bases inválidas",IF(E216&gt;D216,"ERRO: presenças acima do previsto",IF(COUNTIFS($A$5:$A$1200,A216,$B$5:$B$1200,B216,$C$5:$C$1200,C216)&gt;1,"ERRO: chave duplicada",IF(COUNTIFS(DISCIPLINAS!$A$5:$A$101,B216,DISCIPLINAS!$B$5:$B$101,C216)=0,"ERRO: disciplina não pertence ao curso","OK")))))</f>
        <v/>
      </c>
    </row>
    <row r="217" ht="15" customHeight="1" s="131">
      <c r="A217" s="220" t="n"/>
      <c r="B217" s="222" t="n"/>
      <c r="C217" s="222" t="n"/>
      <c r="D217" s="220" t="n"/>
      <c r="E217" s="220" t="n"/>
      <c r="F217" s="181">
        <f>IFERROR(E217/D217,"")</f>
        <v/>
      </c>
      <c r="G217" s="219" t="n"/>
      <c r="H217" s="220" t="n"/>
      <c r="I217" s="221">
        <f>IF(COUNTA(A217:E217)=0,"",IF(OR(D217&lt;=0,E217&lt;0),"ERRO: bases inválidas",IF(E217&gt;D217,"ERRO: presenças acima do previsto",IF(COUNTIFS($A$5:$A$1200,A217,$B$5:$B$1200,B217,$C$5:$C$1200,C217)&gt;1,"ERRO: chave duplicada",IF(COUNTIFS(DISCIPLINAS!$A$5:$A$101,B217,DISCIPLINAS!$B$5:$B$101,C217)=0,"ERRO: disciplina não pertence ao curso","OK")))))</f>
        <v/>
      </c>
    </row>
    <row r="218" ht="15" customHeight="1" s="131">
      <c r="A218" s="220" t="n"/>
      <c r="B218" s="222" t="n"/>
      <c r="C218" s="222" t="n"/>
      <c r="D218" s="220" t="n"/>
      <c r="E218" s="220" t="n"/>
      <c r="F218" s="181">
        <f>IFERROR(E218/D218,"")</f>
        <v/>
      </c>
      <c r="G218" s="219" t="n"/>
      <c r="H218" s="220" t="n"/>
      <c r="I218" s="221">
        <f>IF(COUNTA(A218:E218)=0,"",IF(OR(D218&lt;=0,E218&lt;0),"ERRO: bases inválidas",IF(E218&gt;D218,"ERRO: presenças acima do previsto",IF(COUNTIFS($A$5:$A$1200,A218,$B$5:$B$1200,B218,$C$5:$C$1200,C218)&gt;1,"ERRO: chave duplicada",IF(COUNTIFS(DISCIPLINAS!$A$5:$A$101,B218,DISCIPLINAS!$B$5:$B$101,C218)=0,"ERRO: disciplina não pertence ao curso","OK")))))</f>
        <v/>
      </c>
    </row>
    <row r="219" ht="15" customHeight="1" s="131">
      <c r="A219" s="220" t="n"/>
      <c r="B219" s="222" t="n"/>
      <c r="C219" s="222" t="n"/>
      <c r="D219" s="220" t="n"/>
      <c r="E219" s="220" t="n"/>
      <c r="F219" s="181">
        <f>IFERROR(E219/D219,"")</f>
        <v/>
      </c>
      <c r="G219" s="219" t="n"/>
      <c r="H219" s="220" t="n"/>
      <c r="I219" s="221">
        <f>IF(COUNTA(A219:E219)=0,"",IF(OR(D219&lt;=0,E219&lt;0),"ERRO: bases inválidas",IF(E219&gt;D219,"ERRO: presenças acima do previsto",IF(COUNTIFS($A$5:$A$1200,A219,$B$5:$B$1200,B219,$C$5:$C$1200,C219)&gt;1,"ERRO: chave duplicada",IF(COUNTIFS(DISCIPLINAS!$A$5:$A$101,B219,DISCIPLINAS!$B$5:$B$101,C219)=0,"ERRO: disciplina não pertence ao curso","OK")))))</f>
        <v/>
      </c>
    </row>
    <row r="220" ht="15" customHeight="1" s="131">
      <c r="A220" s="220" t="n"/>
      <c r="B220" s="222" t="n"/>
      <c r="C220" s="222" t="n"/>
      <c r="D220" s="220" t="n"/>
      <c r="E220" s="220" t="n"/>
      <c r="F220" s="181">
        <f>IFERROR(E220/D220,"")</f>
        <v/>
      </c>
      <c r="G220" s="219" t="n"/>
      <c r="H220" s="220" t="n"/>
      <c r="I220" s="221">
        <f>IF(COUNTA(A220:E220)=0,"",IF(OR(D220&lt;=0,E220&lt;0),"ERRO: bases inválidas",IF(E220&gt;D220,"ERRO: presenças acima do previsto",IF(COUNTIFS($A$5:$A$1200,A220,$B$5:$B$1200,B220,$C$5:$C$1200,C220)&gt;1,"ERRO: chave duplicada",IF(COUNTIFS(DISCIPLINAS!$A$5:$A$101,B220,DISCIPLINAS!$B$5:$B$101,C220)=0,"ERRO: disciplina não pertence ao curso","OK")))))</f>
        <v/>
      </c>
    </row>
    <row r="221" ht="15" customHeight="1" s="131">
      <c r="A221" s="220" t="n"/>
      <c r="B221" s="222" t="n"/>
      <c r="C221" s="222" t="n"/>
      <c r="D221" s="220" t="n"/>
      <c r="E221" s="220" t="n"/>
      <c r="F221" s="181">
        <f>IFERROR(E221/D221,"")</f>
        <v/>
      </c>
      <c r="G221" s="219" t="n"/>
      <c r="H221" s="220" t="n"/>
      <c r="I221" s="221">
        <f>IF(COUNTA(A221:E221)=0,"",IF(OR(D221&lt;=0,E221&lt;0),"ERRO: bases inválidas",IF(E221&gt;D221,"ERRO: presenças acima do previsto",IF(COUNTIFS($A$5:$A$1200,A221,$B$5:$B$1200,B221,$C$5:$C$1200,C221)&gt;1,"ERRO: chave duplicada",IF(COUNTIFS(DISCIPLINAS!$A$5:$A$101,B221,DISCIPLINAS!$B$5:$B$101,C221)=0,"ERRO: disciplina não pertence ao curso","OK")))))</f>
        <v/>
      </c>
    </row>
    <row r="222" ht="15" customHeight="1" s="131">
      <c r="A222" s="220" t="n"/>
      <c r="B222" s="222" t="n"/>
      <c r="C222" s="222" t="n"/>
      <c r="D222" s="220" t="n"/>
      <c r="E222" s="220" t="n"/>
      <c r="F222" s="181">
        <f>IFERROR(E222/D222,"")</f>
        <v/>
      </c>
      <c r="G222" s="219" t="n"/>
      <c r="H222" s="220" t="n"/>
      <c r="I222" s="221">
        <f>IF(COUNTA(A222:E222)=0,"",IF(OR(D222&lt;=0,E222&lt;0),"ERRO: bases inválidas",IF(E222&gt;D222,"ERRO: presenças acima do previsto",IF(COUNTIFS($A$5:$A$1200,A222,$B$5:$B$1200,B222,$C$5:$C$1200,C222)&gt;1,"ERRO: chave duplicada",IF(COUNTIFS(DISCIPLINAS!$A$5:$A$101,B222,DISCIPLINAS!$B$5:$B$101,C222)=0,"ERRO: disciplina não pertence ao curso","OK")))))</f>
        <v/>
      </c>
    </row>
    <row r="223" ht="15" customHeight="1" s="131">
      <c r="A223" s="220" t="n"/>
      <c r="B223" s="222" t="n"/>
      <c r="C223" s="222" t="n"/>
      <c r="D223" s="220" t="n"/>
      <c r="E223" s="220" t="n"/>
      <c r="F223" s="181">
        <f>IFERROR(E223/D223,"")</f>
        <v/>
      </c>
      <c r="G223" s="219" t="n"/>
      <c r="H223" s="220" t="n"/>
      <c r="I223" s="221">
        <f>IF(COUNTA(A223:E223)=0,"",IF(OR(D223&lt;=0,E223&lt;0),"ERRO: bases inválidas",IF(E223&gt;D223,"ERRO: presenças acima do previsto",IF(COUNTIFS($A$5:$A$1200,A223,$B$5:$B$1200,B223,$C$5:$C$1200,C223)&gt;1,"ERRO: chave duplicada",IF(COUNTIFS(DISCIPLINAS!$A$5:$A$101,B223,DISCIPLINAS!$B$5:$B$101,C223)=0,"ERRO: disciplina não pertence ao curso","OK")))))</f>
        <v/>
      </c>
    </row>
    <row r="224" ht="15" customHeight="1" s="131">
      <c r="A224" s="220" t="n"/>
      <c r="B224" s="222" t="n"/>
      <c r="C224" s="222" t="n"/>
      <c r="D224" s="220" t="n"/>
      <c r="E224" s="220" t="n"/>
      <c r="F224" s="181">
        <f>IFERROR(E224/D224,"")</f>
        <v/>
      </c>
      <c r="G224" s="219" t="n"/>
      <c r="H224" s="220" t="n"/>
      <c r="I224" s="221">
        <f>IF(COUNTA(A224:E224)=0,"",IF(OR(D224&lt;=0,E224&lt;0),"ERRO: bases inválidas",IF(E224&gt;D224,"ERRO: presenças acima do previsto",IF(COUNTIFS($A$5:$A$1200,A224,$B$5:$B$1200,B224,$C$5:$C$1200,C224)&gt;1,"ERRO: chave duplicada",IF(COUNTIFS(DISCIPLINAS!$A$5:$A$101,B224,DISCIPLINAS!$B$5:$B$101,C224)=0,"ERRO: disciplina não pertence ao curso","OK")))))</f>
        <v/>
      </c>
    </row>
    <row r="225" ht="15" customHeight="1" s="131">
      <c r="A225" s="220" t="n"/>
      <c r="B225" s="222" t="n"/>
      <c r="C225" s="222" t="n"/>
      <c r="D225" s="220" t="n"/>
      <c r="E225" s="220" t="n"/>
      <c r="F225" s="181">
        <f>IFERROR(E225/D225,"")</f>
        <v/>
      </c>
      <c r="G225" s="219" t="n"/>
      <c r="H225" s="220" t="n"/>
      <c r="I225" s="221">
        <f>IF(COUNTA(A225:E225)=0,"",IF(OR(D225&lt;=0,E225&lt;0),"ERRO: bases inválidas",IF(E225&gt;D225,"ERRO: presenças acima do previsto",IF(COUNTIFS($A$5:$A$1200,A225,$B$5:$B$1200,B225,$C$5:$C$1200,C225)&gt;1,"ERRO: chave duplicada",IF(COUNTIFS(DISCIPLINAS!$A$5:$A$101,B225,DISCIPLINAS!$B$5:$B$101,C225)=0,"ERRO: disciplina não pertence ao curso","OK")))))</f>
        <v/>
      </c>
    </row>
    <row r="226" ht="15" customHeight="1" s="131">
      <c r="A226" s="220" t="n"/>
      <c r="B226" s="222" t="n"/>
      <c r="C226" s="222" t="n"/>
      <c r="D226" s="220" t="n"/>
      <c r="E226" s="220" t="n"/>
      <c r="F226" s="181">
        <f>IFERROR(E226/D226,"")</f>
        <v/>
      </c>
      <c r="G226" s="219" t="n"/>
      <c r="H226" s="220" t="n"/>
      <c r="I226" s="221">
        <f>IF(COUNTA(A226:E226)=0,"",IF(OR(D226&lt;=0,E226&lt;0),"ERRO: bases inválidas",IF(E226&gt;D226,"ERRO: presenças acima do previsto",IF(COUNTIFS($A$5:$A$1200,A226,$B$5:$B$1200,B226,$C$5:$C$1200,C226)&gt;1,"ERRO: chave duplicada",IF(COUNTIFS(DISCIPLINAS!$A$5:$A$101,B226,DISCIPLINAS!$B$5:$B$101,C226)=0,"ERRO: disciplina não pertence ao curso","OK")))))</f>
        <v/>
      </c>
    </row>
    <row r="227" ht="15" customHeight="1" s="131">
      <c r="A227" s="220" t="n"/>
      <c r="B227" s="222" t="n"/>
      <c r="C227" s="222" t="n"/>
      <c r="D227" s="220" t="n"/>
      <c r="E227" s="220" t="n"/>
      <c r="F227" s="181">
        <f>IFERROR(E227/D227,"")</f>
        <v/>
      </c>
      <c r="G227" s="219" t="n"/>
      <c r="H227" s="220" t="n"/>
      <c r="I227" s="221">
        <f>IF(COUNTA(A227:E227)=0,"",IF(OR(D227&lt;=0,E227&lt;0),"ERRO: bases inválidas",IF(E227&gt;D227,"ERRO: presenças acima do previsto",IF(COUNTIFS($A$5:$A$1200,A227,$B$5:$B$1200,B227,$C$5:$C$1200,C227)&gt;1,"ERRO: chave duplicada",IF(COUNTIFS(DISCIPLINAS!$A$5:$A$101,B227,DISCIPLINAS!$B$5:$B$101,C227)=0,"ERRO: disciplina não pertence ao curso","OK")))))</f>
        <v/>
      </c>
    </row>
    <row r="228" ht="15" customHeight="1" s="131">
      <c r="A228" s="220" t="n"/>
      <c r="B228" s="222" t="n"/>
      <c r="C228" s="222" t="n"/>
      <c r="D228" s="220" t="n"/>
      <c r="E228" s="220" t="n"/>
      <c r="F228" s="181">
        <f>IFERROR(E228/D228,"")</f>
        <v/>
      </c>
      <c r="G228" s="219" t="n"/>
      <c r="H228" s="220" t="n"/>
      <c r="I228" s="221">
        <f>IF(COUNTA(A228:E228)=0,"",IF(OR(D228&lt;=0,E228&lt;0),"ERRO: bases inválidas",IF(E228&gt;D228,"ERRO: presenças acima do previsto",IF(COUNTIFS($A$5:$A$1200,A228,$B$5:$B$1200,B228,$C$5:$C$1200,C228)&gt;1,"ERRO: chave duplicada",IF(COUNTIFS(DISCIPLINAS!$A$5:$A$101,B228,DISCIPLINAS!$B$5:$B$101,C228)=0,"ERRO: disciplina não pertence ao curso","OK")))))</f>
        <v/>
      </c>
    </row>
    <row r="229" ht="15" customHeight="1" s="131">
      <c r="A229" s="220" t="n"/>
      <c r="B229" s="222" t="n"/>
      <c r="C229" s="222" t="n"/>
      <c r="D229" s="220" t="n"/>
      <c r="E229" s="220" t="n"/>
      <c r="F229" s="181">
        <f>IFERROR(E229/D229,"")</f>
        <v/>
      </c>
      <c r="G229" s="219" t="n"/>
      <c r="H229" s="220" t="n"/>
      <c r="I229" s="221">
        <f>IF(COUNTA(A229:E229)=0,"",IF(OR(D229&lt;=0,E229&lt;0),"ERRO: bases inválidas",IF(E229&gt;D229,"ERRO: presenças acima do previsto",IF(COUNTIFS($A$5:$A$1200,A229,$B$5:$B$1200,B229,$C$5:$C$1200,C229)&gt;1,"ERRO: chave duplicada",IF(COUNTIFS(DISCIPLINAS!$A$5:$A$101,B229,DISCIPLINAS!$B$5:$B$101,C229)=0,"ERRO: disciplina não pertence ao curso","OK")))))</f>
        <v/>
      </c>
    </row>
    <row r="230" ht="15" customHeight="1" s="131">
      <c r="A230" s="220" t="n"/>
      <c r="B230" s="222" t="n"/>
      <c r="C230" s="222" t="n"/>
      <c r="D230" s="220" t="n"/>
      <c r="E230" s="220" t="n"/>
      <c r="F230" s="181">
        <f>IFERROR(E230/D230,"")</f>
        <v/>
      </c>
      <c r="G230" s="219" t="n"/>
      <c r="H230" s="220" t="n"/>
      <c r="I230" s="221">
        <f>IF(COUNTA(A230:E230)=0,"",IF(OR(D230&lt;=0,E230&lt;0),"ERRO: bases inválidas",IF(E230&gt;D230,"ERRO: presenças acima do previsto",IF(COUNTIFS($A$5:$A$1200,A230,$B$5:$B$1200,B230,$C$5:$C$1200,C230)&gt;1,"ERRO: chave duplicada",IF(COUNTIFS(DISCIPLINAS!$A$5:$A$101,B230,DISCIPLINAS!$B$5:$B$101,C230)=0,"ERRO: disciplina não pertence ao curso","OK")))))</f>
        <v/>
      </c>
    </row>
    <row r="231" ht="15" customHeight="1" s="131">
      <c r="A231" s="220" t="n"/>
      <c r="B231" s="222" t="n"/>
      <c r="C231" s="222" t="n"/>
      <c r="D231" s="220" t="n"/>
      <c r="E231" s="220" t="n"/>
      <c r="F231" s="181">
        <f>IFERROR(E231/D231,"")</f>
        <v/>
      </c>
      <c r="G231" s="219" t="n"/>
      <c r="H231" s="220" t="n"/>
      <c r="I231" s="221">
        <f>IF(COUNTA(A231:E231)=0,"",IF(OR(D231&lt;=0,E231&lt;0),"ERRO: bases inválidas",IF(E231&gt;D231,"ERRO: presenças acima do previsto",IF(COUNTIFS($A$5:$A$1200,A231,$B$5:$B$1200,B231,$C$5:$C$1200,C231)&gt;1,"ERRO: chave duplicada",IF(COUNTIFS(DISCIPLINAS!$A$5:$A$101,B231,DISCIPLINAS!$B$5:$B$101,C231)=0,"ERRO: disciplina não pertence ao curso","OK")))))</f>
        <v/>
      </c>
    </row>
    <row r="232" ht="15" customHeight="1" s="131">
      <c r="A232" s="220" t="n"/>
      <c r="B232" s="222" t="n"/>
      <c r="C232" s="222" t="n"/>
      <c r="D232" s="220" t="n"/>
      <c r="E232" s="220" t="n"/>
      <c r="F232" s="181">
        <f>IFERROR(E232/D232,"")</f>
        <v/>
      </c>
      <c r="G232" s="219" t="n"/>
      <c r="H232" s="220" t="n"/>
      <c r="I232" s="221">
        <f>IF(COUNTA(A232:E232)=0,"",IF(OR(D232&lt;=0,E232&lt;0),"ERRO: bases inválidas",IF(E232&gt;D232,"ERRO: presenças acima do previsto",IF(COUNTIFS($A$5:$A$1200,A232,$B$5:$B$1200,B232,$C$5:$C$1200,C232)&gt;1,"ERRO: chave duplicada",IF(COUNTIFS(DISCIPLINAS!$A$5:$A$101,B232,DISCIPLINAS!$B$5:$B$101,C232)=0,"ERRO: disciplina não pertence ao curso","OK")))))</f>
        <v/>
      </c>
    </row>
    <row r="233" ht="15" customHeight="1" s="131">
      <c r="A233" s="220" t="n"/>
      <c r="B233" s="222" t="n"/>
      <c r="C233" s="222" t="n"/>
      <c r="D233" s="220" t="n"/>
      <c r="E233" s="220" t="n"/>
      <c r="F233" s="181">
        <f>IFERROR(E233/D233,"")</f>
        <v/>
      </c>
      <c r="G233" s="219" t="n"/>
      <c r="H233" s="220" t="n"/>
      <c r="I233" s="221">
        <f>IF(COUNTA(A233:E233)=0,"",IF(OR(D233&lt;=0,E233&lt;0),"ERRO: bases inválidas",IF(E233&gt;D233,"ERRO: presenças acima do previsto",IF(COUNTIFS($A$5:$A$1200,A233,$B$5:$B$1200,B233,$C$5:$C$1200,C233)&gt;1,"ERRO: chave duplicada",IF(COUNTIFS(DISCIPLINAS!$A$5:$A$101,B233,DISCIPLINAS!$B$5:$B$101,C233)=0,"ERRO: disciplina não pertence ao curso","OK")))))</f>
        <v/>
      </c>
    </row>
    <row r="234" ht="15" customHeight="1" s="131">
      <c r="A234" s="220" t="n"/>
      <c r="B234" s="222" t="n"/>
      <c r="C234" s="222" t="n"/>
      <c r="D234" s="220" t="n"/>
      <c r="E234" s="220" t="n"/>
      <c r="F234" s="181">
        <f>IFERROR(E234/D234,"")</f>
        <v/>
      </c>
      <c r="G234" s="219" t="n"/>
      <c r="H234" s="220" t="n"/>
      <c r="I234" s="221">
        <f>IF(COUNTA(A234:E234)=0,"",IF(OR(D234&lt;=0,E234&lt;0),"ERRO: bases inválidas",IF(E234&gt;D234,"ERRO: presenças acima do previsto",IF(COUNTIFS($A$5:$A$1200,A234,$B$5:$B$1200,B234,$C$5:$C$1200,C234)&gt;1,"ERRO: chave duplicada",IF(COUNTIFS(DISCIPLINAS!$A$5:$A$101,B234,DISCIPLINAS!$B$5:$B$101,C234)=0,"ERRO: disciplina não pertence ao curso","OK")))))</f>
        <v/>
      </c>
    </row>
    <row r="235" ht="15" customHeight="1" s="131">
      <c r="A235" s="220" t="n"/>
      <c r="B235" s="222" t="n"/>
      <c r="C235" s="222" t="n"/>
      <c r="D235" s="220" t="n"/>
      <c r="E235" s="220" t="n"/>
      <c r="F235" s="181">
        <f>IFERROR(E235/D235,"")</f>
        <v/>
      </c>
      <c r="G235" s="219" t="n"/>
      <c r="H235" s="220" t="n"/>
      <c r="I235" s="221">
        <f>IF(COUNTA(A235:E235)=0,"",IF(OR(D235&lt;=0,E235&lt;0),"ERRO: bases inválidas",IF(E235&gt;D235,"ERRO: presenças acima do previsto",IF(COUNTIFS($A$5:$A$1200,A235,$B$5:$B$1200,B235,$C$5:$C$1200,C235)&gt;1,"ERRO: chave duplicada",IF(COUNTIFS(DISCIPLINAS!$A$5:$A$101,B235,DISCIPLINAS!$B$5:$B$101,C235)=0,"ERRO: disciplina não pertence ao curso","OK")))))</f>
        <v/>
      </c>
    </row>
    <row r="236" ht="15" customHeight="1" s="131">
      <c r="A236" s="220" t="n"/>
      <c r="B236" s="222" t="n"/>
      <c r="C236" s="222" t="n"/>
      <c r="D236" s="220" t="n"/>
      <c r="E236" s="220" t="n"/>
      <c r="F236" s="181">
        <f>IFERROR(E236/D236,"")</f>
        <v/>
      </c>
      <c r="G236" s="219" t="n"/>
      <c r="H236" s="220" t="n"/>
      <c r="I236" s="221">
        <f>IF(COUNTA(A236:E236)=0,"",IF(OR(D236&lt;=0,E236&lt;0),"ERRO: bases inválidas",IF(E236&gt;D236,"ERRO: presenças acima do previsto",IF(COUNTIFS($A$5:$A$1200,A236,$B$5:$B$1200,B236,$C$5:$C$1200,C236)&gt;1,"ERRO: chave duplicada",IF(COUNTIFS(DISCIPLINAS!$A$5:$A$101,B236,DISCIPLINAS!$B$5:$B$101,C236)=0,"ERRO: disciplina não pertence ao curso","OK")))))</f>
        <v/>
      </c>
    </row>
    <row r="237" ht="15" customHeight="1" s="131">
      <c r="A237" s="220" t="n"/>
      <c r="B237" s="222" t="n"/>
      <c r="C237" s="222" t="n"/>
      <c r="D237" s="220" t="n"/>
      <c r="E237" s="220" t="n"/>
      <c r="F237" s="181">
        <f>IFERROR(E237/D237,"")</f>
        <v/>
      </c>
      <c r="G237" s="219" t="n"/>
      <c r="H237" s="220" t="n"/>
      <c r="I237" s="221">
        <f>IF(COUNTA(A237:E237)=0,"",IF(OR(D237&lt;=0,E237&lt;0),"ERRO: bases inválidas",IF(E237&gt;D237,"ERRO: presenças acima do previsto",IF(COUNTIFS($A$5:$A$1200,A237,$B$5:$B$1200,B237,$C$5:$C$1200,C237)&gt;1,"ERRO: chave duplicada",IF(COUNTIFS(DISCIPLINAS!$A$5:$A$101,B237,DISCIPLINAS!$B$5:$B$101,C237)=0,"ERRO: disciplina não pertence ao curso","OK")))))</f>
        <v/>
      </c>
    </row>
    <row r="238" ht="15" customHeight="1" s="131">
      <c r="A238" s="220" t="n"/>
      <c r="B238" s="222" t="n"/>
      <c r="C238" s="222" t="n"/>
      <c r="D238" s="220" t="n"/>
      <c r="E238" s="220" t="n"/>
      <c r="F238" s="181">
        <f>IFERROR(E238/D238,"")</f>
        <v/>
      </c>
      <c r="G238" s="219" t="n"/>
      <c r="H238" s="220" t="n"/>
      <c r="I238" s="221">
        <f>IF(COUNTA(A238:E238)=0,"",IF(OR(D238&lt;=0,E238&lt;0),"ERRO: bases inválidas",IF(E238&gt;D238,"ERRO: presenças acima do previsto",IF(COUNTIFS($A$5:$A$1200,A238,$B$5:$B$1200,B238,$C$5:$C$1200,C238)&gt;1,"ERRO: chave duplicada",IF(COUNTIFS(DISCIPLINAS!$A$5:$A$101,B238,DISCIPLINAS!$B$5:$B$101,C238)=0,"ERRO: disciplina não pertence ao curso","OK")))))</f>
        <v/>
      </c>
    </row>
    <row r="239" ht="15" customHeight="1" s="131">
      <c r="A239" s="220" t="n"/>
      <c r="B239" s="222" t="n"/>
      <c r="C239" s="222" t="n"/>
      <c r="D239" s="220" t="n"/>
      <c r="E239" s="220" t="n"/>
      <c r="F239" s="181">
        <f>IFERROR(E239/D239,"")</f>
        <v/>
      </c>
      <c r="G239" s="219" t="n"/>
      <c r="H239" s="220" t="n"/>
      <c r="I239" s="221">
        <f>IF(COUNTA(A239:E239)=0,"",IF(OR(D239&lt;=0,E239&lt;0),"ERRO: bases inválidas",IF(E239&gt;D239,"ERRO: presenças acima do previsto",IF(COUNTIFS($A$5:$A$1200,A239,$B$5:$B$1200,B239,$C$5:$C$1200,C239)&gt;1,"ERRO: chave duplicada",IF(COUNTIFS(DISCIPLINAS!$A$5:$A$101,B239,DISCIPLINAS!$B$5:$B$101,C239)=0,"ERRO: disciplina não pertence ao curso","OK")))))</f>
        <v/>
      </c>
    </row>
    <row r="240" ht="15" customHeight="1" s="131">
      <c r="A240" s="220" t="n"/>
      <c r="B240" s="222" t="n"/>
      <c r="C240" s="222" t="n"/>
      <c r="D240" s="220" t="n"/>
      <c r="E240" s="220" t="n"/>
      <c r="F240" s="181">
        <f>IFERROR(E240/D240,"")</f>
        <v/>
      </c>
      <c r="G240" s="219" t="n"/>
      <c r="H240" s="220" t="n"/>
      <c r="I240" s="221">
        <f>IF(COUNTA(A240:E240)=0,"",IF(OR(D240&lt;=0,E240&lt;0),"ERRO: bases inválidas",IF(E240&gt;D240,"ERRO: presenças acima do previsto",IF(COUNTIFS($A$5:$A$1200,A240,$B$5:$B$1200,B240,$C$5:$C$1200,C240)&gt;1,"ERRO: chave duplicada",IF(COUNTIFS(DISCIPLINAS!$A$5:$A$101,B240,DISCIPLINAS!$B$5:$B$101,C240)=0,"ERRO: disciplina não pertence ao curso","OK")))))</f>
        <v/>
      </c>
    </row>
    <row r="241" ht="15" customHeight="1" s="131">
      <c r="A241" s="220" t="n"/>
      <c r="B241" s="222" t="n"/>
      <c r="C241" s="222" t="n"/>
      <c r="D241" s="220" t="n"/>
      <c r="E241" s="220" t="n"/>
      <c r="F241" s="181">
        <f>IFERROR(E241/D241,"")</f>
        <v/>
      </c>
      <c r="G241" s="219" t="n"/>
      <c r="H241" s="220" t="n"/>
      <c r="I241" s="221">
        <f>IF(COUNTA(A241:E241)=0,"",IF(OR(D241&lt;=0,E241&lt;0),"ERRO: bases inválidas",IF(E241&gt;D241,"ERRO: presenças acima do previsto",IF(COUNTIFS($A$5:$A$1200,A241,$B$5:$B$1200,B241,$C$5:$C$1200,C241)&gt;1,"ERRO: chave duplicada",IF(COUNTIFS(DISCIPLINAS!$A$5:$A$101,B241,DISCIPLINAS!$B$5:$B$101,C241)=0,"ERRO: disciplina não pertence ao curso","OK")))))</f>
        <v/>
      </c>
    </row>
    <row r="242" ht="15" customHeight="1" s="131">
      <c r="A242" s="220" t="n"/>
      <c r="B242" s="222" t="n"/>
      <c r="C242" s="222" t="n"/>
      <c r="D242" s="220" t="n"/>
      <c r="E242" s="220" t="n"/>
      <c r="F242" s="181">
        <f>IFERROR(E242/D242,"")</f>
        <v/>
      </c>
      <c r="G242" s="219" t="n"/>
      <c r="H242" s="220" t="n"/>
      <c r="I242" s="221">
        <f>IF(COUNTA(A242:E242)=0,"",IF(OR(D242&lt;=0,E242&lt;0),"ERRO: bases inválidas",IF(E242&gt;D242,"ERRO: presenças acima do previsto",IF(COUNTIFS($A$5:$A$1200,A242,$B$5:$B$1200,B242,$C$5:$C$1200,C242)&gt;1,"ERRO: chave duplicada",IF(COUNTIFS(DISCIPLINAS!$A$5:$A$101,B242,DISCIPLINAS!$B$5:$B$101,C242)=0,"ERRO: disciplina não pertence ao curso","OK")))))</f>
        <v/>
      </c>
    </row>
    <row r="243" ht="15" customHeight="1" s="131">
      <c r="A243" s="220" t="n"/>
      <c r="B243" s="222" t="n"/>
      <c r="C243" s="222" t="n"/>
      <c r="D243" s="220" t="n"/>
      <c r="E243" s="220" t="n"/>
      <c r="F243" s="181">
        <f>IFERROR(E243/D243,"")</f>
        <v/>
      </c>
      <c r="G243" s="219" t="n"/>
      <c r="H243" s="220" t="n"/>
      <c r="I243" s="221">
        <f>IF(COUNTA(A243:E243)=0,"",IF(OR(D243&lt;=0,E243&lt;0),"ERRO: bases inválidas",IF(E243&gt;D243,"ERRO: presenças acima do previsto",IF(COUNTIFS($A$5:$A$1200,A243,$B$5:$B$1200,B243,$C$5:$C$1200,C243)&gt;1,"ERRO: chave duplicada",IF(COUNTIFS(DISCIPLINAS!$A$5:$A$101,B243,DISCIPLINAS!$B$5:$B$101,C243)=0,"ERRO: disciplina não pertence ao curso","OK")))))</f>
        <v/>
      </c>
    </row>
    <row r="244" ht="15" customHeight="1" s="131">
      <c r="A244" s="220" t="n"/>
      <c r="B244" s="222" t="n"/>
      <c r="C244" s="222" t="n"/>
      <c r="D244" s="220" t="n"/>
      <c r="E244" s="220" t="n"/>
      <c r="F244" s="181">
        <f>IFERROR(E244/D244,"")</f>
        <v/>
      </c>
      <c r="G244" s="219" t="n"/>
      <c r="H244" s="220" t="n"/>
      <c r="I244" s="221">
        <f>IF(COUNTA(A244:E244)=0,"",IF(OR(D244&lt;=0,E244&lt;0),"ERRO: bases inválidas",IF(E244&gt;D244,"ERRO: presenças acima do previsto",IF(COUNTIFS($A$5:$A$1200,A244,$B$5:$B$1200,B244,$C$5:$C$1200,C244)&gt;1,"ERRO: chave duplicada",IF(COUNTIFS(DISCIPLINAS!$A$5:$A$101,B244,DISCIPLINAS!$B$5:$B$101,C244)=0,"ERRO: disciplina não pertence ao curso","OK")))))</f>
        <v/>
      </c>
    </row>
    <row r="245" ht="15" customHeight="1" s="131">
      <c r="A245" s="220" t="n"/>
      <c r="B245" s="222" t="n"/>
      <c r="C245" s="222" t="n"/>
      <c r="D245" s="220" t="n"/>
      <c r="E245" s="220" t="n"/>
      <c r="F245" s="181">
        <f>IFERROR(E245/D245,"")</f>
        <v/>
      </c>
      <c r="G245" s="219" t="n"/>
      <c r="H245" s="220" t="n"/>
      <c r="I245" s="221">
        <f>IF(COUNTA(A245:E245)=0,"",IF(OR(D245&lt;=0,E245&lt;0),"ERRO: bases inválidas",IF(E245&gt;D245,"ERRO: presenças acima do previsto",IF(COUNTIFS($A$5:$A$1200,A245,$B$5:$B$1200,B245,$C$5:$C$1200,C245)&gt;1,"ERRO: chave duplicada",IF(COUNTIFS(DISCIPLINAS!$A$5:$A$101,B245,DISCIPLINAS!$B$5:$B$101,C245)=0,"ERRO: disciplina não pertence ao curso","OK")))))</f>
        <v/>
      </c>
    </row>
    <row r="246" ht="15" customHeight="1" s="131">
      <c r="A246" s="220" t="n"/>
      <c r="B246" s="222" t="n"/>
      <c r="C246" s="222" t="n"/>
      <c r="D246" s="220" t="n"/>
      <c r="E246" s="220" t="n"/>
      <c r="F246" s="181">
        <f>IFERROR(E246/D246,"")</f>
        <v/>
      </c>
      <c r="G246" s="219" t="n"/>
      <c r="H246" s="220" t="n"/>
      <c r="I246" s="221">
        <f>IF(COUNTA(A246:E246)=0,"",IF(OR(D246&lt;=0,E246&lt;0),"ERRO: bases inválidas",IF(E246&gt;D246,"ERRO: presenças acima do previsto",IF(COUNTIFS($A$5:$A$1200,A246,$B$5:$B$1200,B246,$C$5:$C$1200,C246)&gt;1,"ERRO: chave duplicada",IF(COUNTIFS(DISCIPLINAS!$A$5:$A$101,B246,DISCIPLINAS!$B$5:$B$101,C246)=0,"ERRO: disciplina não pertence ao curso","OK")))))</f>
        <v/>
      </c>
    </row>
    <row r="247" ht="15" customHeight="1" s="131">
      <c r="A247" s="220" t="n"/>
      <c r="B247" s="222" t="n"/>
      <c r="C247" s="222" t="n"/>
      <c r="D247" s="220" t="n"/>
      <c r="E247" s="220" t="n"/>
      <c r="F247" s="181">
        <f>IFERROR(E247/D247,"")</f>
        <v/>
      </c>
      <c r="G247" s="219" t="n"/>
      <c r="H247" s="220" t="n"/>
      <c r="I247" s="221">
        <f>IF(COUNTA(A247:E247)=0,"",IF(OR(D247&lt;=0,E247&lt;0),"ERRO: bases inválidas",IF(E247&gt;D247,"ERRO: presenças acima do previsto",IF(COUNTIFS($A$5:$A$1200,A247,$B$5:$B$1200,B247,$C$5:$C$1200,C247)&gt;1,"ERRO: chave duplicada",IF(COUNTIFS(DISCIPLINAS!$A$5:$A$101,B247,DISCIPLINAS!$B$5:$B$101,C247)=0,"ERRO: disciplina não pertence ao curso","OK")))))</f>
        <v/>
      </c>
    </row>
    <row r="248" ht="15" customHeight="1" s="131">
      <c r="A248" s="220" t="n"/>
      <c r="B248" s="222" t="n"/>
      <c r="C248" s="222" t="n"/>
      <c r="D248" s="220" t="n"/>
      <c r="E248" s="220" t="n"/>
      <c r="F248" s="181">
        <f>IFERROR(E248/D248,"")</f>
        <v/>
      </c>
      <c r="G248" s="219" t="n"/>
      <c r="H248" s="220" t="n"/>
      <c r="I248" s="221">
        <f>IF(COUNTA(A248:E248)=0,"",IF(OR(D248&lt;=0,E248&lt;0),"ERRO: bases inválidas",IF(E248&gt;D248,"ERRO: presenças acima do previsto",IF(COUNTIFS($A$5:$A$1200,A248,$B$5:$B$1200,B248,$C$5:$C$1200,C248)&gt;1,"ERRO: chave duplicada",IF(COUNTIFS(DISCIPLINAS!$A$5:$A$101,B248,DISCIPLINAS!$B$5:$B$101,C248)=0,"ERRO: disciplina não pertence ao curso","OK")))))</f>
        <v/>
      </c>
    </row>
    <row r="249" ht="15" customHeight="1" s="131">
      <c r="A249" s="220" t="n"/>
      <c r="B249" s="222" t="n"/>
      <c r="C249" s="222" t="n"/>
      <c r="D249" s="220" t="n"/>
      <c r="E249" s="220" t="n"/>
      <c r="F249" s="181">
        <f>IFERROR(E249/D249,"")</f>
        <v/>
      </c>
      <c r="G249" s="219" t="n"/>
      <c r="H249" s="220" t="n"/>
      <c r="I249" s="221">
        <f>IF(COUNTA(A249:E249)=0,"",IF(OR(D249&lt;=0,E249&lt;0),"ERRO: bases inválidas",IF(E249&gt;D249,"ERRO: presenças acima do previsto",IF(COUNTIFS($A$5:$A$1200,A249,$B$5:$B$1200,B249,$C$5:$C$1200,C249)&gt;1,"ERRO: chave duplicada",IF(COUNTIFS(DISCIPLINAS!$A$5:$A$101,B249,DISCIPLINAS!$B$5:$B$101,C249)=0,"ERRO: disciplina não pertence ao curso","OK")))))</f>
        <v/>
      </c>
    </row>
    <row r="250" ht="15" customHeight="1" s="131">
      <c r="A250" s="220" t="n"/>
      <c r="B250" s="222" t="n"/>
      <c r="C250" s="222" t="n"/>
      <c r="D250" s="220" t="n"/>
      <c r="E250" s="220" t="n"/>
      <c r="F250" s="181">
        <f>IFERROR(E250/D250,"")</f>
        <v/>
      </c>
      <c r="G250" s="219" t="n"/>
      <c r="H250" s="220" t="n"/>
      <c r="I250" s="221">
        <f>IF(COUNTA(A250:E250)=0,"",IF(OR(D250&lt;=0,E250&lt;0),"ERRO: bases inválidas",IF(E250&gt;D250,"ERRO: presenças acima do previsto",IF(COUNTIFS($A$5:$A$1200,A250,$B$5:$B$1200,B250,$C$5:$C$1200,C250)&gt;1,"ERRO: chave duplicada",IF(COUNTIFS(DISCIPLINAS!$A$5:$A$101,B250,DISCIPLINAS!$B$5:$B$101,C250)=0,"ERRO: disciplina não pertence ao curso","OK")))))</f>
        <v/>
      </c>
    </row>
    <row r="251" ht="15" customHeight="1" s="131">
      <c r="A251" s="220" t="n"/>
      <c r="B251" s="222" t="n"/>
      <c r="C251" s="222" t="n"/>
      <c r="D251" s="220" t="n"/>
      <c r="E251" s="220" t="n"/>
      <c r="F251" s="181">
        <f>IFERROR(E251/D251,"")</f>
        <v/>
      </c>
      <c r="G251" s="219" t="n"/>
      <c r="H251" s="220" t="n"/>
      <c r="I251" s="221">
        <f>IF(COUNTA(A251:E251)=0,"",IF(OR(D251&lt;=0,E251&lt;0),"ERRO: bases inválidas",IF(E251&gt;D251,"ERRO: presenças acima do previsto",IF(COUNTIFS($A$5:$A$1200,A251,$B$5:$B$1200,B251,$C$5:$C$1200,C251)&gt;1,"ERRO: chave duplicada",IF(COUNTIFS(DISCIPLINAS!$A$5:$A$101,B251,DISCIPLINAS!$B$5:$B$101,C251)=0,"ERRO: disciplina não pertence ao curso","OK")))))</f>
        <v/>
      </c>
    </row>
    <row r="252" ht="15" customHeight="1" s="131">
      <c r="A252" s="220" t="n"/>
      <c r="B252" s="222" t="n"/>
      <c r="C252" s="222" t="n"/>
      <c r="D252" s="220" t="n"/>
      <c r="E252" s="220" t="n"/>
      <c r="F252" s="181">
        <f>IFERROR(E252/D252,"")</f>
        <v/>
      </c>
      <c r="G252" s="219" t="n"/>
      <c r="H252" s="220" t="n"/>
      <c r="I252" s="221">
        <f>IF(COUNTA(A252:E252)=0,"",IF(OR(D252&lt;=0,E252&lt;0),"ERRO: bases inválidas",IF(E252&gt;D252,"ERRO: presenças acima do previsto",IF(COUNTIFS($A$5:$A$1200,A252,$B$5:$B$1200,B252,$C$5:$C$1200,C252)&gt;1,"ERRO: chave duplicada",IF(COUNTIFS(DISCIPLINAS!$A$5:$A$101,B252,DISCIPLINAS!$B$5:$B$101,C252)=0,"ERRO: disciplina não pertence ao curso","OK")))))</f>
        <v/>
      </c>
    </row>
    <row r="253" ht="15" customHeight="1" s="131">
      <c r="A253" s="220" t="n"/>
      <c r="B253" s="222" t="n"/>
      <c r="C253" s="222" t="n"/>
      <c r="D253" s="220" t="n"/>
      <c r="E253" s="220" t="n"/>
      <c r="F253" s="181">
        <f>IFERROR(E253/D253,"")</f>
        <v/>
      </c>
      <c r="G253" s="219" t="n"/>
      <c r="H253" s="220" t="n"/>
      <c r="I253" s="221">
        <f>IF(COUNTA(A253:E253)=0,"",IF(OR(D253&lt;=0,E253&lt;0),"ERRO: bases inválidas",IF(E253&gt;D253,"ERRO: presenças acima do previsto",IF(COUNTIFS($A$5:$A$1200,A253,$B$5:$B$1200,B253,$C$5:$C$1200,C253)&gt;1,"ERRO: chave duplicada",IF(COUNTIFS(DISCIPLINAS!$A$5:$A$101,B253,DISCIPLINAS!$B$5:$B$101,C253)=0,"ERRO: disciplina não pertence ao curso","OK")))))</f>
        <v/>
      </c>
    </row>
    <row r="254" ht="15" customHeight="1" s="131">
      <c r="A254" s="220" t="n"/>
      <c r="B254" s="222" t="n"/>
      <c r="C254" s="222" t="n"/>
      <c r="D254" s="220" t="n"/>
      <c r="E254" s="220" t="n"/>
      <c r="F254" s="181">
        <f>IFERROR(E254/D254,"")</f>
        <v/>
      </c>
      <c r="G254" s="219" t="n"/>
      <c r="H254" s="220" t="n"/>
      <c r="I254" s="221">
        <f>IF(COUNTA(A254:E254)=0,"",IF(OR(D254&lt;=0,E254&lt;0),"ERRO: bases inválidas",IF(E254&gt;D254,"ERRO: presenças acima do previsto",IF(COUNTIFS($A$5:$A$1200,A254,$B$5:$B$1200,B254,$C$5:$C$1200,C254)&gt;1,"ERRO: chave duplicada",IF(COUNTIFS(DISCIPLINAS!$A$5:$A$101,B254,DISCIPLINAS!$B$5:$B$101,C254)=0,"ERRO: disciplina não pertence ao curso","OK")))))</f>
        <v/>
      </c>
    </row>
    <row r="255" ht="15" customHeight="1" s="131">
      <c r="A255" s="220" t="n"/>
      <c r="B255" s="222" t="n"/>
      <c r="C255" s="222" t="n"/>
      <c r="D255" s="220" t="n"/>
      <c r="E255" s="220" t="n"/>
      <c r="F255" s="181">
        <f>IFERROR(E255/D255,"")</f>
        <v/>
      </c>
      <c r="G255" s="219" t="n"/>
      <c r="H255" s="220" t="n"/>
      <c r="I255" s="221">
        <f>IF(COUNTA(A255:E255)=0,"",IF(OR(D255&lt;=0,E255&lt;0),"ERRO: bases inválidas",IF(E255&gt;D255,"ERRO: presenças acima do previsto",IF(COUNTIFS($A$5:$A$1200,A255,$B$5:$B$1200,B255,$C$5:$C$1200,C255)&gt;1,"ERRO: chave duplicada",IF(COUNTIFS(DISCIPLINAS!$A$5:$A$101,B255,DISCIPLINAS!$B$5:$B$101,C255)=0,"ERRO: disciplina não pertence ao curso","OK")))))</f>
        <v/>
      </c>
    </row>
    <row r="256" ht="15" customHeight="1" s="131">
      <c r="A256" s="220" t="n"/>
      <c r="B256" s="222" t="n"/>
      <c r="C256" s="222" t="n"/>
      <c r="D256" s="220" t="n"/>
      <c r="E256" s="220" t="n"/>
      <c r="F256" s="181">
        <f>IFERROR(E256/D256,"")</f>
        <v/>
      </c>
      <c r="G256" s="219" t="n"/>
      <c r="H256" s="220" t="n"/>
      <c r="I256" s="221">
        <f>IF(COUNTA(A256:E256)=0,"",IF(OR(D256&lt;=0,E256&lt;0),"ERRO: bases inválidas",IF(E256&gt;D256,"ERRO: presenças acima do previsto",IF(COUNTIFS($A$5:$A$1200,A256,$B$5:$B$1200,B256,$C$5:$C$1200,C256)&gt;1,"ERRO: chave duplicada",IF(COUNTIFS(DISCIPLINAS!$A$5:$A$101,B256,DISCIPLINAS!$B$5:$B$101,C256)=0,"ERRO: disciplina não pertence ao curso","OK")))))</f>
        <v/>
      </c>
    </row>
    <row r="257" ht="15" customHeight="1" s="131">
      <c r="A257" s="220" t="n"/>
      <c r="B257" s="222" t="n"/>
      <c r="C257" s="222" t="n"/>
      <c r="D257" s="220" t="n"/>
      <c r="E257" s="220" t="n"/>
      <c r="F257" s="181">
        <f>IFERROR(E257/D257,"")</f>
        <v/>
      </c>
      <c r="G257" s="219" t="n"/>
      <c r="H257" s="220" t="n"/>
      <c r="I257" s="221">
        <f>IF(COUNTA(A257:E257)=0,"",IF(OR(D257&lt;=0,E257&lt;0),"ERRO: bases inválidas",IF(E257&gt;D257,"ERRO: presenças acima do previsto",IF(COUNTIFS($A$5:$A$1200,A257,$B$5:$B$1200,B257,$C$5:$C$1200,C257)&gt;1,"ERRO: chave duplicada",IF(COUNTIFS(DISCIPLINAS!$A$5:$A$101,B257,DISCIPLINAS!$B$5:$B$101,C257)=0,"ERRO: disciplina não pertence ao curso","OK")))))</f>
        <v/>
      </c>
    </row>
    <row r="258" ht="15" customHeight="1" s="131">
      <c r="A258" s="220" t="n"/>
      <c r="B258" s="222" t="n"/>
      <c r="C258" s="222" t="n"/>
      <c r="D258" s="220" t="n"/>
      <c r="E258" s="220" t="n"/>
      <c r="F258" s="181">
        <f>IFERROR(E258/D258,"")</f>
        <v/>
      </c>
      <c r="G258" s="219" t="n"/>
      <c r="H258" s="220" t="n"/>
      <c r="I258" s="221">
        <f>IF(COUNTA(A258:E258)=0,"",IF(OR(D258&lt;=0,E258&lt;0),"ERRO: bases inválidas",IF(E258&gt;D258,"ERRO: presenças acima do previsto",IF(COUNTIFS($A$5:$A$1200,A258,$B$5:$B$1200,B258,$C$5:$C$1200,C258)&gt;1,"ERRO: chave duplicada",IF(COUNTIFS(DISCIPLINAS!$A$5:$A$101,B258,DISCIPLINAS!$B$5:$B$101,C258)=0,"ERRO: disciplina não pertence ao curso","OK")))))</f>
        <v/>
      </c>
    </row>
    <row r="259" ht="15" customHeight="1" s="131">
      <c r="A259" s="220" t="n"/>
      <c r="B259" s="222" t="n"/>
      <c r="C259" s="222" t="n"/>
      <c r="D259" s="220" t="n"/>
      <c r="E259" s="220" t="n"/>
      <c r="F259" s="181">
        <f>IFERROR(E259/D259,"")</f>
        <v/>
      </c>
      <c r="G259" s="219" t="n"/>
      <c r="H259" s="220" t="n"/>
      <c r="I259" s="221">
        <f>IF(COUNTA(A259:E259)=0,"",IF(OR(D259&lt;=0,E259&lt;0),"ERRO: bases inválidas",IF(E259&gt;D259,"ERRO: presenças acima do previsto",IF(COUNTIFS($A$5:$A$1200,A259,$B$5:$B$1200,B259,$C$5:$C$1200,C259)&gt;1,"ERRO: chave duplicada",IF(COUNTIFS(DISCIPLINAS!$A$5:$A$101,B259,DISCIPLINAS!$B$5:$B$101,C259)=0,"ERRO: disciplina não pertence ao curso","OK")))))</f>
        <v/>
      </c>
    </row>
    <row r="260" ht="15" customHeight="1" s="131">
      <c r="A260" s="220" t="n"/>
      <c r="B260" s="222" t="n"/>
      <c r="C260" s="222" t="n"/>
      <c r="D260" s="220" t="n"/>
      <c r="E260" s="220" t="n"/>
      <c r="F260" s="181">
        <f>IFERROR(E260/D260,"")</f>
        <v/>
      </c>
      <c r="G260" s="219" t="n"/>
      <c r="H260" s="220" t="n"/>
      <c r="I260" s="221">
        <f>IF(COUNTA(A260:E260)=0,"",IF(OR(D260&lt;=0,E260&lt;0),"ERRO: bases inválidas",IF(E260&gt;D260,"ERRO: presenças acima do previsto",IF(COUNTIFS($A$5:$A$1200,A260,$B$5:$B$1200,B260,$C$5:$C$1200,C260)&gt;1,"ERRO: chave duplicada",IF(COUNTIFS(DISCIPLINAS!$A$5:$A$101,B260,DISCIPLINAS!$B$5:$B$101,C260)=0,"ERRO: disciplina não pertence ao curso","OK")))))</f>
        <v/>
      </c>
    </row>
    <row r="261" ht="15" customHeight="1" s="131">
      <c r="A261" s="220" t="n"/>
      <c r="B261" s="222" t="n"/>
      <c r="C261" s="222" t="n"/>
      <c r="D261" s="220" t="n"/>
      <c r="E261" s="220" t="n"/>
      <c r="F261" s="181">
        <f>IFERROR(E261/D261,"")</f>
        <v/>
      </c>
      <c r="G261" s="219" t="n"/>
      <c r="H261" s="220" t="n"/>
      <c r="I261" s="221">
        <f>IF(COUNTA(A261:E261)=0,"",IF(OR(D261&lt;=0,E261&lt;0),"ERRO: bases inválidas",IF(E261&gt;D261,"ERRO: presenças acima do previsto",IF(COUNTIFS($A$5:$A$1200,A261,$B$5:$B$1200,B261,$C$5:$C$1200,C261)&gt;1,"ERRO: chave duplicada",IF(COUNTIFS(DISCIPLINAS!$A$5:$A$101,B261,DISCIPLINAS!$B$5:$B$101,C261)=0,"ERRO: disciplina não pertence ao curso","OK")))))</f>
        <v/>
      </c>
    </row>
    <row r="262" ht="15" customHeight="1" s="131">
      <c r="A262" s="220" t="n"/>
      <c r="B262" s="222" t="n"/>
      <c r="C262" s="222" t="n"/>
      <c r="D262" s="220" t="n"/>
      <c r="E262" s="220" t="n"/>
      <c r="F262" s="181">
        <f>IFERROR(E262/D262,"")</f>
        <v/>
      </c>
      <c r="G262" s="219" t="n"/>
      <c r="H262" s="220" t="n"/>
      <c r="I262" s="221">
        <f>IF(COUNTA(A262:E262)=0,"",IF(OR(D262&lt;=0,E262&lt;0),"ERRO: bases inválidas",IF(E262&gt;D262,"ERRO: presenças acima do previsto",IF(COUNTIFS($A$5:$A$1200,A262,$B$5:$B$1200,B262,$C$5:$C$1200,C262)&gt;1,"ERRO: chave duplicada",IF(COUNTIFS(DISCIPLINAS!$A$5:$A$101,B262,DISCIPLINAS!$B$5:$B$101,C262)=0,"ERRO: disciplina não pertence ao curso","OK")))))</f>
        <v/>
      </c>
    </row>
    <row r="263" ht="15" customHeight="1" s="131">
      <c r="A263" s="220" t="n"/>
      <c r="B263" s="222" t="n"/>
      <c r="C263" s="222" t="n"/>
      <c r="D263" s="220" t="n"/>
      <c r="E263" s="220" t="n"/>
      <c r="F263" s="181">
        <f>IFERROR(E263/D263,"")</f>
        <v/>
      </c>
      <c r="G263" s="219" t="n"/>
      <c r="H263" s="220" t="n"/>
      <c r="I263" s="221">
        <f>IF(COUNTA(A263:E263)=0,"",IF(OR(D263&lt;=0,E263&lt;0),"ERRO: bases inválidas",IF(E263&gt;D263,"ERRO: presenças acima do previsto",IF(COUNTIFS($A$5:$A$1200,A263,$B$5:$B$1200,B263,$C$5:$C$1200,C263)&gt;1,"ERRO: chave duplicada",IF(COUNTIFS(DISCIPLINAS!$A$5:$A$101,B263,DISCIPLINAS!$B$5:$B$101,C263)=0,"ERRO: disciplina não pertence ao curso","OK")))))</f>
        <v/>
      </c>
    </row>
    <row r="264" ht="15" customHeight="1" s="131">
      <c r="A264" s="220" t="n"/>
      <c r="B264" s="222" t="n"/>
      <c r="C264" s="222" t="n"/>
      <c r="D264" s="220" t="n"/>
      <c r="E264" s="220" t="n"/>
      <c r="F264" s="181">
        <f>IFERROR(E264/D264,"")</f>
        <v/>
      </c>
      <c r="G264" s="219" t="n"/>
      <c r="H264" s="220" t="n"/>
      <c r="I264" s="221">
        <f>IF(COUNTA(A264:E264)=0,"",IF(OR(D264&lt;=0,E264&lt;0),"ERRO: bases inválidas",IF(E264&gt;D264,"ERRO: presenças acima do previsto",IF(COUNTIFS($A$5:$A$1200,A264,$B$5:$B$1200,B264,$C$5:$C$1200,C264)&gt;1,"ERRO: chave duplicada",IF(COUNTIFS(DISCIPLINAS!$A$5:$A$101,B264,DISCIPLINAS!$B$5:$B$101,C264)=0,"ERRO: disciplina não pertence ao curso","OK")))))</f>
        <v/>
      </c>
    </row>
    <row r="265" ht="15" customHeight="1" s="131">
      <c r="A265" s="220" t="n"/>
      <c r="B265" s="222" t="n"/>
      <c r="C265" s="222" t="n"/>
      <c r="D265" s="220" t="n"/>
      <c r="E265" s="220" t="n"/>
      <c r="F265" s="181">
        <f>IFERROR(E265/D265,"")</f>
        <v/>
      </c>
      <c r="G265" s="219" t="n"/>
      <c r="H265" s="220" t="n"/>
      <c r="I265" s="221">
        <f>IF(COUNTA(A265:E265)=0,"",IF(OR(D265&lt;=0,E265&lt;0),"ERRO: bases inválidas",IF(E265&gt;D265,"ERRO: presenças acima do previsto",IF(COUNTIFS($A$5:$A$1200,A265,$B$5:$B$1200,B265,$C$5:$C$1200,C265)&gt;1,"ERRO: chave duplicada",IF(COUNTIFS(DISCIPLINAS!$A$5:$A$101,B265,DISCIPLINAS!$B$5:$B$101,C265)=0,"ERRO: disciplina não pertence ao curso","OK")))))</f>
        <v/>
      </c>
    </row>
    <row r="266" ht="15" customHeight="1" s="131">
      <c r="A266" s="220" t="n"/>
      <c r="B266" s="222" t="n"/>
      <c r="C266" s="222" t="n"/>
      <c r="D266" s="220" t="n"/>
      <c r="E266" s="220" t="n"/>
      <c r="F266" s="181">
        <f>IFERROR(E266/D266,"")</f>
        <v/>
      </c>
      <c r="G266" s="219" t="n"/>
      <c r="H266" s="220" t="n"/>
      <c r="I266" s="221">
        <f>IF(COUNTA(A266:E266)=0,"",IF(OR(D266&lt;=0,E266&lt;0),"ERRO: bases inválidas",IF(E266&gt;D266,"ERRO: presenças acima do previsto",IF(COUNTIFS($A$5:$A$1200,A266,$B$5:$B$1200,B266,$C$5:$C$1200,C266)&gt;1,"ERRO: chave duplicada",IF(COUNTIFS(DISCIPLINAS!$A$5:$A$101,B266,DISCIPLINAS!$B$5:$B$101,C266)=0,"ERRO: disciplina não pertence ao curso","OK")))))</f>
        <v/>
      </c>
    </row>
    <row r="267" ht="15" customHeight="1" s="131">
      <c r="A267" s="220" t="n"/>
      <c r="B267" s="222" t="n"/>
      <c r="C267" s="222" t="n"/>
      <c r="D267" s="220" t="n"/>
      <c r="E267" s="220" t="n"/>
      <c r="F267" s="181">
        <f>IFERROR(E267/D267,"")</f>
        <v/>
      </c>
      <c r="G267" s="219" t="n"/>
      <c r="H267" s="220" t="n"/>
      <c r="I267" s="221">
        <f>IF(COUNTA(A267:E267)=0,"",IF(OR(D267&lt;=0,E267&lt;0),"ERRO: bases inválidas",IF(E267&gt;D267,"ERRO: presenças acima do previsto",IF(COUNTIFS($A$5:$A$1200,A267,$B$5:$B$1200,B267,$C$5:$C$1200,C267)&gt;1,"ERRO: chave duplicada",IF(COUNTIFS(DISCIPLINAS!$A$5:$A$101,B267,DISCIPLINAS!$B$5:$B$101,C267)=0,"ERRO: disciplina não pertence ao curso","OK")))))</f>
        <v/>
      </c>
    </row>
    <row r="268" ht="15" customHeight="1" s="131">
      <c r="A268" s="220" t="n"/>
      <c r="B268" s="222" t="n"/>
      <c r="C268" s="222" t="n"/>
      <c r="D268" s="220" t="n"/>
      <c r="E268" s="220" t="n"/>
      <c r="F268" s="181">
        <f>IFERROR(E268/D268,"")</f>
        <v/>
      </c>
      <c r="G268" s="219" t="n"/>
      <c r="H268" s="220" t="n"/>
      <c r="I268" s="221">
        <f>IF(COUNTA(A268:E268)=0,"",IF(OR(D268&lt;=0,E268&lt;0),"ERRO: bases inválidas",IF(E268&gt;D268,"ERRO: presenças acima do previsto",IF(COUNTIFS($A$5:$A$1200,A268,$B$5:$B$1200,B268,$C$5:$C$1200,C268)&gt;1,"ERRO: chave duplicada",IF(COUNTIFS(DISCIPLINAS!$A$5:$A$101,B268,DISCIPLINAS!$B$5:$B$101,C268)=0,"ERRO: disciplina não pertence ao curso","OK")))))</f>
        <v/>
      </c>
    </row>
    <row r="269" ht="15" customHeight="1" s="131">
      <c r="A269" s="220" t="n"/>
      <c r="B269" s="222" t="n"/>
      <c r="C269" s="222" t="n"/>
      <c r="D269" s="220" t="n"/>
      <c r="E269" s="220" t="n"/>
      <c r="F269" s="181">
        <f>IFERROR(E269/D269,"")</f>
        <v/>
      </c>
      <c r="G269" s="219" t="n"/>
      <c r="H269" s="220" t="n"/>
      <c r="I269" s="221">
        <f>IF(COUNTA(A269:E269)=0,"",IF(OR(D269&lt;=0,E269&lt;0),"ERRO: bases inválidas",IF(E269&gt;D269,"ERRO: presenças acima do previsto",IF(COUNTIFS($A$5:$A$1200,A269,$B$5:$B$1200,B269,$C$5:$C$1200,C269)&gt;1,"ERRO: chave duplicada",IF(COUNTIFS(DISCIPLINAS!$A$5:$A$101,B269,DISCIPLINAS!$B$5:$B$101,C269)=0,"ERRO: disciplina não pertence ao curso","OK")))))</f>
        <v/>
      </c>
    </row>
    <row r="270" ht="15" customHeight="1" s="131">
      <c r="A270" s="220" t="n"/>
      <c r="B270" s="222" t="n"/>
      <c r="C270" s="222" t="n"/>
      <c r="D270" s="220" t="n"/>
      <c r="E270" s="220" t="n"/>
      <c r="F270" s="181">
        <f>IFERROR(E270/D270,"")</f>
        <v/>
      </c>
      <c r="G270" s="219" t="n"/>
      <c r="H270" s="220" t="n"/>
      <c r="I270" s="221">
        <f>IF(COUNTA(A270:E270)=0,"",IF(OR(D270&lt;=0,E270&lt;0),"ERRO: bases inválidas",IF(E270&gt;D270,"ERRO: presenças acima do previsto",IF(COUNTIFS($A$5:$A$1200,A270,$B$5:$B$1200,B270,$C$5:$C$1200,C270)&gt;1,"ERRO: chave duplicada",IF(COUNTIFS(DISCIPLINAS!$A$5:$A$101,B270,DISCIPLINAS!$B$5:$B$101,C270)=0,"ERRO: disciplina não pertence ao curso","OK")))))</f>
        <v/>
      </c>
    </row>
    <row r="271" ht="15" customHeight="1" s="131">
      <c r="A271" s="220" t="n"/>
      <c r="B271" s="222" t="n"/>
      <c r="C271" s="222" t="n"/>
      <c r="D271" s="220" t="n"/>
      <c r="E271" s="220" t="n"/>
      <c r="F271" s="181">
        <f>IFERROR(E271/D271,"")</f>
        <v/>
      </c>
      <c r="G271" s="219" t="n"/>
      <c r="H271" s="220" t="n"/>
      <c r="I271" s="221">
        <f>IF(COUNTA(A271:E271)=0,"",IF(OR(D271&lt;=0,E271&lt;0),"ERRO: bases inválidas",IF(E271&gt;D271,"ERRO: presenças acima do previsto",IF(COUNTIFS($A$5:$A$1200,A271,$B$5:$B$1200,B271,$C$5:$C$1200,C271)&gt;1,"ERRO: chave duplicada",IF(COUNTIFS(DISCIPLINAS!$A$5:$A$101,B271,DISCIPLINAS!$B$5:$B$101,C271)=0,"ERRO: disciplina não pertence ao curso","OK")))))</f>
        <v/>
      </c>
    </row>
    <row r="272" ht="15" customHeight="1" s="131">
      <c r="A272" s="220" t="n"/>
      <c r="B272" s="222" t="n"/>
      <c r="C272" s="222" t="n"/>
      <c r="D272" s="220" t="n"/>
      <c r="E272" s="220" t="n"/>
      <c r="F272" s="181">
        <f>IFERROR(E272/D272,"")</f>
        <v/>
      </c>
      <c r="G272" s="219" t="n"/>
      <c r="H272" s="220" t="n"/>
      <c r="I272" s="221">
        <f>IF(COUNTA(A272:E272)=0,"",IF(OR(D272&lt;=0,E272&lt;0),"ERRO: bases inválidas",IF(E272&gt;D272,"ERRO: presenças acima do previsto",IF(COUNTIFS($A$5:$A$1200,A272,$B$5:$B$1200,B272,$C$5:$C$1200,C272)&gt;1,"ERRO: chave duplicada",IF(COUNTIFS(DISCIPLINAS!$A$5:$A$101,B272,DISCIPLINAS!$B$5:$B$101,C272)=0,"ERRO: disciplina não pertence ao curso","OK")))))</f>
        <v/>
      </c>
    </row>
    <row r="273" ht="15" customHeight="1" s="131">
      <c r="A273" s="220" t="n"/>
      <c r="B273" s="222" t="n"/>
      <c r="C273" s="222" t="n"/>
      <c r="D273" s="220" t="n"/>
      <c r="E273" s="220" t="n"/>
      <c r="F273" s="181">
        <f>IFERROR(E273/D273,"")</f>
        <v/>
      </c>
      <c r="G273" s="219" t="n"/>
      <c r="H273" s="220" t="n"/>
      <c r="I273" s="221">
        <f>IF(COUNTA(A273:E273)=0,"",IF(OR(D273&lt;=0,E273&lt;0),"ERRO: bases inválidas",IF(E273&gt;D273,"ERRO: presenças acima do previsto",IF(COUNTIFS($A$5:$A$1200,A273,$B$5:$B$1200,B273,$C$5:$C$1200,C273)&gt;1,"ERRO: chave duplicada",IF(COUNTIFS(DISCIPLINAS!$A$5:$A$101,B273,DISCIPLINAS!$B$5:$B$101,C273)=0,"ERRO: disciplina não pertence ao curso","OK")))))</f>
        <v/>
      </c>
    </row>
    <row r="274" ht="15" customHeight="1" s="131">
      <c r="A274" s="220" t="n"/>
      <c r="B274" s="222" t="n"/>
      <c r="C274" s="222" t="n"/>
      <c r="D274" s="220" t="n"/>
      <c r="E274" s="220" t="n"/>
      <c r="F274" s="181">
        <f>IFERROR(E274/D274,"")</f>
        <v/>
      </c>
      <c r="G274" s="219" t="n"/>
      <c r="H274" s="220" t="n"/>
      <c r="I274" s="221">
        <f>IF(COUNTA(A274:E274)=0,"",IF(OR(D274&lt;=0,E274&lt;0),"ERRO: bases inválidas",IF(E274&gt;D274,"ERRO: presenças acima do previsto",IF(COUNTIFS($A$5:$A$1200,A274,$B$5:$B$1200,B274,$C$5:$C$1200,C274)&gt;1,"ERRO: chave duplicada",IF(COUNTIFS(DISCIPLINAS!$A$5:$A$101,B274,DISCIPLINAS!$B$5:$B$101,C274)=0,"ERRO: disciplina não pertence ao curso","OK")))))</f>
        <v/>
      </c>
    </row>
    <row r="275" ht="15" customHeight="1" s="131">
      <c r="A275" s="220" t="n"/>
      <c r="B275" s="222" t="n"/>
      <c r="C275" s="222" t="n"/>
      <c r="D275" s="220" t="n"/>
      <c r="E275" s="220" t="n"/>
      <c r="F275" s="181">
        <f>IFERROR(E275/D275,"")</f>
        <v/>
      </c>
      <c r="G275" s="219" t="n"/>
      <c r="H275" s="220" t="n"/>
      <c r="I275" s="221">
        <f>IF(COUNTA(A275:E275)=0,"",IF(OR(D275&lt;=0,E275&lt;0),"ERRO: bases inválidas",IF(E275&gt;D275,"ERRO: presenças acima do previsto",IF(COUNTIFS($A$5:$A$1200,A275,$B$5:$B$1200,B275,$C$5:$C$1200,C275)&gt;1,"ERRO: chave duplicada",IF(COUNTIFS(DISCIPLINAS!$A$5:$A$101,B275,DISCIPLINAS!$B$5:$B$101,C275)=0,"ERRO: disciplina não pertence ao curso","OK")))))</f>
        <v/>
      </c>
    </row>
    <row r="276" ht="15" customHeight="1" s="131">
      <c r="A276" s="220" t="n"/>
      <c r="B276" s="222" t="n"/>
      <c r="C276" s="222" t="n"/>
      <c r="D276" s="220" t="n"/>
      <c r="E276" s="220" t="n"/>
      <c r="F276" s="181">
        <f>IFERROR(E276/D276,"")</f>
        <v/>
      </c>
      <c r="G276" s="219" t="n"/>
      <c r="H276" s="220" t="n"/>
      <c r="I276" s="221">
        <f>IF(COUNTA(A276:E276)=0,"",IF(OR(D276&lt;=0,E276&lt;0),"ERRO: bases inválidas",IF(E276&gt;D276,"ERRO: presenças acima do previsto",IF(COUNTIFS($A$5:$A$1200,A276,$B$5:$B$1200,B276,$C$5:$C$1200,C276)&gt;1,"ERRO: chave duplicada",IF(COUNTIFS(DISCIPLINAS!$A$5:$A$101,B276,DISCIPLINAS!$B$5:$B$101,C276)=0,"ERRO: disciplina não pertence ao curso","OK")))))</f>
        <v/>
      </c>
    </row>
    <row r="277" ht="15" customHeight="1" s="131">
      <c r="A277" s="220" t="n"/>
      <c r="B277" s="222" t="n"/>
      <c r="C277" s="222" t="n"/>
      <c r="D277" s="220" t="n"/>
      <c r="E277" s="220" t="n"/>
      <c r="F277" s="181">
        <f>IFERROR(E277/D277,"")</f>
        <v/>
      </c>
      <c r="G277" s="219" t="n"/>
      <c r="H277" s="220" t="n"/>
      <c r="I277" s="221">
        <f>IF(COUNTA(A277:E277)=0,"",IF(OR(D277&lt;=0,E277&lt;0),"ERRO: bases inválidas",IF(E277&gt;D277,"ERRO: presenças acima do previsto",IF(COUNTIFS($A$5:$A$1200,A277,$B$5:$B$1200,B277,$C$5:$C$1200,C277)&gt;1,"ERRO: chave duplicada",IF(COUNTIFS(DISCIPLINAS!$A$5:$A$101,B277,DISCIPLINAS!$B$5:$B$101,C277)=0,"ERRO: disciplina não pertence ao curso","OK")))))</f>
        <v/>
      </c>
    </row>
    <row r="278" ht="15" customHeight="1" s="131">
      <c r="A278" s="220" t="n"/>
      <c r="B278" s="222" t="n"/>
      <c r="C278" s="222" t="n"/>
      <c r="D278" s="220" t="n"/>
      <c r="E278" s="220" t="n"/>
      <c r="F278" s="181">
        <f>IFERROR(E278/D278,"")</f>
        <v/>
      </c>
      <c r="G278" s="219" t="n"/>
      <c r="H278" s="220" t="n"/>
      <c r="I278" s="221">
        <f>IF(COUNTA(A278:E278)=0,"",IF(OR(D278&lt;=0,E278&lt;0),"ERRO: bases inválidas",IF(E278&gt;D278,"ERRO: presenças acima do previsto",IF(COUNTIFS($A$5:$A$1200,A278,$B$5:$B$1200,B278,$C$5:$C$1200,C278)&gt;1,"ERRO: chave duplicada",IF(COUNTIFS(DISCIPLINAS!$A$5:$A$101,B278,DISCIPLINAS!$B$5:$B$101,C278)=0,"ERRO: disciplina não pertence ao curso","OK")))))</f>
        <v/>
      </c>
    </row>
    <row r="279" ht="15" customHeight="1" s="131">
      <c r="A279" s="220" t="n"/>
      <c r="B279" s="222" t="n"/>
      <c r="C279" s="222" t="n"/>
      <c r="D279" s="220" t="n"/>
      <c r="E279" s="220" t="n"/>
      <c r="F279" s="181">
        <f>IFERROR(E279/D279,"")</f>
        <v/>
      </c>
      <c r="G279" s="219" t="n"/>
      <c r="H279" s="220" t="n"/>
      <c r="I279" s="221">
        <f>IF(COUNTA(A279:E279)=0,"",IF(OR(D279&lt;=0,E279&lt;0),"ERRO: bases inválidas",IF(E279&gt;D279,"ERRO: presenças acima do previsto",IF(COUNTIFS($A$5:$A$1200,A279,$B$5:$B$1200,B279,$C$5:$C$1200,C279)&gt;1,"ERRO: chave duplicada",IF(COUNTIFS(DISCIPLINAS!$A$5:$A$101,B279,DISCIPLINAS!$B$5:$B$101,C279)=0,"ERRO: disciplina não pertence ao curso","OK")))))</f>
        <v/>
      </c>
    </row>
    <row r="280" ht="15" customHeight="1" s="131">
      <c r="A280" s="220" t="n"/>
      <c r="B280" s="222" t="n"/>
      <c r="C280" s="222" t="n"/>
      <c r="D280" s="220" t="n"/>
      <c r="E280" s="220" t="n"/>
      <c r="F280" s="181">
        <f>IFERROR(E280/D280,"")</f>
        <v/>
      </c>
      <c r="G280" s="219" t="n"/>
      <c r="H280" s="220" t="n"/>
      <c r="I280" s="221">
        <f>IF(COUNTA(A280:E280)=0,"",IF(OR(D280&lt;=0,E280&lt;0),"ERRO: bases inválidas",IF(E280&gt;D280,"ERRO: presenças acima do previsto",IF(COUNTIFS($A$5:$A$1200,A280,$B$5:$B$1200,B280,$C$5:$C$1200,C280)&gt;1,"ERRO: chave duplicada",IF(COUNTIFS(DISCIPLINAS!$A$5:$A$101,B280,DISCIPLINAS!$B$5:$B$101,C280)=0,"ERRO: disciplina não pertence ao curso","OK")))))</f>
        <v/>
      </c>
    </row>
    <row r="281" ht="15" customHeight="1" s="131">
      <c r="A281" s="220" t="n"/>
      <c r="B281" s="222" t="n"/>
      <c r="C281" s="222" t="n"/>
      <c r="D281" s="220" t="n"/>
      <c r="E281" s="220" t="n"/>
      <c r="F281" s="181">
        <f>IFERROR(E281/D281,"")</f>
        <v/>
      </c>
      <c r="G281" s="219" t="n"/>
      <c r="H281" s="220" t="n"/>
      <c r="I281" s="221">
        <f>IF(COUNTA(A281:E281)=0,"",IF(OR(D281&lt;=0,E281&lt;0),"ERRO: bases inválidas",IF(E281&gt;D281,"ERRO: presenças acima do previsto",IF(COUNTIFS($A$5:$A$1200,A281,$B$5:$B$1200,B281,$C$5:$C$1200,C281)&gt;1,"ERRO: chave duplicada",IF(COUNTIFS(DISCIPLINAS!$A$5:$A$101,B281,DISCIPLINAS!$B$5:$B$101,C281)=0,"ERRO: disciplina não pertence ao curso","OK")))))</f>
        <v/>
      </c>
    </row>
    <row r="282" ht="15" customHeight="1" s="131">
      <c r="A282" s="220" t="n"/>
      <c r="B282" s="222" t="n"/>
      <c r="C282" s="222" t="n"/>
      <c r="D282" s="220" t="n"/>
      <c r="E282" s="220" t="n"/>
      <c r="F282" s="181">
        <f>IFERROR(E282/D282,"")</f>
        <v/>
      </c>
      <c r="G282" s="219" t="n"/>
      <c r="H282" s="220" t="n"/>
      <c r="I282" s="221">
        <f>IF(COUNTA(A282:E282)=0,"",IF(OR(D282&lt;=0,E282&lt;0),"ERRO: bases inválidas",IF(E282&gt;D282,"ERRO: presenças acima do previsto",IF(COUNTIFS($A$5:$A$1200,A282,$B$5:$B$1200,B282,$C$5:$C$1200,C282)&gt;1,"ERRO: chave duplicada",IF(COUNTIFS(DISCIPLINAS!$A$5:$A$101,B282,DISCIPLINAS!$B$5:$B$101,C282)=0,"ERRO: disciplina não pertence ao curso","OK")))))</f>
        <v/>
      </c>
    </row>
    <row r="283" ht="15" customHeight="1" s="131">
      <c r="A283" s="220" t="n"/>
      <c r="B283" s="222" t="n"/>
      <c r="C283" s="222" t="n"/>
      <c r="D283" s="220" t="n"/>
      <c r="E283" s="220" t="n"/>
      <c r="F283" s="181">
        <f>IFERROR(E283/D283,"")</f>
        <v/>
      </c>
      <c r="G283" s="219" t="n"/>
      <c r="H283" s="220" t="n"/>
      <c r="I283" s="221">
        <f>IF(COUNTA(A283:E283)=0,"",IF(OR(D283&lt;=0,E283&lt;0),"ERRO: bases inválidas",IF(E283&gt;D283,"ERRO: presenças acima do previsto",IF(COUNTIFS($A$5:$A$1200,A283,$B$5:$B$1200,B283,$C$5:$C$1200,C283)&gt;1,"ERRO: chave duplicada",IF(COUNTIFS(DISCIPLINAS!$A$5:$A$101,B283,DISCIPLINAS!$B$5:$B$101,C283)=0,"ERRO: disciplina não pertence ao curso","OK")))))</f>
        <v/>
      </c>
    </row>
    <row r="284" ht="15" customHeight="1" s="131">
      <c r="A284" s="220" t="n"/>
      <c r="B284" s="222" t="n"/>
      <c r="C284" s="222" t="n"/>
      <c r="D284" s="220" t="n"/>
      <c r="E284" s="220" t="n"/>
      <c r="F284" s="181">
        <f>IFERROR(E284/D284,"")</f>
        <v/>
      </c>
      <c r="G284" s="219" t="n"/>
      <c r="H284" s="220" t="n"/>
      <c r="I284" s="221">
        <f>IF(COUNTA(A284:E284)=0,"",IF(OR(D284&lt;=0,E284&lt;0),"ERRO: bases inválidas",IF(E284&gt;D284,"ERRO: presenças acima do previsto",IF(COUNTIFS($A$5:$A$1200,A284,$B$5:$B$1200,B284,$C$5:$C$1200,C284)&gt;1,"ERRO: chave duplicada",IF(COUNTIFS(DISCIPLINAS!$A$5:$A$101,B284,DISCIPLINAS!$B$5:$B$101,C284)=0,"ERRO: disciplina não pertence ao curso","OK")))))</f>
        <v/>
      </c>
    </row>
    <row r="285" ht="15" customHeight="1" s="131">
      <c r="A285" s="220" t="n"/>
      <c r="B285" s="222" t="n"/>
      <c r="C285" s="222" t="n"/>
      <c r="D285" s="220" t="n"/>
      <c r="E285" s="220" t="n"/>
      <c r="F285" s="181">
        <f>IFERROR(E285/D285,"")</f>
        <v/>
      </c>
      <c r="G285" s="219" t="n"/>
      <c r="H285" s="220" t="n"/>
      <c r="I285" s="221">
        <f>IF(COUNTA(A285:E285)=0,"",IF(OR(D285&lt;=0,E285&lt;0),"ERRO: bases inválidas",IF(E285&gt;D285,"ERRO: presenças acima do previsto",IF(COUNTIFS($A$5:$A$1200,A285,$B$5:$B$1200,B285,$C$5:$C$1200,C285)&gt;1,"ERRO: chave duplicada",IF(COUNTIFS(DISCIPLINAS!$A$5:$A$101,B285,DISCIPLINAS!$B$5:$B$101,C285)=0,"ERRO: disciplina não pertence ao curso","OK")))))</f>
        <v/>
      </c>
    </row>
    <row r="286" ht="15" customHeight="1" s="131">
      <c r="A286" s="220" t="n"/>
      <c r="B286" s="222" t="n"/>
      <c r="C286" s="222" t="n"/>
      <c r="D286" s="220" t="n"/>
      <c r="E286" s="220" t="n"/>
      <c r="F286" s="181">
        <f>IFERROR(E286/D286,"")</f>
        <v/>
      </c>
      <c r="G286" s="219" t="n"/>
      <c r="H286" s="220" t="n"/>
      <c r="I286" s="221">
        <f>IF(COUNTA(A286:E286)=0,"",IF(OR(D286&lt;=0,E286&lt;0),"ERRO: bases inválidas",IF(E286&gt;D286,"ERRO: presenças acima do previsto",IF(COUNTIFS($A$5:$A$1200,A286,$B$5:$B$1200,B286,$C$5:$C$1200,C286)&gt;1,"ERRO: chave duplicada",IF(COUNTIFS(DISCIPLINAS!$A$5:$A$101,B286,DISCIPLINAS!$B$5:$B$101,C286)=0,"ERRO: disciplina não pertence ao curso","OK")))))</f>
        <v/>
      </c>
    </row>
    <row r="287" ht="15" customHeight="1" s="131">
      <c r="A287" s="220" t="n"/>
      <c r="B287" s="222" t="n"/>
      <c r="C287" s="222" t="n"/>
      <c r="D287" s="220" t="n"/>
      <c r="E287" s="220" t="n"/>
      <c r="F287" s="181">
        <f>IFERROR(E287/D287,"")</f>
        <v/>
      </c>
      <c r="G287" s="219" t="n"/>
      <c r="H287" s="220" t="n"/>
      <c r="I287" s="221">
        <f>IF(COUNTA(A287:E287)=0,"",IF(OR(D287&lt;=0,E287&lt;0),"ERRO: bases inválidas",IF(E287&gt;D287,"ERRO: presenças acima do previsto",IF(COUNTIFS($A$5:$A$1200,A287,$B$5:$B$1200,B287,$C$5:$C$1200,C287)&gt;1,"ERRO: chave duplicada",IF(COUNTIFS(DISCIPLINAS!$A$5:$A$101,B287,DISCIPLINAS!$B$5:$B$101,C287)=0,"ERRO: disciplina não pertence ao curso","OK")))))</f>
        <v/>
      </c>
    </row>
    <row r="288" ht="15" customHeight="1" s="131">
      <c r="A288" s="220" t="n"/>
      <c r="B288" s="222" t="n"/>
      <c r="C288" s="222" t="n"/>
      <c r="D288" s="220" t="n"/>
      <c r="E288" s="220" t="n"/>
      <c r="F288" s="181">
        <f>IFERROR(E288/D288,"")</f>
        <v/>
      </c>
      <c r="G288" s="219" t="n"/>
      <c r="H288" s="220" t="n"/>
      <c r="I288" s="221">
        <f>IF(COUNTA(A288:E288)=0,"",IF(OR(D288&lt;=0,E288&lt;0),"ERRO: bases inválidas",IF(E288&gt;D288,"ERRO: presenças acima do previsto",IF(COUNTIFS($A$5:$A$1200,A288,$B$5:$B$1200,B288,$C$5:$C$1200,C288)&gt;1,"ERRO: chave duplicada",IF(COUNTIFS(DISCIPLINAS!$A$5:$A$101,B288,DISCIPLINAS!$B$5:$B$101,C288)=0,"ERRO: disciplina não pertence ao curso","OK")))))</f>
        <v/>
      </c>
    </row>
    <row r="289" ht="15" customHeight="1" s="131">
      <c r="A289" s="220" t="n"/>
      <c r="B289" s="222" t="n"/>
      <c r="C289" s="222" t="n"/>
      <c r="D289" s="220" t="n"/>
      <c r="E289" s="220" t="n"/>
      <c r="F289" s="181">
        <f>IFERROR(E289/D289,"")</f>
        <v/>
      </c>
      <c r="G289" s="219" t="n"/>
      <c r="H289" s="220" t="n"/>
      <c r="I289" s="221">
        <f>IF(COUNTA(A289:E289)=0,"",IF(OR(D289&lt;=0,E289&lt;0),"ERRO: bases inválidas",IF(E289&gt;D289,"ERRO: presenças acima do previsto",IF(COUNTIFS($A$5:$A$1200,A289,$B$5:$B$1200,B289,$C$5:$C$1200,C289)&gt;1,"ERRO: chave duplicada",IF(COUNTIFS(DISCIPLINAS!$A$5:$A$101,B289,DISCIPLINAS!$B$5:$B$101,C289)=0,"ERRO: disciplina não pertence ao curso","OK")))))</f>
        <v/>
      </c>
    </row>
    <row r="290" ht="15" customHeight="1" s="131">
      <c r="A290" s="220" t="n"/>
      <c r="B290" s="222" t="n"/>
      <c r="C290" s="222" t="n"/>
      <c r="D290" s="220" t="n"/>
      <c r="E290" s="220" t="n"/>
      <c r="F290" s="181">
        <f>IFERROR(E290/D290,"")</f>
        <v/>
      </c>
      <c r="G290" s="219" t="n"/>
      <c r="H290" s="220" t="n"/>
      <c r="I290" s="221">
        <f>IF(COUNTA(A290:E290)=0,"",IF(OR(D290&lt;=0,E290&lt;0),"ERRO: bases inválidas",IF(E290&gt;D290,"ERRO: presenças acima do previsto",IF(COUNTIFS($A$5:$A$1200,A290,$B$5:$B$1200,B290,$C$5:$C$1200,C290)&gt;1,"ERRO: chave duplicada",IF(COUNTIFS(DISCIPLINAS!$A$5:$A$101,B290,DISCIPLINAS!$B$5:$B$101,C290)=0,"ERRO: disciplina não pertence ao curso","OK")))))</f>
        <v/>
      </c>
    </row>
    <row r="291" ht="15" customHeight="1" s="131">
      <c r="A291" s="220" t="n"/>
      <c r="B291" s="222" t="n"/>
      <c r="C291" s="222" t="n"/>
      <c r="D291" s="220" t="n"/>
      <c r="E291" s="220" t="n"/>
      <c r="F291" s="181">
        <f>IFERROR(E291/D291,"")</f>
        <v/>
      </c>
      <c r="G291" s="219" t="n"/>
      <c r="H291" s="220" t="n"/>
      <c r="I291" s="221">
        <f>IF(COUNTA(A291:E291)=0,"",IF(OR(D291&lt;=0,E291&lt;0),"ERRO: bases inválidas",IF(E291&gt;D291,"ERRO: presenças acima do previsto",IF(COUNTIFS($A$5:$A$1200,A291,$B$5:$B$1200,B291,$C$5:$C$1200,C291)&gt;1,"ERRO: chave duplicada",IF(COUNTIFS(DISCIPLINAS!$A$5:$A$101,B291,DISCIPLINAS!$B$5:$B$101,C291)=0,"ERRO: disciplina não pertence ao curso","OK")))))</f>
        <v/>
      </c>
    </row>
    <row r="292" ht="15" customHeight="1" s="131">
      <c r="A292" s="220" t="n"/>
      <c r="B292" s="222" t="n"/>
      <c r="C292" s="222" t="n"/>
      <c r="D292" s="220" t="n"/>
      <c r="E292" s="220" t="n"/>
      <c r="F292" s="181">
        <f>IFERROR(E292/D292,"")</f>
        <v/>
      </c>
      <c r="G292" s="219" t="n"/>
      <c r="H292" s="220" t="n"/>
      <c r="I292" s="221">
        <f>IF(COUNTA(A292:E292)=0,"",IF(OR(D292&lt;=0,E292&lt;0),"ERRO: bases inválidas",IF(E292&gt;D292,"ERRO: presenças acima do previsto",IF(COUNTIFS($A$5:$A$1200,A292,$B$5:$B$1200,B292,$C$5:$C$1200,C292)&gt;1,"ERRO: chave duplicada",IF(COUNTIFS(DISCIPLINAS!$A$5:$A$101,B292,DISCIPLINAS!$B$5:$B$101,C292)=0,"ERRO: disciplina não pertence ao curso","OK")))))</f>
        <v/>
      </c>
    </row>
    <row r="293" ht="15" customHeight="1" s="131">
      <c r="A293" s="220" t="n"/>
      <c r="B293" s="222" t="n"/>
      <c r="C293" s="222" t="n"/>
      <c r="D293" s="220" t="n"/>
      <c r="E293" s="220" t="n"/>
      <c r="F293" s="181">
        <f>IFERROR(E293/D293,"")</f>
        <v/>
      </c>
      <c r="G293" s="219" t="n"/>
      <c r="H293" s="220" t="n"/>
      <c r="I293" s="221">
        <f>IF(COUNTA(A293:E293)=0,"",IF(OR(D293&lt;=0,E293&lt;0),"ERRO: bases inválidas",IF(E293&gt;D293,"ERRO: presenças acima do previsto",IF(COUNTIFS($A$5:$A$1200,A293,$B$5:$B$1200,B293,$C$5:$C$1200,C293)&gt;1,"ERRO: chave duplicada",IF(COUNTIFS(DISCIPLINAS!$A$5:$A$101,B293,DISCIPLINAS!$B$5:$B$101,C293)=0,"ERRO: disciplina não pertence ao curso","OK")))))</f>
        <v/>
      </c>
    </row>
    <row r="294" ht="15" customHeight="1" s="131">
      <c r="A294" s="220" t="n"/>
      <c r="B294" s="222" t="n"/>
      <c r="C294" s="222" t="n"/>
      <c r="D294" s="220" t="n"/>
      <c r="E294" s="220" t="n"/>
      <c r="F294" s="181">
        <f>IFERROR(E294/D294,"")</f>
        <v/>
      </c>
      <c r="G294" s="219" t="n"/>
      <c r="H294" s="220" t="n"/>
      <c r="I294" s="221">
        <f>IF(COUNTA(A294:E294)=0,"",IF(OR(D294&lt;=0,E294&lt;0),"ERRO: bases inválidas",IF(E294&gt;D294,"ERRO: presenças acima do previsto",IF(COUNTIFS($A$5:$A$1200,A294,$B$5:$B$1200,B294,$C$5:$C$1200,C294)&gt;1,"ERRO: chave duplicada",IF(COUNTIFS(DISCIPLINAS!$A$5:$A$101,B294,DISCIPLINAS!$B$5:$B$101,C294)=0,"ERRO: disciplina não pertence ao curso","OK")))))</f>
        <v/>
      </c>
    </row>
    <row r="295" ht="15" customHeight="1" s="131">
      <c r="A295" s="220" t="n"/>
      <c r="B295" s="222" t="n"/>
      <c r="C295" s="222" t="n"/>
      <c r="D295" s="220" t="n"/>
      <c r="E295" s="220" t="n"/>
      <c r="F295" s="181">
        <f>IFERROR(E295/D295,"")</f>
        <v/>
      </c>
      <c r="G295" s="219" t="n"/>
      <c r="H295" s="220" t="n"/>
      <c r="I295" s="221">
        <f>IF(COUNTA(A295:E295)=0,"",IF(OR(D295&lt;=0,E295&lt;0),"ERRO: bases inválidas",IF(E295&gt;D295,"ERRO: presenças acima do previsto",IF(COUNTIFS($A$5:$A$1200,A295,$B$5:$B$1200,B295,$C$5:$C$1200,C295)&gt;1,"ERRO: chave duplicada",IF(COUNTIFS(DISCIPLINAS!$A$5:$A$101,B295,DISCIPLINAS!$B$5:$B$101,C295)=0,"ERRO: disciplina não pertence ao curso","OK")))))</f>
        <v/>
      </c>
    </row>
    <row r="296" ht="15" customHeight="1" s="131">
      <c r="A296" s="220" t="n"/>
      <c r="B296" s="222" t="n"/>
      <c r="C296" s="222" t="n"/>
      <c r="D296" s="220" t="n"/>
      <c r="E296" s="220" t="n"/>
      <c r="F296" s="181">
        <f>IFERROR(E296/D296,"")</f>
        <v/>
      </c>
      <c r="G296" s="219" t="n"/>
      <c r="H296" s="220" t="n"/>
      <c r="I296" s="221">
        <f>IF(COUNTA(A296:E296)=0,"",IF(OR(D296&lt;=0,E296&lt;0),"ERRO: bases inválidas",IF(E296&gt;D296,"ERRO: presenças acima do previsto",IF(COUNTIFS($A$5:$A$1200,A296,$B$5:$B$1200,B296,$C$5:$C$1200,C296)&gt;1,"ERRO: chave duplicada",IF(COUNTIFS(DISCIPLINAS!$A$5:$A$101,B296,DISCIPLINAS!$B$5:$B$101,C296)=0,"ERRO: disciplina não pertence ao curso","OK")))))</f>
        <v/>
      </c>
    </row>
    <row r="297" ht="15" customHeight="1" s="131">
      <c r="A297" s="220" t="n"/>
      <c r="B297" s="222" t="n"/>
      <c r="C297" s="222" t="n"/>
      <c r="D297" s="220" t="n"/>
      <c r="E297" s="220" t="n"/>
      <c r="F297" s="181">
        <f>IFERROR(E297/D297,"")</f>
        <v/>
      </c>
      <c r="G297" s="219" t="n"/>
      <c r="H297" s="220" t="n"/>
      <c r="I297" s="221">
        <f>IF(COUNTA(A297:E297)=0,"",IF(OR(D297&lt;=0,E297&lt;0),"ERRO: bases inválidas",IF(E297&gt;D297,"ERRO: presenças acima do previsto",IF(COUNTIFS($A$5:$A$1200,A297,$B$5:$B$1200,B297,$C$5:$C$1200,C297)&gt;1,"ERRO: chave duplicada",IF(COUNTIFS(DISCIPLINAS!$A$5:$A$101,B297,DISCIPLINAS!$B$5:$B$101,C297)=0,"ERRO: disciplina não pertence ao curso","OK")))))</f>
        <v/>
      </c>
    </row>
    <row r="298" ht="15" customHeight="1" s="131">
      <c r="A298" s="220" t="n"/>
      <c r="B298" s="222" t="n"/>
      <c r="C298" s="222" t="n"/>
      <c r="D298" s="220" t="n"/>
      <c r="E298" s="220" t="n"/>
      <c r="F298" s="181">
        <f>IFERROR(E298/D298,"")</f>
        <v/>
      </c>
      <c r="G298" s="219" t="n"/>
      <c r="H298" s="220" t="n"/>
      <c r="I298" s="221">
        <f>IF(COUNTA(A298:E298)=0,"",IF(OR(D298&lt;=0,E298&lt;0),"ERRO: bases inválidas",IF(E298&gt;D298,"ERRO: presenças acima do previsto",IF(COUNTIFS($A$5:$A$1200,A298,$B$5:$B$1200,B298,$C$5:$C$1200,C298)&gt;1,"ERRO: chave duplicada",IF(COUNTIFS(DISCIPLINAS!$A$5:$A$101,B298,DISCIPLINAS!$B$5:$B$101,C298)=0,"ERRO: disciplina não pertence ao curso","OK")))))</f>
        <v/>
      </c>
    </row>
    <row r="299" ht="15" customHeight="1" s="131">
      <c r="A299" s="220" t="n"/>
      <c r="B299" s="222" t="n"/>
      <c r="C299" s="222" t="n"/>
      <c r="D299" s="220" t="n"/>
      <c r="E299" s="220" t="n"/>
      <c r="F299" s="181">
        <f>IFERROR(E299/D299,"")</f>
        <v/>
      </c>
      <c r="G299" s="219" t="n"/>
      <c r="H299" s="220" t="n"/>
      <c r="I299" s="221">
        <f>IF(COUNTA(A299:E299)=0,"",IF(OR(D299&lt;=0,E299&lt;0),"ERRO: bases inválidas",IF(E299&gt;D299,"ERRO: presenças acima do previsto",IF(COUNTIFS($A$5:$A$1200,A299,$B$5:$B$1200,B299,$C$5:$C$1200,C299)&gt;1,"ERRO: chave duplicada",IF(COUNTIFS(DISCIPLINAS!$A$5:$A$101,B299,DISCIPLINAS!$B$5:$B$101,C299)=0,"ERRO: disciplina não pertence ao curso","OK")))))</f>
        <v/>
      </c>
    </row>
    <row r="300" ht="15" customHeight="1" s="131">
      <c r="A300" s="220" t="n"/>
      <c r="B300" s="222" t="n"/>
      <c r="C300" s="222" t="n"/>
      <c r="D300" s="220" t="n"/>
      <c r="E300" s="220" t="n"/>
      <c r="F300" s="181">
        <f>IFERROR(E300/D300,"")</f>
        <v/>
      </c>
      <c r="G300" s="219" t="n"/>
      <c r="H300" s="220" t="n"/>
      <c r="I300" s="221">
        <f>IF(COUNTA(A300:E300)=0,"",IF(OR(D300&lt;=0,E300&lt;0),"ERRO: bases inválidas",IF(E300&gt;D300,"ERRO: presenças acima do previsto",IF(COUNTIFS($A$5:$A$1200,A300,$B$5:$B$1200,B300,$C$5:$C$1200,C300)&gt;1,"ERRO: chave duplicada",IF(COUNTIFS(DISCIPLINAS!$A$5:$A$101,B300,DISCIPLINAS!$B$5:$B$101,C300)=0,"ERRO: disciplina não pertence ao curso","OK")))))</f>
        <v/>
      </c>
    </row>
    <row r="301" ht="15" customHeight="1" s="131">
      <c r="A301" s="220" t="n"/>
      <c r="B301" s="222" t="n"/>
      <c r="C301" s="222" t="n"/>
      <c r="D301" s="220" t="n"/>
      <c r="E301" s="220" t="n"/>
      <c r="F301" s="181">
        <f>IFERROR(E301/D301,"")</f>
        <v/>
      </c>
      <c r="G301" s="219" t="n"/>
      <c r="H301" s="220" t="n"/>
      <c r="I301" s="221">
        <f>IF(COUNTA(A301:E301)=0,"",IF(OR(D301&lt;=0,E301&lt;0),"ERRO: bases inválidas",IF(E301&gt;D301,"ERRO: presenças acima do previsto",IF(COUNTIFS($A$5:$A$1200,A301,$B$5:$B$1200,B301,$C$5:$C$1200,C301)&gt;1,"ERRO: chave duplicada",IF(COUNTIFS(DISCIPLINAS!$A$5:$A$101,B301,DISCIPLINAS!$B$5:$B$101,C301)=0,"ERRO: disciplina não pertence ao curso","OK")))))</f>
        <v/>
      </c>
    </row>
    <row r="302" ht="15" customHeight="1" s="131">
      <c r="A302" s="220" t="n"/>
      <c r="B302" s="222" t="n"/>
      <c r="C302" s="222" t="n"/>
      <c r="D302" s="220" t="n"/>
      <c r="E302" s="220" t="n"/>
      <c r="F302" s="181">
        <f>IFERROR(E302/D302,"")</f>
        <v/>
      </c>
      <c r="G302" s="219" t="n"/>
      <c r="H302" s="220" t="n"/>
      <c r="I302" s="221">
        <f>IF(COUNTA(A302:E302)=0,"",IF(OR(D302&lt;=0,E302&lt;0),"ERRO: bases inválidas",IF(E302&gt;D302,"ERRO: presenças acima do previsto",IF(COUNTIFS($A$5:$A$1200,A302,$B$5:$B$1200,B302,$C$5:$C$1200,C302)&gt;1,"ERRO: chave duplicada",IF(COUNTIFS(DISCIPLINAS!$A$5:$A$101,B302,DISCIPLINAS!$B$5:$B$101,C302)=0,"ERRO: disciplina não pertence ao curso","OK")))))</f>
        <v/>
      </c>
    </row>
    <row r="303" ht="15" customHeight="1" s="131">
      <c r="A303" s="220" t="n"/>
      <c r="B303" s="222" t="n"/>
      <c r="C303" s="222" t="n"/>
      <c r="D303" s="220" t="n"/>
      <c r="E303" s="220" t="n"/>
      <c r="F303" s="181">
        <f>IFERROR(E303/D303,"")</f>
        <v/>
      </c>
      <c r="G303" s="219" t="n"/>
      <c r="H303" s="220" t="n"/>
      <c r="I303" s="221">
        <f>IF(COUNTA(A303:E303)=0,"",IF(OR(D303&lt;=0,E303&lt;0),"ERRO: bases inválidas",IF(E303&gt;D303,"ERRO: presenças acima do previsto",IF(COUNTIFS($A$5:$A$1200,A303,$B$5:$B$1200,B303,$C$5:$C$1200,C303)&gt;1,"ERRO: chave duplicada",IF(COUNTIFS(DISCIPLINAS!$A$5:$A$101,B303,DISCIPLINAS!$B$5:$B$101,C303)=0,"ERRO: disciplina não pertence ao curso","OK")))))</f>
        <v/>
      </c>
    </row>
    <row r="304" ht="15" customHeight="1" s="131">
      <c r="A304" s="220" t="n"/>
      <c r="B304" s="222" t="n"/>
      <c r="C304" s="222" t="n"/>
      <c r="D304" s="220" t="n"/>
      <c r="E304" s="220" t="n"/>
      <c r="F304" s="181">
        <f>IFERROR(E304/D304,"")</f>
        <v/>
      </c>
      <c r="G304" s="219" t="n"/>
      <c r="H304" s="220" t="n"/>
      <c r="I304" s="221">
        <f>IF(COUNTA(A304:E304)=0,"",IF(OR(D304&lt;=0,E304&lt;0),"ERRO: bases inválidas",IF(E304&gt;D304,"ERRO: presenças acima do previsto",IF(COUNTIFS($A$5:$A$1200,A304,$B$5:$B$1200,B304,$C$5:$C$1200,C304)&gt;1,"ERRO: chave duplicada",IF(COUNTIFS(DISCIPLINAS!$A$5:$A$101,B304,DISCIPLINAS!$B$5:$B$101,C304)=0,"ERRO: disciplina não pertence ao curso","OK")))))</f>
        <v/>
      </c>
    </row>
    <row r="305" ht="15" customHeight="1" s="131">
      <c r="A305" s="220" t="n"/>
      <c r="B305" s="222" t="n"/>
      <c r="C305" s="222" t="n"/>
      <c r="D305" s="220" t="n"/>
      <c r="E305" s="220" t="n"/>
      <c r="F305" s="181">
        <f>IFERROR(E305/D305,"")</f>
        <v/>
      </c>
      <c r="G305" s="219" t="n"/>
      <c r="H305" s="220" t="n"/>
      <c r="I305" s="221">
        <f>IF(COUNTA(A305:E305)=0,"",IF(OR(D305&lt;=0,E305&lt;0),"ERRO: bases inválidas",IF(E305&gt;D305,"ERRO: presenças acima do previsto",IF(COUNTIFS($A$5:$A$1200,A305,$B$5:$B$1200,B305,$C$5:$C$1200,C305)&gt;1,"ERRO: chave duplicada",IF(COUNTIFS(DISCIPLINAS!$A$5:$A$101,B305,DISCIPLINAS!$B$5:$B$101,C305)=0,"ERRO: disciplina não pertence ao curso","OK")))))</f>
        <v/>
      </c>
    </row>
    <row r="306" ht="15" customHeight="1" s="131">
      <c r="A306" s="220" t="n"/>
      <c r="B306" s="222" t="n"/>
      <c r="C306" s="222" t="n"/>
      <c r="D306" s="220" t="n"/>
      <c r="E306" s="220" t="n"/>
      <c r="F306" s="181">
        <f>IFERROR(E306/D306,"")</f>
        <v/>
      </c>
      <c r="G306" s="219" t="n"/>
      <c r="H306" s="220" t="n"/>
      <c r="I306" s="221">
        <f>IF(COUNTA(A306:E306)=0,"",IF(OR(D306&lt;=0,E306&lt;0),"ERRO: bases inválidas",IF(E306&gt;D306,"ERRO: presenças acima do previsto",IF(COUNTIFS($A$5:$A$1200,A306,$B$5:$B$1200,B306,$C$5:$C$1200,C306)&gt;1,"ERRO: chave duplicada",IF(COUNTIFS(DISCIPLINAS!$A$5:$A$101,B306,DISCIPLINAS!$B$5:$B$101,C306)=0,"ERRO: disciplina não pertence ao curso","OK")))))</f>
        <v/>
      </c>
    </row>
    <row r="307" ht="15" customHeight="1" s="131">
      <c r="A307" s="220" t="n"/>
      <c r="B307" s="222" t="n"/>
      <c r="C307" s="222" t="n"/>
      <c r="D307" s="220" t="n"/>
      <c r="E307" s="220" t="n"/>
      <c r="F307" s="181">
        <f>IFERROR(E307/D307,"")</f>
        <v/>
      </c>
      <c r="G307" s="219" t="n"/>
      <c r="H307" s="220" t="n"/>
      <c r="I307" s="221">
        <f>IF(COUNTA(A307:E307)=0,"",IF(OR(D307&lt;=0,E307&lt;0),"ERRO: bases inválidas",IF(E307&gt;D307,"ERRO: presenças acima do previsto",IF(COUNTIFS($A$5:$A$1200,A307,$B$5:$B$1200,B307,$C$5:$C$1200,C307)&gt;1,"ERRO: chave duplicada",IF(COUNTIFS(DISCIPLINAS!$A$5:$A$101,B307,DISCIPLINAS!$B$5:$B$101,C307)=0,"ERRO: disciplina não pertence ao curso","OK")))))</f>
        <v/>
      </c>
    </row>
    <row r="308" ht="15" customHeight="1" s="131">
      <c r="A308" s="220" t="n"/>
      <c r="B308" s="222" t="n"/>
      <c r="C308" s="222" t="n"/>
      <c r="D308" s="220" t="n"/>
      <c r="E308" s="220" t="n"/>
      <c r="F308" s="181">
        <f>IFERROR(E308/D308,"")</f>
        <v/>
      </c>
      <c r="G308" s="219" t="n"/>
      <c r="H308" s="220" t="n"/>
      <c r="I308" s="221">
        <f>IF(COUNTA(A308:E308)=0,"",IF(OR(D308&lt;=0,E308&lt;0),"ERRO: bases inválidas",IF(E308&gt;D308,"ERRO: presenças acima do previsto",IF(COUNTIFS($A$5:$A$1200,A308,$B$5:$B$1200,B308,$C$5:$C$1200,C308)&gt;1,"ERRO: chave duplicada",IF(COUNTIFS(DISCIPLINAS!$A$5:$A$101,B308,DISCIPLINAS!$B$5:$B$101,C308)=0,"ERRO: disciplina não pertence ao curso","OK")))))</f>
        <v/>
      </c>
    </row>
    <row r="309" ht="15" customHeight="1" s="131">
      <c r="A309" s="220" t="n"/>
      <c r="B309" s="222" t="n"/>
      <c r="C309" s="222" t="n"/>
      <c r="D309" s="220" t="n"/>
      <c r="E309" s="220" t="n"/>
      <c r="F309" s="181">
        <f>IFERROR(E309/D309,"")</f>
        <v/>
      </c>
      <c r="G309" s="219" t="n"/>
      <c r="H309" s="220" t="n"/>
      <c r="I309" s="221">
        <f>IF(COUNTA(A309:E309)=0,"",IF(OR(D309&lt;=0,E309&lt;0),"ERRO: bases inválidas",IF(E309&gt;D309,"ERRO: presenças acima do previsto",IF(COUNTIFS($A$5:$A$1200,A309,$B$5:$B$1200,B309,$C$5:$C$1200,C309)&gt;1,"ERRO: chave duplicada",IF(COUNTIFS(DISCIPLINAS!$A$5:$A$101,B309,DISCIPLINAS!$B$5:$B$101,C309)=0,"ERRO: disciplina não pertence ao curso","OK")))))</f>
        <v/>
      </c>
    </row>
    <row r="310" ht="15" customHeight="1" s="131">
      <c r="A310" s="220" t="n"/>
      <c r="B310" s="222" t="n"/>
      <c r="C310" s="222" t="n"/>
      <c r="D310" s="220" t="n"/>
      <c r="E310" s="220" t="n"/>
      <c r="F310" s="181">
        <f>IFERROR(E310/D310,"")</f>
        <v/>
      </c>
      <c r="G310" s="219" t="n"/>
      <c r="H310" s="220" t="n"/>
      <c r="I310" s="221">
        <f>IF(COUNTA(A310:E310)=0,"",IF(OR(D310&lt;=0,E310&lt;0),"ERRO: bases inválidas",IF(E310&gt;D310,"ERRO: presenças acima do previsto",IF(COUNTIFS($A$5:$A$1200,A310,$B$5:$B$1200,B310,$C$5:$C$1200,C310)&gt;1,"ERRO: chave duplicada",IF(COUNTIFS(DISCIPLINAS!$A$5:$A$101,B310,DISCIPLINAS!$B$5:$B$101,C310)=0,"ERRO: disciplina não pertence ao curso","OK")))))</f>
        <v/>
      </c>
    </row>
    <row r="311" ht="15" customHeight="1" s="131">
      <c r="A311" s="220" t="n"/>
      <c r="B311" s="222" t="n"/>
      <c r="C311" s="222" t="n"/>
      <c r="D311" s="220" t="n"/>
      <c r="E311" s="220" t="n"/>
      <c r="F311" s="181">
        <f>IFERROR(E311/D311,"")</f>
        <v/>
      </c>
      <c r="G311" s="219" t="n"/>
      <c r="H311" s="220" t="n"/>
      <c r="I311" s="221">
        <f>IF(COUNTA(A311:E311)=0,"",IF(OR(D311&lt;=0,E311&lt;0),"ERRO: bases inválidas",IF(E311&gt;D311,"ERRO: presenças acima do previsto",IF(COUNTIFS($A$5:$A$1200,A311,$B$5:$B$1200,B311,$C$5:$C$1200,C311)&gt;1,"ERRO: chave duplicada",IF(COUNTIFS(DISCIPLINAS!$A$5:$A$101,B311,DISCIPLINAS!$B$5:$B$101,C311)=0,"ERRO: disciplina não pertence ao curso","OK")))))</f>
        <v/>
      </c>
    </row>
    <row r="312" ht="15" customHeight="1" s="131">
      <c r="A312" s="220" t="n"/>
      <c r="B312" s="222" t="n"/>
      <c r="C312" s="222" t="n"/>
      <c r="D312" s="220" t="n"/>
      <c r="E312" s="220" t="n"/>
      <c r="F312" s="181">
        <f>IFERROR(E312/D312,"")</f>
        <v/>
      </c>
      <c r="G312" s="219" t="n"/>
      <c r="H312" s="220" t="n"/>
      <c r="I312" s="221">
        <f>IF(COUNTA(A312:E312)=0,"",IF(OR(D312&lt;=0,E312&lt;0),"ERRO: bases inválidas",IF(E312&gt;D312,"ERRO: presenças acima do previsto",IF(COUNTIFS($A$5:$A$1200,A312,$B$5:$B$1200,B312,$C$5:$C$1200,C312)&gt;1,"ERRO: chave duplicada",IF(COUNTIFS(DISCIPLINAS!$A$5:$A$101,B312,DISCIPLINAS!$B$5:$B$101,C312)=0,"ERRO: disciplina não pertence ao curso","OK")))))</f>
        <v/>
      </c>
    </row>
    <row r="313" ht="15" customHeight="1" s="131">
      <c r="A313" s="220" t="n"/>
      <c r="B313" s="222" t="n"/>
      <c r="C313" s="222" t="n"/>
      <c r="D313" s="220" t="n"/>
      <c r="E313" s="220" t="n"/>
      <c r="F313" s="181">
        <f>IFERROR(E313/D313,"")</f>
        <v/>
      </c>
      <c r="G313" s="219" t="n"/>
      <c r="H313" s="220" t="n"/>
      <c r="I313" s="221">
        <f>IF(COUNTA(A313:E313)=0,"",IF(OR(D313&lt;=0,E313&lt;0),"ERRO: bases inválidas",IF(E313&gt;D313,"ERRO: presenças acima do previsto",IF(COUNTIFS($A$5:$A$1200,A313,$B$5:$B$1200,B313,$C$5:$C$1200,C313)&gt;1,"ERRO: chave duplicada",IF(COUNTIFS(DISCIPLINAS!$A$5:$A$101,B313,DISCIPLINAS!$B$5:$B$101,C313)=0,"ERRO: disciplina não pertence ao curso","OK")))))</f>
        <v/>
      </c>
    </row>
    <row r="314" ht="15" customHeight="1" s="131">
      <c r="A314" s="220" t="n"/>
      <c r="B314" s="222" t="n"/>
      <c r="C314" s="222" t="n"/>
      <c r="D314" s="220" t="n"/>
      <c r="E314" s="220" t="n"/>
      <c r="F314" s="181">
        <f>IFERROR(E314/D314,"")</f>
        <v/>
      </c>
      <c r="G314" s="219" t="n"/>
      <c r="H314" s="220" t="n"/>
      <c r="I314" s="221">
        <f>IF(COUNTA(A314:E314)=0,"",IF(OR(D314&lt;=0,E314&lt;0),"ERRO: bases inválidas",IF(E314&gt;D314,"ERRO: presenças acima do previsto",IF(COUNTIFS($A$5:$A$1200,A314,$B$5:$B$1200,B314,$C$5:$C$1200,C314)&gt;1,"ERRO: chave duplicada",IF(COUNTIFS(DISCIPLINAS!$A$5:$A$101,B314,DISCIPLINAS!$B$5:$B$101,C314)=0,"ERRO: disciplina não pertence ao curso","OK")))))</f>
        <v/>
      </c>
    </row>
    <row r="315" ht="15" customHeight="1" s="131">
      <c r="A315" s="220" t="n"/>
      <c r="B315" s="222" t="n"/>
      <c r="C315" s="222" t="n"/>
      <c r="D315" s="220" t="n"/>
      <c r="E315" s="220" t="n"/>
      <c r="F315" s="181">
        <f>IFERROR(E315/D315,"")</f>
        <v/>
      </c>
      <c r="G315" s="219" t="n"/>
      <c r="H315" s="220" t="n"/>
      <c r="I315" s="221">
        <f>IF(COUNTA(A315:E315)=0,"",IF(OR(D315&lt;=0,E315&lt;0),"ERRO: bases inválidas",IF(E315&gt;D315,"ERRO: presenças acima do previsto",IF(COUNTIFS($A$5:$A$1200,A315,$B$5:$B$1200,B315,$C$5:$C$1200,C315)&gt;1,"ERRO: chave duplicada",IF(COUNTIFS(DISCIPLINAS!$A$5:$A$101,B315,DISCIPLINAS!$B$5:$B$101,C315)=0,"ERRO: disciplina não pertence ao curso","OK")))))</f>
        <v/>
      </c>
    </row>
    <row r="316" ht="15" customHeight="1" s="131">
      <c r="A316" s="220" t="n"/>
      <c r="B316" s="222" t="n"/>
      <c r="C316" s="222" t="n"/>
      <c r="D316" s="220" t="n"/>
      <c r="E316" s="220" t="n"/>
      <c r="F316" s="181">
        <f>IFERROR(E316/D316,"")</f>
        <v/>
      </c>
      <c r="G316" s="219" t="n"/>
      <c r="H316" s="220" t="n"/>
      <c r="I316" s="221">
        <f>IF(COUNTA(A316:E316)=0,"",IF(OR(D316&lt;=0,E316&lt;0),"ERRO: bases inválidas",IF(E316&gt;D316,"ERRO: presenças acima do previsto",IF(COUNTIFS($A$5:$A$1200,A316,$B$5:$B$1200,B316,$C$5:$C$1200,C316)&gt;1,"ERRO: chave duplicada",IF(COUNTIFS(DISCIPLINAS!$A$5:$A$101,B316,DISCIPLINAS!$B$5:$B$101,C316)=0,"ERRO: disciplina não pertence ao curso","OK")))))</f>
        <v/>
      </c>
    </row>
    <row r="317" ht="15" customHeight="1" s="131">
      <c r="A317" s="220" t="n"/>
      <c r="B317" s="222" t="n"/>
      <c r="C317" s="222" t="n"/>
      <c r="D317" s="220" t="n"/>
      <c r="E317" s="220" t="n"/>
      <c r="F317" s="181">
        <f>IFERROR(E317/D317,"")</f>
        <v/>
      </c>
      <c r="G317" s="219" t="n"/>
      <c r="H317" s="220" t="n"/>
      <c r="I317" s="221">
        <f>IF(COUNTA(A317:E317)=0,"",IF(OR(D317&lt;=0,E317&lt;0),"ERRO: bases inválidas",IF(E317&gt;D317,"ERRO: presenças acima do previsto",IF(COUNTIFS($A$5:$A$1200,A317,$B$5:$B$1200,B317,$C$5:$C$1200,C317)&gt;1,"ERRO: chave duplicada",IF(COUNTIFS(DISCIPLINAS!$A$5:$A$101,B317,DISCIPLINAS!$B$5:$B$101,C317)=0,"ERRO: disciplina não pertence ao curso","OK")))))</f>
        <v/>
      </c>
    </row>
    <row r="318" ht="15" customHeight="1" s="131">
      <c r="A318" s="220" t="n"/>
      <c r="B318" s="222" t="n"/>
      <c r="C318" s="222" t="n"/>
      <c r="D318" s="220" t="n"/>
      <c r="E318" s="220" t="n"/>
      <c r="F318" s="181">
        <f>IFERROR(E318/D318,"")</f>
        <v/>
      </c>
      <c r="G318" s="219" t="n"/>
      <c r="H318" s="220" t="n"/>
      <c r="I318" s="221">
        <f>IF(COUNTA(A318:E318)=0,"",IF(OR(D318&lt;=0,E318&lt;0),"ERRO: bases inválidas",IF(E318&gt;D318,"ERRO: presenças acima do previsto",IF(COUNTIFS($A$5:$A$1200,A318,$B$5:$B$1200,B318,$C$5:$C$1200,C318)&gt;1,"ERRO: chave duplicada",IF(COUNTIFS(DISCIPLINAS!$A$5:$A$101,B318,DISCIPLINAS!$B$5:$B$101,C318)=0,"ERRO: disciplina não pertence ao curso","OK")))))</f>
        <v/>
      </c>
    </row>
    <row r="319" ht="15" customHeight="1" s="131">
      <c r="A319" s="220" t="n"/>
      <c r="B319" s="222" t="n"/>
      <c r="C319" s="222" t="n"/>
      <c r="D319" s="220" t="n"/>
      <c r="E319" s="220" t="n"/>
      <c r="F319" s="181">
        <f>IFERROR(E319/D319,"")</f>
        <v/>
      </c>
      <c r="G319" s="219" t="n"/>
      <c r="H319" s="220" t="n"/>
      <c r="I319" s="221">
        <f>IF(COUNTA(A319:E319)=0,"",IF(OR(D319&lt;=0,E319&lt;0),"ERRO: bases inválidas",IF(E319&gt;D319,"ERRO: presenças acima do previsto",IF(COUNTIFS($A$5:$A$1200,A319,$B$5:$B$1200,B319,$C$5:$C$1200,C319)&gt;1,"ERRO: chave duplicada",IF(COUNTIFS(DISCIPLINAS!$A$5:$A$101,B319,DISCIPLINAS!$B$5:$B$101,C319)=0,"ERRO: disciplina não pertence ao curso","OK")))))</f>
        <v/>
      </c>
    </row>
    <row r="320" ht="15" customHeight="1" s="131">
      <c r="A320" s="220" t="n"/>
      <c r="B320" s="222" t="n"/>
      <c r="C320" s="222" t="n"/>
      <c r="D320" s="220" t="n"/>
      <c r="E320" s="220" t="n"/>
      <c r="F320" s="181">
        <f>IFERROR(E320/D320,"")</f>
        <v/>
      </c>
      <c r="G320" s="219" t="n"/>
      <c r="H320" s="220" t="n"/>
      <c r="I320" s="221">
        <f>IF(COUNTA(A320:E320)=0,"",IF(OR(D320&lt;=0,E320&lt;0),"ERRO: bases inválidas",IF(E320&gt;D320,"ERRO: presenças acima do previsto",IF(COUNTIFS($A$5:$A$1200,A320,$B$5:$B$1200,B320,$C$5:$C$1200,C320)&gt;1,"ERRO: chave duplicada",IF(COUNTIFS(DISCIPLINAS!$A$5:$A$101,B320,DISCIPLINAS!$B$5:$B$101,C320)=0,"ERRO: disciplina não pertence ao curso","OK")))))</f>
        <v/>
      </c>
    </row>
    <row r="321" ht="15" customHeight="1" s="131">
      <c r="A321" s="220" t="n"/>
      <c r="B321" s="222" t="n"/>
      <c r="C321" s="222" t="n"/>
      <c r="D321" s="220" t="n"/>
      <c r="E321" s="220" t="n"/>
      <c r="F321" s="181">
        <f>IFERROR(E321/D321,"")</f>
        <v/>
      </c>
      <c r="G321" s="219" t="n"/>
      <c r="H321" s="220" t="n"/>
      <c r="I321" s="221">
        <f>IF(COUNTA(A321:E321)=0,"",IF(OR(D321&lt;=0,E321&lt;0),"ERRO: bases inválidas",IF(E321&gt;D321,"ERRO: presenças acima do previsto",IF(COUNTIFS($A$5:$A$1200,A321,$B$5:$B$1200,B321,$C$5:$C$1200,C321)&gt;1,"ERRO: chave duplicada",IF(COUNTIFS(DISCIPLINAS!$A$5:$A$101,B321,DISCIPLINAS!$B$5:$B$101,C321)=0,"ERRO: disciplina não pertence ao curso","OK")))))</f>
        <v/>
      </c>
    </row>
    <row r="322" ht="15" customHeight="1" s="131">
      <c r="A322" s="220" t="n"/>
      <c r="B322" s="222" t="n"/>
      <c r="C322" s="222" t="n"/>
      <c r="D322" s="220" t="n"/>
      <c r="E322" s="220" t="n"/>
      <c r="F322" s="181">
        <f>IFERROR(E322/D322,"")</f>
        <v/>
      </c>
      <c r="G322" s="219" t="n"/>
      <c r="H322" s="220" t="n"/>
      <c r="I322" s="221">
        <f>IF(COUNTA(A322:E322)=0,"",IF(OR(D322&lt;=0,E322&lt;0),"ERRO: bases inválidas",IF(E322&gt;D322,"ERRO: presenças acima do previsto",IF(COUNTIFS($A$5:$A$1200,A322,$B$5:$B$1200,B322,$C$5:$C$1200,C322)&gt;1,"ERRO: chave duplicada",IF(COUNTIFS(DISCIPLINAS!$A$5:$A$101,B322,DISCIPLINAS!$B$5:$B$101,C322)=0,"ERRO: disciplina não pertence ao curso","OK")))))</f>
        <v/>
      </c>
    </row>
    <row r="323" ht="15" customHeight="1" s="131">
      <c r="A323" s="220" t="n"/>
      <c r="B323" s="222" t="n"/>
      <c r="C323" s="222" t="n"/>
      <c r="D323" s="220" t="n"/>
      <c r="E323" s="220" t="n"/>
      <c r="F323" s="181">
        <f>IFERROR(E323/D323,"")</f>
        <v/>
      </c>
      <c r="G323" s="219" t="n"/>
      <c r="H323" s="220" t="n"/>
      <c r="I323" s="221">
        <f>IF(COUNTA(A323:E323)=0,"",IF(OR(D323&lt;=0,E323&lt;0),"ERRO: bases inválidas",IF(E323&gt;D323,"ERRO: presenças acima do previsto",IF(COUNTIFS($A$5:$A$1200,A323,$B$5:$B$1200,B323,$C$5:$C$1200,C323)&gt;1,"ERRO: chave duplicada",IF(COUNTIFS(DISCIPLINAS!$A$5:$A$101,B323,DISCIPLINAS!$B$5:$B$101,C323)=0,"ERRO: disciplina não pertence ao curso","OK")))))</f>
        <v/>
      </c>
    </row>
    <row r="324" ht="15" customHeight="1" s="131">
      <c r="A324" s="220" t="n"/>
      <c r="B324" s="222" t="n"/>
      <c r="C324" s="222" t="n"/>
      <c r="D324" s="220" t="n"/>
      <c r="E324" s="220" t="n"/>
      <c r="F324" s="181">
        <f>IFERROR(E324/D324,"")</f>
        <v/>
      </c>
      <c r="G324" s="219" t="n"/>
      <c r="H324" s="220" t="n"/>
      <c r="I324" s="221">
        <f>IF(COUNTA(A324:E324)=0,"",IF(OR(D324&lt;=0,E324&lt;0),"ERRO: bases inválidas",IF(E324&gt;D324,"ERRO: presenças acima do previsto",IF(COUNTIFS($A$5:$A$1200,A324,$B$5:$B$1200,B324,$C$5:$C$1200,C324)&gt;1,"ERRO: chave duplicada",IF(COUNTIFS(DISCIPLINAS!$A$5:$A$101,B324,DISCIPLINAS!$B$5:$B$101,C324)=0,"ERRO: disciplina não pertence ao curso","OK")))))</f>
        <v/>
      </c>
    </row>
    <row r="325" ht="15" customHeight="1" s="131">
      <c r="A325" s="220" t="n"/>
      <c r="B325" s="222" t="n"/>
      <c r="C325" s="222" t="n"/>
      <c r="D325" s="220" t="n"/>
      <c r="E325" s="220" t="n"/>
      <c r="F325" s="181">
        <f>IFERROR(E325/D325,"")</f>
        <v/>
      </c>
      <c r="G325" s="219" t="n"/>
      <c r="H325" s="220" t="n"/>
      <c r="I325" s="221">
        <f>IF(COUNTA(A325:E325)=0,"",IF(OR(D325&lt;=0,E325&lt;0),"ERRO: bases inválidas",IF(E325&gt;D325,"ERRO: presenças acima do previsto",IF(COUNTIFS($A$5:$A$1200,A325,$B$5:$B$1200,B325,$C$5:$C$1200,C325)&gt;1,"ERRO: chave duplicada",IF(COUNTIFS(DISCIPLINAS!$A$5:$A$101,B325,DISCIPLINAS!$B$5:$B$101,C325)=0,"ERRO: disciplina não pertence ao curso","OK")))))</f>
        <v/>
      </c>
    </row>
    <row r="326" ht="15" customHeight="1" s="131">
      <c r="A326" s="220" t="n"/>
      <c r="B326" s="222" t="n"/>
      <c r="C326" s="222" t="n"/>
      <c r="D326" s="220" t="n"/>
      <c r="E326" s="220" t="n"/>
      <c r="F326" s="181">
        <f>IFERROR(E326/D326,"")</f>
        <v/>
      </c>
      <c r="G326" s="219" t="n"/>
      <c r="H326" s="220" t="n"/>
      <c r="I326" s="221">
        <f>IF(COUNTA(A326:E326)=0,"",IF(OR(D326&lt;=0,E326&lt;0),"ERRO: bases inválidas",IF(E326&gt;D326,"ERRO: presenças acima do previsto",IF(COUNTIFS($A$5:$A$1200,A326,$B$5:$B$1200,B326,$C$5:$C$1200,C326)&gt;1,"ERRO: chave duplicada",IF(COUNTIFS(DISCIPLINAS!$A$5:$A$101,B326,DISCIPLINAS!$B$5:$B$101,C326)=0,"ERRO: disciplina não pertence ao curso","OK")))))</f>
        <v/>
      </c>
    </row>
    <row r="327" ht="15" customHeight="1" s="131">
      <c r="A327" s="220" t="n"/>
      <c r="B327" s="222" t="n"/>
      <c r="C327" s="222" t="n"/>
      <c r="D327" s="220" t="n"/>
      <c r="E327" s="220" t="n"/>
      <c r="F327" s="181">
        <f>IFERROR(E327/D327,"")</f>
        <v/>
      </c>
      <c r="G327" s="219" t="n"/>
      <c r="H327" s="220" t="n"/>
      <c r="I327" s="221">
        <f>IF(COUNTA(A327:E327)=0,"",IF(OR(D327&lt;=0,E327&lt;0),"ERRO: bases inválidas",IF(E327&gt;D327,"ERRO: presenças acima do previsto",IF(COUNTIFS($A$5:$A$1200,A327,$B$5:$B$1200,B327,$C$5:$C$1200,C327)&gt;1,"ERRO: chave duplicada",IF(COUNTIFS(DISCIPLINAS!$A$5:$A$101,B327,DISCIPLINAS!$B$5:$B$101,C327)=0,"ERRO: disciplina não pertence ao curso","OK")))))</f>
        <v/>
      </c>
    </row>
    <row r="328" ht="15" customHeight="1" s="131">
      <c r="A328" s="220" t="n"/>
      <c r="B328" s="222" t="n"/>
      <c r="C328" s="222" t="n"/>
      <c r="D328" s="220" t="n"/>
      <c r="E328" s="220" t="n"/>
      <c r="F328" s="181">
        <f>IFERROR(E328/D328,"")</f>
        <v/>
      </c>
      <c r="G328" s="219" t="n"/>
      <c r="H328" s="220" t="n"/>
      <c r="I328" s="221">
        <f>IF(COUNTA(A328:E328)=0,"",IF(OR(D328&lt;=0,E328&lt;0),"ERRO: bases inválidas",IF(E328&gt;D328,"ERRO: presenças acima do previsto",IF(COUNTIFS($A$5:$A$1200,A328,$B$5:$B$1200,B328,$C$5:$C$1200,C328)&gt;1,"ERRO: chave duplicada",IF(COUNTIFS(DISCIPLINAS!$A$5:$A$101,B328,DISCIPLINAS!$B$5:$B$101,C328)=0,"ERRO: disciplina não pertence ao curso","OK")))))</f>
        <v/>
      </c>
    </row>
    <row r="329" ht="15" customHeight="1" s="131">
      <c r="A329" s="220" t="n"/>
      <c r="B329" s="222" t="n"/>
      <c r="C329" s="222" t="n"/>
      <c r="D329" s="220" t="n"/>
      <c r="E329" s="220" t="n"/>
      <c r="F329" s="181">
        <f>IFERROR(E329/D329,"")</f>
        <v/>
      </c>
      <c r="G329" s="219" t="n"/>
      <c r="H329" s="220" t="n"/>
      <c r="I329" s="221">
        <f>IF(COUNTA(A329:E329)=0,"",IF(OR(D329&lt;=0,E329&lt;0),"ERRO: bases inválidas",IF(E329&gt;D329,"ERRO: presenças acima do previsto",IF(COUNTIFS($A$5:$A$1200,A329,$B$5:$B$1200,B329,$C$5:$C$1200,C329)&gt;1,"ERRO: chave duplicada",IF(COUNTIFS(DISCIPLINAS!$A$5:$A$101,B329,DISCIPLINAS!$B$5:$B$101,C329)=0,"ERRO: disciplina não pertence ao curso","OK")))))</f>
        <v/>
      </c>
    </row>
    <row r="330" ht="15" customHeight="1" s="131">
      <c r="A330" s="220" t="n"/>
      <c r="B330" s="222" t="n"/>
      <c r="C330" s="222" t="n"/>
      <c r="D330" s="220" t="n"/>
      <c r="E330" s="220" t="n"/>
      <c r="F330" s="181">
        <f>IFERROR(E330/D330,"")</f>
        <v/>
      </c>
      <c r="G330" s="219" t="n"/>
      <c r="H330" s="220" t="n"/>
      <c r="I330" s="221">
        <f>IF(COUNTA(A330:E330)=0,"",IF(OR(D330&lt;=0,E330&lt;0),"ERRO: bases inválidas",IF(E330&gt;D330,"ERRO: presenças acima do previsto",IF(COUNTIFS($A$5:$A$1200,A330,$B$5:$B$1200,B330,$C$5:$C$1200,C330)&gt;1,"ERRO: chave duplicada",IF(COUNTIFS(DISCIPLINAS!$A$5:$A$101,B330,DISCIPLINAS!$B$5:$B$101,C330)=0,"ERRO: disciplina não pertence ao curso","OK")))))</f>
        <v/>
      </c>
    </row>
    <row r="331" ht="15" customHeight="1" s="131">
      <c r="A331" s="220" t="n"/>
      <c r="B331" s="222" t="n"/>
      <c r="C331" s="222" t="n"/>
      <c r="D331" s="220" t="n"/>
      <c r="E331" s="220" t="n"/>
      <c r="F331" s="181">
        <f>IFERROR(E331/D331,"")</f>
        <v/>
      </c>
      <c r="G331" s="219" t="n"/>
      <c r="H331" s="220" t="n"/>
      <c r="I331" s="221">
        <f>IF(COUNTA(A331:E331)=0,"",IF(OR(D331&lt;=0,E331&lt;0),"ERRO: bases inválidas",IF(E331&gt;D331,"ERRO: presenças acima do previsto",IF(COUNTIFS($A$5:$A$1200,A331,$B$5:$B$1200,B331,$C$5:$C$1200,C331)&gt;1,"ERRO: chave duplicada",IF(COUNTIFS(DISCIPLINAS!$A$5:$A$101,B331,DISCIPLINAS!$B$5:$B$101,C331)=0,"ERRO: disciplina não pertence ao curso","OK")))))</f>
        <v/>
      </c>
    </row>
    <row r="332" ht="15" customHeight="1" s="131">
      <c r="A332" s="220" t="n"/>
      <c r="B332" s="222" t="n"/>
      <c r="C332" s="222" t="n"/>
      <c r="D332" s="220" t="n"/>
      <c r="E332" s="220" t="n"/>
      <c r="F332" s="181">
        <f>IFERROR(E332/D332,"")</f>
        <v/>
      </c>
      <c r="G332" s="219" t="n"/>
      <c r="H332" s="220" t="n"/>
      <c r="I332" s="221">
        <f>IF(COUNTA(A332:E332)=0,"",IF(OR(D332&lt;=0,E332&lt;0),"ERRO: bases inválidas",IF(E332&gt;D332,"ERRO: presenças acima do previsto",IF(COUNTIFS($A$5:$A$1200,A332,$B$5:$B$1200,B332,$C$5:$C$1200,C332)&gt;1,"ERRO: chave duplicada",IF(COUNTIFS(DISCIPLINAS!$A$5:$A$101,B332,DISCIPLINAS!$B$5:$B$101,C332)=0,"ERRO: disciplina não pertence ao curso","OK")))))</f>
        <v/>
      </c>
    </row>
    <row r="333" ht="15" customHeight="1" s="131">
      <c r="A333" s="220" t="n"/>
      <c r="B333" s="222" t="n"/>
      <c r="C333" s="222" t="n"/>
      <c r="D333" s="220" t="n"/>
      <c r="E333" s="220" t="n"/>
      <c r="F333" s="181">
        <f>IFERROR(E333/D333,"")</f>
        <v/>
      </c>
      <c r="G333" s="219" t="n"/>
      <c r="H333" s="220" t="n"/>
      <c r="I333" s="221">
        <f>IF(COUNTA(A333:E333)=0,"",IF(OR(D333&lt;=0,E333&lt;0),"ERRO: bases inválidas",IF(E333&gt;D333,"ERRO: presenças acima do previsto",IF(COUNTIFS($A$5:$A$1200,A333,$B$5:$B$1200,B333,$C$5:$C$1200,C333)&gt;1,"ERRO: chave duplicada",IF(COUNTIFS(DISCIPLINAS!$A$5:$A$101,B333,DISCIPLINAS!$B$5:$B$101,C333)=0,"ERRO: disciplina não pertence ao curso","OK")))))</f>
        <v/>
      </c>
    </row>
    <row r="334" ht="15" customHeight="1" s="131">
      <c r="A334" s="220" t="n"/>
      <c r="B334" s="222" t="n"/>
      <c r="C334" s="222" t="n"/>
      <c r="D334" s="220" t="n"/>
      <c r="E334" s="220" t="n"/>
      <c r="F334" s="181">
        <f>IFERROR(E334/D334,"")</f>
        <v/>
      </c>
      <c r="G334" s="219" t="n"/>
      <c r="H334" s="220" t="n"/>
      <c r="I334" s="221">
        <f>IF(COUNTA(A334:E334)=0,"",IF(OR(D334&lt;=0,E334&lt;0),"ERRO: bases inválidas",IF(E334&gt;D334,"ERRO: presenças acima do previsto",IF(COUNTIFS($A$5:$A$1200,A334,$B$5:$B$1200,B334,$C$5:$C$1200,C334)&gt;1,"ERRO: chave duplicada",IF(COUNTIFS(DISCIPLINAS!$A$5:$A$101,B334,DISCIPLINAS!$B$5:$B$101,C334)=0,"ERRO: disciplina não pertence ao curso","OK")))))</f>
        <v/>
      </c>
    </row>
    <row r="335" ht="15" customHeight="1" s="131">
      <c r="A335" s="220" t="n"/>
      <c r="B335" s="222" t="n"/>
      <c r="C335" s="222" t="n"/>
      <c r="D335" s="220" t="n"/>
      <c r="E335" s="220" t="n"/>
      <c r="F335" s="181">
        <f>IFERROR(E335/D335,"")</f>
        <v/>
      </c>
      <c r="G335" s="219" t="n"/>
      <c r="H335" s="220" t="n"/>
      <c r="I335" s="221">
        <f>IF(COUNTA(A335:E335)=0,"",IF(OR(D335&lt;=0,E335&lt;0),"ERRO: bases inválidas",IF(E335&gt;D335,"ERRO: presenças acima do previsto",IF(COUNTIFS($A$5:$A$1200,A335,$B$5:$B$1200,B335,$C$5:$C$1200,C335)&gt;1,"ERRO: chave duplicada",IF(COUNTIFS(DISCIPLINAS!$A$5:$A$101,B335,DISCIPLINAS!$B$5:$B$101,C335)=0,"ERRO: disciplina não pertence ao curso","OK")))))</f>
        <v/>
      </c>
    </row>
    <row r="336" ht="15" customHeight="1" s="131">
      <c r="A336" s="220" t="n"/>
      <c r="B336" s="222" t="n"/>
      <c r="C336" s="222" t="n"/>
      <c r="D336" s="220" t="n"/>
      <c r="E336" s="220" t="n"/>
      <c r="F336" s="181">
        <f>IFERROR(E336/D336,"")</f>
        <v/>
      </c>
      <c r="G336" s="219" t="n"/>
      <c r="H336" s="220" t="n"/>
      <c r="I336" s="221">
        <f>IF(COUNTA(A336:E336)=0,"",IF(OR(D336&lt;=0,E336&lt;0),"ERRO: bases inválidas",IF(E336&gt;D336,"ERRO: presenças acima do previsto",IF(COUNTIFS($A$5:$A$1200,A336,$B$5:$B$1200,B336,$C$5:$C$1200,C336)&gt;1,"ERRO: chave duplicada",IF(COUNTIFS(DISCIPLINAS!$A$5:$A$101,B336,DISCIPLINAS!$B$5:$B$101,C336)=0,"ERRO: disciplina não pertence ao curso","OK")))))</f>
        <v/>
      </c>
    </row>
    <row r="337" ht="15" customHeight="1" s="131">
      <c r="A337" s="220" t="n"/>
      <c r="B337" s="222" t="n"/>
      <c r="C337" s="222" t="n"/>
      <c r="D337" s="220" t="n"/>
      <c r="E337" s="220" t="n"/>
      <c r="F337" s="181">
        <f>IFERROR(E337/D337,"")</f>
        <v/>
      </c>
      <c r="G337" s="219" t="n"/>
      <c r="H337" s="220" t="n"/>
      <c r="I337" s="221">
        <f>IF(COUNTA(A337:E337)=0,"",IF(OR(D337&lt;=0,E337&lt;0),"ERRO: bases inválidas",IF(E337&gt;D337,"ERRO: presenças acima do previsto",IF(COUNTIFS($A$5:$A$1200,A337,$B$5:$B$1200,B337,$C$5:$C$1200,C337)&gt;1,"ERRO: chave duplicada",IF(COUNTIFS(DISCIPLINAS!$A$5:$A$101,B337,DISCIPLINAS!$B$5:$B$101,C337)=0,"ERRO: disciplina não pertence ao curso","OK")))))</f>
        <v/>
      </c>
    </row>
    <row r="338" ht="15" customHeight="1" s="131">
      <c r="A338" s="220" t="n"/>
      <c r="B338" s="222" t="n"/>
      <c r="C338" s="222" t="n"/>
      <c r="D338" s="220" t="n"/>
      <c r="E338" s="220" t="n"/>
      <c r="F338" s="181">
        <f>IFERROR(E338/D338,"")</f>
        <v/>
      </c>
      <c r="G338" s="219" t="n"/>
      <c r="H338" s="220" t="n"/>
      <c r="I338" s="221">
        <f>IF(COUNTA(A338:E338)=0,"",IF(OR(D338&lt;=0,E338&lt;0),"ERRO: bases inválidas",IF(E338&gt;D338,"ERRO: presenças acima do previsto",IF(COUNTIFS($A$5:$A$1200,A338,$B$5:$B$1200,B338,$C$5:$C$1200,C338)&gt;1,"ERRO: chave duplicada",IF(COUNTIFS(DISCIPLINAS!$A$5:$A$101,B338,DISCIPLINAS!$B$5:$B$101,C338)=0,"ERRO: disciplina não pertence ao curso","OK")))))</f>
        <v/>
      </c>
    </row>
    <row r="339" ht="15" customHeight="1" s="131">
      <c r="A339" s="220" t="n"/>
      <c r="B339" s="222" t="n"/>
      <c r="C339" s="222" t="n"/>
      <c r="D339" s="220" t="n"/>
      <c r="E339" s="220" t="n"/>
      <c r="F339" s="181">
        <f>IFERROR(E339/D339,"")</f>
        <v/>
      </c>
      <c r="G339" s="219" t="n"/>
      <c r="H339" s="220" t="n"/>
      <c r="I339" s="221">
        <f>IF(COUNTA(A339:E339)=0,"",IF(OR(D339&lt;=0,E339&lt;0),"ERRO: bases inválidas",IF(E339&gt;D339,"ERRO: presenças acima do previsto",IF(COUNTIFS($A$5:$A$1200,A339,$B$5:$B$1200,B339,$C$5:$C$1200,C339)&gt;1,"ERRO: chave duplicada",IF(COUNTIFS(DISCIPLINAS!$A$5:$A$101,B339,DISCIPLINAS!$B$5:$B$101,C339)=0,"ERRO: disciplina não pertence ao curso","OK")))))</f>
        <v/>
      </c>
    </row>
    <row r="340" ht="15" customHeight="1" s="131">
      <c r="A340" s="220" t="n"/>
      <c r="B340" s="222" t="n"/>
      <c r="C340" s="222" t="n"/>
      <c r="D340" s="220" t="n"/>
      <c r="E340" s="220" t="n"/>
      <c r="F340" s="181">
        <f>IFERROR(E340/D340,"")</f>
        <v/>
      </c>
      <c r="G340" s="219" t="n"/>
      <c r="H340" s="220" t="n"/>
      <c r="I340" s="221">
        <f>IF(COUNTA(A340:E340)=0,"",IF(OR(D340&lt;=0,E340&lt;0),"ERRO: bases inválidas",IF(E340&gt;D340,"ERRO: presenças acima do previsto",IF(COUNTIFS($A$5:$A$1200,A340,$B$5:$B$1200,B340,$C$5:$C$1200,C340)&gt;1,"ERRO: chave duplicada",IF(COUNTIFS(DISCIPLINAS!$A$5:$A$101,B340,DISCIPLINAS!$B$5:$B$101,C340)=0,"ERRO: disciplina não pertence ao curso","OK")))))</f>
        <v/>
      </c>
    </row>
    <row r="341" ht="15" customHeight="1" s="131">
      <c r="A341" s="220" t="n"/>
      <c r="B341" s="222" t="n"/>
      <c r="C341" s="222" t="n"/>
      <c r="D341" s="220" t="n"/>
      <c r="E341" s="220" t="n"/>
      <c r="F341" s="181">
        <f>IFERROR(E341/D341,"")</f>
        <v/>
      </c>
      <c r="G341" s="219" t="n"/>
      <c r="H341" s="220" t="n"/>
      <c r="I341" s="221">
        <f>IF(COUNTA(A341:E341)=0,"",IF(OR(D341&lt;=0,E341&lt;0),"ERRO: bases inválidas",IF(E341&gt;D341,"ERRO: presenças acima do previsto",IF(COUNTIFS($A$5:$A$1200,A341,$B$5:$B$1200,B341,$C$5:$C$1200,C341)&gt;1,"ERRO: chave duplicada",IF(COUNTIFS(DISCIPLINAS!$A$5:$A$101,B341,DISCIPLINAS!$B$5:$B$101,C341)=0,"ERRO: disciplina não pertence ao curso","OK")))))</f>
        <v/>
      </c>
    </row>
    <row r="342" ht="15" customHeight="1" s="131">
      <c r="A342" s="220" t="n"/>
      <c r="B342" s="222" t="n"/>
      <c r="C342" s="222" t="n"/>
      <c r="D342" s="220" t="n"/>
      <c r="E342" s="220" t="n"/>
      <c r="F342" s="181">
        <f>IFERROR(E342/D342,"")</f>
        <v/>
      </c>
      <c r="G342" s="219" t="n"/>
      <c r="H342" s="220" t="n"/>
      <c r="I342" s="221">
        <f>IF(COUNTA(A342:E342)=0,"",IF(OR(D342&lt;=0,E342&lt;0),"ERRO: bases inválidas",IF(E342&gt;D342,"ERRO: presenças acima do previsto",IF(COUNTIFS($A$5:$A$1200,A342,$B$5:$B$1200,B342,$C$5:$C$1200,C342)&gt;1,"ERRO: chave duplicada",IF(COUNTIFS(DISCIPLINAS!$A$5:$A$101,B342,DISCIPLINAS!$B$5:$B$101,C342)=0,"ERRO: disciplina não pertence ao curso","OK")))))</f>
        <v/>
      </c>
    </row>
    <row r="343" ht="15" customHeight="1" s="131">
      <c r="A343" s="220" t="n"/>
      <c r="B343" s="222" t="n"/>
      <c r="C343" s="222" t="n"/>
      <c r="D343" s="220" t="n"/>
      <c r="E343" s="220" t="n"/>
      <c r="F343" s="181">
        <f>IFERROR(E343/D343,"")</f>
        <v/>
      </c>
      <c r="G343" s="219" t="n"/>
      <c r="H343" s="220" t="n"/>
      <c r="I343" s="221">
        <f>IF(COUNTA(A343:E343)=0,"",IF(OR(D343&lt;=0,E343&lt;0),"ERRO: bases inválidas",IF(E343&gt;D343,"ERRO: presenças acima do previsto",IF(COUNTIFS($A$5:$A$1200,A343,$B$5:$B$1200,B343,$C$5:$C$1200,C343)&gt;1,"ERRO: chave duplicada",IF(COUNTIFS(DISCIPLINAS!$A$5:$A$101,B343,DISCIPLINAS!$B$5:$B$101,C343)=0,"ERRO: disciplina não pertence ao curso","OK")))))</f>
        <v/>
      </c>
    </row>
    <row r="344" ht="15" customHeight="1" s="131">
      <c r="A344" s="220" t="n"/>
      <c r="B344" s="222" t="n"/>
      <c r="C344" s="222" t="n"/>
      <c r="D344" s="220" t="n"/>
      <c r="E344" s="220" t="n"/>
      <c r="F344" s="181">
        <f>IFERROR(E344/D344,"")</f>
        <v/>
      </c>
      <c r="G344" s="219" t="n"/>
      <c r="H344" s="220" t="n"/>
      <c r="I344" s="221">
        <f>IF(COUNTA(A344:E344)=0,"",IF(OR(D344&lt;=0,E344&lt;0),"ERRO: bases inválidas",IF(E344&gt;D344,"ERRO: presenças acima do previsto",IF(COUNTIFS($A$5:$A$1200,A344,$B$5:$B$1200,B344,$C$5:$C$1200,C344)&gt;1,"ERRO: chave duplicada",IF(COUNTIFS(DISCIPLINAS!$A$5:$A$101,B344,DISCIPLINAS!$B$5:$B$101,C344)=0,"ERRO: disciplina não pertence ao curso","OK")))))</f>
        <v/>
      </c>
    </row>
    <row r="345" ht="15" customHeight="1" s="131">
      <c r="A345" s="220" t="n"/>
      <c r="B345" s="222" t="n"/>
      <c r="C345" s="222" t="n"/>
      <c r="D345" s="220" t="n"/>
      <c r="E345" s="220" t="n"/>
      <c r="F345" s="181">
        <f>IFERROR(E345/D345,"")</f>
        <v/>
      </c>
      <c r="G345" s="219" t="n"/>
      <c r="H345" s="220" t="n"/>
      <c r="I345" s="221">
        <f>IF(COUNTA(A345:E345)=0,"",IF(OR(D345&lt;=0,E345&lt;0),"ERRO: bases inválidas",IF(E345&gt;D345,"ERRO: presenças acima do previsto",IF(COUNTIFS($A$5:$A$1200,A345,$B$5:$B$1200,B345,$C$5:$C$1200,C345)&gt;1,"ERRO: chave duplicada",IF(COUNTIFS(DISCIPLINAS!$A$5:$A$101,B345,DISCIPLINAS!$B$5:$B$101,C345)=0,"ERRO: disciplina não pertence ao curso","OK")))))</f>
        <v/>
      </c>
    </row>
    <row r="346" ht="15" customHeight="1" s="131">
      <c r="A346" s="220" t="n"/>
      <c r="B346" s="222" t="n"/>
      <c r="C346" s="222" t="n"/>
      <c r="D346" s="220" t="n"/>
      <c r="E346" s="220" t="n"/>
      <c r="F346" s="181">
        <f>IFERROR(E346/D346,"")</f>
        <v/>
      </c>
      <c r="G346" s="219" t="n"/>
      <c r="H346" s="220" t="n"/>
      <c r="I346" s="221">
        <f>IF(COUNTA(A346:E346)=0,"",IF(OR(D346&lt;=0,E346&lt;0),"ERRO: bases inválidas",IF(E346&gt;D346,"ERRO: presenças acima do previsto",IF(COUNTIFS($A$5:$A$1200,A346,$B$5:$B$1200,B346,$C$5:$C$1200,C346)&gt;1,"ERRO: chave duplicada",IF(COUNTIFS(DISCIPLINAS!$A$5:$A$101,B346,DISCIPLINAS!$B$5:$B$101,C346)=0,"ERRO: disciplina não pertence ao curso","OK")))))</f>
        <v/>
      </c>
    </row>
    <row r="347" ht="15" customHeight="1" s="131">
      <c r="A347" s="220" t="n"/>
      <c r="B347" s="222" t="n"/>
      <c r="C347" s="222" t="n"/>
      <c r="D347" s="220" t="n"/>
      <c r="E347" s="220" t="n"/>
      <c r="F347" s="181">
        <f>IFERROR(E347/D347,"")</f>
        <v/>
      </c>
      <c r="G347" s="219" t="n"/>
      <c r="H347" s="220" t="n"/>
      <c r="I347" s="221">
        <f>IF(COUNTA(A347:E347)=0,"",IF(OR(D347&lt;=0,E347&lt;0),"ERRO: bases inválidas",IF(E347&gt;D347,"ERRO: presenças acima do previsto",IF(COUNTIFS($A$5:$A$1200,A347,$B$5:$B$1200,B347,$C$5:$C$1200,C347)&gt;1,"ERRO: chave duplicada",IF(COUNTIFS(DISCIPLINAS!$A$5:$A$101,B347,DISCIPLINAS!$B$5:$B$101,C347)=0,"ERRO: disciplina não pertence ao curso","OK")))))</f>
        <v/>
      </c>
    </row>
    <row r="348" ht="15" customHeight="1" s="131">
      <c r="A348" s="220" t="n"/>
      <c r="B348" s="222" t="n"/>
      <c r="C348" s="222" t="n"/>
      <c r="D348" s="220" t="n"/>
      <c r="E348" s="220" t="n"/>
      <c r="F348" s="181">
        <f>IFERROR(E348/D348,"")</f>
        <v/>
      </c>
      <c r="G348" s="219" t="n"/>
      <c r="H348" s="220" t="n"/>
      <c r="I348" s="221">
        <f>IF(COUNTA(A348:E348)=0,"",IF(OR(D348&lt;=0,E348&lt;0),"ERRO: bases inválidas",IF(E348&gt;D348,"ERRO: presenças acima do previsto",IF(COUNTIFS($A$5:$A$1200,A348,$B$5:$B$1200,B348,$C$5:$C$1200,C348)&gt;1,"ERRO: chave duplicada",IF(COUNTIFS(DISCIPLINAS!$A$5:$A$101,B348,DISCIPLINAS!$B$5:$B$101,C348)=0,"ERRO: disciplina não pertence ao curso","OK")))))</f>
        <v/>
      </c>
    </row>
    <row r="349" ht="15" customHeight="1" s="131">
      <c r="A349" s="220" t="n"/>
      <c r="B349" s="222" t="n"/>
      <c r="C349" s="222" t="n"/>
      <c r="D349" s="220" t="n"/>
      <c r="E349" s="220" t="n"/>
      <c r="F349" s="181">
        <f>IFERROR(E349/D349,"")</f>
        <v/>
      </c>
      <c r="G349" s="219" t="n"/>
      <c r="H349" s="220" t="n"/>
      <c r="I349" s="221">
        <f>IF(COUNTA(A349:E349)=0,"",IF(OR(D349&lt;=0,E349&lt;0),"ERRO: bases inválidas",IF(E349&gt;D349,"ERRO: presenças acima do previsto",IF(COUNTIFS($A$5:$A$1200,A349,$B$5:$B$1200,B349,$C$5:$C$1200,C349)&gt;1,"ERRO: chave duplicada",IF(COUNTIFS(DISCIPLINAS!$A$5:$A$101,B349,DISCIPLINAS!$B$5:$B$101,C349)=0,"ERRO: disciplina não pertence ao curso","OK")))))</f>
        <v/>
      </c>
    </row>
    <row r="350" ht="15" customHeight="1" s="131">
      <c r="A350" s="220" t="n"/>
      <c r="B350" s="222" t="n"/>
      <c r="C350" s="222" t="n"/>
      <c r="D350" s="220" t="n"/>
      <c r="E350" s="220" t="n"/>
      <c r="F350" s="181">
        <f>IFERROR(E350/D350,"")</f>
        <v/>
      </c>
      <c r="G350" s="219" t="n"/>
      <c r="H350" s="220" t="n"/>
      <c r="I350" s="221">
        <f>IF(COUNTA(A350:E350)=0,"",IF(OR(D350&lt;=0,E350&lt;0),"ERRO: bases inválidas",IF(E350&gt;D350,"ERRO: presenças acima do previsto",IF(COUNTIFS($A$5:$A$1200,A350,$B$5:$B$1200,B350,$C$5:$C$1200,C350)&gt;1,"ERRO: chave duplicada",IF(COUNTIFS(DISCIPLINAS!$A$5:$A$101,B350,DISCIPLINAS!$B$5:$B$101,C350)=0,"ERRO: disciplina não pertence ao curso","OK")))))</f>
        <v/>
      </c>
    </row>
    <row r="351" ht="15" customHeight="1" s="131">
      <c r="A351" s="220" t="n"/>
      <c r="B351" s="222" t="n"/>
      <c r="C351" s="222" t="n"/>
      <c r="D351" s="220" t="n"/>
      <c r="E351" s="220" t="n"/>
      <c r="F351" s="181">
        <f>IFERROR(E351/D351,"")</f>
        <v/>
      </c>
      <c r="G351" s="219" t="n"/>
      <c r="H351" s="220" t="n"/>
      <c r="I351" s="221">
        <f>IF(COUNTA(A351:E351)=0,"",IF(OR(D351&lt;=0,E351&lt;0),"ERRO: bases inválidas",IF(E351&gt;D351,"ERRO: presenças acima do previsto",IF(COUNTIFS($A$5:$A$1200,A351,$B$5:$B$1200,B351,$C$5:$C$1200,C351)&gt;1,"ERRO: chave duplicada",IF(COUNTIFS(DISCIPLINAS!$A$5:$A$101,B351,DISCIPLINAS!$B$5:$B$101,C351)=0,"ERRO: disciplina não pertence ao curso","OK")))))</f>
        <v/>
      </c>
    </row>
    <row r="352" ht="15" customHeight="1" s="131">
      <c r="A352" s="220" t="n"/>
      <c r="B352" s="222" t="n"/>
      <c r="C352" s="222" t="n"/>
      <c r="D352" s="220" t="n"/>
      <c r="E352" s="220" t="n"/>
      <c r="F352" s="181">
        <f>IFERROR(E352/D352,"")</f>
        <v/>
      </c>
      <c r="G352" s="219" t="n"/>
      <c r="H352" s="220" t="n"/>
      <c r="I352" s="221">
        <f>IF(COUNTA(A352:E352)=0,"",IF(OR(D352&lt;=0,E352&lt;0),"ERRO: bases inválidas",IF(E352&gt;D352,"ERRO: presenças acima do previsto",IF(COUNTIFS($A$5:$A$1200,A352,$B$5:$B$1200,B352,$C$5:$C$1200,C352)&gt;1,"ERRO: chave duplicada",IF(COUNTIFS(DISCIPLINAS!$A$5:$A$101,B352,DISCIPLINAS!$B$5:$B$101,C352)=0,"ERRO: disciplina não pertence ao curso","OK")))))</f>
        <v/>
      </c>
    </row>
    <row r="353" ht="15" customHeight="1" s="131">
      <c r="A353" s="220" t="n"/>
      <c r="B353" s="222" t="n"/>
      <c r="C353" s="222" t="n"/>
      <c r="D353" s="220" t="n"/>
      <c r="E353" s="220" t="n"/>
      <c r="F353" s="181">
        <f>IFERROR(E353/D353,"")</f>
        <v/>
      </c>
      <c r="G353" s="219" t="n"/>
      <c r="H353" s="220" t="n"/>
      <c r="I353" s="221">
        <f>IF(COUNTA(A353:E353)=0,"",IF(OR(D353&lt;=0,E353&lt;0),"ERRO: bases inválidas",IF(E353&gt;D353,"ERRO: presenças acima do previsto",IF(COUNTIFS($A$5:$A$1200,A353,$B$5:$B$1200,B353,$C$5:$C$1200,C353)&gt;1,"ERRO: chave duplicada",IF(COUNTIFS(DISCIPLINAS!$A$5:$A$101,B353,DISCIPLINAS!$B$5:$B$101,C353)=0,"ERRO: disciplina não pertence ao curso","OK")))))</f>
        <v/>
      </c>
    </row>
    <row r="354" ht="15" customHeight="1" s="131">
      <c r="A354" s="220" t="n"/>
      <c r="B354" s="222" t="n"/>
      <c r="C354" s="222" t="n"/>
      <c r="D354" s="220" t="n"/>
      <c r="E354" s="220" t="n"/>
      <c r="F354" s="181">
        <f>IFERROR(E354/D354,"")</f>
        <v/>
      </c>
      <c r="G354" s="219" t="n"/>
      <c r="H354" s="220" t="n"/>
      <c r="I354" s="221">
        <f>IF(COUNTA(A354:E354)=0,"",IF(OR(D354&lt;=0,E354&lt;0),"ERRO: bases inválidas",IF(E354&gt;D354,"ERRO: presenças acima do previsto",IF(COUNTIFS($A$5:$A$1200,A354,$B$5:$B$1200,B354,$C$5:$C$1200,C354)&gt;1,"ERRO: chave duplicada",IF(COUNTIFS(DISCIPLINAS!$A$5:$A$101,B354,DISCIPLINAS!$B$5:$B$101,C354)=0,"ERRO: disciplina não pertence ao curso","OK")))))</f>
        <v/>
      </c>
    </row>
    <row r="355" ht="15" customHeight="1" s="131">
      <c r="A355" s="220" t="n"/>
      <c r="B355" s="222" t="n"/>
      <c r="C355" s="222" t="n"/>
      <c r="D355" s="220" t="n"/>
      <c r="E355" s="220" t="n"/>
      <c r="F355" s="181">
        <f>IFERROR(E355/D355,"")</f>
        <v/>
      </c>
      <c r="G355" s="219" t="n"/>
      <c r="H355" s="220" t="n"/>
      <c r="I355" s="221">
        <f>IF(COUNTA(A355:E355)=0,"",IF(OR(D355&lt;=0,E355&lt;0),"ERRO: bases inválidas",IF(E355&gt;D355,"ERRO: presenças acima do previsto",IF(COUNTIFS($A$5:$A$1200,A355,$B$5:$B$1200,B355,$C$5:$C$1200,C355)&gt;1,"ERRO: chave duplicada",IF(COUNTIFS(DISCIPLINAS!$A$5:$A$101,B355,DISCIPLINAS!$B$5:$B$101,C355)=0,"ERRO: disciplina não pertence ao curso","OK")))))</f>
        <v/>
      </c>
    </row>
    <row r="356" ht="15" customHeight="1" s="131">
      <c r="A356" s="220" t="n"/>
      <c r="B356" s="222" t="n"/>
      <c r="C356" s="222" t="n"/>
      <c r="D356" s="220" t="n"/>
      <c r="E356" s="220" t="n"/>
      <c r="F356" s="181">
        <f>IFERROR(E356/D356,"")</f>
        <v/>
      </c>
      <c r="G356" s="219" t="n"/>
      <c r="H356" s="220" t="n"/>
      <c r="I356" s="221">
        <f>IF(COUNTA(A356:E356)=0,"",IF(OR(D356&lt;=0,E356&lt;0),"ERRO: bases inválidas",IF(E356&gt;D356,"ERRO: presenças acima do previsto",IF(COUNTIFS($A$5:$A$1200,A356,$B$5:$B$1200,B356,$C$5:$C$1200,C356)&gt;1,"ERRO: chave duplicada",IF(COUNTIFS(DISCIPLINAS!$A$5:$A$101,B356,DISCIPLINAS!$B$5:$B$101,C356)=0,"ERRO: disciplina não pertence ao curso","OK")))))</f>
        <v/>
      </c>
    </row>
    <row r="357" ht="15" customHeight="1" s="131">
      <c r="A357" s="220" t="n"/>
      <c r="B357" s="222" t="n"/>
      <c r="C357" s="222" t="n"/>
      <c r="D357" s="220" t="n"/>
      <c r="E357" s="220" t="n"/>
      <c r="F357" s="181">
        <f>IFERROR(E357/D357,"")</f>
        <v/>
      </c>
      <c r="G357" s="219" t="n"/>
      <c r="H357" s="220" t="n"/>
      <c r="I357" s="221">
        <f>IF(COUNTA(A357:E357)=0,"",IF(OR(D357&lt;=0,E357&lt;0),"ERRO: bases inválidas",IF(E357&gt;D357,"ERRO: presenças acima do previsto",IF(COUNTIFS($A$5:$A$1200,A357,$B$5:$B$1200,B357,$C$5:$C$1200,C357)&gt;1,"ERRO: chave duplicada",IF(COUNTIFS(DISCIPLINAS!$A$5:$A$101,B357,DISCIPLINAS!$B$5:$B$101,C357)=0,"ERRO: disciplina não pertence ao curso","OK")))))</f>
        <v/>
      </c>
    </row>
    <row r="358" ht="15" customHeight="1" s="131">
      <c r="A358" s="220" t="n"/>
      <c r="B358" s="222" t="n"/>
      <c r="C358" s="222" t="n"/>
      <c r="D358" s="220" t="n"/>
      <c r="E358" s="220" t="n"/>
      <c r="F358" s="181">
        <f>IFERROR(E358/D358,"")</f>
        <v/>
      </c>
      <c r="G358" s="219" t="n"/>
      <c r="H358" s="220" t="n"/>
      <c r="I358" s="221">
        <f>IF(COUNTA(A358:E358)=0,"",IF(OR(D358&lt;=0,E358&lt;0),"ERRO: bases inválidas",IF(E358&gt;D358,"ERRO: presenças acima do previsto",IF(COUNTIFS($A$5:$A$1200,A358,$B$5:$B$1200,B358,$C$5:$C$1200,C358)&gt;1,"ERRO: chave duplicada",IF(COUNTIFS(DISCIPLINAS!$A$5:$A$101,B358,DISCIPLINAS!$B$5:$B$101,C358)=0,"ERRO: disciplina não pertence ao curso","OK")))))</f>
        <v/>
      </c>
    </row>
    <row r="359" ht="15" customHeight="1" s="131">
      <c r="A359" s="220" t="n"/>
      <c r="B359" s="222" t="n"/>
      <c r="C359" s="222" t="n"/>
      <c r="D359" s="220" t="n"/>
      <c r="E359" s="220" t="n"/>
      <c r="F359" s="181">
        <f>IFERROR(E359/D359,"")</f>
        <v/>
      </c>
      <c r="G359" s="219" t="n"/>
      <c r="H359" s="220" t="n"/>
      <c r="I359" s="221">
        <f>IF(COUNTA(A359:E359)=0,"",IF(OR(D359&lt;=0,E359&lt;0),"ERRO: bases inválidas",IF(E359&gt;D359,"ERRO: presenças acima do previsto",IF(COUNTIFS($A$5:$A$1200,A359,$B$5:$B$1200,B359,$C$5:$C$1200,C359)&gt;1,"ERRO: chave duplicada",IF(COUNTIFS(DISCIPLINAS!$A$5:$A$101,B359,DISCIPLINAS!$B$5:$B$101,C359)=0,"ERRO: disciplina não pertence ao curso","OK")))))</f>
        <v/>
      </c>
    </row>
    <row r="360" ht="15" customHeight="1" s="131">
      <c r="A360" s="220" t="n"/>
      <c r="B360" s="222" t="n"/>
      <c r="C360" s="222" t="n"/>
      <c r="D360" s="220" t="n"/>
      <c r="E360" s="220" t="n"/>
      <c r="F360" s="181">
        <f>IFERROR(E360/D360,"")</f>
        <v/>
      </c>
      <c r="G360" s="219" t="n"/>
      <c r="H360" s="220" t="n"/>
      <c r="I360" s="221">
        <f>IF(COUNTA(A360:E360)=0,"",IF(OR(D360&lt;=0,E360&lt;0),"ERRO: bases inválidas",IF(E360&gt;D360,"ERRO: presenças acima do previsto",IF(COUNTIFS($A$5:$A$1200,A360,$B$5:$B$1200,B360,$C$5:$C$1200,C360)&gt;1,"ERRO: chave duplicada",IF(COUNTIFS(DISCIPLINAS!$A$5:$A$101,B360,DISCIPLINAS!$B$5:$B$101,C360)=0,"ERRO: disciplina não pertence ao curso","OK")))))</f>
        <v/>
      </c>
    </row>
    <row r="361" ht="15" customHeight="1" s="131">
      <c r="A361" s="220" t="n"/>
      <c r="B361" s="222" t="n"/>
      <c r="C361" s="222" t="n"/>
      <c r="D361" s="220" t="n"/>
      <c r="E361" s="220" t="n"/>
      <c r="F361" s="181">
        <f>IFERROR(E361/D361,"")</f>
        <v/>
      </c>
      <c r="G361" s="219" t="n"/>
      <c r="H361" s="220" t="n"/>
      <c r="I361" s="221">
        <f>IF(COUNTA(A361:E361)=0,"",IF(OR(D361&lt;=0,E361&lt;0),"ERRO: bases inválidas",IF(E361&gt;D361,"ERRO: presenças acima do previsto",IF(COUNTIFS($A$5:$A$1200,A361,$B$5:$B$1200,B361,$C$5:$C$1200,C361)&gt;1,"ERRO: chave duplicada",IF(COUNTIFS(DISCIPLINAS!$A$5:$A$101,B361,DISCIPLINAS!$B$5:$B$101,C361)=0,"ERRO: disciplina não pertence ao curso","OK")))))</f>
        <v/>
      </c>
    </row>
    <row r="362" ht="15" customHeight="1" s="131">
      <c r="A362" s="220" t="n"/>
      <c r="B362" s="222" t="n"/>
      <c r="C362" s="222" t="n"/>
      <c r="D362" s="220" t="n"/>
      <c r="E362" s="220" t="n"/>
      <c r="F362" s="181">
        <f>IFERROR(E362/D362,"")</f>
        <v/>
      </c>
      <c r="G362" s="219" t="n"/>
      <c r="H362" s="220" t="n"/>
      <c r="I362" s="221">
        <f>IF(COUNTA(A362:E362)=0,"",IF(OR(D362&lt;=0,E362&lt;0),"ERRO: bases inválidas",IF(E362&gt;D362,"ERRO: presenças acima do previsto",IF(COUNTIFS($A$5:$A$1200,A362,$B$5:$B$1200,B362,$C$5:$C$1200,C362)&gt;1,"ERRO: chave duplicada",IF(COUNTIFS(DISCIPLINAS!$A$5:$A$101,B362,DISCIPLINAS!$B$5:$B$101,C362)=0,"ERRO: disciplina não pertence ao curso","OK")))))</f>
        <v/>
      </c>
    </row>
    <row r="363" ht="15" customHeight="1" s="131">
      <c r="A363" s="220" t="n"/>
      <c r="B363" s="222" t="n"/>
      <c r="C363" s="222" t="n"/>
      <c r="D363" s="220" t="n"/>
      <c r="E363" s="220" t="n"/>
      <c r="F363" s="181">
        <f>IFERROR(E363/D363,"")</f>
        <v/>
      </c>
      <c r="G363" s="219" t="n"/>
      <c r="H363" s="220" t="n"/>
      <c r="I363" s="221">
        <f>IF(COUNTA(A363:E363)=0,"",IF(OR(D363&lt;=0,E363&lt;0),"ERRO: bases inválidas",IF(E363&gt;D363,"ERRO: presenças acima do previsto",IF(COUNTIFS($A$5:$A$1200,A363,$B$5:$B$1200,B363,$C$5:$C$1200,C363)&gt;1,"ERRO: chave duplicada",IF(COUNTIFS(DISCIPLINAS!$A$5:$A$101,B363,DISCIPLINAS!$B$5:$B$101,C363)=0,"ERRO: disciplina não pertence ao curso","OK")))))</f>
        <v/>
      </c>
    </row>
    <row r="364" ht="15" customHeight="1" s="131">
      <c r="A364" s="220" t="n"/>
      <c r="B364" s="222" t="n"/>
      <c r="C364" s="222" t="n"/>
      <c r="D364" s="220" t="n"/>
      <c r="E364" s="220" t="n"/>
      <c r="F364" s="181">
        <f>IFERROR(E364/D364,"")</f>
        <v/>
      </c>
      <c r="G364" s="219" t="n"/>
      <c r="H364" s="220" t="n"/>
      <c r="I364" s="221">
        <f>IF(COUNTA(A364:E364)=0,"",IF(OR(D364&lt;=0,E364&lt;0),"ERRO: bases inválidas",IF(E364&gt;D364,"ERRO: presenças acima do previsto",IF(COUNTIFS($A$5:$A$1200,A364,$B$5:$B$1200,B364,$C$5:$C$1200,C364)&gt;1,"ERRO: chave duplicada",IF(COUNTIFS(DISCIPLINAS!$A$5:$A$101,B364,DISCIPLINAS!$B$5:$B$101,C364)=0,"ERRO: disciplina não pertence ao curso","OK")))))</f>
        <v/>
      </c>
    </row>
    <row r="365" ht="15" customHeight="1" s="131">
      <c r="A365" s="220" t="n"/>
      <c r="B365" s="222" t="n"/>
      <c r="C365" s="222" t="n"/>
      <c r="D365" s="220" t="n"/>
      <c r="E365" s="220" t="n"/>
      <c r="F365" s="181">
        <f>IFERROR(E365/D365,"")</f>
        <v/>
      </c>
      <c r="G365" s="219" t="n"/>
      <c r="H365" s="220" t="n"/>
      <c r="I365" s="221">
        <f>IF(COUNTA(A365:E365)=0,"",IF(OR(D365&lt;=0,E365&lt;0),"ERRO: bases inválidas",IF(E365&gt;D365,"ERRO: presenças acima do previsto",IF(COUNTIFS($A$5:$A$1200,A365,$B$5:$B$1200,B365,$C$5:$C$1200,C365)&gt;1,"ERRO: chave duplicada",IF(COUNTIFS(DISCIPLINAS!$A$5:$A$101,B365,DISCIPLINAS!$B$5:$B$101,C365)=0,"ERRO: disciplina não pertence ao curso","OK")))))</f>
        <v/>
      </c>
    </row>
    <row r="366" ht="15" customHeight="1" s="131">
      <c r="A366" s="220" t="n"/>
      <c r="B366" s="222" t="n"/>
      <c r="C366" s="222" t="n"/>
      <c r="D366" s="220" t="n"/>
      <c r="E366" s="220" t="n"/>
      <c r="F366" s="181">
        <f>IFERROR(E366/D366,"")</f>
        <v/>
      </c>
      <c r="G366" s="219" t="n"/>
      <c r="H366" s="220" t="n"/>
      <c r="I366" s="221">
        <f>IF(COUNTA(A366:E366)=0,"",IF(OR(D366&lt;=0,E366&lt;0),"ERRO: bases inválidas",IF(E366&gt;D366,"ERRO: presenças acima do previsto",IF(COUNTIFS($A$5:$A$1200,A366,$B$5:$B$1200,B366,$C$5:$C$1200,C366)&gt;1,"ERRO: chave duplicada",IF(COUNTIFS(DISCIPLINAS!$A$5:$A$101,B366,DISCIPLINAS!$B$5:$B$101,C366)=0,"ERRO: disciplina não pertence ao curso","OK")))))</f>
        <v/>
      </c>
    </row>
    <row r="367" ht="15" customHeight="1" s="131">
      <c r="A367" s="220" t="n"/>
      <c r="B367" s="222" t="n"/>
      <c r="C367" s="222" t="n"/>
      <c r="D367" s="220" t="n"/>
      <c r="E367" s="220" t="n"/>
      <c r="F367" s="181">
        <f>IFERROR(E367/D367,"")</f>
        <v/>
      </c>
      <c r="G367" s="219" t="n"/>
      <c r="H367" s="220" t="n"/>
      <c r="I367" s="221">
        <f>IF(COUNTA(A367:E367)=0,"",IF(OR(D367&lt;=0,E367&lt;0),"ERRO: bases inválidas",IF(E367&gt;D367,"ERRO: presenças acima do previsto",IF(COUNTIFS($A$5:$A$1200,A367,$B$5:$B$1200,B367,$C$5:$C$1200,C367)&gt;1,"ERRO: chave duplicada",IF(COUNTIFS(DISCIPLINAS!$A$5:$A$101,B367,DISCIPLINAS!$B$5:$B$101,C367)=0,"ERRO: disciplina não pertence ao curso","OK")))))</f>
        <v/>
      </c>
    </row>
    <row r="368" ht="15" customHeight="1" s="131">
      <c r="A368" s="220" t="n"/>
      <c r="B368" s="222" t="n"/>
      <c r="C368" s="222" t="n"/>
      <c r="D368" s="220" t="n"/>
      <c r="E368" s="220" t="n"/>
      <c r="F368" s="181">
        <f>IFERROR(E368/D368,"")</f>
        <v/>
      </c>
      <c r="G368" s="219" t="n"/>
      <c r="H368" s="220" t="n"/>
      <c r="I368" s="221">
        <f>IF(COUNTA(A368:E368)=0,"",IF(OR(D368&lt;=0,E368&lt;0),"ERRO: bases inválidas",IF(E368&gt;D368,"ERRO: presenças acima do previsto",IF(COUNTIFS($A$5:$A$1200,A368,$B$5:$B$1200,B368,$C$5:$C$1200,C368)&gt;1,"ERRO: chave duplicada",IF(COUNTIFS(DISCIPLINAS!$A$5:$A$101,B368,DISCIPLINAS!$B$5:$B$101,C368)=0,"ERRO: disciplina não pertence ao curso","OK")))))</f>
        <v/>
      </c>
    </row>
    <row r="369" ht="15" customHeight="1" s="131">
      <c r="A369" s="220" t="n"/>
      <c r="B369" s="222" t="n"/>
      <c r="C369" s="222" t="n"/>
      <c r="D369" s="220" t="n"/>
      <c r="E369" s="220" t="n"/>
      <c r="F369" s="181">
        <f>IFERROR(E369/D369,"")</f>
        <v/>
      </c>
      <c r="G369" s="219" t="n"/>
      <c r="H369" s="220" t="n"/>
      <c r="I369" s="221">
        <f>IF(COUNTA(A369:E369)=0,"",IF(OR(D369&lt;=0,E369&lt;0),"ERRO: bases inválidas",IF(E369&gt;D369,"ERRO: presenças acima do previsto",IF(COUNTIFS($A$5:$A$1200,A369,$B$5:$B$1200,B369,$C$5:$C$1200,C369)&gt;1,"ERRO: chave duplicada",IF(COUNTIFS(DISCIPLINAS!$A$5:$A$101,B369,DISCIPLINAS!$B$5:$B$101,C369)=0,"ERRO: disciplina não pertence ao curso","OK")))))</f>
        <v/>
      </c>
    </row>
    <row r="370" ht="15" customHeight="1" s="131">
      <c r="A370" s="220" t="n"/>
      <c r="B370" s="222" t="n"/>
      <c r="C370" s="222" t="n"/>
      <c r="D370" s="220" t="n"/>
      <c r="E370" s="220" t="n"/>
      <c r="F370" s="181">
        <f>IFERROR(E370/D370,"")</f>
        <v/>
      </c>
      <c r="G370" s="219" t="n"/>
      <c r="H370" s="220" t="n"/>
      <c r="I370" s="221">
        <f>IF(COUNTA(A370:E370)=0,"",IF(OR(D370&lt;=0,E370&lt;0),"ERRO: bases inválidas",IF(E370&gt;D370,"ERRO: presenças acima do previsto",IF(COUNTIFS($A$5:$A$1200,A370,$B$5:$B$1200,B370,$C$5:$C$1200,C370)&gt;1,"ERRO: chave duplicada",IF(COUNTIFS(DISCIPLINAS!$A$5:$A$101,B370,DISCIPLINAS!$B$5:$B$101,C370)=0,"ERRO: disciplina não pertence ao curso","OK")))))</f>
        <v/>
      </c>
    </row>
    <row r="371" ht="15" customHeight="1" s="131">
      <c r="A371" s="220" t="n"/>
      <c r="B371" s="222" t="n"/>
      <c r="C371" s="222" t="n"/>
      <c r="D371" s="220" t="n"/>
      <c r="E371" s="220" t="n"/>
      <c r="F371" s="181">
        <f>IFERROR(E371/D371,"")</f>
        <v/>
      </c>
      <c r="G371" s="219" t="n"/>
      <c r="H371" s="220" t="n"/>
      <c r="I371" s="221">
        <f>IF(COUNTA(A371:E371)=0,"",IF(OR(D371&lt;=0,E371&lt;0),"ERRO: bases inválidas",IF(E371&gt;D371,"ERRO: presenças acima do previsto",IF(COUNTIFS($A$5:$A$1200,A371,$B$5:$B$1200,B371,$C$5:$C$1200,C371)&gt;1,"ERRO: chave duplicada",IF(COUNTIFS(DISCIPLINAS!$A$5:$A$101,B371,DISCIPLINAS!$B$5:$B$101,C371)=0,"ERRO: disciplina não pertence ao curso","OK")))))</f>
        <v/>
      </c>
    </row>
    <row r="372" ht="15" customHeight="1" s="131">
      <c r="A372" s="220" t="n"/>
      <c r="B372" s="222" t="n"/>
      <c r="C372" s="222" t="n"/>
      <c r="D372" s="220" t="n"/>
      <c r="E372" s="220" t="n"/>
      <c r="F372" s="181">
        <f>IFERROR(E372/D372,"")</f>
        <v/>
      </c>
      <c r="G372" s="219" t="n"/>
      <c r="H372" s="220" t="n"/>
      <c r="I372" s="221">
        <f>IF(COUNTA(A372:E372)=0,"",IF(OR(D372&lt;=0,E372&lt;0),"ERRO: bases inválidas",IF(E372&gt;D372,"ERRO: presenças acima do previsto",IF(COUNTIFS($A$5:$A$1200,A372,$B$5:$B$1200,B372,$C$5:$C$1200,C372)&gt;1,"ERRO: chave duplicada",IF(COUNTIFS(DISCIPLINAS!$A$5:$A$101,B372,DISCIPLINAS!$B$5:$B$101,C372)=0,"ERRO: disciplina não pertence ao curso","OK")))))</f>
        <v/>
      </c>
    </row>
    <row r="373" ht="15" customHeight="1" s="131">
      <c r="A373" s="220" t="n"/>
      <c r="B373" s="222" t="n"/>
      <c r="C373" s="222" t="n"/>
      <c r="D373" s="220" t="n"/>
      <c r="E373" s="220" t="n"/>
      <c r="F373" s="181">
        <f>IFERROR(E373/D373,"")</f>
        <v/>
      </c>
      <c r="G373" s="219" t="n"/>
      <c r="H373" s="220" t="n"/>
      <c r="I373" s="221">
        <f>IF(COUNTA(A373:E373)=0,"",IF(OR(D373&lt;=0,E373&lt;0),"ERRO: bases inválidas",IF(E373&gt;D373,"ERRO: presenças acima do previsto",IF(COUNTIFS($A$5:$A$1200,A373,$B$5:$B$1200,B373,$C$5:$C$1200,C373)&gt;1,"ERRO: chave duplicada",IF(COUNTIFS(DISCIPLINAS!$A$5:$A$101,B373,DISCIPLINAS!$B$5:$B$101,C373)=0,"ERRO: disciplina não pertence ao curso","OK")))))</f>
        <v/>
      </c>
    </row>
    <row r="374" ht="15" customHeight="1" s="131">
      <c r="A374" s="220" t="n"/>
      <c r="B374" s="222" t="n"/>
      <c r="C374" s="222" t="n"/>
      <c r="D374" s="220" t="n"/>
      <c r="E374" s="220" t="n"/>
      <c r="F374" s="181">
        <f>IFERROR(E374/D374,"")</f>
        <v/>
      </c>
      <c r="G374" s="219" t="n"/>
      <c r="H374" s="220" t="n"/>
      <c r="I374" s="221">
        <f>IF(COUNTA(A374:E374)=0,"",IF(OR(D374&lt;=0,E374&lt;0),"ERRO: bases inválidas",IF(E374&gt;D374,"ERRO: presenças acima do previsto",IF(COUNTIFS($A$5:$A$1200,A374,$B$5:$B$1200,B374,$C$5:$C$1200,C374)&gt;1,"ERRO: chave duplicada",IF(COUNTIFS(DISCIPLINAS!$A$5:$A$101,B374,DISCIPLINAS!$B$5:$B$101,C374)=0,"ERRO: disciplina não pertence ao curso","OK")))))</f>
        <v/>
      </c>
    </row>
    <row r="375" ht="15" customHeight="1" s="131">
      <c r="A375" s="220" t="n"/>
      <c r="B375" s="222" t="n"/>
      <c r="C375" s="222" t="n"/>
      <c r="D375" s="220" t="n"/>
      <c r="E375" s="220" t="n"/>
      <c r="F375" s="181">
        <f>IFERROR(E375/D375,"")</f>
        <v/>
      </c>
      <c r="G375" s="219" t="n"/>
      <c r="H375" s="220" t="n"/>
      <c r="I375" s="221">
        <f>IF(COUNTA(A375:E375)=0,"",IF(OR(D375&lt;=0,E375&lt;0),"ERRO: bases inválidas",IF(E375&gt;D375,"ERRO: presenças acima do previsto",IF(COUNTIFS($A$5:$A$1200,A375,$B$5:$B$1200,B375,$C$5:$C$1200,C375)&gt;1,"ERRO: chave duplicada",IF(COUNTIFS(DISCIPLINAS!$A$5:$A$101,B375,DISCIPLINAS!$B$5:$B$101,C375)=0,"ERRO: disciplina não pertence ao curso","OK")))))</f>
        <v/>
      </c>
    </row>
    <row r="376" ht="15" customHeight="1" s="131">
      <c r="A376" s="220" t="n"/>
      <c r="B376" s="222" t="n"/>
      <c r="C376" s="222" t="n"/>
      <c r="D376" s="220" t="n"/>
      <c r="E376" s="220" t="n"/>
      <c r="F376" s="181">
        <f>IFERROR(E376/D376,"")</f>
        <v/>
      </c>
      <c r="G376" s="219" t="n"/>
      <c r="H376" s="220" t="n"/>
      <c r="I376" s="221">
        <f>IF(COUNTA(A376:E376)=0,"",IF(OR(D376&lt;=0,E376&lt;0),"ERRO: bases inválidas",IF(E376&gt;D376,"ERRO: presenças acima do previsto",IF(COUNTIFS($A$5:$A$1200,A376,$B$5:$B$1200,B376,$C$5:$C$1200,C376)&gt;1,"ERRO: chave duplicada",IF(COUNTIFS(DISCIPLINAS!$A$5:$A$101,B376,DISCIPLINAS!$B$5:$B$101,C376)=0,"ERRO: disciplina não pertence ao curso","OK")))))</f>
        <v/>
      </c>
    </row>
    <row r="377" ht="15" customHeight="1" s="131">
      <c r="A377" s="220" t="n"/>
      <c r="B377" s="222" t="n"/>
      <c r="C377" s="222" t="n"/>
      <c r="D377" s="220" t="n"/>
      <c r="E377" s="220" t="n"/>
      <c r="F377" s="181">
        <f>IFERROR(E377/D377,"")</f>
        <v/>
      </c>
      <c r="G377" s="219" t="n"/>
      <c r="H377" s="220" t="n"/>
      <c r="I377" s="221">
        <f>IF(COUNTA(A377:E377)=0,"",IF(OR(D377&lt;=0,E377&lt;0),"ERRO: bases inválidas",IF(E377&gt;D377,"ERRO: presenças acima do previsto",IF(COUNTIFS($A$5:$A$1200,A377,$B$5:$B$1200,B377,$C$5:$C$1200,C377)&gt;1,"ERRO: chave duplicada",IF(COUNTIFS(DISCIPLINAS!$A$5:$A$101,B377,DISCIPLINAS!$B$5:$B$101,C377)=0,"ERRO: disciplina não pertence ao curso","OK")))))</f>
        <v/>
      </c>
    </row>
    <row r="378" ht="15" customHeight="1" s="131">
      <c r="A378" s="220" t="n"/>
      <c r="B378" s="222" t="n"/>
      <c r="C378" s="222" t="n"/>
      <c r="D378" s="220" t="n"/>
      <c r="E378" s="220" t="n"/>
      <c r="F378" s="181">
        <f>IFERROR(E378/D378,"")</f>
        <v/>
      </c>
      <c r="G378" s="219" t="n"/>
      <c r="H378" s="220" t="n"/>
      <c r="I378" s="221">
        <f>IF(COUNTA(A378:E378)=0,"",IF(OR(D378&lt;=0,E378&lt;0),"ERRO: bases inválidas",IF(E378&gt;D378,"ERRO: presenças acima do previsto",IF(COUNTIFS($A$5:$A$1200,A378,$B$5:$B$1200,B378,$C$5:$C$1200,C378)&gt;1,"ERRO: chave duplicada",IF(COUNTIFS(DISCIPLINAS!$A$5:$A$101,B378,DISCIPLINAS!$B$5:$B$101,C378)=0,"ERRO: disciplina não pertence ao curso","OK")))))</f>
        <v/>
      </c>
    </row>
    <row r="379" ht="15" customHeight="1" s="131">
      <c r="A379" s="220" t="n"/>
      <c r="B379" s="222" t="n"/>
      <c r="C379" s="222" t="n"/>
      <c r="D379" s="220" t="n"/>
      <c r="E379" s="220" t="n"/>
      <c r="F379" s="181">
        <f>IFERROR(E379/D379,"")</f>
        <v/>
      </c>
      <c r="G379" s="219" t="n"/>
      <c r="H379" s="220" t="n"/>
      <c r="I379" s="221">
        <f>IF(COUNTA(A379:E379)=0,"",IF(OR(D379&lt;=0,E379&lt;0),"ERRO: bases inválidas",IF(E379&gt;D379,"ERRO: presenças acima do previsto",IF(COUNTIFS($A$5:$A$1200,A379,$B$5:$B$1200,B379,$C$5:$C$1200,C379)&gt;1,"ERRO: chave duplicada",IF(COUNTIFS(DISCIPLINAS!$A$5:$A$101,B379,DISCIPLINAS!$B$5:$B$101,C379)=0,"ERRO: disciplina não pertence ao curso","OK")))))</f>
        <v/>
      </c>
    </row>
    <row r="380" ht="15" customHeight="1" s="131">
      <c r="A380" s="220" t="n"/>
      <c r="B380" s="222" t="n"/>
      <c r="C380" s="222" t="n"/>
      <c r="D380" s="220" t="n"/>
      <c r="E380" s="220" t="n"/>
      <c r="F380" s="181">
        <f>IFERROR(E380/D380,"")</f>
        <v/>
      </c>
      <c r="G380" s="219" t="n"/>
      <c r="H380" s="220" t="n"/>
      <c r="I380" s="221">
        <f>IF(COUNTA(A380:E380)=0,"",IF(OR(D380&lt;=0,E380&lt;0),"ERRO: bases inválidas",IF(E380&gt;D380,"ERRO: presenças acima do previsto",IF(COUNTIFS($A$5:$A$1200,A380,$B$5:$B$1200,B380,$C$5:$C$1200,C380)&gt;1,"ERRO: chave duplicada",IF(COUNTIFS(DISCIPLINAS!$A$5:$A$101,B380,DISCIPLINAS!$B$5:$B$101,C380)=0,"ERRO: disciplina não pertence ao curso","OK")))))</f>
        <v/>
      </c>
    </row>
    <row r="381" ht="15" customHeight="1" s="131">
      <c r="A381" s="220" t="n"/>
      <c r="B381" s="222" t="n"/>
      <c r="C381" s="222" t="n"/>
      <c r="D381" s="220" t="n"/>
      <c r="E381" s="220" t="n"/>
      <c r="F381" s="181">
        <f>IFERROR(E381/D381,"")</f>
        <v/>
      </c>
      <c r="G381" s="219" t="n"/>
      <c r="H381" s="220" t="n"/>
      <c r="I381" s="221">
        <f>IF(COUNTA(A381:E381)=0,"",IF(OR(D381&lt;=0,E381&lt;0),"ERRO: bases inválidas",IF(E381&gt;D381,"ERRO: presenças acima do previsto",IF(COUNTIFS($A$5:$A$1200,A381,$B$5:$B$1200,B381,$C$5:$C$1200,C381)&gt;1,"ERRO: chave duplicada",IF(COUNTIFS(DISCIPLINAS!$A$5:$A$101,B381,DISCIPLINAS!$B$5:$B$101,C381)=0,"ERRO: disciplina não pertence ao curso","OK")))))</f>
        <v/>
      </c>
    </row>
    <row r="382" ht="15" customHeight="1" s="131">
      <c r="A382" s="220" t="n"/>
      <c r="B382" s="222" t="n"/>
      <c r="C382" s="222" t="n"/>
      <c r="D382" s="220" t="n"/>
      <c r="E382" s="220" t="n"/>
      <c r="F382" s="181">
        <f>IFERROR(E382/D382,"")</f>
        <v/>
      </c>
      <c r="G382" s="219" t="n"/>
      <c r="H382" s="220" t="n"/>
      <c r="I382" s="221">
        <f>IF(COUNTA(A382:E382)=0,"",IF(OR(D382&lt;=0,E382&lt;0),"ERRO: bases inválidas",IF(E382&gt;D382,"ERRO: presenças acima do previsto",IF(COUNTIFS($A$5:$A$1200,A382,$B$5:$B$1200,B382,$C$5:$C$1200,C382)&gt;1,"ERRO: chave duplicada",IF(COUNTIFS(DISCIPLINAS!$A$5:$A$101,B382,DISCIPLINAS!$B$5:$B$101,C382)=0,"ERRO: disciplina não pertence ao curso","OK")))))</f>
        <v/>
      </c>
    </row>
    <row r="383" ht="15" customHeight="1" s="131">
      <c r="A383" s="220" t="n"/>
      <c r="B383" s="222" t="n"/>
      <c r="C383" s="222" t="n"/>
      <c r="D383" s="220" t="n"/>
      <c r="E383" s="220" t="n"/>
      <c r="F383" s="181">
        <f>IFERROR(E383/D383,"")</f>
        <v/>
      </c>
      <c r="G383" s="219" t="n"/>
      <c r="H383" s="220" t="n"/>
      <c r="I383" s="221">
        <f>IF(COUNTA(A383:E383)=0,"",IF(OR(D383&lt;=0,E383&lt;0),"ERRO: bases inválidas",IF(E383&gt;D383,"ERRO: presenças acima do previsto",IF(COUNTIFS($A$5:$A$1200,A383,$B$5:$B$1200,B383,$C$5:$C$1200,C383)&gt;1,"ERRO: chave duplicada",IF(COUNTIFS(DISCIPLINAS!$A$5:$A$101,B383,DISCIPLINAS!$B$5:$B$101,C383)=0,"ERRO: disciplina não pertence ao curso","OK")))))</f>
        <v/>
      </c>
    </row>
    <row r="384" ht="15" customHeight="1" s="131">
      <c r="A384" s="220" t="n"/>
      <c r="B384" s="222" t="n"/>
      <c r="C384" s="222" t="n"/>
      <c r="D384" s="220" t="n"/>
      <c r="E384" s="220" t="n"/>
      <c r="F384" s="181">
        <f>IFERROR(E384/D384,"")</f>
        <v/>
      </c>
      <c r="G384" s="219" t="n"/>
      <c r="H384" s="220" t="n"/>
      <c r="I384" s="221">
        <f>IF(COUNTA(A384:E384)=0,"",IF(OR(D384&lt;=0,E384&lt;0),"ERRO: bases inválidas",IF(E384&gt;D384,"ERRO: presenças acima do previsto",IF(COUNTIFS($A$5:$A$1200,A384,$B$5:$B$1200,B384,$C$5:$C$1200,C384)&gt;1,"ERRO: chave duplicada",IF(COUNTIFS(DISCIPLINAS!$A$5:$A$101,B384,DISCIPLINAS!$B$5:$B$101,C384)=0,"ERRO: disciplina não pertence ao curso","OK")))))</f>
        <v/>
      </c>
    </row>
    <row r="385" ht="15" customHeight="1" s="131">
      <c r="A385" s="220" t="n"/>
      <c r="B385" s="222" t="n"/>
      <c r="C385" s="222" t="n"/>
      <c r="D385" s="220" t="n"/>
      <c r="E385" s="220" t="n"/>
      <c r="F385" s="181">
        <f>IFERROR(E385/D385,"")</f>
        <v/>
      </c>
      <c r="G385" s="219" t="n"/>
      <c r="H385" s="220" t="n"/>
      <c r="I385" s="221">
        <f>IF(COUNTA(A385:E385)=0,"",IF(OR(D385&lt;=0,E385&lt;0),"ERRO: bases inválidas",IF(E385&gt;D385,"ERRO: presenças acima do previsto",IF(COUNTIFS($A$5:$A$1200,A385,$B$5:$B$1200,B385,$C$5:$C$1200,C385)&gt;1,"ERRO: chave duplicada",IF(COUNTIFS(DISCIPLINAS!$A$5:$A$101,B385,DISCIPLINAS!$B$5:$B$101,C385)=0,"ERRO: disciplina não pertence ao curso","OK")))))</f>
        <v/>
      </c>
    </row>
    <row r="386" ht="15" customHeight="1" s="131">
      <c r="A386" s="220" t="n"/>
      <c r="B386" s="222" t="n"/>
      <c r="C386" s="222" t="n"/>
      <c r="D386" s="220" t="n"/>
      <c r="E386" s="220" t="n"/>
      <c r="F386" s="181">
        <f>IFERROR(E386/D386,"")</f>
        <v/>
      </c>
      <c r="G386" s="219" t="n"/>
      <c r="H386" s="220" t="n"/>
      <c r="I386" s="221">
        <f>IF(COUNTA(A386:E386)=0,"",IF(OR(D386&lt;=0,E386&lt;0),"ERRO: bases inválidas",IF(E386&gt;D386,"ERRO: presenças acima do previsto",IF(COUNTIFS($A$5:$A$1200,A386,$B$5:$B$1200,B386,$C$5:$C$1200,C386)&gt;1,"ERRO: chave duplicada",IF(COUNTIFS(DISCIPLINAS!$A$5:$A$101,B386,DISCIPLINAS!$B$5:$B$101,C386)=0,"ERRO: disciplina não pertence ao curso","OK")))))</f>
        <v/>
      </c>
    </row>
    <row r="387" ht="15" customHeight="1" s="131">
      <c r="A387" s="220" t="n"/>
      <c r="B387" s="222" t="n"/>
      <c r="C387" s="222" t="n"/>
      <c r="D387" s="220" t="n"/>
      <c r="E387" s="220" t="n"/>
      <c r="F387" s="181">
        <f>IFERROR(E387/D387,"")</f>
        <v/>
      </c>
      <c r="G387" s="219" t="n"/>
      <c r="H387" s="220" t="n"/>
      <c r="I387" s="221">
        <f>IF(COUNTA(A387:E387)=0,"",IF(OR(D387&lt;=0,E387&lt;0),"ERRO: bases inválidas",IF(E387&gt;D387,"ERRO: presenças acima do previsto",IF(COUNTIFS($A$5:$A$1200,A387,$B$5:$B$1200,B387,$C$5:$C$1200,C387)&gt;1,"ERRO: chave duplicada",IF(COUNTIFS(DISCIPLINAS!$A$5:$A$101,B387,DISCIPLINAS!$B$5:$B$101,C387)=0,"ERRO: disciplina não pertence ao curso","OK")))))</f>
        <v/>
      </c>
    </row>
    <row r="388" ht="15" customHeight="1" s="131">
      <c r="A388" s="220" t="n"/>
      <c r="B388" s="222" t="n"/>
      <c r="C388" s="222" t="n"/>
      <c r="D388" s="220" t="n"/>
      <c r="E388" s="220" t="n"/>
      <c r="F388" s="181">
        <f>IFERROR(E388/D388,"")</f>
        <v/>
      </c>
      <c r="G388" s="219" t="n"/>
      <c r="H388" s="220" t="n"/>
      <c r="I388" s="221">
        <f>IF(COUNTA(A388:E388)=0,"",IF(OR(D388&lt;=0,E388&lt;0),"ERRO: bases inválidas",IF(E388&gt;D388,"ERRO: presenças acima do previsto",IF(COUNTIFS($A$5:$A$1200,A388,$B$5:$B$1200,B388,$C$5:$C$1200,C388)&gt;1,"ERRO: chave duplicada",IF(COUNTIFS(DISCIPLINAS!$A$5:$A$101,B388,DISCIPLINAS!$B$5:$B$101,C388)=0,"ERRO: disciplina não pertence ao curso","OK")))))</f>
        <v/>
      </c>
    </row>
    <row r="389" ht="15" customHeight="1" s="131">
      <c r="A389" s="220" t="n"/>
      <c r="B389" s="222" t="n"/>
      <c r="C389" s="222" t="n"/>
      <c r="D389" s="220" t="n"/>
      <c r="E389" s="220" t="n"/>
      <c r="F389" s="181">
        <f>IFERROR(E389/D389,"")</f>
        <v/>
      </c>
      <c r="G389" s="219" t="n"/>
      <c r="H389" s="220" t="n"/>
      <c r="I389" s="221">
        <f>IF(COUNTA(A389:E389)=0,"",IF(OR(D389&lt;=0,E389&lt;0),"ERRO: bases inválidas",IF(E389&gt;D389,"ERRO: presenças acima do previsto",IF(COUNTIFS($A$5:$A$1200,A389,$B$5:$B$1200,B389,$C$5:$C$1200,C389)&gt;1,"ERRO: chave duplicada",IF(COUNTIFS(DISCIPLINAS!$A$5:$A$101,B389,DISCIPLINAS!$B$5:$B$101,C389)=0,"ERRO: disciplina não pertence ao curso","OK")))))</f>
        <v/>
      </c>
    </row>
    <row r="390" ht="15" customHeight="1" s="131">
      <c r="A390" s="220" t="n"/>
      <c r="B390" s="222" t="n"/>
      <c r="C390" s="222" t="n"/>
      <c r="D390" s="220" t="n"/>
      <c r="E390" s="220" t="n"/>
      <c r="F390" s="181">
        <f>IFERROR(E390/D390,"")</f>
        <v/>
      </c>
      <c r="G390" s="219" t="n"/>
      <c r="H390" s="220" t="n"/>
      <c r="I390" s="221">
        <f>IF(COUNTA(A390:E390)=0,"",IF(OR(D390&lt;=0,E390&lt;0),"ERRO: bases inválidas",IF(E390&gt;D390,"ERRO: presenças acima do previsto",IF(COUNTIFS($A$5:$A$1200,A390,$B$5:$B$1200,B390,$C$5:$C$1200,C390)&gt;1,"ERRO: chave duplicada",IF(COUNTIFS(DISCIPLINAS!$A$5:$A$101,B390,DISCIPLINAS!$B$5:$B$101,C390)=0,"ERRO: disciplina não pertence ao curso","OK")))))</f>
        <v/>
      </c>
    </row>
    <row r="391" ht="15" customHeight="1" s="131">
      <c r="A391" s="220" t="n"/>
      <c r="B391" s="222" t="n"/>
      <c r="C391" s="222" t="n"/>
      <c r="D391" s="220" t="n"/>
      <c r="E391" s="220" t="n"/>
      <c r="F391" s="181">
        <f>IFERROR(E391/D391,"")</f>
        <v/>
      </c>
      <c r="G391" s="219" t="n"/>
      <c r="H391" s="220" t="n"/>
      <c r="I391" s="221">
        <f>IF(COUNTA(A391:E391)=0,"",IF(OR(D391&lt;=0,E391&lt;0),"ERRO: bases inválidas",IF(E391&gt;D391,"ERRO: presenças acima do previsto",IF(COUNTIFS($A$5:$A$1200,A391,$B$5:$B$1200,B391,$C$5:$C$1200,C391)&gt;1,"ERRO: chave duplicada",IF(COUNTIFS(DISCIPLINAS!$A$5:$A$101,B391,DISCIPLINAS!$B$5:$B$101,C391)=0,"ERRO: disciplina não pertence ao curso","OK")))))</f>
        <v/>
      </c>
    </row>
    <row r="392" ht="15" customHeight="1" s="131">
      <c r="A392" s="220" t="n"/>
      <c r="B392" s="222" t="n"/>
      <c r="C392" s="222" t="n"/>
      <c r="D392" s="220" t="n"/>
      <c r="E392" s="220" t="n"/>
      <c r="F392" s="181">
        <f>IFERROR(E392/D392,"")</f>
        <v/>
      </c>
      <c r="G392" s="219" t="n"/>
      <c r="H392" s="220" t="n"/>
      <c r="I392" s="221">
        <f>IF(COUNTA(A392:E392)=0,"",IF(OR(D392&lt;=0,E392&lt;0),"ERRO: bases inválidas",IF(E392&gt;D392,"ERRO: presenças acima do previsto",IF(COUNTIFS($A$5:$A$1200,A392,$B$5:$B$1200,B392,$C$5:$C$1200,C392)&gt;1,"ERRO: chave duplicada",IF(COUNTIFS(DISCIPLINAS!$A$5:$A$101,B392,DISCIPLINAS!$B$5:$B$101,C392)=0,"ERRO: disciplina não pertence ao curso","OK")))))</f>
        <v/>
      </c>
    </row>
    <row r="393" ht="15" customHeight="1" s="131">
      <c r="A393" s="220" t="n"/>
      <c r="B393" s="222" t="n"/>
      <c r="C393" s="222" t="n"/>
      <c r="D393" s="220" t="n"/>
      <c r="E393" s="220" t="n"/>
      <c r="F393" s="181">
        <f>IFERROR(E393/D393,"")</f>
        <v/>
      </c>
      <c r="G393" s="219" t="n"/>
      <c r="H393" s="220" t="n"/>
      <c r="I393" s="221">
        <f>IF(COUNTA(A393:E393)=0,"",IF(OR(D393&lt;=0,E393&lt;0),"ERRO: bases inválidas",IF(E393&gt;D393,"ERRO: presenças acima do previsto",IF(COUNTIFS($A$5:$A$1200,A393,$B$5:$B$1200,B393,$C$5:$C$1200,C393)&gt;1,"ERRO: chave duplicada",IF(COUNTIFS(DISCIPLINAS!$A$5:$A$101,B393,DISCIPLINAS!$B$5:$B$101,C393)=0,"ERRO: disciplina não pertence ao curso","OK")))))</f>
        <v/>
      </c>
    </row>
    <row r="394" ht="15" customHeight="1" s="131">
      <c r="A394" s="220" t="n"/>
      <c r="B394" s="222" t="n"/>
      <c r="C394" s="222" t="n"/>
      <c r="D394" s="220" t="n"/>
      <c r="E394" s="220" t="n"/>
      <c r="F394" s="181">
        <f>IFERROR(E394/D394,"")</f>
        <v/>
      </c>
      <c r="G394" s="219" t="n"/>
      <c r="H394" s="220" t="n"/>
      <c r="I394" s="221">
        <f>IF(COUNTA(A394:E394)=0,"",IF(OR(D394&lt;=0,E394&lt;0),"ERRO: bases inválidas",IF(E394&gt;D394,"ERRO: presenças acima do previsto",IF(COUNTIFS($A$5:$A$1200,A394,$B$5:$B$1200,B394,$C$5:$C$1200,C394)&gt;1,"ERRO: chave duplicada",IF(COUNTIFS(DISCIPLINAS!$A$5:$A$101,B394,DISCIPLINAS!$B$5:$B$101,C394)=0,"ERRO: disciplina não pertence ao curso","OK")))))</f>
        <v/>
      </c>
    </row>
    <row r="395" ht="15" customHeight="1" s="131">
      <c r="A395" s="220" t="n"/>
      <c r="B395" s="222" t="n"/>
      <c r="C395" s="222" t="n"/>
      <c r="D395" s="220" t="n"/>
      <c r="E395" s="220" t="n"/>
      <c r="F395" s="181">
        <f>IFERROR(E395/D395,"")</f>
        <v/>
      </c>
      <c r="G395" s="219" t="n"/>
      <c r="H395" s="220" t="n"/>
      <c r="I395" s="221">
        <f>IF(COUNTA(A395:E395)=0,"",IF(OR(D395&lt;=0,E395&lt;0),"ERRO: bases inválidas",IF(E395&gt;D395,"ERRO: presenças acima do previsto",IF(COUNTIFS($A$5:$A$1200,A395,$B$5:$B$1200,B395,$C$5:$C$1200,C395)&gt;1,"ERRO: chave duplicada",IF(COUNTIFS(DISCIPLINAS!$A$5:$A$101,B395,DISCIPLINAS!$B$5:$B$101,C395)=0,"ERRO: disciplina não pertence ao curso","OK")))))</f>
        <v/>
      </c>
    </row>
    <row r="396" ht="15" customHeight="1" s="131">
      <c r="A396" s="220" t="n"/>
      <c r="B396" s="222" t="n"/>
      <c r="C396" s="222" t="n"/>
      <c r="D396" s="220" t="n"/>
      <c r="E396" s="220" t="n"/>
      <c r="F396" s="181">
        <f>IFERROR(E396/D396,"")</f>
        <v/>
      </c>
      <c r="G396" s="219" t="n"/>
      <c r="H396" s="220" t="n"/>
      <c r="I396" s="221">
        <f>IF(COUNTA(A396:E396)=0,"",IF(OR(D396&lt;=0,E396&lt;0),"ERRO: bases inválidas",IF(E396&gt;D396,"ERRO: presenças acima do previsto",IF(COUNTIFS($A$5:$A$1200,A396,$B$5:$B$1200,B396,$C$5:$C$1200,C396)&gt;1,"ERRO: chave duplicada",IF(COUNTIFS(DISCIPLINAS!$A$5:$A$101,B396,DISCIPLINAS!$B$5:$B$101,C396)=0,"ERRO: disciplina não pertence ao curso","OK")))))</f>
        <v/>
      </c>
    </row>
    <row r="397" ht="15" customHeight="1" s="131">
      <c r="A397" s="220" t="n"/>
      <c r="B397" s="222" t="n"/>
      <c r="C397" s="222" t="n"/>
      <c r="D397" s="220" t="n"/>
      <c r="E397" s="220" t="n"/>
      <c r="F397" s="181">
        <f>IFERROR(E397/D397,"")</f>
        <v/>
      </c>
      <c r="G397" s="219" t="n"/>
      <c r="H397" s="220" t="n"/>
      <c r="I397" s="221">
        <f>IF(COUNTA(A397:E397)=0,"",IF(OR(D397&lt;=0,E397&lt;0),"ERRO: bases inválidas",IF(E397&gt;D397,"ERRO: presenças acima do previsto",IF(COUNTIFS($A$5:$A$1200,A397,$B$5:$B$1200,B397,$C$5:$C$1200,C397)&gt;1,"ERRO: chave duplicada",IF(COUNTIFS(DISCIPLINAS!$A$5:$A$101,B397,DISCIPLINAS!$B$5:$B$101,C397)=0,"ERRO: disciplina não pertence ao curso","OK")))))</f>
        <v/>
      </c>
    </row>
    <row r="398" ht="15" customHeight="1" s="131">
      <c r="A398" s="220" t="n"/>
      <c r="B398" s="222" t="n"/>
      <c r="C398" s="222" t="n"/>
      <c r="D398" s="220" t="n"/>
      <c r="E398" s="220" t="n"/>
      <c r="F398" s="181">
        <f>IFERROR(E398/D398,"")</f>
        <v/>
      </c>
      <c r="G398" s="219" t="n"/>
      <c r="H398" s="220" t="n"/>
      <c r="I398" s="221">
        <f>IF(COUNTA(A398:E398)=0,"",IF(OR(D398&lt;=0,E398&lt;0),"ERRO: bases inválidas",IF(E398&gt;D398,"ERRO: presenças acima do previsto",IF(COUNTIFS($A$5:$A$1200,A398,$B$5:$B$1200,B398,$C$5:$C$1200,C398)&gt;1,"ERRO: chave duplicada",IF(COUNTIFS(DISCIPLINAS!$A$5:$A$101,B398,DISCIPLINAS!$B$5:$B$101,C398)=0,"ERRO: disciplina não pertence ao curso","OK")))))</f>
        <v/>
      </c>
    </row>
    <row r="399" ht="15" customHeight="1" s="131">
      <c r="A399" s="220" t="n"/>
      <c r="B399" s="222" t="n"/>
      <c r="C399" s="222" t="n"/>
      <c r="D399" s="220" t="n"/>
      <c r="E399" s="220" t="n"/>
      <c r="F399" s="181">
        <f>IFERROR(E399/D399,"")</f>
        <v/>
      </c>
      <c r="G399" s="219" t="n"/>
      <c r="H399" s="220" t="n"/>
      <c r="I399" s="221">
        <f>IF(COUNTA(A399:E399)=0,"",IF(OR(D399&lt;=0,E399&lt;0),"ERRO: bases inválidas",IF(E399&gt;D399,"ERRO: presenças acima do previsto",IF(COUNTIFS($A$5:$A$1200,A399,$B$5:$B$1200,B399,$C$5:$C$1200,C399)&gt;1,"ERRO: chave duplicada",IF(COUNTIFS(DISCIPLINAS!$A$5:$A$101,B399,DISCIPLINAS!$B$5:$B$101,C399)=0,"ERRO: disciplina não pertence ao curso","OK")))))</f>
        <v/>
      </c>
    </row>
    <row r="400" ht="15" customHeight="1" s="131">
      <c r="A400" s="220" t="n"/>
      <c r="B400" s="222" t="n"/>
      <c r="C400" s="222" t="n"/>
      <c r="D400" s="220" t="n"/>
      <c r="E400" s="220" t="n"/>
      <c r="F400" s="181">
        <f>IFERROR(E400/D400,"")</f>
        <v/>
      </c>
      <c r="G400" s="219" t="n"/>
      <c r="H400" s="220" t="n"/>
      <c r="I400" s="221">
        <f>IF(COUNTA(A400:E400)=0,"",IF(OR(D400&lt;=0,E400&lt;0),"ERRO: bases inválidas",IF(E400&gt;D400,"ERRO: presenças acima do previsto",IF(COUNTIFS($A$5:$A$1200,A400,$B$5:$B$1200,B400,$C$5:$C$1200,C400)&gt;1,"ERRO: chave duplicada",IF(COUNTIFS(DISCIPLINAS!$A$5:$A$101,B400,DISCIPLINAS!$B$5:$B$101,C400)=0,"ERRO: disciplina não pertence ao curso","OK")))))</f>
        <v/>
      </c>
    </row>
    <row r="401" ht="15" customHeight="1" s="131">
      <c r="A401" s="220" t="n"/>
      <c r="B401" s="222" t="n"/>
      <c r="C401" s="222" t="n"/>
      <c r="D401" s="220" t="n"/>
      <c r="E401" s="220" t="n"/>
      <c r="F401" s="181">
        <f>IFERROR(E401/D401,"")</f>
        <v/>
      </c>
      <c r="G401" s="219" t="n"/>
      <c r="H401" s="220" t="n"/>
      <c r="I401" s="221">
        <f>IF(COUNTA(A401:E401)=0,"",IF(OR(D401&lt;=0,E401&lt;0),"ERRO: bases inválidas",IF(E401&gt;D401,"ERRO: presenças acima do previsto",IF(COUNTIFS($A$5:$A$1200,A401,$B$5:$B$1200,B401,$C$5:$C$1200,C401)&gt;1,"ERRO: chave duplicada",IF(COUNTIFS(DISCIPLINAS!$A$5:$A$101,B401,DISCIPLINAS!$B$5:$B$101,C401)=0,"ERRO: disciplina não pertence ao curso","OK")))))</f>
        <v/>
      </c>
    </row>
    <row r="402" ht="15" customHeight="1" s="131">
      <c r="A402" s="220" t="n"/>
      <c r="B402" s="222" t="n"/>
      <c r="C402" s="222" t="n"/>
      <c r="D402" s="220" t="n"/>
      <c r="E402" s="220" t="n"/>
      <c r="F402" s="181">
        <f>IFERROR(E402/D402,"")</f>
        <v/>
      </c>
      <c r="G402" s="219" t="n"/>
      <c r="H402" s="220" t="n"/>
      <c r="I402" s="221">
        <f>IF(COUNTA(A402:E402)=0,"",IF(OR(D402&lt;=0,E402&lt;0),"ERRO: bases inválidas",IF(E402&gt;D402,"ERRO: presenças acima do previsto",IF(COUNTIFS($A$5:$A$1200,A402,$B$5:$B$1200,B402,$C$5:$C$1200,C402)&gt;1,"ERRO: chave duplicada",IF(COUNTIFS(DISCIPLINAS!$A$5:$A$101,B402,DISCIPLINAS!$B$5:$B$101,C402)=0,"ERRO: disciplina não pertence ao curso","OK")))))</f>
        <v/>
      </c>
    </row>
    <row r="403" ht="15" customHeight="1" s="131">
      <c r="A403" s="220" t="n"/>
      <c r="B403" s="222" t="n"/>
      <c r="C403" s="222" t="n"/>
      <c r="D403" s="220" t="n"/>
      <c r="E403" s="220" t="n"/>
      <c r="F403" s="181">
        <f>IFERROR(E403/D403,"")</f>
        <v/>
      </c>
      <c r="G403" s="219" t="n"/>
      <c r="H403" s="220" t="n"/>
      <c r="I403" s="221">
        <f>IF(COUNTA(A403:E403)=0,"",IF(OR(D403&lt;=0,E403&lt;0),"ERRO: bases inválidas",IF(E403&gt;D403,"ERRO: presenças acima do previsto",IF(COUNTIFS($A$5:$A$1200,A403,$B$5:$B$1200,B403,$C$5:$C$1200,C403)&gt;1,"ERRO: chave duplicada",IF(COUNTIFS(DISCIPLINAS!$A$5:$A$101,B403,DISCIPLINAS!$B$5:$B$101,C403)=0,"ERRO: disciplina não pertence ao curso","OK")))))</f>
        <v/>
      </c>
    </row>
    <row r="404" ht="15" customHeight="1" s="131">
      <c r="A404" s="220" t="n"/>
      <c r="B404" s="222" t="n"/>
      <c r="C404" s="222" t="n"/>
      <c r="D404" s="220" t="n"/>
      <c r="E404" s="220" t="n"/>
      <c r="F404" s="181">
        <f>IFERROR(E404/D404,"")</f>
        <v/>
      </c>
      <c r="G404" s="219" t="n"/>
      <c r="H404" s="220" t="n"/>
      <c r="I404" s="221">
        <f>IF(COUNTA(A404:E404)=0,"",IF(OR(D404&lt;=0,E404&lt;0),"ERRO: bases inválidas",IF(E404&gt;D404,"ERRO: presenças acima do previsto",IF(COUNTIFS($A$5:$A$1200,A404,$B$5:$B$1200,B404,$C$5:$C$1200,C404)&gt;1,"ERRO: chave duplicada",IF(COUNTIFS(DISCIPLINAS!$A$5:$A$101,B404,DISCIPLINAS!$B$5:$B$101,C404)=0,"ERRO: disciplina não pertence ao curso","OK")))))</f>
        <v/>
      </c>
    </row>
    <row r="405" ht="15" customHeight="1" s="131">
      <c r="A405" s="220" t="n"/>
      <c r="B405" s="222" t="n"/>
      <c r="C405" s="222" t="n"/>
      <c r="D405" s="220" t="n"/>
      <c r="E405" s="220" t="n"/>
      <c r="F405" s="181">
        <f>IFERROR(E405/D405,"")</f>
        <v/>
      </c>
      <c r="G405" s="219" t="n"/>
      <c r="H405" s="220" t="n"/>
      <c r="I405" s="221">
        <f>IF(COUNTA(A405:E405)=0,"",IF(OR(D405&lt;=0,E405&lt;0),"ERRO: bases inválidas",IF(E405&gt;D405,"ERRO: presenças acima do previsto",IF(COUNTIFS($A$5:$A$1200,A405,$B$5:$B$1200,B405,$C$5:$C$1200,C405)&gt;1,"ERRO: chave duplicada",IF(COUNTIFS(DISCIPLINAS!$A$5:$A$101,B405,DISCIPLINAS!$B$5:$B$101,C405)=0,"ERRO: disciplina não pertence ao curso","OK")))))</f>
        <v/>
      </c>
    </row>
    <row r="406" ht="15" customHeight="1" s="131">
      <c r="A406" s="220" t="n"/>
      <c r="B406" s="222" t="n"/>
      <c r="C406" s="222" t="n"/>
      <c r="D406" s="220" t="n"/>
      <c r="E406" s="220" t="n"/>
      <c r="F406" s="181">
        <f>IFERROR(E406/D406,"")</f>
        <v/>
      </c>
      <c r="G406" s="219" t="n"/>
      <c r="H406" s="220" t="n"/>
      <c r="I406" s="221">
        <f>IF(COUNTA(A406:E406)=0,"",IF(OR(D406&lt;=0,E406&lt;0),"ERRO: bases inválidas",IF(E406&gt;D406,"ERRO: presenças acima do previsto",IF(COUNTIFS($A$5:$A$1200,A406,$B$5:$B$1200,B406,$C$5:$C$1200,C406)&gt;1,"ERRO: chave duplicada",IF(COUNTIFS(DISCIPLINAS!$A$5:$A$101,B406,DISCIPLINAS!$B$5:$B$101,C406)=0,"ERRO: disciplina não pertence ao curso","OK")))))</f>
        <v/>
      </c>
    </row>
    <row r="407" ht="15" customHeight="1" s="131">
      <c r="A407" s="220" t="n"/>
      <c r="B407" s="222" t="n"/>
      <c r="C407" s="222" t="n"/>
      <c r="D407" s="220" t="n"/>
      <c r="E407" s="220" t="n"/>
      <c r="F407" s="181">
        <f>IFERROR(E407/D407,"")</f>
        <v/>
      </c>
      <c r="G407" s="219" t="n"/>
      <c r="H407" s="220" t="n"/>
      <c r="I407" s="221">
        <f>IF(COUNTA(A407:E407)=0,"",IF(OR(D407&lt;=0,E407&lt;0),"ERRO: bases inválidas",IF(E407&gt;D407,"ERRO: presenças acima do previsto",IF(COUNTIFS($A$5:$A$1200,A407,$B$5:$B$1200,B407,$C$5:$C$1200,C407)&gt;1,"ERRO: chave duplicada",IF(COUNTIFS(DISCIPLINAS!$A$5:$A$101,B407,DISCIPLINAS!$B$5:$B$101,C407)=0,"ERRO: disciplina não pertence ao curso","OK")))))</f>
        <v/>
      </c>
    </row>
    <row r="408" ht="15" customHeight="1" s="131">
      <c r="A408" s="220" t="n"/>
      <c r="B408" s="222" t="n"/>
      <c r="C408" s="222" t="n"/>
      <c r="D408" s="220" t="n"/>
      <c r="E408" s="220" t="n"/>
      <c r="F408" s="181">
        <f>IFERROR(E408/D408,"")</f>
        <v/>
      </c>
      <c r="G408" s="219" t="n"/>
      <c r="H408" s="220" t="n"/>
      <c r="I408" s="221">
        <f>IF(COUNTA(A408:E408)=0,"",IF(OR(D408&lt;=0,E408&lt;0),"ERRO: bases inválidas",IF(E408&gt;D408,"ERRO: presenças acima do previsto",IF(COUNTIFS($A$5:$A$1200,A408,$B$5:$B$1200,B408,$C$5:$C$1200,C408)&gt;1,"ERRO: chave duplicada",IF(COUNTIFS(DISCIPLINAS!$A$5:$A$101,B408,DISCIPLINAS!$B$5:$B$101,C408)=0,"ERRO: disciplina não pertence ao curso","OK")))))</f>
        <v/>
      </c>
    </row>
    <row r="409" ht="15" customHeight="1" s="131">
      <c r="A409" s="220" t="n"/>
      <c r="B409" s="222" t="n"/>
      <c r="C409" s="222" t="n"/>
      <c r="D409" s="220" t="n"/>
      <c r="E409" s="220" t="n"/>
      <c r="F409" s="181">
        <f>IFERROR(E409/D409,"")</f>
        <v/>
      </c>
      <c r="G409" s="219" t="n"/>
      <c r="H409" s="220" t="n"/>
      <c r="I409" s="221">
        <f>IF(COUNTA(A409:E409)=0,"",IF(OR(D409&lt;=0,E409&lt;0),"ERRO: bases inválidas",IF(E409&gt;D409,"ERRO: presenças acima do previsto",IF(COUNTIFS($A$5:$A$1200,A409,$B$5:$B$1200,B409,$C$5:$C$1200,C409)&gt;1,"ERRO: chave duplicada",IF(COUNTIFS(DISCIPLINAS!$A$5:$A$101,B409,DISCIPLINAS!$B$5:$B$101,C409)=0,"ERRO: disciplina não pertence ao curso","OK")))))</f>
        <v/>
      </c>
    </row>
    <row r="410" ht="15" customHeight="1" s="131">
      <c r="A410" s="220" t="n"/>
      <c r="B410" s="222" t="n"/>
      <c r="C410" s="222" t="n"/>
      <c r="D410" s="220" t="n"/>
      <c r="E410" s="220" t="n"/>
      <c r="F410" s="181">
        <f>IFERROR(E410/D410,"")</f>
        <v/>
      </c>
      <c r="G410" s="219" t="n"/>
      <c r="H410" s="220" t="n"/>
      <c r="I410" s="221">
        <f>IF(COUNTA(A410:E410)=0,"",IF(OR(D410&lt;=0,E410&lt;0),"ERRO: bases inválidas",IF(E410&gt;D410,"ERRO: presenças acima do previsto",IF(COUNTIFS($A$5:$A$1200,A410,$B$5:$B$1200,B410,$C$5:$C$1200,C410)&gt;1,"ERRO: chave duplicada",IF(COUNTIFS(DISCIPLINAS!$A$5:$A$101,B410,DISCIPLINAS!$B$5:$B$101,C410)=0,"ERRO: disciplina não pertence ao curso","OK")))))</f>
        <v/>
      </c>
    </row>
    <row r="411" ht="15" customHeight="1" s="131">
      <c r="A411" s="220" t="n"/>
      <c r="B411" s="222" t="n"/>
      <c r="C411" s="222" t="n"/>
      <c r="D411" s="220" t="n"/>
      <c r="E411" s="220" t="n"/>
      <c r="F411" s="181">
        <f>IFERROR(E411/D411,"")</f>
        <v/>
      </c>
      <c r="G411" s="219" t="n"/>
      <c r="H411" s="220" t="n"/>
      <c r="I411" s="221">
        <f>IF(COUNTA(A411:E411)=0,"",IF(OR(D411&lt;=0,E411&lt;0),"ERRO: bases inválidas",IF(E411&gt;D411,"ERRO: presenças acima do previsto",IF(COUNTIFS($A$5:$A$1200,A411,$B$5:$B$1200,B411,$C$5:$C$1200,C411)&gt;1,"ERRO: chave duplicada",IF(COUNTIFS(DISCIPLINAS!$A$5:$A$101,B411,DISCIPLINAS!$B$5:$B$101,C411)=0,"ERRO: disciplina não pertence ao curso","OK")))))</f>
        <v/>
      </c>
    </row>
    <row r="412" ht="15" customHeight="1" s="131">
      <c r="A412" s="220" t="n"/>
      <c r="B412" s="222" t="n"/>
      <c r="C412" s="222" t="n"/>
      <c r="D412" s="220" t="n"/>
      <c r="E412" s="220" t="n"/>
      <c r="F412" s="181">
        <f>IFERROR(E412/D412,"")</f>
        <v/>
      </c>
      <c r="G412" s="219" t="n"/>
      <c r="H412" s="220" t="n"/>
      <c r="I412" s="221">
        <f>IF(COUNTA(A412:E412)=0,"",IF(OR(D412&lt;=0,E412&lt;0),"ERRO: bases inválidas",IF(E412&gt;D412,"ERRO: presenças acima do previsto",IF(COUNTIFS($A$5:$A$1200,A412,$B$5:$B$1200,B412,$C$5:$C$1200,C412)&gt;1,"ERRO: chave duplicada",IF(COUNTIFS(DISCIPLINAS!$A$5:$A$101,B412,DISCIPLINAS!$B$5:$B$101,C412)=0,"ERRO: disciplina não pertence ao curso","OK")))))</f>
        <v/>
      </c>
    </row>
    <row r="413" ht="15" customHeight="1" s="131">
      <c r="A413" s="220" t="n"/>
      <c r="B413" s="222" t="n"/>
      <c r="C413" s="222" t="n"/>
      <c r="D413" s="220" t="n"/>
      <c r="E413" s="220" t="n"/>
      <c r="F413" s="181">
        <f>IFERROR(E413/D413,"")</f>
        <v/>
      </c>
      <c r="G413" s="219" t="n"/>
      <c r="H413" s="220" t="n"/>
      <c r="I413" s="221">
        <f>IF(COUNTA(A413:E413)=0,"",IF(OR(D413&lt;=0,E413&lt;0),"ERRO: bases inválidas",IF(E413&gt;D413,"ERRO: presenças acima do previsto",IF(COUNTIFS($A$5:$A$1200,A413,$B$5:$B$1200,B413,$C$5:$C$1200,C413)&gt;1,"ERRO: chave duplicada",IF(COUNTIFS(DISCIPLINAS!$A$5:$A$101,B413,DISCIPLINAS!$B$5:$B$101,C413)=0,"ERRO: disciplina não pertence ao curso","OK")))))</f>
        <v/>
      </c>
    </row>
    <row r="414" ht="15" customHeight="1" s="131">
      <c r="A414" s="220" t="n"/>
      <c r="B414" s="222" t="n"/>
      <c r="C414" s="222" t="n"/>
      <c r="D414" s="220" t="n"/>
      <c r="E414" s="220" t="n"/>
      <c r="F414" s="181">
        <f>IFERROR(E414/D414,"")</f>
        <v/>
      </c>
      <c r="G414" s="219" t="n"/>
      <c r="H414" s="220" t="n"/>
      <c r="I414" s="221">
        <f>IF(COUNTA(A414:E414)=0,"",IF(OR(D414&lt;=0,E414&lt;0),"ERRO: bases inválidas",IF(E414&gt;D414,"ERRO: presenças acima do previsto",IF(COUNTIFS($A$5:$A$1200,A414,$B$5:$B$1200,B414,$C$5:$C$1200,C414)&gt;1,"ERRO: chave duplicada",IF(COUNTIFS(DISCIPLINAS!$A$5:$A$101,B414,DISCIPLINAS!$B$5:$B$101,C414)=0,"ERRO: disciplina não pertence ao curso","OK")))))</f>
        <v/>
      </c>
    </row>
    <row r="415" ht="15" customHeight="1" s="131">
      <c r="A415" s="220" t="n"/>
      <c r="B415" s="222" t="n"/>
      <c r="C415" s="222" t="n"/>
      <c r="D415" s="220" t="n"/>
      <c r="E415" s="220" t="n"/>
      <c r="F415" s="181">
        <f>IFERROR(E415/D415,"")</f>
        <v/>
      </c>
      <c r="G415" s="219" t="n"/>
      <c r="H415" s="220" t="n"/>
      <c r="I415" s="221">
        <f>IF(COUNTA(A415:E415)=0,"",IF(OR(D415&lt;=0,E415&lt;0),"ERRO: bases inválidas",IF(E415&gt;D415,"ERRO: presenças acima do previsto",IF(COUNTIFS($A$5:$A$1200,A415,$B$5:$B$1200,B415,$C$5:$C$1200,C415)&gt;1,"ERRO: chave duplicada",IF(COUNTIFS(DISCIPLINAS!$A$5:$A$101,B415,DISCIPLINAS!$B$5:$B$101,C415)=0,"ERRO: disciplina não pertence ao curso","OK")))))</f>
        <v/>
      </c>
    </row>
    <row r="416" ht="15" customHeight="1" s="131">
      <c r="A416" s="220" t="n"/>
      <c r="B416" s="222" t="n"/>
      <c r="C416" s="222" t="n"/>
      <c r="D416" s="220" t="n"/>
      <c r="E416" s="220" t="n"/>
      <c r="F416" s="181">
        <f>IFERROR(E416/D416,"")</f>
        <v/>
      </c>
      <c r="G416" s="219" t="n"/>
      <c r="H416" s="220" t="n"/>
      <c r="I416" s="221">
        <f>IF(COUNTA(A416:E416)=0,"",IF(OR(D416&lt;=0,E416&lt;0),"ERRO: bases inválidas",IF(E416&gt;D416,"ERRO: presenças acima do previsto",IF(COUNTIFS($A$5:$A$1200,A416,$B$5:$B$1200,B416,$C$5:$C$1200,C416)&gt;1,"ERRO: chave duplicada",IF(COUNTIFS(DISCIPLINAS!$A$5:$A$101,B416,DISCIPLINAS!$B$5:$B$101,C416)=0,"ERRO: disciplina não pertence ao curso","OK")))))</f>
        <v/>
      </c>
    </row>
    <row r="417" ht="15" customHeight="1" s="131">
      <c r="A417" s="220" t="n"/>
      <c r="B417" s="222" t="n"/>
      <c r="C417" s="222" t="n"/>
      <c r="D417" s="220" t="n"/>
      <c r="E417" s="220" t="n"/>
      <c r="F417" s="181">
        <f>IFERROR(E417/D417,"")</f>
        <v/>
      </c>
      <c r="G417" s="219" t="n"/>
      <c r="H417" s="220" t="n"/>
      <c r="I417" s="221">
        <f>IF(COUNTA(A417:E417)=0,"",IF(OR(D417&lt;=0,E417&lt;0),"ERRO: bases inválidas",IF(E417&gt;D417,"ERRO: presenças acima do previsto",IF(COUNTIFS($A$5:$A$1200,A417,$B$5:$B$1200,B417,$C$5:$C$1200,C417)&gt;1,"ERRO: chave duplicada",IF(COUNTIFS(DISCIPLINAS!$A$5:$A$101,B417,DISCIPLINAS!$B$5:$B$101,C417)=0,"ERRO: disciplina não pertence ao curso","OK")))))</f>
        <v/>
      </c>
    </row>
    <row r="418" ht="15" customHeight="1" s="131">
      <c r="A418" s="220" t="n"/>
      <c r="B418" s="222" t="n"/>
      <c r="C418" s="222" t="n"/>
      <c r="D418" s="220" t="n"/>
      <c r="E418" s="220" t="n"/>
      <c r="F418" s="181">
        <f>IFERROR(E418/D418,"")</f>
        <v/>
      </c>
      <c r="G418" s="219" t="n"/>
      <c r="H418" s="220" t="n"/>
      <c r="I418" s="221">
        <f>IF(COUNTA(A418:E418)=0,"",IF(OR(D418&lt;=0,E418&lt;0),"ERRO: bases inválidas",IF(E418&gt;D418,"ERRO: presenças acima do previsto",IF(COUNTIFS($A$5:$A$1200,A418,$B$5:$B$1200,B418,$C$5:$C$1200,C418)&gt;1,"ERRO: chave duplicada",IF(COUNTIFS(DISCIPLINAS!$A$5:$A$101,B418,DISCIPLINAS!$B$5:$B$101,C418)=0,"ERRO: disciplina não pertence ao curso","OK")))))</f>
        <v/>
      </c>
    </row>
    <row r="419" ht="15" customHeight="1" s="131">
      <c r="A419" s="220" t="n"/>
      <c r="B419" s="222" t="n"/>
      <c r="C419" s="222" t="n"/>
      <c r="D419" s="220" t="n"/>
      <c r="E419" s="220" t="n"/>
      <c r="F419" s="181">
        <f>IFERROR(E419/D419,"")</f>
        <v/>
      </c>
      <c r="G419" s="219" t="n"/>
      <c r="H419" s="220" t="n"/>
      <c r="I419" s="221">
        <f>IF(COUNTA(A419:E419)=0,"",IF(OR(D419&lt;=0,E419&lt;0),"ERRO: bases inválidas",IF(E419&gt;D419,"ERRO: presenças acima do previsto",IF(COUNTIFS($A$5:$A$1200,A419,$B$5:$B$1200,B419,$C$5:$C$1200,C419)&gt;1,"ERRO: chave duplicada",IF(COUNTIFS(DISCIPLINAS!$A$5:$A$101,B419,DISCIPLINAS!$B$5:$B$101,C419)=0,"ERRO: disciplina não pertence ao curso","OK")))))</f>
        <v/>
      </c>
    </row>
    <row r="420" ht="15" customHeight="1" s="131">
      <c r="A420" s="220" t="n"/>
      <c r="B420" s="222" t="n"/>
      <c r="C420" s="222" t="n"/>
      <c r="D420" s="220" t="n"/>
      <c r="E420" s="220" t="n"/>
      <c r="F420" s="181">
        <f>IFERROR(E420/D420,"")</f>
        <v/>
      </c>
      <c r="G420" s="219" t="n"/>
      <c r="H420" s="220" t="n"/>
      <c r="I420" s="221">
        <f>IF(COUNTA(A420:E420)=0,"",IF(OR(D420&lt;=0,E420&lt;0),"ERRO: bases inválidas",IF(E420&gt;D420,"ERRO: presenças acima do previsto",IF(COUNTIFS($A$5:$A$1200,A420,$B$5:$B$1200,B420,$C$5:$C$1200,C420)&gt;1,"ERRO: chave duplicada",IF(COUNTIFS(DISCIPLINAS!$A$5:$A$101,B420,DISCIPLINAS!$B$5:$B$101,C420)=0,"ERRO: disciplina não pertence ao curso","OK")))))</f>
        <v/>
      </c>
    </row>
    <row r="421" ht="15" customHeight="1" s="131">
      <c r="A421" s="220" t="n"/>
      <c r="B421" s="222" t="n"/>
      <c r="C421" s="222" t="n"/>
      <c r="D421" s="220" t="n"/>
      <c r="E421" s="220" t="n"/>
      <c r="F421" s="181">
        <f>IFERROR(E421/D421,"")</f>
        <v/>
      </c>
      <c r="G421" s="219" t="n"/>
      <c r="H421" s="220" t="n"/>
      <c r="I421" s="221">
        <f>IF(COUNTA(A421:E421)=0,"",IF(OR(D421&lt;=0,E421&lt;0),"ERRO: bases inválidas",IF(E421&gt;D421,"ERRO: presenças acima do previsto",IF(COUNTIFS($A$5:$A$1200,A421,$B$5:$B$1200,B421,$C$5:$C$1200,C421)&gt;1,"ERRO: chave duplicada",IF(COUNTIFS(DISCIPLINAS!$A$5:$A$101,B421,DISCIPLINAS!$B$5:$B$101,C421)=0,"ERRO: disciplina não pertence ao curso","OK")))))</f>
        <v/>
      </c>
    </row>
    <row r="422" ht="15" customHeight="1" s="131">
      <c r="A422" s="220" t="n"/>
      <c r="B422" s="222" t="n"/>
      <c r="C422" s="222" t="n"/>
      <c r="D422" s="220" t="n"/>
      <c r="E422" s="220" t="n"/>
      <c r="F422" s="181">
        <f>IFERROR(E422/D422,"")</f>
        <v/>
      </c>
      <c r="G422" s="219" t="n"/>
      <c r="H422" s="220" t="n"/>
      <c r="I422" s="221">
        <f>IF(COUNTA(A422:E422)=0,"",IF(OR(D422&lt;=0,E422&lt;0),"ERRO: bases inválidas",IF(E422&gt;D422,"ERRO: presenças acima do previsto",IF(COUNTIFS($A$5:$A$1200,A422,$B$5:$B$1200,B422,$C$5:$C$1200,C422)&gt;1,"ERRO: chave duplicada",IF(COUNTIFS(DISCIPLINAS!$A$5:$A$101,B422,DISCIPLINAS!$B$5:$B$101,C422)=0,"ERRO: disciplina não pertence ao curso","OK")))))</f>
        <v/>
      </c>
    </row>
    <row r="423" ht="15" customHeight="1" s="131">
      <c r="A423" s="220" t="n"/>
      <c r="B423" s="222" t="n"/>
      <c r="C423" s="222" t="n"/>
      <c r="D423" s="220" t="n"/>
      <c r="E423" s="220" t="n"/>
      <c r="F423" s="181">
        <f>IFERROR(E423/D423,"")</f>
        <v/>
      </c>
      <c r="G423" s="219" t="n"/>
      <c r="H423" s="220" t="n"/>
      <c r="I423" s="221">
        <f>IF(COUNTA(A423:E423)=0,"",IF(OR(D423&lt;=0,E423&lt;0),"ERRO: bases inválidas",IF(E423&gt;D423,"ERRO: presenças acima do previsto",IF(COUNTIFS($A$5:$A$1200,A423,$B$5:$B$1200,B423,$C$5:$C$1200,C423)&gt;1,"ERRO: chave duplicada",IF(COUNTIFS(DISCIPLINAS!$A$5:$A$101,B423,DISCIPLINAS!$B$5:$B$101,C423)=0,"ERRO: disciplina não pertence ao curso","OK")))))</f>
        <v/>
      </c>
    </row>
    <row r="424" ht="15" customHeight="1" s="131">
      <c r="A424" s="220" t="n"/>
      <c r="B424" s="222" t="n"/>
      <c r="C424" s="222" t="n"/>
      <c r="D424" s="220" t="n"/>
      <c r="E424" s="220" t="n"/>
      <c r="F424" s="181">
        <f>IFERROR(E424/D424,"")</f>
        <v/>
      </c>
      <c r="G424" s="219" t="n"/>
      <c r="H424" s="220" t="n"/>
      <c r="I424" s="221">
        <f>IF(COUNTA(A424:E424)=0,"",IF(OR(D424&lt;=0,E424&lt;0),"ERRO: bases inválidas",IF(E424&gt;D424,"ERRO: presenças acima do previsto",IF(COUNTIFS($A$5:$A$1200,A424,$B$5:$B$1200,B424,$C$5:$C$1200,C424)&gt;1,"ERRO: chave duplicada",IF(COUNTIFS(DISCIPLINAS!$A$5:$A$101,B424,DISCIPLINAS!$B$5:$B$101,C424)=0,"ERRO: disciplina não pertence ao curso","OK")))))</f>
        <v/>
      </c>
    </row>
    <row r="425" ht="15" customHeight="1" s="131">
      <c r="A425" s="220" t="n"/>
      <c r="B425" s="222" t="n"/>
      <c r="C425" s="222" t="n"/>
      <c r="D425" s="220" t="n"/>
      <c r="E425" s="220" t="n"/>
      <c r="F425" s="181">
        <f>IFERROR(E425/D425,"")</f>
        <v/>
      </c>
      <c r="G425" s="219" t="n"/>
      <c r="H425" s="220" t="n"/>
      <c r="I425" s="221">
        <f>IF(COUNTA(A425:E425)=0,"",IF(OR(D425&lt;=0,E425&lt;0),"ERRO: bases inválidas",IF(E425&gt;D425,"ERRO: presenças acima do previsto",IF(COUNTIFS($A$5:$A$1200,A425,$B$5:$B$1200,B425,$C$5:$C$1200,C425)&gt;1,"ERRO: chave duplicada",IF(COUNTIFS(DISCIPLINAS!$A$5:$A$101,B425,DISCIPLINAS!$B$5:$B$101,C425)=0,"ERRO: disciplina não pertence ao curso","OK")))))</f>
        <v/>
      </c>
    </row>
    <row r="426" ht="15" customHeight="1" s="131">
      <c r="A426" s="220" t="n"/>
      <c r="B426" s="222" t="n"/>
      <c r="C426" s="222" t="n"/>
      <c r="D426" s="220" t="n"/>
      <c r="E426" s="220" t="n"/>
      <c r="F426" s="181">
        <f>IFERROR(E426/D426,"")</f>
        <v/>
      </c>
      <c r="G426" s="219" t="n"/>
      <c r="H426" s="220" t="n"/>
      <c r="I426" s="221">
        <f>IF(COUNTA(A426:E426)=0,"",IF(OR(D426&lt;=0,E426&lt;0),"ERRO: bases inválidas",IF(E426&gt;D426,"ERRO: presenças acima do previsto",IF(COUNTIFS($A$5:$A$1200,A426,$B$5:$B$1200,B426,$C$5:$C$1200,C426)&gt;1,"ERRO: chave duplicada",IF(COUNTIFS(DISCIPLINAS!$A$5:$A$101,B426,DISCIPLINAS!$B$5:$B$101,C426)=0,"ERRO: disciplina não pertence ao curso","OK")))))</f>
        <v/>
      </c>
    </row>
    <row r="427" ht="15" customHeight="1" s="131">
      <c r="A427" s="220" t="n"/>
      <c r="B427" s="222" t="n"/>
      <c r="C427" s="222" t="n"/>
      <c r="D427" s="220" t="n"/>
      <c r="E427" s="220" t="n"/>
      <c r="F427" s="181">
        <f>IFERROR(E427/D427,"")</f>
        <v/>
      </c>
      <c r="G427" s="219" t="n"/>
      <c r="H427" s="220" t="n"/>
      <c r="I427" s="221">
        <f>IF(COUNTA(A427:E427)=0,"",IF(OR(D427&lt;=0,E427&lt;0),"ERRO: bases inválidas",IF(E427&gt;D427,"ERRO: presenças acima do previsto",IF(COUNTIFS($A$5:$A$1200,A427,$B$5:$B$1200,B427,$C$5:$C$1200,C427)&gt;1,"ERRO: chave duplicada",IF(COUNTIFS(DISCIPLINAS!$A$5:$A$101,B427,DISCIPLINAS!$B$5:$B$101,C427)=0,"ERRO: disciplina não pertence ao curso","OK")))))</f>
        <v/>
      </c>
    </row>
    <row r="428" ht="15" customHeight="1" s="131">
      <c r="A428" s="220" t="n"/>
      <c r="B428" s="222" t="n"/>
      <c r="C428" s="222" t="n"/>
      <c r="D428" s="220" t="n"/>
      <c r="E428" s="220" t="n"/>
      <c r="F428" s="181">
        <f>IFERROR(E428/D428,"")</f>
        <v/>
      </c>
      <c r="G428" s="219" t="n"/>
      <c r="H428" s="220" t="n"/>
      <c r="I428" s="221">
        <f>IF(COUNTA(A428:E428)=0,"",IF(OR(D428&lt;=0,E428&lt;0),"ERRO: bases inválidas",IF(E428&gt;D428,"ERRO: presenças acima do previsto",IF(COUNTIFS($A$5:$A$1200,A428,$B$5:$B$1200,B428,$C$5:$C$1200,C428)&gt;1,"ERRO: chave duplicada",IF(COUNTIFS(DISCIPLINAS!$A$5:$A$101,B428,DISCIPLINAS!$B$5:$B$101,C428)=0,"ERRO: disciplina não pertence ao curso","OK")))))</f>
        <v/>
      </c>
    </row>
    <row r="429" ht="15" customHeight="1" s="131">
      <c r="A429" s="220" t="n"/>
      <c r="B429" s="222" t="n"/>
      <c r="C429" s="222" t="n"/>
      <c r="D429" s="220" t="n"/>
      <c r="E429" s="220" t="n"/>
      <c r="F429" s="181">
        <f>IFERROR(E429/D429,"")</f>
        <v/>
      </c>
      <c r="G429" s="219" t="n"/>
      <c r="H429" s="220" t="n"/>
      <c r="I429" s="221">
        <f>IF(COUNTA(A429:E429)=0,"",IF(OR(D429&lt;=0,E429&lt;0),"ERRO: bases inválidas",IF(E429&gt;D429,"ERRO: presenças acima do previsto",IF(COUNTIFS($A$5:$A$1200,A429,$B$5:$B$1200,B429,$C$5:$C$1200,C429)&gt;1,"ERRO: chave duplicada",IF(COUNTIFS(DISCIPLINAS!$A$5:$A$101,B429,DISCIPLINAS!$B$5:$B$101,C429)=0,"ERRO: disciplina não pertence ao curso","OK")))))</f>
        <v/>
      </c>
    </row>
    <row r="430" ht="15" customHeight="1" s="131">
      <c r="A430" s="220" t="n"/>
      <c r="B430" s="222" t="n"/>
      <c r="C430" s="222" t="n"/>
      <c r="D430" s="220" t="n"/>
      <c r="E430" s="220" t="n"/>
      <c r="F430" s="181">
        <f>IFERROR(E430/D430,"")</f>
        <v/>
      </c>
      <c r="G430" s="219" t="n"/>
      <c r="H430" s="220" t="n"/>
      <c r="I430" s="221">
        <f>IF(COUNTA(A430:E430)=0,"",IF(OR(D430&lt;=0,E430&lt;0),"ERRO: bases inválidas",IF(E430&gt;D430,"ERRO: presenças acima do previsto",IF(COUNTIFS($A$5:$A$1200,A430,$B$5:$B$1200,B430,$C$5:$C$1200,C430)&gt;1,"ERRO: chave duplicada",IF(COUNTIFS(DISCIPLINAS!$A$5:$A$101,B430,DISCIPLINAS!$B$5:$B$101,C430)=0,"ERRO: disciplina não pertence ao curso","OK")))))</f>
        <v/>
      </c>
    </row>
    <row r="431" ht="15" customHeight="1" s="131">
      <c r="A431" s="220" t="n"/>
      <c r="B431" s="222" t="n"/>
      <c r="C431" s="222" t="n"/>
      <c r="D431" s="220" t="n"/>
      <c r="E431" s="220" t="n"/>
      <c r="F431" s="181">
        <f>IFERROR(E431/D431,"")</f>
        <v/>
      </c>
      <c r="G431" s="219" t="n"/>
      <c r="H431" s="220" t="n"/>
      <c r="I431" s="221">
        <f>IF(COUNTA(A431:E431)=0,"",IF(OR(D431&lt;=0,E431&lt;0),"ERRO: bases inválidas",IF(E431&gt;D431,"ERRO: presenças acima do previsto",IF(COUNTIFS($A$5:$A$1200,A431,$B$5:$B$1200,B431,$C$5:$C$1200,C431)&gt;1,"ERRO: chave duplicada",IF(COUNTIFS(DISCIPLINAS!$A$5:$A$101,B431,DISCIPLINAS!$B$5:$B$101,C431)=0,"ERRO: disciplina não pertence ao curso","OK")))))</f>
        <v/>
      </c>
    </row>
    <row r="432" ht="15" customHeight="1" s="131">
      <c r="A432" s="220" t="n"/>
      <c r="B432" s="222" t="n"/>
      <c r="C432" s="222" t="n"/>
      <c r="D432" s="220" t="n"/>
      <c r="E432" s="220" t="n"/>
      <c r="F432" s="181">
        <f>IFERROR(E432/D432,"")</f>
        <v/>
      </c>
      <c r="G432" s="219" t="n"/>
      <c r="H432" s="220" t="n"/>
      <c r="I432" s="221">
        <f>IF(COUNTA(A432:E432)=0,"",IF(OR(D432&lt;=0,E432&lt;0),"ERRO: bases inválidas",IF(E432&gt;D432,"ERRO: presenças acima do previsto",IF(COUNTIFS($A$5:$A$1200,A432,$B$5:$B$1200,B432,$C$5:$C$1200,C432)&gt;1,"ERRO: chave duplicada",IF(COUNTIFS(DISCIPLINAS!$A$5:$A$101,B432,DISCIPLINAS!$B$5:$B$101,C432)=0,"ERRO: disciplina não pertence ao curso","OK")))))</f>
        <v/>
      </c>
    </row>
    <row r="433" ht="15" customHeight="1" s="131">
      <c r="A433" s="220" t="n"/>
      <c r="B433" s="222" t="n"/>
      <c r="C433" s="222" t="n"/>
      <c r="D433" s="220" t="n"/>
      <c r="E433" s="220" t="n"/>
      <c r="F433" s="181">
        <f>IFERROR(E433/D433,"")</f>
        <v/>
      </c>
      <c r="G433" s="219" t="n"/>
      <c r="H433" s="220" t="n"/>
      <c r="I433" s="221">
        <f>IF(COUNTA(A433:E433)=0,"",IF(OR(D433&lt;=0,E433&lt;0),"ERRO: bases inválidas",IF(E433&gt;D433,"ERRO: presenças acima do previsto",IF(COUNTIFS($A$5:$A$1200,A433,$B$5:$B$1200,B433,$C$5:$C$1200,C433)&gt;1,"ERRO: chave duplicada",IF(COUNTIFS(DISCIPLINAS!$A$5:$A$101,B433,DISCIPLINAS!$B$5:$B$101,C433)=0,"ERRO: disciplina não pertence ao curso","OK")))))</f>
        <v/>
      </c>
    </row>
    <row r="434" ht="15" customHeight="1" s="131">
      <c r="A434" s="220" t="n"/>
      <c r="B434" s="222" t="n"/>
      <c r="C434" s="222" t="n"/>
      <c r="D434" s="220" t="n"/>
      <c r="E434" s="220" t="n"/>
      <c r="F434" s="181">
        <f>IFERROR(E434/D434,"")</f>
        <v/>
      </c>
      <c r="G434" s="219" t="n"/>
      <c r="H434" s="220" t="n"/>
      <c r="I434" s="221">
        <f>IF(COUNTA(A434:E434)=0,"",IF(OR(D434&lt;=0,E434&lt;0),"ERRO: bases inválidas",IF(E434&gt;D434,"ERRO: presenças acima do previsto",IF(COUNTIFS($A$5:$A$1200,A434,$B$5:$B$1200,B434,$C$5:$C$1200,C434)&gt;1,"ERRO: chave duplicada",IF(COUNTIFS(DISCIPLINAS!$A$5:$A$101,B434,DISCIPLINAS!$B$5:$B$101,C434)=0,"ERRO: disciplina não pertence ao curso","OK")))))</f>
        <v/>
      </c>
    </row>
    <row r="435" ht="15" customHeight="1" s="131">
      <c r="A435" s="220" t="n"/>
      <c r="B435" s="222" t="n"/>
      <c r="C435" s="222" t="n"/>
      <c r="D435" s="220" t="n"/>
      <c r="E435" s="220" t="n"/>
      <c r="F435" s="181">
        <f>IFERROR(E435/D435,"")</f>
        <v/>
      </c>
      <c r="G435" s="219" t="n"/>
      <c r="H435" s="220" t="n"/>
      <c r="I435" s="221">
        <f>IF(COUNTA(A435:E435)=0,"",IF(OR(D435&lt;=0,E435&lt;0),"ERRO: bases inválidas",IF(E435&gt;D435,"ERRO: presenças acima do previsto",IF(COUNTIFS($A$5:$A$1200,A435,$B$5:$B$1200,B435,$C$5:$C$1200,C435)&gt;1,"ERRO: chave duplicada",IF(COUNTIFS(DISCIPLINAS!$A$5:$A$101,B435,DISCIPLINAS!$B$5:$B$101,C435)=0,"ERRO: disciplina não pertence ao curso","OK")))))</f>
        <v/>
      </c>
    </row>
    <row r="436" ht="15" customHeight="1" s="131">
      <c r="A436" s="220" t="n"/>
      <c r="B436" s="222" t="n"/>
      <c r="C436" s="222" t="n"/>
      <c r="D436" s="220" t="n"/>
      <c r="E436" s="220" t="n"/>
      <c r="F436" s="181">
        <f>IFERROR(E436/D436,"")</f>
        <v/>
      </c>
      <c r="G436" s="219" t="n"/>
      <c r="H436" s="220" t="n"/>
      <c r="I436" s="221">
        <f>IF(COUNTA(A436:E436)=0,"",IF(OR(D436&lt;=0,E436&lt;0),"ERRO: bases inválidas",IF(E436&gt;D436,"ERRO: presenças acima do previsto",IF(COUNTIFS($A$5:$A$1200,A436,$B$5:$B$1200,B436,$C$5:$C$1200,C436)&gt;1,"ERRO: chave duplicada",IF(COUNTIFS(DISCIPLINAS!$A$5:$A$101,B436,DISCIPLINAS!$B$5:$B$101,C436)=0,"ERRO: disciplina não pertence ao curso","OK")))))</f>
        <v/>
      </c>
    </row>
    <row r="437" ht="15" customHeight="1" s="131">
      <c r="A437" s="220" t="n"/>
      <c r="B437" s="222" t="n"/>
      <c r="C437" s="222" t="n"/>
      <c r="D437" s="220" t="n"/>
      <c r="E437" s="220" t="n"/>
      <c r="F437" s="181">
        <f>IFERROR(E437/D437,"")</f>
        <v/>
      </c>
      <c r="G437" s="219" t="n"/>
      <c r="H437" s="220" t="n"/>
      <c r="I437" s="221">
        <f>IF(COUNTA(A437:E437)=0,"",IF(OR(D437&lt;=0,E437&lt;0),"ERRO: bases inválidas",IF(E437&gt;D437,"ERRO: presenças acima do previsto",IF(COUNTIFS($A$5:$A$1200,A437,$B$5:$B$1200,B437,$C$5:$C$1200,C437)&gt;1,"ERRO: chave duplicada",IF(COUNTIFS(DISCIPLINAS!$A$5:$A$101,B437,DISCIPLINAS!$B$5:$B$101,C437)=0,"ERRO: disciplina não pertence ao curso","OK")))))</f>
        <v/>
      </c>
    </row>
    <row r="438" ht="15" customHeight="1" s="131">
      <c r="A438" s="220" t="n"/>
      <c r="B438" s="222" t="n"/>
      <c r="C438" s="222" t="n"/>
      <c r="D438" s="220" t="n"/>
      <c r="E438" s="220" t="n"/>
      <c r="F438" s="181">
        <f>IFERROR(E438/D438,"")</f>
        <v/>
      </c>
      <c r="G438" s="219" t="n"/>
      <c r="H438" s="220" t="n"/>
      <c r="I438" s="221">
        <f>IF(COUNTA(A438:E438)=0,"",IF(OR(D438&lt;=0,E438&lt;0),"ERRO: bases inválidas",IF(E438&gt;D438,"ERRO: presenças acima do previsto",IF(COUNTIFS($A$5:$A$1200,A438,$B$5:$B$1200,B438,$C$5:$C$1200,C438)&gt;1,"ERRO: chave duplicada",IF(COUNTIFS(DISCIPLINAS!$A$5:$A$101,B438,DISCIPLINAS!$B$5:$B$101,C438)=0,"ERRO: disciplina não pertence ao curso","OK")))))</f>
        <v/>
      </c>
    </row>
    <row r="439" ht="15" customHeight="1" s="131">
      <c r="A439" s="220" t="n"/>
      <c r="B439" s="222" t="n"/>
      <c r="C439" s="222" t="n"/>
      <c r="D439" s="220" t="n"/>
      <c r="E439" s="220" t="n"/>
      <c r="F439" s="181">
        <f>IFERROR(E439/D439,"")</f>
        <v/>
      </c>
      <c r="G439" s="219" t="n"/>
      <c r="H439" s="220" t="n"/>
      <c r="I439" s="221">
        <f>IF(COUNTA(A439:E439)=0,"",IF(OR(D439&lt;=0,E439&lt;0),"ERRO: bases inválidas",IF(E439&gt;D439,"ERRO: presenças acima do previsto",IF(COUNTIFS($A$5:$A$1200,A439,$B$5:$B$1200,B439,$C$5:$C$1200,C439)&gt;1,"ERRO: chave duplicada",IF(COUNTIFS(DISCIPLINAS!$A$5:$A$101,B439,DISCIPLINAS!$B$5:$B$101,C439)=0,"ERRO: disciplina não pertence ao curso","OK")))))</f>
        <v/>
      </c>
    </row>
    <row r="440" ht="15" customHeight="1" s="131">
      <c r="A440" s="220" t="n"/>
      <c r="B440" s="222" t="n"/>
      <c r="C440" s="222" t="n"/>
      <c r="D440" s="220" t="n"/>
      <c r="E440" s="220" t="n"/>
      <c r="F440" s="181">
        <f>IFERROR(E440/D440,"")</f>
        <v/>
      </c>
      <c r="G440" s="219" t="n"/>
      <c r="H440" s="220" t="n"/>
      <c r="I440" s="221">
        <f>IF(COUNTA(A440:E440)=0,"",IF(OR(D440&lt;=0,E440&lt;0),"ERRO: bases inválidas",IF(E440&gt;D440,"ERRO: presenças acima do previsto",IF(COUNTIFS($A$5:$A$1200,A440,$B$5:$B$1200,B440,$C$5:$C$1200,C440)&gt;1,"ERRO: chave duplicada",IF(COUNTIFS(DISCIPLINAS!$A$5:$A$101,B440,DISCIPLINAS!$B$5:$B$101,C440)=0,"ERRO: disciplina não pertence ao curso","OK")))))</f>
        <v/>
      </c>
    </row>
    <row r="441" ht="15" customHeight="1" s="131">
      <c r="A441" s="220" t="n"/>
      <c r="B441" s="222" t="n"/>
      <c r="C441" s="222" t="n"/>
      <c r="D441" s="220" t="n"/>
      <c r="E441" s="220" t="n"/>
      <c r="F441" s="181">
        <f>IFERROR(E441/D441,"")</f>
        <v/>
      </c>
      <c r="G441" s="219" t="n"/>
      <c r="H441" s="220" t="n"/>
      <c r="I441" s="221">
        <f>IF(COUNTA(A441:E441)=0,"",IF(OR(D441&lt;=0,E441&lt;0),"ERRO: bases inválidas",IF(E441&gt;D441,"ERRO: presenças acima do previsto",IF(COUNTIFS($A$5:$A$1200,A441,$B$5:$B$1200,B441,$C$5:$C$1200,C441)&gt;1,"ERRO: chave duplicada",IF(COUNTIFS(DISCIPLINAS!$A$5:$A$101,B441,DISCIPLINAS!$B$5:$B$101,C441)=0,"ERRO: disciplina não pertence ao curso","OK")))))</f>
        <v/>
      </c>
    </row>
    <row r="442" ht="15" customHeight="1" s="131">
      <c r="A442" s="220" t="n"/>
      <c r="B442" s="222" t="n"/>
      <c r="C442" s="222" t="n"/>
      <c r="D442" s="220" t="n"/>
      <c r="E442" s="220" t="n"/>
      <c r="F442" s="181">
        <f>IFERROR(E442/D442,"")</f>
        <v/>
      </c>
      <c r="G442" s="219" t="n"/>
      <c r="H442" s="220" t="n"/>
      <c r="I442" s="221">
        <f>IF(COUNTA(A442:E442)=0,"",IF(OR(D442&lt;=0,E442&lt;0),"ERRO: bases inválidas",IF(E442&gt;D442,"ERRO: presenças acima do previsto",IF(COUNTIFS($A$5:$A$1200,A442,$B$5:$B$1200,B442,$C$5:$C$1200,C442)&gt;1,"ERRO: chave duplicada",IF(COUNTIFS(DISCIPLINAS!$A$5:$A$101,B442,DISCIPLINAS!$B$5:$B$101,C442)=0,"ERRO: disciplina não pertence ao curso","OK")))))</f>
        <v/>
      </c>
    </row>
    <row r="443" ht="15" customHeight="1" s="131">
      <c r="A443" s="220" t="n"/>
      <c r="B443" s="222" t="n"/>
      <c r="C443" s="222" t="n"/>
      <c r="D443" s="220" t="n"/>
      <c r="E443" s="220" t="n"/>
      <c r="F443" s="181">
        <f>IFERROR(E443/D443,"")</f>
        <v/>
      </c>
      <c r="G443" s="219" t="n"/>
      <c r="H443" s="220" t="n"/>
      <c r="I443" s="221">
        <f>IF(COUNTA(A443:E443)=0,"",IF(OR(D443&lt;=0,E443&lt;0),"ERRO: bases inválidas",IF(E443&gt;D443,"ERRO: presenças acima do previsto",IF(COUNTIFS($A$5:$A$1200,A443,$B$5:$B$1200,B443,$C$5:$C$1200,C443)&gt;1,"ERRO: chave duplicada",IF(COUNTIFS(DISCIPLINAS!$A$5:$A$101,B443,DISCIPLINAS!$B$5:$B$101,C443)=0,"ERRO: disciplina não pertence ao curso","OK")))))</f>
        <v/>
      </c>
    </row>
    <row r="444" ht="15" customHeight="1" s="131">
      <c r="A444" s="220" t="n"/>
      <c r="B444" s="222" t="n"/>
      <c r="C444" s="222" t="n"/>
      <c r="D444" s="220" t="n"/>
      <c r="E444" s="220" t="n"/>
      <c r="F444" s="181">
        <f>IFERROR(E444/D444,"")</f>
        <v/>
      </c>
      <c r="G444" s="219" t="n"/>
      <c r="H444" s="220" t="n"/>
      <c r="I444" s="221">
        <f>IF(COUNTA(A444:E444)=0,"",IF(OR(D444&lt;=0,E444&lt;0),"ERRO: bases inválidas",IF(E444&gt;D444,"ERRO: presenças acima do previsto",IF(COUNTIFS($A$5:$A$1200,A444,$B$5:$B$1200,B444,$C$5:$C$1200,C444)&gt;1,"ERRO: chave duplicada",IF(COUNTIFS(DISCIPLINAS!$A$5:$A$101,B444,DISCIPLINAS!$B$5:$B$101,C444)=0,"ERRO: disciplina não pertence ao curso","OK")))))</f>
        <v/>
      </c>
    </row>
    <row r="445" ht="15" customHeight="1" s="131">
      <c r="A445" s="220" t="n"/>
      <c r="B445" s="222" t="n"/>
      <c r="C445" s="222" t="n"/>
      <c r="D445" s="220" t="n"/>
      <c r="E445" s="220" t="n"/>
      <c r="F445" s="181">
        <f>IFERROR(E445/D445,"")</f>
        <v/>
      </c>
      <c r="G445" s="219" t="n"/>
      <c r="H445" s="220" t="n"/>
      <c r="I445" s="221">
        <f>IF(COUNTA(A445:E445)=0,"",IF(OR(D445&lt;=0,E445&lt;0),"ERRO: bases inválidas",IF(E445&gt;D445,"ERRO: presenças acima do previsto",IF(COUNTIFS($A$5:$A$1200,A445,$B$5:$B$1200,B445,$C$5:$C$1200,C445)&gt;1,"ERRO: chave duplicada",IF(COUNTIFS(DISCIPLINAS!$A$5:$A$101,B445,DISCIPLINAS!$B$5:$B$101,C445)=0,"ERRO: disciplina não pertence ao curso","OK")))))</f>
        <v/>
      </c>
    </row>
    <row r="446" ht="15" customHeight="1" s="131">
      <c r="A446" s="220" t="n"/>
      <c r="B446" s="222" t="n"/>
      <c r="C446" s="222" t="n"/>
      <c r="D446" s="220" t="n"/>
      <c r="E446" s="220" t="n"/>
      <c r="F446" s="181">
        <f>IFERROR(E446/D446,"")</f>
        <v/>
      </c>
      <c r="G446" s="219" t="n"/>
      <c r="H446" s="220" t="n"/>
      <c r="I446" s="221">
        <f>IF(COUNTA(A446:E446)=0,"",IF(OR(D446&lt;=0,E446&lt;0),"ERRO: bases inválidas",IF(E446&gt;D446,"ERRO: presenças acima do previsto",IF(COUNTIFS($A$5:$A$1200,A446,$B$5:$B$1200,B446,$C$5:$C$1200,C446)&gt;1,"ERRO: chave duplicada",IF(COUNTIFS(DISCIPLINAS!$A$5:$A$101,B446,DISCIPLINAS!$B$5:$B$101,C446)=0,"ERRO: disciplina não pertence ao curso","OK")))))</f>
        <v/>
      </c>
    </row>
    <row r="447" ht="15" customHeight="1" s="131">
      <c r="A447" s="220" t="n"/>
      <c r="B447" s="222" t="n"/>
      <c r="C447" s="222" t="n"/>
      <c r="D447" s="220" t="n"/>
      <c r="E447" s="220" t="n"/>
      <c r="F447" s="181">
        <f>IFERROR(E447/D447,"")</f>
        <v/>
      </c>
      <c r="G447" s="219" t="n"/>
      <c r="H447" s="220" t="n"/>
      <c r="I447" s="221">
        <f>IF(COUNTA(A447:E447)=0,"",IF(OR(D447&lt;=0,E447&lt;0),"ERRO: bases inválidas",IF(E447&gt;D447,"ERRO: presenças acima do previsto",IF(COUNTIFS($A$5:$A$1200,A447,$B$5:$B$1200,B447,$C$5:$C$1200,C447)&gt;1,"ERRO: chave duplicada",IF(COUNTIFS(DISCIPLINAS!$A$5:$A$101,B447,DISCIPLINAS!$B$5:$B$101,C447)=0,"ERRO: disciplina não pertence ao curso","OK")))))</f>
        <v/>
      </c>
    </row>
    <row r="448" ht="15" customHeight="1" s="131">
      <c r="A448" s="220" t="n"/>
      <c r="B448" s="222" t="n"/>
      <c r="C448" s="222" t="n"/>
      <c r="D448" s="220" t="n"/>
      <c r="E448" s="220" t="n"/>
      <c r="F448" s="181">
        <f>IFERROR(E448/D448,"")</f>
        <v/>
      </c>
      <c r="G448" s="219" t="n"/>
      <c r="H448" s="220" t="n"/>
      <c r="I448" s="221">
        <f>IF(COUNTA(A448:E448)=0,"",IF(OR(D448&lt;=0,E448&lt;0),"ERRO: bases inválidas",IF(E448&gt;D448,"ERRO: presenças acima do previsto",IF(COUNTIFS($A$5:$A$1200,A448,$B$5:$B$1200,B448,$C$5:$C$1200,C448)&gt;1,"ERRO: chave duplicada",IF(COUNTIFS(DISCIPLINAS!$A$5:$A$101,B448,DISCIPLINAS!$B$5:$B$101,C448)=0,"ERRO: disciplina não pertence ao curso","OK")))))</f>
        <v/>
      </c>
    </row>
    <row r="449" ht="15" customHeight="1" s="131">
      <c r="A449" s="220" t="n"/>
      <c r="B449" s="222" t="n"/>
      <c r="C449" s="222" t="n"/>
      <c r="D449" s="220" t="n"/>
      <c r="E449" s="220" t="n"/>
      <c r="F449" s="181">
        <f>IFERROR(E449/D449,"")</f>
        <v/>
      </c>
      <c r="G449" s="219" t="n"/>
      <c r="H449" s="220" t="n"/>
      <c r="I449" s="221">
        <f>IF(COUNTA(A449:E449)=0,"",IF(OR(D449&lt;=0,E449&lt;0),"ERRO: bases inválidas",IF(E449&gt;D449,"ERRO: presenças acima do previsto",IF(COUNTIFS($A$5:$A$1200,A449,$B$5:$B$1200,B449,$C$5:$C$1200,C449)&gt;1,"ERRO: chave duplicada",IF(COUNTIFS(DISCIPLINAS!$A$5:$A$101,B449,DISCIPLINAS!$B$5:$B$101,C449)=0,"ERRO: disciplina não pertence ao curso","OK")))))</f>
        <v/>
      </c>
    </row>
    <row r="450" ht="15" customHeight="1" s="131">
      <c r="A450" s="220" t="n"/>
      <c r="B450" s="222" t="n"/>
      <c r="C450" s="222" t="n"/>
      <c r="D450" s="220" t="n"/>
      <c r="E450" s="220" t="n"/>
      <c r="F450" s="181">
        <f>IFERROR(E450/D450,"")</f>
        <v/>
      </c>
      <c r="G450" s="219" t="n"/>
      <c r="H450" s="220" t="n"/>
      <c r="I450" s="221">
        <f>IF(COUNTA(A450:E450)=0,"",IF(OR(D450&lt;=0,E450&lt;0),"ERRO: bases inválidas",IF(E450&gt;D450,"ERRO: presenças acima do previsto",IF(COUNTIFS($A$5:$A$1200,A450,$B$5:$B$1200,B450,$C$5:$C$1200,C450)&gt;1,"ERRO: chave duplicada",IF(COUNTIFS(DISCIPLINAS!$A$5:$A$101,B450,DISCIPLINAS!$B$5:$B$101,C450)=0,"ERRO: disciplina não pertence ao curso","OK")))))</f>
        <v/>
      </c>
    </row>
    <row r="451" ht="15" customHeight="1" s="131">
      <c r="A451" s="220" t="n"/>
      <c r="B451" s="222" t="n"/>
      <c r="C451" s="222" t="n"/>
      <c r="D451" s="220" t="n"/>
      <c r="E451" s="220" t="n"/>
      <c r="F451" s="181">
        <f>IFERROR(E451/D451,"")</f>
        <v/>
      </c>
      <c r="G451" s="219" t="n"/>
      <c r="H451" s="220" t="n"/>
      <c r="I451" s="221">
        <f>IF(COUNTA(A451:E451)=0,"",IF(OR(D451&lt;=0,E451&lt;0),"ERRO: bases inválidas",IF(E451&gt;D451,"ERRO: presenças acima do previsto",IF(COUNTIFS($A$5:$A$1200,A451,$B$5:$B$1200,B451,$C$5:$C$1200,C451)&gt;1,"ERRO: chave duplicada",IF(COUNTIFS(DISCIPLINAS!$A$5:$A$101,B451,DISCIPLINAS!$B$5:$B$101,C451)=0,"ERRO: disciplina não pertence ao curso","OK")))))</f>
        <v/>
      </c>
    </row>
    <row r="452" ht="15" customHeight="1" s="131">
      <c r="A452" s="220" t="n"/>
      <c r="B452" s="222" t="n"/>
      <c r="C452" s="222" t="n"/>
      <c r="D452" s="220" t="n"/>
      <c r="E452" s="220" t="n"/>
      <c r="F452" s="181">
        <f>IFERROR(E452/D452,"")</f>
        <v/>
      </c>
      <c r="G452" s="219" t="n"/>
      <c r="H452" s="220" t="n"/>
      <c r="I452" s="221">
        <f>IF(COUNTA(A452:E452)=0,"",IF(OR(D452&lt;=0,E452&lt;0),"ERRO: bases inválidas",IF(E452&gt;D452,"ERRO: presenças acima do previsto",IF(COUNTIFS($A$5:$A$1200,A452,$B$5:$B$1200,B452,$C$5:$C$1200,C452)&gt;1,"ERRO: chave duplicada",IF(COUNTIFS(DISCIPLINAS!$A$5:$A$101,B452,DISCIPLINAS!$B$5:$B$101,C452)=0,"ERRO: disciplina não pertence ao curso","OK")))))</f>
        <v/>
      </c>
    </row>
    <row r="453" ht="15" customHeight="1" s="131">
      <c r="A453" s="220" t="n"/>
      <c r="B453" s="222" t="n"/>
      <c r="C453" s="222" t="n"/>
      <c r="D453" s="220" t="n"/>
      <c r="E453" s="220" t="n"/>
      <c r="F453" s="181">
        <f>IFERROR(E453/D453,"")</f>
        <v/>
      </c>
      <c r="G453" s="219" t="n"/>
      <c r="H453" s="220" t="n"/>
      <c r="I453" s="221">
        <f>IF(COUNTA(A453:E453)=0,"",IF(OR(D453&lt;=0,E453&lt;0),"ERRO: bases inválidas",IF(E453&gt;D453,"ERRO: presenças acima do previsto",IF(COUNTIFS($A$5:$A$1200,A453,$B$5:$B$1200,B453,$C$5:$C$1200,C453)&gt;1,"ERRO: chave duplicada",IF(COUNTIFS(DISCIPLINAS!$A$5:$A$101,B453,DISCIPLINAS!$B$5:$B$101,C453)=0,"ERRO: disciplina não pertence ao curso","OK")))))</f>
        <v/>
      </c>
    </row>
    <row r="454" ht="15" customHeight="1" s="131">
      <c r="A454" s="220" t="n"/>
      <c r="B454" s="222" t="n"/>
      <c r="C454" s="222" t="n"/>
      <c r="D454" s="220" t="n"/>
      <c r="E454" s="220" t="n"/>
      <c r="F454" s="181">
        <f>IFERROR(E454/D454,"")</f>
        <v/>
      </c>
      <c r="G454" s="219" t="n"/>
      <c r="H454" s="220" t="n"/>
      <c r="I454" s="221">
        <f>IF(COUNTA(A454:E454)=0,"",IF(OR(D454&lt;=0,E454&lt;0),"ERRO: bases inválidas",IF(E454&gt;D454,"ERRO: presenças acima do previsto",IF(COUNTIFS($A$5:$A$1200,A454,$B$5:$B$1200,B454,$C$5:$C$1200,C454)&gt;1,"ERRO: chave duplicada",IF(COUNTIFS(DISCIPLINAS!$A$5:$A$101,B454,DISCIPLINAS!$B$5:$B$101,C454)=0,"ERRO: disciplina não pertence ao curso","OK")))))</f>
        <v/>
      </c>
    </row>
    <row r="455" ht="15" customHeight="1" s="131">
      <c r="A455" s="220" t="n"/>
      <c r="B455" s="222" t="n"/>
      <c r="C455" s="222" t="n"/>
      <c r="D455" s="220" t="n"/>
      <c r="E455" s="220" t="n"/>
      <c r="F455" s="181">
        <f>IFERROR(E455/D455,"")</f>
        <v/>
      </c>
      <c r="G455" s="219" t="n"/>
      <c r="H455" s="220" t="n"/>
      <c r="I455" s="221">
        <f>IF(COUNTA(A455:E455)=0,"",IF(OR(D455&lt;=0,E455&lt;0),"ERRO: bases inválidas",IF(E455&gt;D455,"ERRO: presenças acima do previsto",IF(COUNTIFS($A$5:$A$1200,A455,$B$5:$B$1200,B455,$C$5:$C$1200,C455)&gt;1,"ERRO: chave duplicada",IF(COUNTIFS(DISCIPLINAS!$A$5:$A$101,B455,DISCIPLINAS!$B$5:$B$101,C455)=0,"ERRO: disciplina não pertence ao curso","OK")))))</f>
        <v/>
      </c>
    </row>
    <row r="456" ht="15" customHeight="1" s="131">
      <c r="A456" s="220" t="n"/>
      <c r="B456" s="222" t="n"/>
      <c r="C456" s="222" t="n"/>
      <c r="D456" s="220" t="n"/>
      <c r="E456" s="220" t="n"/>
      <c r="F456" s="181">
        <f>IFERROR(E456/D456,"")</f>
        <v/>
      </c>
      <c r="G456" s="219" t="n"/>
      <c r="H456" s="220" t="n"/>
      <c r="I456" s="221">
        <f>IF(COUNTA(A456:E456)=0,"",IF(OR(D456&lt;=0,E456&lt;0),"ERRO: bases inválidas",IF(E456&gt;D456,"ERRO: presenças acima do previsto",IF(COUNTIFS($A$5:$A$1200,A456,$B$5:$B$1200,B456,$C$5:$C$1200,C456)&gt;1,"ERRO: chave duplicada",IF(COUNTIFS(DISCIPLINAS!$A$5:$A$101,B456,DISCIPLINAS!$B$5:$B$101,C456)=0,"ERRO: disciplina não pertence ao curso","OK")))))</f>
        <v/>
      </c>
    </row>
    <row r="457" ht="15" customHeight="1" s="131">
      <c r="A457" s="220" t="n"/>
      <c r="B457" s="222" t="n"/>
      <c r="C457" s="222" t="n"/>
      <c r="D457" s="220" t="n"/>
      <c r="E457" s="220" t="n"/>
      <c r="F457" s="181">
        <f>IFERROR(E457/D457,"")</f>
        <v/>
      </c>
      <c r="G457" s="219" t="n"/>
      <c r="H457" s="220" t="n"/>
      <c r="I457" s="221">
        <f>IF(COUNTA(A457:E457)=0,"",IF(OR(D457&lt;=0,E457&lt;0),"ERRO: bases inválidas",IF(E457&gt;D457,"ERRO: presenças acima do previsto",IF(COUNTIFS($A$5:$A$1200,A457,$B$5:$B$1200,B457,$C$5:$C$1200,C457)&gt;1,"ERRO: chave duplicada",IF(COUNTIFS(DISCIPLINAS!$A$5:$A$101,B457,DISCIPLINAS!$B$5:$B$101,C457)=0,"ERRO: disciplina não pertence ao curso","OK")))))</f>
        <v/>
      </c>
    </row>
    <row r="458" ht="15" customHeight="1" s="131">
      <c r="A458" s="220" t="n"/>
      <c r="B458" s="222" t="n"/>
      <c r="C458" s="222" t="n"/>
      <c r="D458" s="220" t="n"/>
      <c r="E458" s="220" t="n"/>
      <c r="F458" s="181">
        <f>IFERROR(E458/D458,"")</f>
        <v/>
      </c>
      <c r="G458" s="219" t="n"/>
      <c r="H458" s="220" t="n"/>
      <c r="I458" s="221">
        <f>IF(COUNTA(A458:E458)=0,"",IF(OR(D458&lt;=0,E458&lt;0),"ERRO: bases inválidas",IF(E458&gt;D458,"ERRO: presenças acima do previsto",IF(COUNTIFS($A$5:$A$1200,A458,$B$5:$B$1200,B458,$C$5:$C$1200,C458)&gt;1,"ERRO: chave duplicada",IF(COUNTIFS(DISCIPLINAS!$A$5:$A$101,B458,DISCIPLINAS!$B$5:$B$101,C458)=0,"ERRO: disciplina não pertence ao curso","OK")))))</f>
        <v/>
      </c>
    </row>
    <row r="459" ht="15" customHeight="1" s="131">
      <c r="A459" s="220" t="n"/>
      <c r="B459" s="222" t="n"/>
      <c r="C459" s="222" t="n"/>
      <c r="D459" s="220" t="n"/>
      <c r="E459" s="220" t="n"/>
      <c r="F459" s="181">
        <f>IFERROR(E459/D459,"")</f>
        <v/>
      </c>
      <c r="G459" s="219" t="n"/>
      <c r="H459" s="220" t="n"/>
      <c r="I459" s="221">
        <f>IF(COUNTA(A459:E459)=0,"",IF(OR(D459&lt;=0,E459&lt;0),"ERRO: bases inválidas",IF(E459&gt;D459,"ERRO: presenças acima do previsto",IF(COUNTIFS($A$5:$A$1200,A459,$B$5:$B$1200,B459,$C$5:$C$1200,C459)&gt;1,"ERRO: chave duplicada",IF(COUNTIFS(DISCIPLINAS!$A$5:$A$101,B459,DISCIPLINAS!$B$5:$B$101,C459)=0,"ERRO: disciplina não pertence ao curso","OK")))))</f>
        <v/>
      </c>
    </row>
    <row r="460" ht="15" customHeight="1" s="131">
      <c r="A460" s="220" t="n"/>
      <c r="B460" s="222" t="n"/>
      <c r="C460" s="222" t="n"/>
      <c r="D460" s="220" t="n"/>
      <c r="E460" s="220" t="n"/>
      <c r="F460" s="181">
        <f>IFERROR(E460/D460,"")</f>
        <v/>
      </c>
      <c r="G460" s="219" t="n"/>
      <c r="H460" s="220" t="n"/>
      <c r="I460" s="221">
        <f>IF(COUNTA(A460:E460)=0,"",IF(OR(D460&lt;=0,E460&lt;0),"ERRO: bases inválidas",IF(E460&gt;D460,"ERRO: presenças acima do previsto",IF(COUNTIFS($A$5:$A$1200,A460,$B$5:$B$1200,B460,$C$5:$C$1200,C460)&gt;1,"ERRO: chave duplicada",IF(COUNTIFS(DISCIPLINAS!$A$5:$A$101,B460,DISCIPLINAS!$B$5:$B$101,C460)=0,"ERRO: disciplina não pertence ao curso","OK")))))</f>
        <v/>
      </c>
    </row>
    <row r="461" ht="15" customHeight="1" s="131">
      <c r="A461" s="220" t="n"/>
      <c r="B461" s="222" t="n"/>
      <c r="C461" s="222" t="n"/>
      <c r="D461" s="220" t="n"/>
      <c r="E461" s="220" t="n"/>
      <c r="F461" s="181">
        <f>IFERROR(E461/D461,"")</f>
        <v/>
      </c>
      <c r="G461" s="219" t="n"/>
      <c r="H461" s="220" t="n"/>
      <c r="I461" s="221">
        <f>IF(COUNTA(A461:E461)=0,"",IF(OR(D461&lt;=0,E461&lt;0),"ERRO: bases inválidas",IF(E461&gt;D461,"ERRO: presenças acima do previsto",IF(COUNTIFS($A$5:$A$1200,A461,$B$5:$B$1200,B461,$C$5:$C$1200,C461)&gt;1,"ERRO: chave duplicada",IF(COUNTIFS(DISCIPLINAS!$A$5:$A$101,B461,DISCIPLINAS!$B$5:$B$101,C461)=0,"ERRO: disciplina não pertence ao curso","OK")))))</f>
        <v/>
      </c>
    </row>
    <row r="462" ht="15" customHeight="1" s="131">
      <c r="A462" s="220" t="n"/>
      <c r="B462" s="222" t="n"/>
      <c r="C462" s="222" t="n"/>
      <c r="D462" s="220" t="n"/>
      <c r="E462" s="220" t="n"/>
      <c r="F462" s="181">
        <f>IFERROR(E462/D462,"")</f>
        <v/>
      </c>
      <c r="G462" s="219" t="n"/>
      <c r="H462" s="220" t="n"/>
      <c r="I462" s="221">
        <f>IF(COUNTA(A462:E462)=0,"",IF(OR(D462&lt;=0,E462&lt;0),"ERRO: bases inválidas",IF(E462&gt;D462,"ERRO: presenças acima do previsto",IF(COUNTIFS($A$5:$A$1200,A462,$B$5:$B$1200,B462,$C$5:$C$1200,C462)&gt;1,"ERRO: chave duplicada",IF(COUNTIFS(DISCIPLINAS!$A$5:$A$101,B462,DISCIPLINAS!$B$5:$B$101,C462)=0,"ERRO: disciplina não pertence ao curso","OK")))))</f>
        <v/>
      </c>
    </row>
    <row r="463" ht="15" customHeight="1" s="131">
      <c r="A463" s="220" t="n"/>
      <c r="B463" s="222" t="n"/>
      <c r="C463" s="222" t="n"/>
      <c r="D463" s="220" t="n"/>
      <c r="E463" s="220" t="n"/>
      <c r="F463" s="181">
        <f>IFERROR(E463/D463,"")</f>
        <v/>
      </c>
      <c r="G463" s="219" t="n"/>
      <c r="H463" s="220" t="n"/>
      <c r="I463" s="221">
        <f>IF(COUNTA(A463:E463)=0,"",IF(OR(D463&lt;=0,E463&lt;0),"ERRO: bases inválidas",IF(E463&gt;D463,"ERRO: presenças acima do previsto",IF(COUNTIFS($A$5:$A$1200,A463,$B$5:$B$1200,B463,$C$5:$C$1200,C463)&gt;1,"ERRO: chave duplicada",IF(COUNTIFS(DISCIPLINAS!$A$5:$A$101,B463,DISCIPLINAS!$B$5:$B$101,C463)=0,"ERRO: disciplina não pertence ao curso","OK")))))</f>
        <v/>
      </c>
    </row>
    <row r="464" ht="15" customHeight="1" s="131">
      <c r="A464" s="220" t="n"/>
      <c r="B464" s="222" t="n"/>
      <c r="C464" s="222" t="n"/>
      <c r="D464" s="220" t="n"/>
      <c r="E464" s="220" t="n"/>
      <c r="F464" s="181">
        <f>IFERROR(E464/D464,"")</f>
        <v/>
      </c>
      <c r="G464" s="219" t="n"/>
      <c r="H464" s="220" t="n"/>
      <c r="I464" s="221">
        <f>IF(COUNTA(A464:E464)=0,"",IF(OR(D464&lt;=0,E464&lt;0),"ERRO: bases inválidas",IF(E464&gt;D464,"ERRO: presenças acima do previsto",IF(COUNTIFS($A$5:$A$1200,A464,$B$5:$B$1200,B464,$C$5:$C$1200,C464)&gt;1,"ERRO: chave duplicada",IF(COUNTIFS(DISCIPLINAS!$A$5:$A$101,B464,DISCIPLINAS!$B$5:$B$101,C464)=0,"ERRO: disciplina não pertence ao curso","OK")))))</f>
        <v/>
      </c>
    </row>
    <row r="465" ht="15" customHeight="1" s="131">
      <c r="A465" s="220" t="n"/>
      <c r="B465" s="222" t="n"/>
      <c r="C465" s="222" t="n"/>
      <c r="D465" s="220" t="n"/>
      <c r="E465" s="220" t="n"/>
      <c r="F465" s="181">
        <f>IFERROR(E465/D465,"")</f>
        <v/>
      </c>
      <c r="G465" s="219" t="n"/>
      <c r="H465" s="220" t="n"/>
      <c r="I465" s="221">
        <f>IF(COUNTA(A465:E465)=0,"",IF(OR(D465&lt;=0,E465&lt;0),"ERRO: bases inválidas",IF(E465&gt;D465,"ERRO: presenças acima do previsto",IF(COUNTIFS($A$5:$A$1200,A465,$B$5:$B$1200,B465,$C$5:$C$1200,C465)&gt;1,"ERRO: chave duplicada",IF(COUNTIFS(DISCIPLINAS!$A$5:$A$101,B465,DISCIPLINAS!$B$5:$B$101,C465)=0,"ERRO: disciplina não pertence ao curso","OK")))))</f>
        <v/>
      </c>
    </row>
    <row r="466" ht="15" customHeight="1" s="131">
      <c r="A466" s="220" t="n"/>
      <c r="B466" s="222" t="n"/>
      <c r="C466" s="222" t="n"/>
      <c r="D466" s="220" t="n"/>
      <c r="E466" s="220" t="n"/>
      <c r="F466" s="181">
        <f>IFERROR(E466/D466,"")</f>
        <v/>
      </c>
      <c r="G466" s="219" t="n"/>
      <c r="H466" s="220" t="n"/>
      <c r="I466" s="221">
        <f>IF(COUNTA(A466:E466)=0,"",IF(OR(D466&lt;=0,E466&lt;0),"ERRO: bases inválidas",IF(E466&gt;D466,"ERRO: presenças acima do previsto",IF(COUNTIFS($A$5:$A$1200,A466,$B$5:$B$1200,B466,$C$5:$C$1200,C466)&gt;1,"ERRO: chave duplicada",IF(COUNTIFS(DISCIPLINAS!$A$5:$A$101,B466,DISCIPLINAS!$B$5:$B$101,C466)=0,"ERRO: disciplina não pertence ao curso","OK")))))</f>
        <v/>
      </c>
    </row>
    <row r="467" ht="15" customHeight="1" s="131">
      <c r="A467" s="220" t="n"/>
      <c r="B467" s="222" t="n"/>
      <c r="C467" s="222" t="n"/>
      <c r="D467" s="220" t="n"/>
      <c r="E467" s="220" t="n"/>
      <c r="F467" s="181">
        <f>IFERROR(E467/D467,"")</f>
        <v/>
      </c>
      <c r="G467" s="219" t="n"/>
      <c r="H467" s="220" t="n"/>
      <c r="I467" s="221">
        <f>IF(COUNTA(A467:E467)=0,"",IF(OR(D467&lt;=0,E467&lt;0),"ERRO: bases inválidas",IF(E467&gt;D467,"ERRO: presenças acima do previsto",IF(COUNTIFS($A$5:$A$1200,A467,$B$5:$B$1200,B467,$C$5:$C$1200,C467)&gt;1,"ERRO: chave duplicada",IF(COUNTIFS(DISCIPLINAS!$A$5:$A$101,B467,DISCIPLINAS!$B$5:$B$101,C467)=0,"ERRO: disciplina não pertence ao curso","OK")))))</f>
        <v/>
      </c>
    </row>
    <row r="468" ht="15" customHeight="1" s="131">
      <c r="A468" s="220" t="n"/>
      <c r="B468" s="222" t="n"/>
      <c r="C468" s="222" t="n"/>
      <c r="D468" s="220" t="n"/>
      <c r="E468" s="220" t="n"/>
      <c r="F468" s="181">
        <f>IFERROR(E468/D468,"")</f>
        <v/>
      </c>
      <c r="G468" s="219" t="n"/>
      <c r="H468" s="220" t="n"/>
      <c r="I468" s="221">
        <f>IF(COUNTA(A468:E468)=0,"",IF(OR(D468&lt;=0,E468&lt;0),"ERRO: bases inválidas",IF(E468&gt;D468,"ERRO: presenças acima do previsto",IF(COUNTIFS($A$5:$A$1200,A468,$B$5:$B$1200,B468,$C$5:$C$1200,C468)&gt;1,"ERRO: chave duplicada",IF(COUNTIFS(DISCIPLINAS!$A$5:$A$101,B468,DISCIPLINAS!$B$5:$B$101,C468)=0,"ERRO: disciplina não pertence ao curso","OK")))))</f>
        <v/>
      </c>
    </row>
    <row r="469" ht="15" customHeight="1" s="131">
      <c r="A469" s="220" t="n"/>
      <c r="B469" s="222" t="n"/>
      <c r="C469" s="222" t="n"/>
      <c r="D469" s="220" t="n"/>
      <c r="E469" s="220" t="n"/>
      <c r="F469" s="181">
        <f>IFERROR(E469/D469,"")</f>
        <v/>
      </c>
      <c r="G469" s="219" t="n"/>
      <c r="H469" s="220" t="n"/>
      <c r="I469" s="221">
        <f>IF(COUNTA(A469:E469)=0,"",IF(OR(D469&lt;=0,E469&lt;0),"ERRO: bases inválidas",IF(E469&gt;D469,"ERRO: presenças acima do previsto",IF(COUNTIFS($A$5:$A$1200,A469,$B$5:$B$1200,B469,$C$5:$C$1200,C469)&gt;1,"ERRO: chave duplicada",IF(COUNTIFS(DISCIPLINAS!$A$5:$A$101,B469,DISCIPLINAS!$B$5:$B$101,C469)=0,"ERRO: disciplina não pertence ao curso","OK")))))</f>
        <v/>
      </c>
    </row>
    <row r="470" ht="15" customHeight="1" s="131">
      <c r="A470" s="220" t="n"/>
      <c r="B470" s="222" t="n"/>
      <c r="C470" s="222" t="n"/>
      <c r="D470" s="220" t="n"/>
      <c r="E470" s="220" t="n"/>
      <c r="F470" s="181">
        <f>IFERROR(E470/D470,"")</f>
        <v/>
      </c>
      <c r="G470" s="219" t="n"/>
      <c r="H470" s="220" t="n"/>
      <c r="I470" s="221">
        <f>IF(COUNTA(A470:E470)=0,"",IF(OR(D470&lt;=0,E470&lt;0),"ERRO: bases inválidas",IF(E470&gt;D470,"ERRO: presenças acima do previsto",IF(COUNTIFS($A$5:$A$1200,A470,$B$5:$B$1200,B470,$C$5:$C$1200,C470)&gt;1,"ERRO: chave duplicada",IF(COUNTIFS(DISCIPLINAS!$A$5:$A$101,B470,DISCIPLINAS!$B$5:$B$101,C470)=0,"ERRO: disciplina não pertence ao curso","OK")))))</f>
        <v/>
      </c>
    </row>
    <row r="471" ht="15" customHeight="1" s="131">
      <c r="A471" s="220" t="n"/>
      <c r="B471" s="222" t="n"/>
      <c r="C471" s="222" t="n"/>
      <c r="D471" s="220" t="n"/>
      <c r="E471" s="220" t="n"/>
      <c r="F471" s="181">
        <f>IFERROR(E471/D471,"")</f>
        <v/>
      </c>
      <c r="G471" s="219" t="n"/>
      <c r="H471" s="220" t="n"/>
      <c r="I471" s="221">
        <f>IF(COUNTA(A471:E471)=0,"",IF(OR(D471&lt;=0,E471&lt;0),"ERRO: bases inválidas",IF(E471&gt;D471,"ERRO: presenças acima do previsto",IF(COUNTIFS($A$5:$A$1200,A471,$B$5:$B$1200,B471,$C$5:$C$1200,C471)&gt;1,"ERRO: chave duplicada",IF(COUNTIFS(DISCIPLINAS!$A$5:$A$101,B471,DISCIPLINAS!$B$5:$B$101,C471)=0,"ERRO: disciplina não pertence ao curso","OK")))))</f>
        <v/>
      </c>
    </row>
    <row r="472" ht="15" customHeight="1" s="131">
      <c r="A472" s="220" t="n"/>
      <c r="B472" s="222" t="n"/>
      <c r="C472" s="222" t="n"/>
      <c r="D472" s="220" t="n"/>
      <c r="E472" s="220" t="n"/>
      <c r="F472" s="181">
        <f>IFERROR(E472/D472,"")</f>
        <v/>
      </c>
      <c r="G472" s="219" t="n"/>
      <c r="H472" s="220" t="n"/>
      <c r="I472" s="221">
        <f>IF(COUNTA(A472:E472)=0,"",IF(OR(D472&lt;=0,E472&lt;0),"ERRO: bases inválidas",IF(E472&gt;D472,"ERRO: presenças acima do previsto",IF(COUNTIFS($A$5:$A$1200,A472,$B$5:$B$1200,B472,$C$5:$C$1200,C472)&gt;1,"ERRO: chave duplicada",IF(COUNTIFS(DISCIPLINAS!$A$5:$A$101,B472,DISCIPLINAS!$B$5:$B$101,C472)=0,"ERRO: disciplina não pertence ao curso","OK")))))</f>
        <v/>
      </c>
    </row>
    <row r="473" ht="15" customHeight="1" s="131">
      <c r="A473" s="220" t="n"/>
      <c r="B473" s="222" t="n"/>
      <c r="C473" s="222" t="n"/>
      <c r="D473" s="220" t="n"/>
      <c r="E473" s="220" t="n"/>
      <c r="F473" s="181">
        <f>IFERROR(E473/D473,"")</f>
        <v/>
      </c>
      <c r="G473" s="219" t="n"/>
      <c r="H473" s="220" t="n"/>
      <c r="I473" s="221">
        <f>IF(COUNTA(A473:E473)=0,"",IF(OR(D473&lt;=0,E473&lt;0),"ERRO: bases inválidas",IF(E473&gt;D473,"ERRO: presenças acima do previsto",IF(COUNTIFS($A$5:$A$1200,A473,$B$5:$B$1200,B473,$C$5:$C$1200,C473)&gt;1,"ERRO: chave duplicada",IF(COUNTIFS(DISCIPLINAS!$A$5:$A$101,B473,DISCIPLINAS!$B$5:$B$101,C473)=0,"ERRO: disciplina não pertence ao curso","OK")))))</f>
        <v/>
      </c>
    </row>
    <row r="474" ht="15" customHeight="1" s="131">
      <c r="A474" s="220" t="n"/>
      <c r="B474" s="222" t="n"/>
      <c r="C474" s="222" t="n"/>
      <c r="D474" s="220" t="n"/>
      <c r="E474" s="220" t="n"/>
      <c r="F474" s="181">
        <f>IFERROR(E474/D474,"")</f>
        <v/>
      </c>
      <c r="G474" s="219" t="n"/>
      <c r="H474" s="220" t="n"/>
      <c r="I474" s="221">
        <f>IF(COUNTA(A474:E474)=0,"",IF(OR(D474&lt;=0,E474&lt;0),"ERRO: bases inválidas",IF(E474&gt;D474,"ERRO: presenças acima do previsto",IF(COUNTIFS($A$5:$A$1200,A474,$B$5:$B$1200,B474,$C$5:$C$1200,C474)&gt;1,"ERRO: chave duplicada",IF(COUNTIFS(DISCIPLINAS!$A$5:$A$101,B474,DISCIPLINAS!$B$5:$B$101,C474)=0,"ERRO: disciplina não pertence ao curso","OK")))))</f>
        <v/>
      </c>
    </row>
    <row r="475" ht="15" customHeight="1" s="131">
      <c r="A475" s="220" t="n"/>
      <c r="B475" s="222" t="n"/>
      <c r="C475" s="222" t="n"/>
      <c r="D475" s="220" t="n"/>
      <c r="E475" s="220" t="n"/>
      <c r="F475" s="181">
        <f>IFERROR(E475/D475,"")</f>
        <v/>
      </c>
      <c r="G475" s="219" t="n"/>
      <c r="H475" s="220" t="n"/>
      <c r="I475" s="221">
        <f>IF(COUNTA(A475:E475)=0,"",IF(OR(D475&lt;=0,E475&lt;0),"ERRO: bases inválidas",IF(E475&gt;D475,"ERRO: presenças acima do previsto",IF(COUNTIFS($A$5:$A$1200,A475,$B$5:$B$1200,B475,$C$5:$C$1200,C475)&gt;1,"ERRO: chave duplicada",IF(COUNTIFS(DISCIPLINAS!$A$5:$A$101,B475,DISCIPLINAS!$B$5:$B$101,C475)=0,"ERRO: disciplina não pertence ao curso","OK")))))</f>
        <v/>
      </c>
    </row>
    <row r="476" ht="15" customHeight="1" s="131">
      <c r="A476" s="220" t="n"/>
      <c r="B476" s="222" t="n"/>
      <c r="C476" s="222" t="n"/>
      <c r="D476" s="220" t="n"/>
      <c r="E476" s="220" t="n"/>
      <c r="F476" s="181">
        <f>IFERROR(E476/D476,"")</f>
        <v/>
      </c>
      <c r="G476" s="219" t="n"/>
      <c r="H476" s="220" t="n"/>
      <c r="I476" s="221">
        <f>IF(COUNTA(A476:E476)=0,"",IF(OR(D476&lt;=0,E476&lt;0),"ERRO: bases inválidas",IF(E476&gt;D476,"ERRO: presenças acima do previsto",IF(COUNTIFS($A$5:$A$1200,A476,$B$5:$B$1200,B476,$C$5:$C$1200,C476)&gt;1,"ERRO: chave duplicada",IF(COUNTIFS(DISCIPLINAS!$A$5:$A$101,B476,DISCIPLINAS!$B$5:$B$101,C476)=0,"ERRO: disciplina não pertence ao curso","OK")))))</f>
        <v/>
      </c>
    </row>
    <row r="477" ht="15" customHeight="1" s="131">
      <c r="A477" s="220" t="n"/>
      <c r="B477" s="222" t="n"/>
      <c r="C477" s="222" t="n"/>
      <c r="D477" s="220" t="n"/>
      <c r="E477" s="220" t="n"/>
      <c r="F477" s="181">
        <f>IFERROR(E477/D477,"")</f>
        <v/>
      </c>
      <c r="G477" s="219" t="n"/>
      <c r="H477" s="220" t="n"/>
      <c r="I477" s="221">
        <f>IF(COUNTA(A477:E477)=0,"",IF(OR(D477&lt;=0,E477&lt;0),"ERRO: bases inválidas",IF(E477&gt;D477,"ERRO: presenças acima do previsto",IF(COUNTIFS($A$5:$A$1200,A477,$B$5:$B$1200,B477,$C$5:$C$1200,C477)&gt;1,"ERRO: chave duplicada",IF(COUNTIFS(DISCIPLINAS!$A$5:$A$101,B477,DISCIPLINAS!$B$5:$B$101,C477)=0,"ERRO: disciplina não pertence ao curso","OK")))))</f>
        <v/>
      </c>
    </row>
    <row r="478" ht="15" customHeight="1" s="131">
      <c r="A478" s="220" t="n"/>
      <c r="B478" s="222" t="n"/>
      <c r="C478" s="222" t="n"/>
      <c r="D478" s="220" t="n"/>
      <c r="E478" s="220" t="n"/>
      <c r="F478" s="181">
        <f>IFERROR(E478/D478,"")</f>
        <v/>
      </c>
      <c r="G478" s="219" t="n"/>
      <c r="H478" s="220" t="n"/>
      <c r="I478" s="221">
        <f>IF(COUNTA(A478:E478)=0,"",IF(OR(D478&lt;=0,E478&lt;0),"ERRO: bases inválidas",IF(E478&gt;D478,"ERRO: presenças acima do previsto",IF(COUNTIFS($A$5:$A$1200,A478,$B$5:$B$1200,B478,$C$5:$C$1200,C478)&gt;1,"ERRO: chave duplicada",IF(COUNTIFS(DISCIPLINAS!$A$5:$A$101,B478,DISCIPLINAS!$B$5:$B$101,C478)=0,"ERRO: disciplina não pertence ao curso","OK")))))</f>
        <v/>
      </c>
    </row>
    <row r="479" ht="15" customHeight="1" s="131">
      <c r="A479" s="220" t="n"/>
      <c r="B479" s="222" t="n"/>
      <c r="C479" s="222" t="n"/>
      <c r="D479" s="220" t="n"/>
      <c r="E479" s="220" t="n"/>
      <c r="F479" s="181">
        <f>IFERROR(E479/D479,"")</f>
        <v/>
      </c>
      <c r="G479" s="219" t="n"/>
      <c r="H479" s="220" t="n"/>
      <c r="I479" s="221">
        <f>IF(COUNTA(A479:E479)=0,"",IF(OR(D479&lt;=0,E479&lt;0),"ERRO: bases inválidas",IF(E479&gt;D479,"ERRO: presenças acima do previsto",IF(COUNTIFS($A$5:$A$1200,A479,$B$5:$B$1200,B479,$C$5:$C$1200,C479)&gt;1,"ERRO: chave duplicada",IF(COUNTIFS(DISCIPLINAS!$A$5:$A$101,B479,DISCIPLINAS!$B$5:$B$101,C479)=0,"ERRO: disciplina não pertence ao curso","OK")))))</f>
        <v/>
      </c>
    </row>
    <row r="480" ht="15" customHeight="1" s="131">
      <c r="A480" s="220" t="n"/>
      <c r="B480" s="222" t="n"/>
      <c r="C480" s="222" t="n"/>
      <c r="D480" s="220" t="n"/>
      <c r="E480" s="220" t="n"/>
      <c r="F480" s="181">
        <f>IFERROR(E480/D480,"")</f>
        <v/>
      </c>
      <c r="G480" s="219" t="n"/>
      <c r="H480" s="220" t="n"/>
      <c r="I480" s="221">
        <f>IF(COUNTA(A480:E480)=0,"",IF(OR(D480&lt;=0,E480&lt;0),"ERRO: bases inválidas",IF(E480&gt;D480,"ERRO: presenças acima do previsto",IF(COUNTIFS($A$5:$A$1200,A480,$B$5:$B$1200,B480,$C$5:$C$1200,C480)&gt;1,"ERRO: chave duplicada",IF(COUNTIFS(DISCIPLINAS!$A$5:$A$101,B480,DISCIPLINAS!$B$5:$B$101,C480)=0,"ERRO: disciplina não pertence ao curso","OK")))))</f>
        <v/>
      </c>
    </row>
    <row r="481" ht="15" customHeight="1" s="131">
      <c r="A481" s="220" t="n"/>
      <c r="B481" s="222" t="n"/>
      <c r="C481" s="222" t="n"/>
      <c r="D481" s="220" t="n"/>
      <c r="E481" s="220" t="n"/>
      <c r="F481" s="181">
        <f>IFERROR(E481/D481,"")</f>
        <v/>
      </c>
      <c r="G481" s="219" t="n"/>
      <c r="H481" s="220" t="n"/>
      <c r="I481" s="221">
        <f>IF(COUNTA(A481:E481)=0,"",IF(OR(D481&lt;=0,E481&lt;0),"ERRO: bases inválidas",IF(E481&gt;D481,"ERRO: presenças acima do previsto",IF(COUNTIFS($A$5:$A$1200,A481,$B$5:$B$1200,B481,$C$5:$C$1200,C481)&gt;1,"ERRO: chave duplicada",IF(COUNTIFS(DISCIPLINAS!$A$5:$A$101,B481,DISCIPLINAS!$B$5:$B$101,C481)=0,"ERRO: disciplina não pertence ao curso","OK")))))</f>
        <v/>
      </c>
    </row>
    <row r="482" ht="15" customHeight="1" s="131">
      <c r="A482" s="220" t="n"/>
      <c r="B482" s="222" t="n"/>
      <c r="C482" s="222" t="n"/>
      <c r="D482" s="220" t="n"/>
      <c r="E482" s="220" t="n"/>
      <c r="F482" s="181">
        <f>IFERROR(E482/D482,"")</f>
        <v/>
      </c>
      <c r="G482" s="219" t="n"/>
      <c r="H482" s="220" t="n"/>
      <c r="I482" s="221">
        <f>IF(COUNTA(A482:E482)=0,"",IF(OR(D482&lt;=0,E482&lt;0),"ERRO: bases inválidas",IF(E482&gt;D482,"ERRO: presenças acima do previsto",IF(COUNTIFS($A$5:$A$1200,A482,$B$5:$B$1200,B482,$C$5:$C$1200,C482)&gt;1,"ERRO: chave duplicada",IF(COUNTIFS(DISCIPLINAS!$A$5:$A$101,B482,DISCIPLINAS!$B$5:$B$101,C482)=0,"ERRO: disciplina não pertence ao curso","OK")))))</f>
        <v/>
      </c>
    </row>
    <row r="483" ht="15" customHeight="1" s="131">
      <c r="A483" s="220" t="n"/>
      <c r="B483" s="222" t="n"/>
      <c r="C483" s="222" t="n"/>
      <c r="D483" s="220" t="n"/>
      <c r="E483" s="220" t="n"/>
      <c r="F483" s="181">
        <f>IFERROR(E483/D483,"")</f>
        <v/>
      </c>
      <c r="G483" s="219" t="n"/>
      <c r="H483" s="220" t="n"/>
      <c r="I483" s="221">
        <f>IF(COUNTA(A483:E483)=0,"",IF(OR(D483&lt;=0,E483&lt;0),"ERRO: bases inválidas",IF(E483&gt;D483,"ERRO: presenças acima do previsto",IF(COUNTIFS($A$5:$A$1200,A483,$B$5:$B$1200,B483,$C$5:$C$1200,C483)&gt;1,"ERRO: chave duplicada",IF(COUNTIFS(DISCIPLINAS!$A$5:$A$101,B483,DISCIPLINAS!$B$5:$B$101,C483)=0,"ERRO: disciplina não pertence ao curso","OK")))))</f>
        <v/>
      </c>
    </row>
    <row r="484" ht="15" customHeight="1" s="131">
      <c r="A484" s="220" t="n"/>
      <c r="B484" s="222" t="n"/>
      <c r="C484" s="222" t="n"/>
      <c r="D484" s="220" t="n"/>
      <c r="E484" s="220" t="n"/>
      <c r="F484" s="181">
        <f>IFERROR(E484/D484,"")</f>
        <v/>
      </c>
      <c r="G484" s="219" t="n"/>
      <c r="H484" s="220" t="n"/>
      <c r="I484" s="221">
        <f>IF(COUNTA(A484:E484)=0,"",IF(OR(D484&lt;=0,E484&lt;0),"ERRO: bases inválidas",IF(E484&gt;D484,"ERRO: presenças acima do previsto",IF(COUNTIFS($A$5:$A$1200,A484,$B$5:$B$1200,B484,$C$5:$C$1200,C484)&gt;1,"ERRO: chave duplicada",IF(COUNTIFS(DISCIPLINAS!$A$5:$A$101,B484,DISCIPLINAS!$B$5:$B$101,C484)=0,"ERRO: disciplina não pertence ao curso","OK")))))</f>
        <v/>
      </c>
    </row>
    <row r="485" ht="15" customHeight="1" s="131">
      <c r="A485" s="220" t="n"/>
      <c r="B485" s="222" t="n"/>
      <c r="C485" s="222" t="n"/>
      <c r="D485" s="220" t="n"/>
      <c r="E485" s="220" t="n"/>
      <c r="F485" s="181">
        <f>IFERROR(E485/D485,"")</f>
        <v/>
      </c>
      <c r="G485" s="219" t="n"/>
      <c r="H485" s="220" t="n"/>
      <c r="I485" s="221">
        <f>IF(COUNTA(A485:E485)=0,"",IF(OR(D485&lt;=0,E485&lt;0),"ERRO: bases inválidas",IF(E485&gt;D485,"ERRO: presenças acima do previsto",IF(COUNTIFS($A$5:$A$1200,A485,$B$5:$B$1200,B485,$C$5:$C$1200,C485)&gt;1,"ERRO: chave duplicada",IF(COUNTIFS(DISCIPLINAS!$A$5:$A$101,B485,DISCIPLINAS!$B$5:$B$101,C485)=0,"ERRO: disciplina não pertence ao curso","OK")))))</f>
        <v/>
      </c>
    </row>
    <row r="486" ht="15" customHeight="1" s="131">
      <c r="A486" s="220" t="n"/>
      <c r="B486" s="222" t="n"/>
      <c r="C486" s="222" t="n"/>
      <c r="D486" s="220" t="n"/>
      <c r="E486" s="220" t="n"/>
      <c r="F486" s="181">
        <f>IFERROR(E486/D486,"")</f>
        <v/>
      </c>
      <c r="G486" s="219" t="n"/>
      <c r="H486" s="220" t="n"/>
      <c r="I486" s="221">
        <f>IF(COUNTA(A486:E486)=0,"",IF(OR(D486&lt;=0,E486&lt;0),"ERRO: bases inválidas",IF(E486&gt;D486,"ERRO: presenças acima do previsto",IF(COUNTIFS($A$5:$A$1200,A486,$B$5:$B$1200,B486,$C$5:$C$1200,C486)&gt;1,"ERRO: chave duplicada",IF(COUNTIFS(DISCIPLINAS!$A$5:$A$101,B486,DISCIPLINAS!$B$5:$B$101,C486)=0,"ERRO: disciplina não pertence ao curso","OK")))))</f>
        <v/>
      </c>
    </row>
    <row r="487" ht="15" customHeight="1" s="131">
      <c r="A487" s="220" t="n"/>
      <c r="B487" s="222" t="n"/>
      <c r="C487" s="222" t="n"/>
      <c r="D487" s="220" t="n"/>
      <c r="E487" s="220" t="n"/>
      <c r="F487" s="181">
        <f>IFERROR(E487/D487,"")</f>
        <v/>
      </c>
      <c r="G487" s="219" t="n"/>
      <c r="H487" s="220" t="n"/>
      <c r="I487" s="221">
        <f>IF(COUNTA(A487:E487)=0,"",IF(OR(D487&lt;=0,E487&lt;0),"ERRO: bases inválidas",IF(E487&gt;D487,"ERRO: presenças acima do previsto",IF(COUNTIFS($A$5:$A$1200,A487,$B$5:$B$1200,B487,$C$5:$C$1200,C487)&gt;1,"ERRO: chave duplicada",IF(COUNTIFS(DISCIPLINAS!$A$5:$A$101,B487,DISCIPLINAS!$B$5:$B$101,C487)=0,"ERRO: disciplina não pertence ao curso","OK")))))</f>
        <v/>
      </c>
    </row>
    <row r="488" ht="15" customHeight="1" s="131">
      <c r="A488" s="220" t="n"/>
      <c r="B488" s="222" t="n"/>
      <c r="C488" s="222" t="n"/>
      <c r="D488" s="220" t="n"/>
      <c r="E488" s="220" t="n"/>
      <c r="F488" s="181">
        <f>IFERROR(E488/D488,"")</f>
        <v/>
      </c>
      <c r="G488" s="219" t="n"/>
      <c r="H488" s="220" t="n"/>
      <c r="I488" s="221">
        <f>IF(COUNTA(A488:E488)=0,"",IF(OR(D488&lt;=0,E488&lt;0),"ERRO: bases inválidas",IF(E488&gt;D488,"ERRO: presenças acima do previsto",IF(COUNTIFS($A$5:$A$1200,A488,$B$5:$B$1200,B488,$C$5:$C$1200,C488)&gt;1,"ERRO: chave duplicada",IF(COUNTIFS(DISCIPLINAS!$A$5:$A$101,B488,DISCIPLINAS!$B$5:$B$101,C488)=0,"ERRO: disciplina não pertence ao curso","OK")))))</f>
        <v/>
      </c>
    </row>
    <row r="489" ht="15" customHeight="1" s="131">
      <c r="A489" s="220" t="n"/>
      <c r="B489" s="222" t="n"/>
      <c r="C489" s="222" t="n"/>
      <c r="D489" s="220" t="n"/>
      <c r="E489" s="220" t="n"/>
      <c r="F489" s="181">
        <f>IFERROR(E489/D489,"")</f>
        <v/>
      </c>
      <c r="G489" s="219" t="n"/>
      <c r="H489" s="220" t="n"/>
      <c r="I489" s="221">
        <f>IF(COUNTA(A489:E489)=0,"",IF(OR(D489&lt;=0,E489&lt;0),"ERRO: bases inválidas",IF(E489&gt;D489,"ERRO: presenças acima do previsto",IF(COUNTIFS($A$5:$A$1200,A489,$B$5:$B$1200,B489,$C$5:$C$1200,C489)&gt;1,"ERRO: chave duplicada",IF(COUNTIFS(DISCIPLINAS!$A$5:$A$101,B489,DISCIPLINAS!$B$5:$B$101,C489)=0,"ERRO: disciplina não pertence ao curso","OK")))))</f>
        <v/>
      </c>
    </row>
    <row r="490" ht="15" customHeight="1" s="131">
      <c r="A490" s="220" t="n"/>
      <c r="B490" s="222" t="n"/>
      <c r="C490" s="222" t="n"/>
      <c r="D490" s="220" t="n"/>
      <c r="E490" s="220" t="n"/>
      <c r="F490" s="181">
        <f>IFERROR(E490/D490,"")</f>
        <v/>
      </c>
      <c r="G490" s="219" t="n"/>
      <c r="H490" s="220" t="n"/>
      <c r="I490" s="221">
        <f>IF(COUNTA(A490:E490)=0,"",IF(OR(D490&lt;=0,E490&lt;0),"ERRO: bases inválidas",IF(E490&gt;D490,"ERRO: presenças acima do previsto",IF(COUNTIFS($A$5:$A$1200,A490,$B$5:$B$1200,B490,$C$5:$C$1200,C490)&gt;1,"ERRO: chave duplicada",IF(COUNTIFS(DISCIPLINAS!$A$5:$A$101,B490,DISCIPLINAS!$B$5:$B$101,C490)=0,"ERRO: disciplina não pertence ao curso","OK")))))</f>
        <v/>
      </c>
    </row>
    <row r="491" ht="15" customHeight="1" s="131">
      <c r="A491" s="220" t="n"/>
      <c r="B491" s="222" t="n"/>
      <c r="C491" s="222" t="n"/>
      <c r="D491" s="220" t="n"/>
      <c r="E491" s="220" t="n"/>
      <c r="F491" s="181">
        <f>IFERROR(E491/D491,"")</f>
        <v/>
      </c>
      <c r="G491" s="219" t="n"/>
      <c r="H491" s="220" t="n"/>
      <c r="I491" s="221">
        <f>IF(COUNTA(A491:E491)=0,"",IF(OR(D491&lt;=0,E491&lt;0),"ERRO: bases inválidas",IF(E491&gt;D491,"ERRO: presenças acima do previsto",IF(COUNTIFS($A$5:$A$1200,A491,$B$5:$B$1200,B491,$C$5:$C$1200,C491)&gt;1,"ERRO: chave duplicada",IF(COUNTIFS(DISCIPLINAS!$A$5:$A$101,B491,DISCIPLINAS!$B$5:$B$101,C491)=0,"ERRO: disciplina não pertence ao curso","OK")))))</f>
        <v/>
      </c>
    </row>
    <row r="492" ht="15" customHeight="1" s="131">
      <c r="A492" s="220" t="n"/>
      <c r="B492" s="222" t="n"/>
      <c r="C492" s="222" t="n"/>
      <c r="D492" s="220" t="n"/>
      <c r="E492" s="220" t="n"/>
      <c r="F492" s="181">
        <f>IFERROR(E492/D492,"")</f>
        <v/>
      </c>
      <c r="G492" s="219" t="n"/>
      <c r="H492" s="220" t="n"/>
      <c r="I492" s="221">
        <f>IF(COUNTA(A492:E492)=0,"",IF(OR(D492&lt;=0,E492&lt;0),"ERRO: bases inválidas",IF(E492&gt;D492,"ERRO: presenças acima do previsto",IF(COUNTIFS($A$5:$A$1200,A492,$B$5:$B$1200,B492,$C$5:$C$1200,C492)&gt;1,"ERRO: chave duplicada",IF(COUNTIFS(DISCIPLINAS!$A$5:$A$101,B492,DISCIPLINAS!$B$5:$B$101,C492)=0,"ERRO: disciplina não pertence ao curso","OK")))))</f>
        <v/>
      </c>
    </row>
    <row r="493" ht="15" customHeight="1" s="131">
      <c r="A493" s="220" t="n"/>
      <c r="B493" s="222" t="n"/>
      <c r="C493" s="222" t="n"/>
      <c r="D493" s="220" t="n"/>
      <c r="E493" s="220" t="n"/>
      <c r="F493" s="181">
        <f>IFERROR(E493/D493,"")</f>
        <v/>
      </c>
      <c r="G493" s="219" t="n"/>
      <c r="H493" s="220" t="n"/>
      <c r="I493" s="221">
        <f>IF(COUNTA(A493:E493)=0,"",IF(OR(D493&lt;=0,E493&lt;0),"ERRO: bases inválidas",IF(E493&gt;D493,"ERRO: presenças acima do previsto",IF(COUNTIFS($A$5:$A$1200,A493,$B$5:$B$1200,B493,$C$5:$C$1200,C493)&gt;1,"ERRO: chave duplicada",IF(COUNTIFS(DISCIPLINAS!$A$5:$A$101,B493,DISCIPLINAS!$B$5:$B$101,C493)=0,"ERRO: disciplina não pertence ao curso","OK")))))</f>
        <v/>
      </c>
    </row>
    <row r="494" ht="15" customHeight="1" s="131">
      <c r="A494" s="220" t="n"/>
      <c r="B494" s="222" t="n"/>
      <c r="C494" s="222" t="n"/>
      <c r="D494" s="220" t="n"/>
      <c r="E494" s="220" t="n"/>
      <c r="F494" s="181">
        <f>IFERROR(E494/D494,"")</f>
        <v/>
      </c>
      <c r="G494" s="219" t="n"/>
      <c r="H494" s="220" t="n"/>
      <c r="I494" s="221">
        <f>IF(COUNTA(A494:E494)=0,"",IF(OR(D494&lt;=0,E494&lt;0),"ERRO: bases inválidas",IF(E494&gt;D494,"ERRO: presenças acima do previsto",IF(COUNTIFS($A$5:$A$1200,A494,$B$5:$B$1200,B494,$C$5:$C$1200,C494)&gt;1,"ERRO: chave duplicada",IF(COUNTIFS(DISCIPLINAS!$A$5:$A$101,B494,DISCIPLINAS!$B$5:$B$101,C494)=0,"ERRO: disciplina não pertence ao curso","OK")))))</f>
        <v/>
      </c>
    </row>
    <row r="495" ht="15" customHeight="1" s="131">
      <c r="A495" s="220" t="n"/>
      <c r="B495" s="222" t="n"/>
      <c r="C495" s="222" t="n"/>
      <c r="D495" s="220" t="n"/>
      <c r="E495" s="220" t="n"/>
      <c r="F495" s="181">
        <f>IFERROR(E495/D495,"")</f>
        <v/>
      </c>
      <c r="G495" s="219" t="n"/>
      <c r="H495" s="220" t="n"/>
      <c r="I495" s="221">
        <f>IF(COUNTA(A495:E495)=0,"",IF(OR(D495&lt;=0,E495&lt;0),"ERRO: bases inválidas",IF(E495&gt;D495,"ERRO: presenças acima do previsto",IF(COUNTIFS($A$5:$A$1200,A495,$B$5:$B$1200,B495,$C$5:$C$1200,C495)&gt;1,"ERRO: chave duplicada",IF(COUNTIFS(DISCIPLINAS!$A$5:$A$101,B495,DISCIPLINAS!$B$5:$B$101,C495)=0,"ERRO: disciplina não pertence ao curso","OK")))))</f>
        <v/>
      </c>
    </row>
    <row r="496" ht="15" customHeight="1" s="131">
      <c r="A496" s="220" t="n"/>
      <c r="B496" s="222" t="n"/>
      <c r="C496" s="222" t="n"/>
      <c r="D496" s="220" t="n"/>
      <c r="E496" s="220" t="n"/>
      <c r="F496" s="181">
        <f>IFERROR(E496/D496,"")</f>
        <v/>
      </c>
      <c r="G496" s="219" t="n"/>
      <c r="H496" s="220" t="n"/>
      <c r="I496" s="221">
        <f>IF(COUNTA(A496:E496)=0,"",IF(OR(D496&lt;=0,E496&lt;0),"ERRO: bases inválidas",IF(E496&gt;D496,"ERRO: presenças acima do previsto",IF(COUNTIFS($A$5:$A$1200,A496,$B$5:$B$1200,B496,$C$5:$C$1200,C496)&gt;1,"ERRO: chave duplicada",IF(COUNTIFS(DISCIPLINAS!$A$5:$A$101,B496,DISCIPLINAS!$B$5:$B$101,C496)=0,"ERRO: disciplina não pertence ao curso","OK")))))</f>
        <v/>
      </c>
    </row>
    <row r="497" ht="15" customHeight="1" s="131">
      <c r="A497" s="220" t="n"/>
      <c r="B497" s="222" t="n"/>
      <c r="C497" s="222" t="n"/>
      <c r="D497" s="220" t="n"/>
      <c r="E497" s="220" t="n"/>
      <c r="F497" s="181">
        <f>IFERROR(E497/D497,"")</f>
        <v/>
      </c>
      <c r="G497" s="219" t="n"/>
      <c r="H497" s="220" t="n"/>
      <c r="I497" s="221">
        <f>IF(COUNTA(A497:E497)=0,"",IF(OR(D497&lt;=0,E497&lt;0),"ERRO: bases inválidas",IF(E497&gt;D497,"ERRO: presenças acima do previsto",IF(COUNTIFS($A$5:$A$1200,A497,$B$5:$B$1200,B497,$C$5:$C$1200,C497)&gt;1,"ERRO: chave duplicada",IF(COUNTIFS(DISCIPLINAS!$A$5:$A$101,B497,DISCIPLINAS!$B$5:$B$101,C497)=0,"ERRO: disciplina não pertence ao curso","OK")))))</f>
        <v/>
      </c>
    </row>
    <row r="498" ht="15" customHeight="1" s="131">
      <c r="A498" s="220" t="n"/>
      <c r="B498" s="222" t="n"/>
      <c r="C498" s="222" t="n"/>
      <c r="D498" s="220" t="n"/>
      <c r="E498" s="220" t="n"/>
      <c r="F498" s="181">
        <f>IFERROR(E498/D498,"")</f>
        <v/>
      </c>
      <c r="G498" s="219" t="n"/>
      <c r="H498" s="220" t="n"/>
      <c r="I498" s="221">
        <f>IF(COUNTA(A498:E498)=0,"",IF(OR(D498&lt;=0,E498&lt;0),"ERRO: bases inválidas",IF(E498&gt;D498,"ERRO: presenças acima do previsto",IF(COUNTIFS($A$5:$A$1200,A498,$B$5:$B$1200,B498,$C$5:$C$1200,C498)&gt;1,"ERRO: chave duplicada",IF(COUNTIFS(DISCIPLINAS!$A$5:$A$101,B498,DISCIPLINAS!$B$5:$B$101,C498)=0,"ERRO: disciplina não pertence ao curso","OK")))))</f>
        <v/>
      </c>
    </row>
    <row r="499" ht="15" customHeight="1" s="131">
      <c r="A499" s="220" t="n"/>
      <c r="B499" s="222" t="n"/>
      <c r="C499" s="222" t="n"/>
      <c r="D499" s="220" t="n"/>
      <c r="E499" s="220" t="n"/>
      <c r="F499" s="181">
        <f>IFERROR(E499/D499,"")</f>
        <v/>
      </c>
      <c r="G499" s="219" t="n"/>
      <c r="H499" s="220" t="n"/>
      <c r="I499" s="221">
        <f>IF(COUNTA(A499:E499)=0,"",IF(OR(D499&lt;=0,E499&lt;0),"ERRO: bases inválidas",IF(E499&gt;D499,"ERRO: presenças acima do previsto",IF(COUNTIFS($A$5:$A$1200,A499,$B$5:$B$1200,B499,$C$5:$C$1200,C499)&gt;1,"ERRO: chave duplicada",IF(COUNTIFS(DISCIPLINAS!$A$5:$A$101,B499,DISCIPLINAS!$B$5:$B$101,C499)=0,"ERRO: disciplina não pertence ao curso","OK")))))</f>
        <v/>
      </c>
    </row>
    <row r="500" ht="15" customHeight="1" s="131">
      <c r="A500" s="220" t="n"/>
      <c r="B500" s="222" t="n"/>
      <c r="C500" s="222" t="n"/>
      <c r="D500" s="220" t="n"/>
      <c r="E500" s="220" t="n"/>
      <c r="F500" s="181">
        <f>IFERROR(E500/D500,"")</f>
        <v/>
      </c>
      <c r="G500" s="219" t="n"/>
      <c r="H500" s="220" t="n"/>
      <c r="I500" s="221">
        <f>IF(COUNTA(A500:E500)=0,"",IF(OR(D500&lt;=0,E500&lt;0),"ERRO: bases inválidas",IF(E500&gt;D500,"ERRO: presenças acima do previsto",IF(COUNTIFS($A$5:$A$1200,A500,$B$5:$B$1200,B500,$C$5:$C$1200,C500)&gt;1,"ERRO: chave duplicada",IF(COUNTIFS(DISCIPLINAS!$A$5:$A$101,B500,DISCIPLINAS!$B$5:$B$101,C500)=0,"ERRO: disciplina não pertence ao curso","OK")))))</f>
        <v/>
      </c>
    </row>
    <row r="501" ht="15" customHeight="1" s="131">
      <c r="A501" s="220" t="n"/>
      <c r="B501" s="222" t="n"/>
      <c r="C501" s="222" t="n"/>
      <c r="D501" s="220" t="n"/>
      <c r="E501" s="220" t="n"/>
      <c r="F501" s="181">
        <f>IFERROR(E501/D501,"")</f>
        <v/>
      </c>
      <c r="G501" s="219" t="n"/>
      <c r="H501" s="220" t="n"/>
      <c r="I501" s="221">
        <f>IF(COUNTA(A501:E501)=0,"",IF(OR(D501&lt;=0,E501&lt;0),"ERRO: bases inválidas",IF(E501&gt;D501,"ERRO: presenças acima do previsto",IF(COUNTIFS($A$5:$A$1200,A501,$B$5:$B$1200,B501,$C$5:$C$1200,C501)&gt;1,"ERRO: chave duplicada",IF(COUNTIFS(DISCIPLINAS!$A$5:$A$101,B501,DISCIPLINAS!$B$5:$B$101,C501)=0,"ERRO: disciplina não pertence ao curso","OK")))))</f>
        <v/>
      </c>
    </row>
    <row r="502" ht="15" customHeight="1" s="131">
      <c r="A502" s="220" t="n"/>
      <c r="B502" s="222" t="n"/>
      <c r="C502" s="222" t="n"/>
      <c r="D502" s="220" t="n"/>
      <c r="E502" s="220" t="n"/>
      <c r="F502" s="181">
        <f>IFERROR(E502/D502,"")</f>
        <v/>
      </c>
      <c r="G502" s="219" t="n"/>
      <c r="H502" s="220" t="n"/>
      <c r="I502" s="221">
        <f>IF(COUNTA(A502:E502)=0,"",IF(OR(D502&lt;=0,E502&lt;0),"ERRO: bases inválidas",IF(E502&gt;D502,"ERRO: presenças acima do previsto",IF(COUNTIFS($A$5:$A$1200,A502,$B$5:$B$1200,B502,$C$5:$C$1200,C502)&gt;1,"ERRO: chave duplicada",IF(COUNTIFS(DISCIPLINAS!$A$5:$A$101,B502,DISCIPLINAS!$B$5:$B$101,C502)=0,"ERRO: disciplina não pertence ao curso","OK")))))</f>
        <v/>
      </c>
    </row>
    <row r="503" ht="15" customHeight="1" s="131">
      <c r="A503" s="220" t="n"/>
      <c r="B503" s="222" t="n"/>
      <c r="C503" s="222" t="n"/>
      <c r="D503" s="220" t="n"/>
      <c r="E503" s="220" t="n"/>
      <c r="F503" s="181">
        <f>IFERROR(E503/D503,"")</f>
        <v/>
      </c>
      <c r="G503" s="219" t="n"/>
      <c r="H503" s="220" t="n"/>
      <c r="I503" s="221">
        <f>IF(COUNTA(A503:E503)=0,"",IF(OR(D503&lt;=0,E503&lt;0),"ERRO: bases inválidas",IF(E503&gt;D503,"ERRO: presenças acima do previsto",IF(COUNTIFS($A$5:$A$1200,A503,$B$5:$B$1200,B503,$C$5:$C$1200,C503)&gt;1,"ERRO: chave duplicada",IF(COUNTIFS(DISCIPLINAS!$A$5:$A$101,B503,DISCIPLINAS!$B$5:$B$101,C503)=0,"ERRO: disciplina não pertence ao curso","OK")))))</f>
        <v/>
      </c>
    </row>
    <row r="504" ht="15" customHeight="1" s="131">
      <c r="A504" s="220" t="n"/>
      <c r="B504" s="222" t="n"/>
      <c r="C504" s="222" t="n"/>
      <c r="D504" s="220" t="n"/>
      <c r="E504" s="220" t="n"/>
      <c r="F504" s="181">
        <f>IFERROR(E504/D504,"")</f>
        <v/>
      </c>
      <c r="G504" s="219" t="n"/>
      <c r="H504" s="220" t="n"/>
      <c r="I504" s="221">
        <f>IF(COUNTA(A504:E504)=0,"",IF(OR(D504&lt;=0,E504&lt;0),"ERRO: bases inválidas",IF(E504&gt;D504,"ERRO: presenças acima do previsto",IF(COUNTIFS($A$5:$A$1200,A504,$B$5:$B$1200,B504,$C$5:$C$1200,C504)&gt;1,"ERRO: chave duplicada",IF(COUNTIFS(DISCIPLINAS!$A$5:$A$101,B504,DISCIPLINAS!$B$5:$B$101,C504)=0,"ERRO: disciplina não pertence ao curso","OK")))))</f>
        <v/>
      </c>
    </row>
    <row r="505" ht="15" customHeight="1" s="131">
      <c r="A505" s="220" t="n"/>
      <c r="B505" s="222" t="n"/>
      <c r="C505" s="222" t="n"/>
      <c r="D505" s="220" t="n"/>
      <c r="E505" s="220" t="n"/>
      <c r="F505" s="181">
        <f>IFERROR(E505/D505,"")</f>
        <v/>
      </c>
      <c r="G505" s="219" t="n"/>
      <c r="H505" s="220" t="n"/>
      <c r="I505" s="221">
        <f>IF(COUNTA(A505:E505)=0,"",IF(OR(D505&lt;=0,E505&lt;0),"ERRO: bases inválidas",IF(E505&gt;D505,"ERRO: presenças acima do previsto",IF(COUNTIFS($A$5:$A$1200,A505,$B$5:$B$1200,B505,$C$5:$C$1200,C505)&gt;1,"ERRO: chave duplicada",IF(COUNTIFS(DISCIPLINAS!$A$5:$A$101,B505,DISCIPLINAS!$B$5:$B$101,C505)=0,"ERRO: disciplina não pertence ao curso","OK")))))</f>
        <v/>
      </c>
    </row>
    <row r="506" ht="15" customHeight="1" s="131">
      <c r="A506" s="220" t="n"/>
      <c r="B506" s="222" t="n"/>
      <c r="C506" s="222" t="n"/>
      <c r="D506" s="220" t="n"/>
      <c r="E506" s="220" t="n"/>
      <c r="F506" s="181">
        <f>IFERROR(E506/D506,"")</f>
        <v/>
      </c>
      <c r="G506" s="219" t="n"/>
      <c r="H506" s="220" t="n"/>
      <c r="I506" s="221">
        <f>IF(COUNTA(A506:E506)=0,"",IF(OR(D506&lt;=0,E506&lt;0),"ERRO: bases inválidas",IF(E506&gt;D506,"ERRO: presenças acima do previsto",IF(COUNTIFS($A$5:$A$1200,A506,$B$5:$B$1200,B506,$C$5:$C$1200,C506)&gt;1,"ERRO: chave duplicada",IF(COUNTIFS(DISCIPLINAS!$A$5:$A$101,B506,DISCIPLINAS!$B$5:$B$101,C506)=0,"ERRO: disciplina não pertence ao curso","OK")))))</f>
        <v/>
      </c>
    </row>
    <row r="507" ht="15" customHeight="1" s="131">
      <c r="A507" s="220" t="n"/>
      <c r="B507" s="222" t="n"/>
      <c r="C507" s="222" t="n"/>
      <c r="D507" s="220" t="n"/>
      <c r="E507" s="220" t="n"/>
      <c r="F507" s="181">
        <f>IFERROR(E507/D507,"")</f>
        <v/>
      </c>
      <c r="G507" s="219" t="n"/>
      <c r="H507" s="220" t="n"/>
      <c r="I507" s="221">
        <f>IF(COUNTA(A507:E507)=0,"",IF(OR(D507&lt;=0,E507&lt;0),"ERRO: bases inválidas",IF(E507&gt;D507,"ERRO: presenças acima do previsto",IF(COUNTIFS($A$5:$A$1200,A507,$B$5:$B$1200,B507,$C$5:$C$1200,C507)&gt;1,"ERRO: chave duplicada",IF(COUNTIFS(DISCIPLINAS!$A$5:$A$101,B507,DISCIPLINAS!$B$5:$B$101,C507)=0,"ERRO: disciplina não pertence ao curso","OK")))))</f>
        <v/>
      </c>
    </row>
    <row r="508" ht="15" customHeight="1" s="131">
      <c r="A508" s="220" t="n"/>
      <c r="B508" s="222" t="n"/>
      <c r="C508" s="222" t="n"/>
      <c r="D508" s="220" t="n"/>
      <c r="E508" s="220" t="n"/>
      <c r="F508" s="181">
        <f>IFERROR(E508/D508,"")</f>
        <v/>
      </c>
      <c r="G508" s="219" t="n"/>
      <c r="H508" s="220" t="n"/>
      <c r="I508" s="221">
        <f>IF(COUNTA(A508:E508)=0,"",IF(OR(D508&lt;=0,E508&lt;0),"ERRO: bases inválidas",IF(E508&gt;D508,"ERRO: presenças acima do previsto",IF(COUNTIFS($A$5:$A$1200,A508,$B$5:$B$1200,B508,$C$5:$C$1200,C508)&gt;1,"ERRO: chave duplicada",IF(COUNTIFS(DISCIPLINAS!$A$5:$A$101,B508,DISCIPLINAS!$B$5:$B$101,C508)=0,"ERRO: disciplina não pertence ao curso","OK")))))</f>
        <v/>
      </c>
    </row>
    <row r="509" ht="15" customHeight="1" s="131">
      <c r="A509" s="220" t="n"/>
      <c r="B509" s="222" t="n"/>
      <c r="C509" s="222" t="n"/>
      <c r="D509" s="220" t="n"/>
      <c r="E509" s="220" t="n"/>
      <c r="F509" s="181">
        <f>IFERROR(E509/D509,"")</f>
        <v/>
      </c>
      <c r="G509" s="219" t="n"/>
      <c r="H509" s="220" t="n"/>
      <c r="I509" s="221">
        <f>IF(COUNTA(A509:E509)=0,"",IF(OR(D509&lt;=0,E509&lt;0),"ERRO: bases inválidas",IF(E509&gt;D509,"ERRO: presenças acima do previsto",IF(COUNTIFS($A$5:$A$1200,A509,$B$5:$B$1200,B509,$C$5:$C$1200,C509)&gt;1,"ERRO: chave duplicada",IF(COUNTIFS(DISCIPLINAS!$A$5:$A$101,B509,DISCIPLINAS!$B$5:$B$101,C509)=0,"ERRO: disciplina não pertence ao curso","OK")))))</f>
        <v/>
      </c>
    </row>
    <row r="510" ht="15" customHeight="1" s="131">
      <c r="A510" s="220" t="n"/>
      <c r="B510" s="222" t="n"/>
      <c r="C510" s="222" t="n"/>
      <c r="D510" s="220" t="n"/>
      <c r="E510" s="220" t="n"/>
      <c r="F510" s="181">
        <f>IFERROR(E510/D510,"")</f>
        <v/>
      </c>
      <c r="G510" s="219" t="n"/>
      <c r="H510" s="220" t="n"/>
      <c r="I510" s="221">
        <f>IF(COUNTA(A510:E510)=0,"",IF(OR(D510&lt;=0,E510&lt;0),"ERRO: bases inválidas",IF(E510&gt;D510,"ERRO: presenças acima do previsto",IF(COUNTIFS($A$5:$A$1200,A510,$B$5:$B$1200,B510,$C$5:$C$1200,C510)&gt;1,"ERRO: chave duplicada",IF(COUNTIFS(DISCIPLINAS!$A$5:$A$101,B510,DISCIPLINAS!$B$5:$B$101,C510)=0,"ERRO: disciplina não pertence ao curso","OK")))))</f>
        <v/>
      </c>
    </row>
    <row r="511" ht="15" customHeight="1" s="131">
      <c r="A511" s="220" t="n"/>
      <c r="B511" s="222" t="n"/>
      <c r="C511" s="222" t="n"/>
      <c r="D511" s="220" t="n"/>
      <c r="E511" s="220" t="n"/>
      <c r="F511" s="181">
        <f>IFERROR(E511/D511,"")</f>
        <v/>
      </c>
      <c r="G511" s="219" t="n"/>
      <c r="H511" s="220" t="n"/>
      <c r="I511" s="221">
        <f>IF(COUNTA(A511:E511)=0,"",IF(OR(D511&lt;=0,E511&lt;0),"ERRO: bases inválidas",IF(E511&gt;D511,"ERRO: presenças acima do previsto",IF(COUNTIFS($A$5:$A$1200,A511,$B$5:$B$1200,B511,$C$5:$C$1200,C511)&gt;1,"ERRO: chave duplicada",IF(COUNTIFS(DISCIPLINAS!$A$5:$A$101,B511,DISCIPLINAS!$B$5:$B$101,C511)=0,"ERRO: disciplina não pertence ao curso","OK")))))</f>
        <v/>
      </c>
    </row>
    <row r="512" ht="15" customHeight="1" s="131">
      <c r="A512" s="220" t="n"/>
      <c r="B512" s="222" t="n"/>
      <c r="C512" s="222" t="n"/>
      <c r="D512" s="220" t="n"/>
      <c r="E512" s="220" t="n"/>
      <c r="F512" s="181">
        <f>IFERROR(E512/D512,"")</f>
        <v/>
      </c>
      <c r="G512" s="219" t="n"/>
      <c r="H512" s="220" t="n"/>
      <c r="I512" s="221">
        <f>IF(COUNTA(A512:E512)=0,"",IF(OR(D512&lt;=0,E512&lt;0),"ERRO: bases inválidas",IF(E512&gt;D512,"ERRO: presenças acima do previsto",IF(COUNTIFS($A$5:$A$1200,A512,$B$5:$B$1200,B512,$C$5:$C$1200,C512)&gt;1,"ERRO: chave duplicada",IF(COUNTIFS(DISCIPLINAS!$A$5:$A$101,B512,DISCIPLINAS!$B$5:$B$101,C512)=0,"ERRO: disciplina não pertence ao curso","OK")))))</f>
        <v/>
      </c>
    </row>
    <row r="513" ht="15" customHeight="1" s="131">
      <c r="A513" s="220" t="n"/>
      <c r="B513" s="222" t="n"/>
      <c r="C513" s="222" t="n"/>
      <c r="D513" s="220" t="n"/>
      <c r="E513" s="220" t="n"/>
      <c r="F513" s="181">
        <f>IFERROR(E513/D513,"")</f>
        <v/>
      </c>
      <c r="G513" s="219" t="n"/>
      <c r="H513" s="220" t="n"/>
      <c r="I513" s="221">
        <f>IF(COUNTA(A513:E513)=0,"",IF(OR(D513&lt;=0,E513&lt;0),"ERRO: bases inválidas",IF(E513&gt;D513,"ERRO: presenças acima do previsto",IF(COUNTIFS($A$5:$A$1200,A513,$B$5:$B$1200,B513,$C$5:$C$1200,C513)&gt;1,"ERRO: chave duplicada",IF(COUNTIFS(DISCIPLINAS!$A$5:$A$101,B513,DISCIPLINAS!$B$5:$B$101,C513)=0,"ERRO: disciplina não pertence ao curso","OK")))))</f>
        <v/>
      </c>
    </row>
    <row r="514" ht="15" customHeight="1" s="131">
      <c r="A514" s="220" t="n"/>
      <c r="B514" s="222" t="n"/>
      <c r="C514" s="222" t="n"/>
      <c r="D514" s="220" t="n"/>
      <c r="E514" s="220" t="n"/>
      <c r="F514" s="181">
        <f>IFERROR(E514/D514,"")</f>
        <v/>
      </c>
      <c r="G514" s="219" t="n"/>
      <c r="H514" s="220" t="n"/>
      <c r="I514" s="221">
        <f>IF(COUNTA(A514:E514)=0,"",IF(OR(D514&lt;=0,E514&lt;0),"ERRO: bases inválidas",IF(E514&gt;D514,"ERRO: presenças acima do previsto",IF(COUNTIFS($A$5:$A$1200,A514,$B$5:$B$1200,B514,$C$5:$C$1200,C514)&gt;1,"ERRO: chave duplicada",IF(COUNTIFS(DISCIPLINAS!$A$5:$A$101,B514,DISCIPLINAS!$B$5:$B$101,C514)=0,"ERRO: disciplina não pertence ao curso","OK")))))</f>
        <v/>
      </c>
    </row>
    <row r="515" ht="15" customHeight="1" s="131">
      <c r="A515" s="220" t="n"/>
      <c r="B515" s="222" t="n"/>
      <c r="C515" s="222" t="n"/>
      <c r="D515" s="220" t="n"/>
      <c r="E515" s="220" t="n"/>
      <c r="F515" s="181">
        <f>IFERROR(E515/D515,"")</f>
        <v/>
      </c>
      <c r="G515" s="219" t="n"/>
      <c r="H515" s="220" t="n"/>
      <c r="I515" s="221">
        <f>IF(COUNTA(A515:E515)=0,"",IF(OR(D515&lt;=0,E515&lt;0),"ERRO: bases inválidas",IF(E515&gt;D515,"ERRO: presenças acima do previsto",IF(COUNTIFS($A$5:$A$1200,A515,$B$5:$B$1200,B515,$C$5:$C$1200,C515)&gt;1,"ERRO: chave duplicada",IF(COUNTIFS(DISCIPLINAS!$A$5:$A$101,B515,DISCIPLINAS!$B$5:$B$101,C515)=0,"ERRO: disciplina não pertence ao curso","OK")))))</f>
        <v/>
      </c>
    </row>
    <row r="516" ht="15" customHeight="1" s="131">
      <c r="A516" s="220" t="n"/>
      <c r="B516" s="222" t="n"/>
      <c r="C516" s="222" t="n"/>
      <c r="D516" s="220" t="n"/>
      <c r="E516" s="220" t="n"/>
      <c r="F516" s="181">
        <f>IFERROR(E516/D516,"")</f>
        <v/>
      </c>
      <c r="G516" s="219" t="n"/>
      <c r="H516" s="220" t="n"/>
      <c r="I516" s="221">
        <f>IF(COUNTA(A516:E516)=0,"",IF(OR(D516&lt;=0,E516&lt;0),"ERRO: bases inválidas",IF(E516&gt;D516,"ERRO: presenças acima do previsto",IF(COUNTIFS($A$5:$A$1200,A516,$B$5:$B$1200,B516,$C$5:$C$1200,C516)&gt;1,"ERRO: chave duplicada",IF(COUNTIFS(DISCIPLINAS!$A$5:$A$101,B516,DISCIPLINAS!$B$5:$B$101,C516)=0,"ERRO: disciplina não pertence ao curso","OK")))))</f>
        <v/>
      </c>
    </row>
    <row r="517" ht="15" customHeight="1" s="131">
      <c r="A517" s="220" t="n"/>
      <c r="B517" s="222" t="n"/>
      <c r="C517" s="222" t="n"/>
      <c r="D517" s="220" t="n"/>
      <c r="E517" s="220" t="n"/>
      <c r="F517" s="181">
        <f>IFERROR(E517/D517,"")</f>
        <v/>
      </c>
      <c r="G517" s="219" t="n"/>
      <c r="H517" s="220" t="n"/>
      <c r="I517" s="221">
        <f>IF(COUNTA(A517:E517)=0,"",IF(OR(D517&lt;=0,E517&lt;0),"ERRO: bases inválidas",IF(E517&gt;D517,"ERRO: presenças acima do previsto",IF(COUNTIFS($A$5:$A$1200,A517,$B$5:$B$1200,B517,$C$5:$C$1200,C517)&gt;1,"ERRO: chave duplicada",IF(COUNTIFS(DISCIPLINAS!$A$5:$A$101,B517,DISCIPLINAS!$B$5:$B$101,C517)=0,"ERRO: disciplina não pertence ao curso","OK")))))</f>
        <v/>
      </c>
    </row>
    <row r="518" ht="15" customHeight="1" s="131">
      <c r="A518" s="220" t="n"/>
      <c r="B518" s="222" t="n"/>
      <c r="C518" s="222" t="n"/>
      <c r="D518" s="220" t="n"/>
      <c r="E518" s="220" t="n"/>
      <c r="F518" s="181">
        <f>IFERROR(E518/D518,"")</f>
        <v/>
      </c>
      <c r="G518" s="219" t="n"/>
      <c r="H518" s="220" t="n"/>
      <c r="I518" s="221">
        <f>IF(COUNTA(A518:E518)=0,"",IF(OR(D518&lt;=0,E518&lt;0),"ERRO: bases inválidas",IF(E518&gt;D518,"ERRO: presenças acima do previsto",IF(COUNTIFS($A$5:$A$1200,A518,$B$5:$B$1200,B518,$C$5:$C$1200,C518)&gt;1,"ERRO: chave duplicada",IF(COUNTIFS(DISCIPLINAS!$A$5:$A$101,B518,DISCIPLINAS!$B$5:$B$101,C518)=0,"ERRO: disciplina não pertence ao curso","OK")))))</f>
        <v/>
      </c>
    </row>
    <row r="519" ht="15" customHeight="1" s="131">
      <c r="A519" s="220" t="n"/>
      <c r="B519" s="222" t="n"/>
      <c r="C519" s="222" t="n"/>
      <c r="D519" s="220" t="n"/>
      <c r="E519" s="220" t="n"/>
      <c r="F519" s="181">
        <f>IFERROR(E519/D519,"")</f>
        <v/>
      </c>
      <c r="G519" s="219" t="n"/>
      <c r="H519" s="220" t="n"/>
      <c r="I519" s="221">
        <f>IF(COUNTA(A519:E519)=0,"",IF(OR(D519&lt;=0,E519&lt;0),"ERRO: bases inválidas",IF(E519&gt;D519,"ERRO: presenças acima do previsto",IF(COUNTIFS($A$5:$A$1200,A519,$B$5:$B$1200,B519,$C$5:$C$1200,C519)&gt;1,"ERRO: chave duplicada",IF(COUNTIFS(DISCIPLINAS!$A$5:$A$101,B519,DISCIPLINAS!$B$5:$B$101,C519)=0,"ERRO: disciplina não pertence ao curso","OK")))))</f>
        <v/>
      </c>
    </row>
    <row r="520" ht="15" customHeight="1" s="131">
      <c r="A520" s="220" t="n"/>
      <c r="B520" s="222" t="n"/>
      <c r="C520" s="222" t="n"/>
      <c r="D520" s="220" t="n"/>
      <c r="E520" s="220" t="n"/>
      <c r="F520" s="181">
        <f>IFERROR(E520/D520,"")</f>
        <v/>
      </c>
      <c r="G520" s="219" t="n"/>
      <c r="H520" s="220" t="n"/>
      <c r="I520" s="221">
        <f>IF(COUNTA(A520:E520)=0,"",IF(OR(D520&lt;=0,E520&lt;0),"ERRO: bases inválidas",IF(E520&gt;D520,"ERRO: presenças acima do previsto",IF(COUNTIFS($A$5:$A$1200,A520,$B$5:$B$1200,B520,$C$5:$C$1200,C520)&gt;1,"ERRO: chave duplicada",IF(COUNTIFS(DISCIPLINAS!$A$5:$A$101,B520,DISCIPLINAS!$B$5:$B$101,C520)=0,"ERRO: disciplina não pertence ao curso","OK")))))</f>
        <v/>
      </c>
    </row>
    <row r="521" ht="15" customHeight="1" s="131">
      <c r="A521" s="220" t="n"/>
      <c r="B521" s="222" t="n"/>
      <c r="C521" s="222" t="n"/>
      <c r="D521" s="220" t="n"/>
      <c r="E521" s="220" t="n"/>
      <c r="F521" s="181">
        <f>IFERROR(E521/D521,"")</f>
        <v/>
      </c>
      <c r="G521" s="219" t="n"/>
      <c r="H521" s="220" t="n"/>
      <c r="I521" s="221">
        <f>IF(COUNTA(A521:E521)=0,"",IF(OR(D521&lt;=0,E521&lt;0),"ERRO: bases inválidas",IF(E521&gt;D521,"ERRO: presenças acima do previsto",IF(COUNTIFS($A$5:$A$1200,A521,$B$5:$B$1200,B521,$C$5:$C$1200,C521)&gt;1,"ERRO: chave duplicada",IF(COUNTIFS(DISCIPLINAS!$A$5:$A$101,B521,DISCIPLINAS!$B$5:$B$101,C521)=0,"ERRO: disciplina não pertence ao curso","OK")))))</f>
        <v/>
      </c>
    </row>
    <row r="522" ht="15" customHeight="1" s="131">
      <c r="A522" s="220" t="n"/>
      <c r="B522" s="222" t="n"/>
      <c r="C522" s="222" t="n"/>
      <c r="D522" s="220" t="n"/>
      <c r="E522" s="220" t="n"/>
      <c r="F522" s="181">
        <f>IFERROR(E522/D522,"")</f>
        <v/>
      </c>
      <c r="G522" s="219" t="n"/>
      <c r="H522" s="220" t="n"/>
      <c r="I522" s="221">
        <f>IF(COUNTA(A522:E522)=0,"",IF(OR(D522&lt;=0,E522&lt;0),"ERRO: bases inválidas",IF(E522&gt;D522,"ERRO: presenças acima do previsto",IF(COUNTIFS($A$5:$A$1200,A522,$B$5:$B$1200,B522,$C$5:$C$1200,C522)&gt;1,"ERRO: chave duplicada",IF(COUNTIFS(DISCIPLINAS!$A$5:$A$101,B522,DISCIPLINAS!$B$5:$B$101,C522)=0,"ERRO: disciplina não pertence ao curso","OK")))))</f>
        <v/>
      </c>
    </row>
    <row r="523" ht="15" customHeight="1" s="131">
      <c r="A523" s="220" t="n"/>
      <c r="B523" s="222" t="n"/>
      <c r="C523" s="222" t="n"/>
      <c r="D523" s="220" t="n"/>
      <c r="E523" s="220" t="n"/>
      <c r="F523" s="181">
        <f>IFERROR(E523/D523,"")</f>
        <v/>
      </c>
      <c r="G523" s="219" t="n"/>
      <c r="H523" s="220" t="n"/>
      <c r="I523" s="221">
        <f>IF(COUNTA(A523:E523)=0,"",IF(OR(D523&lt;=0,E523&lt;0),"ERRO: bases inválidas",IF(E523&gt;D523,"ERRO: presenças acima do previsto",IF(COUNTIFS($A$5:$A$1200,A523,$B$5:$B$1200,B523,$C$5:$C$1200,C523)&gt;1,"ERRO: chave duplicada",IF(COUNTIFS(DISCIPLINAS!$A$5:$A$101,B523,DISCIPLINAS!$B$5:$B$101,C523)=0,"ERRO: disciplina não pertence ao curso","OK")))))</f>
        <v/>
      </c>
    </row>
    <row r="524" ht="15" customHeight="1" s="131">
      <c r="A524" s="220" t="n"/>
      <c r="B524" s="222" t="n"/>
      <c r="C524" s="222" t="n"/>
      <c r="D524" s="220" t="n"/>
      <c r="E524" s="220" t="n"/>
      <c r="F524" s="181">
        <f>IFERROR(E524/D524,"")</f>
        <v/>
      </c>
      <c r="G524" s="219" t="n"/>
      <c r="H524" s="220" t="n"/>
      <c r="I524" s="221">
        <f>IF(COUNTA(A524:E524)=0,"",IF(OR(D524&lt;=0,E524&lt;0),"ERRO: bases inválidas",IF(E524&gt;D524,"ERRO: presenças acima do previsto",IF(COUNTIFS($A$5:$A$1200,A524,$B$5:$B$1200,B524,$C$5:$C$1200,C524)&gt;1,"ERRO: chave duplicada",IF(COUNTIFS(DISCIPLINAS!$A$5:$A$101,B524,DISCIPLINAS!$B$5:$B$101,C524)=0,"ERRO: disciplina não pertence ao curso","OK")))))</f>
        <v/>
      </c>
    </row>
    <row r="525" ht="15" customHeight="1" s="131">
      <c r="A525" s="220" t="n"/>
      <c r="B525" s="222" t="n"/>
      <c r="C525" s="222" t="n"/>
      <c r="D525" s="220" t="n"/>
      <c r="E525" s="220" t="n"/>
      <c r="F525" s="181">
        <f>IFERROR(E525/D525,"")</f>
        <v/>
      </c>
      <c r="G525" s="219" t="n"/>
      <c r="H525" s="220" t="n"/>
      <c r="I525" s="221">
        <f>IF(COUNTA(A525:E525)=0,"",IF(OR(D525&lt;=0,E525&lt;0),"ERRO: bases inválidas",IF(E525&gt;D525,"ERRO: presenças acima do previsto",IF(COUNTIFS($A$5:$A$1200,A525,$B$5:$B$1200,B525,$C$5:$C$1200,C525)&gt;1,"ERRO: chave duplicada",IF(COUNTIFS(DISCIPLINAS!$A$5:$A$101,B525,DISCIPLINAS!$B$5:$B$101,C525)=0,"ERRO: disciplina não pertence ao curso","OK")))))</f>
        <v/>
      </c>
    </row>
    <row r="526" ht="15" customHeight="1" s="131">
      <c r="A526" s="220" t="n"/>
      <c r="B526" s="222" t="n"/>
      <c r="C526" s="222" t="n"/>
      <c r="D526" s="220" t="n"/>
      <c r="E526" s="220" t="n"/>
      <c r="F526" s="181">
        <f>IFERROR(E526/D526,"")</f>
        <v/>
      </c>
      <c r="G526" s="219" t="n"/>
      <c r="H526" s="220" t="n"/>
      <c r="I526" s="221">
        <f>IF(COUNTA(A526:E526)=0,"",IF(OR(D526&lt;=0,E526&lt;0),"ERRO: bases inválidas",IF(E526&gt;D526,"ERRO: presenças acima do previsto",IF(COUNTIFS($A$5:$A$1200,A526,$B$5:$B$1200,B526,$C$5:$C$1200,C526)&gt;1,"ERRO: chave duplicada",IF(COUNTIFS(DISCIPLINAS!$A$5:$A$101,B526,DISCIPLINAS!$B$5:$B$101,C526)=0,"ERRO: disciplina não pertence ao curso","OK")))))</f>
        <v/>
      </c>
    </row>
    <row r="527" ht="15" customHeight="1" s="131">
      <c r="A527" s="220" t="n"/>
      <c r="B527" s="222" t="n"/>
      <c r="C527" s="222" t="n"/>
      <c r="D527" s="220" t="n"/>
      <c r="E527" s="220" t="n"/>
      <c r="F527" s="181">
        <f>IFERROR(E527/D527,"")</f>
        <v/>
      </c>
      <c r="G527" s="219" t="n"/>
      <c r="H527" s="220" t="n"/>
      <c r="I527" s="221">
        <f>IF(COUNTA(A527:E527)=0,"",IF(OR(D527&lt;=0,E527&lt;0),"ERRO: bases inválidas",IF(E527&gt;D527,"ERRO: presenças acima do previsto",IF(COUNTIFS($A$5:$A$1200,A527,$B$5:$B$1200,B527,$C$5:$C$1200,C527)&gt;1,"ERRO: chave duplicada",IF(COUNTIFS(DISCIPLINAS!$A$5:$A$101,B527,DISCIPLINAS!$B$5:$B$101,C527)=0,"ERRO: disciplina não pertence ao curso","OK")))))</f>
        <v/>
      </c>
    </row>
    <row r="528" ht="15" customHeight="1" s="131">
      <c r="A528" s="220" t="n"/>
      <c r="B528" s="222" t="n"/>
      <c r="C528" s="222" t="n"/>
      <c r="D528" s="220" t="n"/>
      <c r="E528" s="220" t="n"/>
      <c r="F528" s="181">
        <f>IFERROR(E528/D528,"")</f>
        <v/>
      </c>
      <c r="G528" s="219" t="n"/>
      <c r="H528" s="220" t="n"/>
      <c r="I528" s="221">
        <f>IF(COUNTA(A528:E528)=0,"",IF(OR(D528&lt;=0,E528&lt;0),"ERRO: bases inválidas",IF(E528&gt;D528,"ERRO: presenças acima do previsto",IF(COUNTIFS($A$5:$A$1200,A528,$B$5:$B$1200,B528,$C$5:$C$1200,C528)&gt;1,"ERRO: chave duplicada",IF(COUNTIFS(DISCIPLINAS!$A$5:$A$101,B528,DISCIPLINAS!$B$5:$B$101,C528)=0,"ERRO: disciplina não pertence ao curso","OK")))))</f>
        <v/>
      </c>
    </row>
    <row r="529" ht="15" customHeight="1" s="131">
      <c r="A529" s="220" t="n"/>
      <c r="B529" s="222" t="n"/>
      <c r="C529" s="222" t="n"/>
      <c r="D529" s="220" t="n"/>
      <c r="E529" s="220" t="n"/>
      <c r="F529" s="181">
        <f>IFERROR(E529/D529,"")</f>
        <v/>
      </c>
      <c r="G529" s="219" t="n"/>
      <c r="H529" s="220" t="n"/>
      <c r="I529" s="221">
        <f>IF(COUNTA(A529:E529)=0,"",IF(OR(D529&lt;=0,E529&lt;0),"ERRO: bases inválidas",IF(E529&gt;D529,"ERRO: presenças acima do previsto",IF(COUNTIFS($A$5:$A$1200,A529,$B$5:$B$1200,B529,$C$5:$C$1200,C529)&gt;1,"ERRO: chave duplicada",IF(COUNTIFS(DISCIPLINAS!$A$5:$A$101,B529,DISCIPLINAS!$B$5:$B$101,C529)=0,"ERRO: disciplina não pertence ao curso","OK")))))</f>
        <v/>
      </c>
    </row>
    <row r="530" ht="15" customHeight="1" s="131">
      <c r="A530" s="220" t="n"/>
      <c r="B530" s="222" t="n"/>
      <c r="C530" s="222" t="n"/>
      <c r="D530" s="220" t="n"/>
      <c r="E530" s="220" t="n"/>
      <c r="F530" s="181">
        <f>IFERROR(E530/D530,"")</f>
        <v/>
      </c>
      <c r="G530" s="219" t="n"/>
      <c r="H530" s="220" t="n"/>
      <c r="I530" s="221">
        <f>IF(COUNTA(A530:E530)=0,"",IF(OR(D530&lt;=0,E530&lt;0),"ERRO: bases inválidas",IF(E530&gt;D530,"ERRO: presenças acima do previsto",IF(COUNTIFS($A$5:$A$1200,A530,$B$5:$B$1200,B530,$C$5:$C$1200,C530)&gt;1,"ERRO: chave duplicada",IF(COUNTIFS(DISCIPLINAS!$A$5:$A$101,B530,DISCIPLINAS!$B$5:$B$101,C530)=0,"ERRO: disciplina não pertence ao curso","OK")))))</f>
        <v/>
      </c>
    </row>
    <row r="531" ht="15" customHeight="1" s="131">
      <c r="A531" s="220" t="n"/>
      <c r="B531" s="222" t="n"/>
      <c r="C531" s="222" t="n"/>
      <c r="D531" s="220" t="n"/>
      <c r="E531" s="220" t="n"/>
      <c r="F531" s="181">
        <f>IFERROR(E531/D531,"")</f>
        <v/>
      </c>
      <c r="G531" s="219" t="n"/>
      <c r="H531" s="220" t="n"/>
      <c r="I531" s="221">
        <f>IF(COUNTA(A531:E531)=0,"",IF(OR(D531&lt;=0,E531&lt;0),"ERRO: bases inválidas",IF(E531&gt;D531,"ERRO: presenças acima do previsto",IF(COUNTIFS($A$5:$A$1200,A531,$B$5:$B$1200,B531,$C$5:$C$1200,C531)&gt;1,"ERRO: chave duplicada",IF(COUNTIFS(DISCIPLINAS!$A$5:$A$101,B531,DISCIPLINAS!$B$5:$B$101,C531)=0,"ERRO: disciplina não pertence ao curso","OK")))))</f>
        <v/>
      </c>
    </row>
    <row r="532" ht="15" customHeight="1" s="131">
      <c r="A532" s="220" t="n"/>
      <c r="B532" s="222" t="n"/>
      <c r="C532" s="222" t="n"/>
      <c r="D532" s="220" t="n"/>
      <c r="E532" s="220" t="n"/>
      <c r="F532" s="181">
        <f>IFERROR(E532/D532,"")</f>
        <v/>
      </c>
      <c r="G532" s="219" t="n"/>
      <c r="H532" s="220" t="n"/>
      <c r="I532" s="221">
        <f>IF(COUNTA(A532:E532)=0,"",IF(OR(D532&lt;=0,E532&lt;0),"ERRO: bases inválidas",IF(E532&gt;D532,"ERRO: presenças acima do previsto",IF(COUNTIFS($A$5:$A$1200,A532,$B$5:$B$1200,B532,$C$5:$C$1200,C532)&gt;1,"ERRO: chave duplicada",IF(COUNTIFS(DISCIPLINAS!$A$5:$A$101,B532,DISCIPLINAS!$B$5:$B$101,C532)=0,"ERRO: disciplina não pertence ao curso","OK")))))</f>
        <v/>
      </c>
    </row>
    <row r="533" ht="15" customHeight="1" s="131">
      <c r="A533" s="220" t="n"/>
      <c r="B533" s="222" t="n"/>
      <c r="C533" s="222" t="n"/>
      <c r="D533" s="220" t="n"/>
      <c r="E533" s="220" t="n"/>
      <c r="F533" s="181">
        <f>IFERROR(E533/D533,"")</f>
        <v/>
      </c>
      <c r="G533" s="219" t="n"/>
      <c r="H533" s="220" t="n"/>
      <c r="I533" s="221">
        <f>IF(COUNTA(A533:E533)=0,"",IF(OR(D533&lt;=0,E533&lt;0),"ERRO: bases inválidas",IF(E533&gt;D533,"ERRO: presenças acima do previsto",IF(COUNTIFS($A$5:$A$1200,A533,$B$5:$B$1200,B533,$C$5:$C$1200,C533)&gt;1,"ERRO: chave duplicada",IF(COUNTIFS(DISCIPLINAS!$A$5:$A$101,B533,DISCIPLINAS!$B$5:$B$101,C533)=0,"ERRO: disciplina não pertence ao curso","OK")))))</f>
        <v/>
      </c>
    </row>
    <row r="534" ht="15" customHeight="1" s="131">
      <c r="A534" s="220" t="n"/>
      <c r="B534" s="222" t="n"/>
      <c r="C534" s="222" t="n"/>
      <c r="D534" s="220" t="n"/>
      <c r="E534" s="220" t="n"/>
      <c r="F534" s="181">
        <f>IFERROR(E534/D534,"")</f>
        <v/>
      </c>
      <c r="G534" s="219" t="n"/>
      <c r="H534" s="220" t="n"/>
      <c r="I534" s="221">
        <f>IF(COUNTA(A534:E534)=0,"",IF(OR(D534&lt;=0,E534&lt;0),"ERRO: bases inválidas",IF(E534&gt;D534,"ERRO: presenças acima do previsto",IF(COUNTIFS($A$5:$A$1200,A534,$B$5:$B$1200,B534,$C$5:$C$1200,C534)&gt;1,"ERRO: chave duplicada",IF(COUNTIFS(DISCIPLINAS!$A$5:$A$101,B534,DISCIPLINAS!$B$5:$B$101,C534)=0,"ERRO: disciplina não pertence ao curso","OK")))))</f>
        <v/>
      </c>
    </row>
    <row r="535" ht="15" customHeight="1" s="131">
      <c r="A535" s="220" t="n"/>
      <c r="B535" s="222" t="n"/>
      <c r="C535" s="222" t="n"/>
      <c r="D535" s="220" t="n"/>
      <c r="E535" s="220" t="n"/>
      <c r="F535" s="181">
        <f>IFERROR(E535/D535,"")</f>
        <v/>
      </c>
      <c r="G535" s="219" t="n"/>
      <c r="H535" s="220" t="n"/>
      <c r="I535" s="221">
        <f>IF(COUNTA(A535:E535)=0,"",IF(OR(D535&lt;=0,E535&lt;0),"ERRO: bases inválidas",IF(E535&gt;D535,"ERRO: presenças acima do previsto",IF(COUNTIFS($A$5:$A$1200,A535,$B$5:$B$1200,B535,$C$5:$C$1200,C535)&gt;1,"ERRO: chave duplicada",IF(COUNTIFS(DISCIPLINAS!$A$5:$A$101,B535,DISCIPLINAS!$B$5:$B$101,C535)=0,"ERRO: disciplina não pertence ao curso","OK")))))</f>
        <v/>
      </c>
    </row>
    <row r="536" ht="15" customHeight="1" s="131">
      <c r="A536" s="220" t="n"/>
      <c r="B536" s="222" t="n"/>
      <c r="C536" s="222" t="n"/>
      <c r="D536" s="220" t="n"/>
      <c r="E536" s="220" t="n"/>
      <c r="F536" s="181">
        <f>IFERROR(E536/D536,"")</f>
        <v/>
      </c>
      <c r="G536" s="219" t="n"/>
      <c r="H536" s="220" t="n"/>
      <c r="I536" s="221">
        <f>IF(COUNTA(A536:E536)=0,"",IF(OR(D536&lt;=0,E536&lt;0),"ERRO: bases inválidas",IF(E536&gt;D536,"ERRO: presenças acima do previsto",IF(COUNTIFS($A$5:$A$1200,A536,$B$5:$B$1200,B536,$C$5:$C$1200,C536)&gt;1,"ERRO: chave duplicada",IF(COUNTIFS(DISCIPLINAS!$A$5:$A$101,B536,DISCIPLINAS!$B$5:$B$101,C536)=0,"ERRO: disciplina não pertence ao curso","OK")))))</f>
        <v/>
      </c>
    </row>
    <row r="537" ht="15" customHeight="1" s="131">
      <c r="A537" s="220" t="n"/>
      <c r="B537" s="222" t="n"/>
      <c r="C537" s="222" t="n"/>
      <c r="D537" s="220" t="n"/>
      <c r="E537" s="220" t="n"/>
      <c r="F537" s="181">
        <f>IFERROR(E537/D537,"")</f>
        <v/>
      </c>
      <c r="G537" s="219" t="n"/>
      <c r="H537" s="220" t="n"/>
      <c r="I537" s="221">
        <f>IF(COUNTA(A537:E537)=0,"",IF(OR(D537&lt;=0,E537&lt;0),"ERRO: bases inválidas",IF(E537&gt;D537,"ERRO: presenças acima do previsto",IF(COUNTIFS($A$5:$A$1200,A537,$B$5:$B$1200,B537,$C$5:$C$1200,C537)&gt;1,"ERRO: chave duplicada",IF(COUNTIFS(DISCIPLINAS!$A$5:$A$101,B537,DISCIPLINAS!$B$5:$B$101,C537)=0,"ERRO: disciplina não pertence ao curso","OK")))))</f>
        <v/>
      </c>
    </row>
    <row r="538" ht="15" customHeight="1" s="131">
      <c r="A538" s="220" t="n"/>
      <c r="B538" s="222" t="n"/>
      <c r="C538" s="222" t="n"/>
      <c r="D538" s="220" t="n"/>
      <c r="E538" s="220" t="n"/>
      <c r="F538" s="181">
        <f>IFERROR(E538/D538,"")</f>
        <v/>
      </c>
      <c r="G538" s="219" t="n"/>
      <c r="H538" s="220" t="n"/>
      <c r="I538" s="221">
        <f>IF(COUNTA(A538:E538)=0,"",IF(OR(D538&lt;=0,E538&lt;0),"ERRO: bases inválidas",IF(E538&gt;D538,"ERRO: presenças acima do previsto",IF(COUNTIFS($A$5:$A$1200,A538,$B$5:$B$1200,B538,$C$5:$C$1200,C538)&gt;1,"ERRO: chave duplicada",IF(COUNTIFS(DISCIPLINAS!$A$5:$A$101,B538,DISCIPLINAS!$B$5:$B$101,C538)=0,"ERRO: disciplina não pertence ao curso","OK")))))</f>
        <v/>
      </c>
    </row>
    <row r="539" ht="15" customHeight="1" s="131">
      <c r="A539" s="220" t="n"/>
      <c r="B539" s="222" t="n"/>
      <c r="C539" s="222" t="n"/>
      <c r="D539" s="220" t="n"/>
      <c r="E539" s="220" t="n"/>
      <c r="F539" s="181">
        <f>IFERROR(E539/D539,"")</f>
        <v/>
      </c>
      <c r="G539" s="219" t="n"/>
      <c r="H539" s="220" t="n"/>
      <c r="I539" s="221">
        <f>IF(COUNTA(A539:E539)=0,"",IF(OR(D539&lt;=0,E539&lt;0),"ERRO: bases inválidas",IF(E539&gt;D539,"ERRO: presenças acima do previsto",IF(COUNTIFS($A$5:$A$1200,A539,$B$5:$B$1200,B539,$C$5:$C$1200,C539)&gt;1,"ERRO: chave duplicada",IF(COUNTIFS(DISCIPLINAS!$A$5:$A$101,B539,DISCIPLINAS!$B$5:$B$101,C539)=0,"ERRO: disciplina não pertence ao curso","OK")))))</f>
        <v/>
      </c>
    </row>
    <row r="540" ht="15" customHeight="1" s="131">
      <c r="A540" s="220" t="n"/>
      <c r="B540" s="222" t="n"/>
      <c r="C540" s="222" t="n"/>
      <c r="D540" s="220" t="n"/>
      <c r="E540" s="220" t="n"/>
      <c r="F540" s="181">
        <f>IFERROR(E540/D540,"")</f>
        <v/>
      </c>
      <c r="G540" s="219" t="n"/>
      <c r="H540" s="220" t="n"/>
      <c r="I540" s="221">
        <f>IF(COUNTA(A540:E540)=0,"",IF(OR(D540&lt;=0,E540&lt;0),"ERRO: bases inválidas",IF(E540&gt;D540,"ERRO: presenças acima do previsto",IF(COUNTIFS($A$5:$A$1200,A540,$B$5:$B$1200,B540,$C$5:$C$1200,C540)&gt;1,"ERRO: chave duplicada",IF(COUNTIFS(DISCIPLINAS!$A$5:$A$101,B540,DISCIPLINAS!$B$5:$B$101,C540)=0,"ERRO: disciplina não pertence ao curso","OK")))))</f>
        <v/>
      </c>
    </row>
    <row r="541" ht="15" customHeight="1" s="131">
      <c r="A541" s="220" t="n"/>
      <c r="B541" s="222" t="n"/>
      <c r="C541" s="222" t="n"/>
      <c r="D541" s="220" t="n"/>
      <c r="E541" s="220" t="n"/>
      <c r="F541" s="181">
        <f>IFERROR(E541/D541,"")</f>
        <v/>
      </c>
      <c r="G541" s="219" t="n"/>
      <c r="H541" s="220" t="n"/>
      <c r="I541" s="221">
        <f>IF(COUNTA(A541:E541)=0,"",IF(OR(D541&lt;=0,E541&lt;0),"ERRO: bases inválidas",IF(E541&gt;D541,"ERRO: presenças acima do previsto",IF(COUNTIFS($A$5:$A$1200,A541,$B$5:$B$1200,B541,$C$5:$C$1200,C541)&gt;1,"ERRO: chave duplicada",IF(COUNTIFS(DISCIPLINAS!$A$5:$A$101,B541,DISCIPLINAS!$B$5:$B$101,C541)=0,"ERRO: disciplina não pertence ao curso","OK")))))</f>
        <v/>
      </c>
    </row>
    <row r="542" ht="15" customHeight="1" s="131">
      <c r="A542" s="220" t="n"/>
      <c r="B542" s="222" t="n"/>
      <c r="C542" s="222" t="n"/>
      <c r="D542" s="220" t="n"/>
      <c r="E542" s="220" t="n"/>
      <c r="F542" s="181">
        <f>IFERROR(E542/D542,"")</f>
        <v/>
      </c>
      <c r="G542" s="219" t="n"/>
      <c r="H542" s="220" t="n"/>
      <c r="I542" s="221">
        <f>IF(COUNTA(A542:E542)=0,"",IF(OR(D542&lt;=0,E542&lt;0),"ERRO: bases inválidas",IF(E542&gt;D542,"ERRO: presenças acima do previsto",IF(COUNTIFS($A$5:$A$1200,A542,$B$5:$B$1200,B542,$C$5:$C$1200,C542)&gt;1,"ERRO: chave duplicada",IF(COUNTIFS(DISCIPLINAS!$A$5:$A$101,B542,DISCIPLINAS!$B$5:$B$101,C542)=0,"ERRO: disciplina não pertence ao curso","OK")))))</f>
        <v/>
      </c>
    </row>
    <row r="543" ht="15" customHeight="1" s="131">
      <c r="A543" s="220" t="n"/>
      <c r="B543" s="222" t="n"/>
      <c r="C543" s="222" t="n"/>
      <c r="D543" s="220" t="n"/>
      <c r="E543" s="220" t="n"/>
      <c r="F543" s="181">
        <f>IFERROR(E543/D543,"")</f>
        <v/>
      </c>
      <c r="G543" s="219" t="n"/>
      <c r="H543" s="220" t="n"/>
      <c r="I543" s="221">
        <f>IF(COUNTA(A543:E543)=0,"",IF(OR(D543&lt;=0,E543&lt;0),"ERRO: bases inválidas",IF(E543&gt;D543,"ERRO: presenças acima do previsto",IF(COUNTIFS($A$5:$A$1200,A543,$B$5:$B$1200,B543,$C$5:$C$1200,C543)&gt;1,"ERRO: chave duplicada",IF(COUNTIFS(DISCIPLINAS!$A$5:$A$101,B543,DISCIPLINAS!$B$5:$B$101,C543)=0,"ERRO: disciplina não pertence ao curso","OK")))))</f>
        <v/>
      </c>
    </row>
    <row r="544" ht="15" customHeight="1" s="131">
      <c r="A544" s="220" t="n"/>
      <c r="B544" s="222" t="n"/>
      <c r="C544" s="222" t="n"/>
      <c r="D544" s="220" t="n"/>
      <c r="E544" s="220" t="n"/>
      <c r="F544" s="181">
        <f>IFERROR(E544/D544,"")</f>
        <v/>
      </c>
      <c r="G544" s="219" t="n"/>
      <c r="H544" s="220" t="n"/>
      <c r="I544" s="221">
        <f>IF(COUNTA(A544:E544)=0,"",IF(OR(D544&lt;=0,E544&lt;0),"ERRO: bases inválidas",IF(E544&gt;D544,"ERRO: presenças acima do previsto",IF(COUNTIFS($A$5:$A$1200,A544,$B$5:$B$1200,B544,$C$5:$C$1200,C544)&gt;1,"ERRO: chave duplicada",IF(COUNTIFS(DISCIPLINAS!$A$5:$A$101,B544,DISCIPLINAS!$B$5:$B$101,C544)=0,"ERRO: disciplina não pertence ao curso","OK")))))</f>
        <v/>
      </c>
    </row>
    <row r="545" ht="15" customHeight="1" s="131">
      <c r="A545" s="220" t="n"/>
      <c r="B545" s="222" t="n"/>
      <c r="C545" s="222" t="n"/>
      <c r="D545" s="220" t="n"/>
      <c r="E545" s="220" t="n"/>
      <c r="F545" s="181">
        <f>IFERROR(E545/D545,"")</f>
        <v/>
      </c>
      <c r="G545" s="219" t="n"/>
      <c r="H545" s="220" t="n"/>
      <c r="I545" s="221">
        <f>IF(COUNTA(A545:E545)=0,"",IF(OR(D545&lt;=0,E545&lt;0),"ERRO: bases inválidas",IF(E545&gt;D545,"ERRO: presenças acima do previsto",IF(COUNTIFS($A$5:$A$1200,A545,$B$5:$B$1200,B545,$C$5:$C$1200,C545)&gt;1,"ERRO: chave duplicada",IF(COUNTIFS(DISCIPLINAS!$A$5:$A$101,B545,DISCIPLINAS!$B$5:$B$101,C545)=0,"ERRO: disciplina não pertence ao curso","OK")))))</f>
        <v/>
      </c>
    </row>
    <row r="546" ht="15" customHeight="1" s="131">
      <c r="A546" s="220" t="n"/>
      <c r="B546" s="222" t="n"/>
      <c r="C546" s="222" t="n"/>
      <c r="D546" s="220" t="n"/>
      <c r="E546" s="220" t="n"/>
      <c r="F546" s="181">
        <f>IFERROR(E546/D546,"")</f>
        <v/>
      </c>
      <c r="G546" s="219" t="n"/>
      <c r="H546" s="220" t="n"/>
      <c r="I546" s="221">
        <f>IF(COUNTA(A546:E546)=0,"",IF(OR(D546&lt;=0,E546&lt;0),"ERRO: bases inválidas",IF(E546&gt;D546,"ERRO: presenças acima do previsto",IF(COUNTIFS($A$5:$A$1200,A546,$B$5:$B$1200,B546,$C$5:$C$1200,C546)&gt;1,"ERRO: chave duplicada",IF(COUNTIFS(DISCIPLINAS!$A$5:$A$101,B546,DISCIPLINAS!$B$5:$B$101,C546)=0,"ERRO: disciplina não pertence ao curso","OK")))))</f>
        <v/>
      </c>
    </row>
    <row r="547" ht="15" customHeight="1" s="131">
      <c r="A547" s="220" t="n"/>
      <c r="B547" s="222" t="n"/>
      <c r="C547" s="222" t="n"/>
      <c r="D547" s="220" t="n"/>
      <c r="E547" s="220" t="n"/>
      <c r="F547" s="181">
        <f>IFERROR(E547/D547,"")</f>
        <v/>
      </c>
      <c r="G547" s="219" t="n"/>
      <c r="H547" s="220" t="n"/>
      <c r="I547" s="221">
        <f>IF(COUNTA(A547:E547)=0,"",IF(OR(D547&lt;=0,E547&lt;0),"ERRO: bases inválidas",IF(E547&gt;D547,"ERRO: presenças acima do previsto",IF(COUNTIFS($A$5:$A$1200,A547,$B$5:$B$1200,B547,$C$5:$C$1200,C547)&gt;1,"ERRO: chave duplicada",IF(COUNTIFS(DISCIPLINAS!$A$5:$A$101,B547,DISCIPLINAS!$B$5:$B$101,C547)=0,"ERRO: disciplina não pertence ao curso","OK")))))</f>
        <v/>
      </c>
    </row>
    <row r="548" ht="15" customHeight="1" s="131">
      <c r="A548" s="220" t="n"/>
      <c r="B548" s="222" t="n"/>
      <c r="C548" s="222" t="n"/>
      <c r="D548" s="220" t="n"/>
      <c r="E548" s="220" t="n"/>
      <c r="F548" s="181">
        <f>IFERROR(E548/D548,"")</f>
        <v/>
      </c>
      <c r="G548" s="219" t="n"/>
      <c r="H548" s="220" t="n"/>
      <c r="I548" s="221">
        <f>IF(COUNTA(A548:E548)=0,"",IF(OR(D548&lt;=0,E548&lt;0),"ERRO: bases inválidas",IF(E548&gt;D548,"ERRO: presenças acima do previsto",IF(COUNTIFS($A$5:$A$1200,A548,$B$5:$B$1200,B548,$C$5:$C$1200,C548)&gt;1,"ERRO: chave duplicada",IF(COUNTIFS(DISCIPLINAS!$A$5:$A$101,B548,DISCIPLINAS!$B$5:$B$101,C548)=0,"ERRO: disciplina não pertence ao curso","OK")))))</f>
        <v/>
      </c>
    </row>
    <row r="549" ht="15" customHeight="1" s="131">
      <c r="A549" s="220" t="n"/>
      <c r="B549" s="222" t="n"/>
      <c r="C549" s="222" t="n"/>
      <c r="D549" s="220" t="n"/>
      <c r="E549" s="220" t="n"/>
      <c r="F549" s="181">
        <f>IFERROR(E549/D549,"")</f>
        <v/>
      </c>
      <c r="G549" s="219" t="n"/>
      <c r="H549" s="220" t="n"/>
      <c r="I549" s="221">
        <f>IF(COUNTA(A549:E549)=0,"",IF(OR(D549&lt;=0,E549&lt;0),"ERRO: bases inválidas",IF(E549&gt;D549,"ERRO: presenças acima do previsto",IF(COUNTIFS($A$5:$A$1200,A549,$B$5:$B$1200,B549,$C$5:$C$1200,C549)&gt;1,"ERRO: chave duplicada",IF(COUNTIFS(DISCIPLINAS!$A$5:$A$101,B549,DISCIPLINAS!$B$5:$B$101,C549)=0,"ERRO: disciplina não pertence ao curso","OK")))))</f>
        <v/>
      </c>
    </row>
    <row r="550" ht="15" customHeight="1" s="131">
      <c r="A550" s="220" t="n"/>
      <c r="B550" s="222" t="n"/>
      <c r="C550" s="222" t="n"/>
      <c r="D550" s="220" t="n"/>
      <c r="E550" s="220" t="n"/>
      <c r="F550" s="181">
        <f>IFERROR(E550/D550,"")</f>
        <v/>
      </c>
      <c r="G550" s="219" t="n"/>
      <c r="H550" s="220" t="n"/>
      <c r="I550" s="221">
        <f>IF(COUNTA(A550:E550)=0,"",IF(OR(D550&lt;=0,E550&lt;0),"ERRO: bases inválidas",IF(E550&gt;D550,"ERRO: presenças acima do previsto",IF(COUNTIFS($A$5:$A$1200,A550,$B$5:$B$1200,B550,$C$5:$C$1200,C550)&gt;1,"ERRO: chave duplicada",IF(COUNTIFS(DISCIPLINAS!$A$5:$A$101,B550,DISCIPLINAS!$B$5:$B$101,C550)=0,"ERRO: disciplina não pertence ao curso","OK")))))</f>
        <v/>
      </c>
    </row>
    <row r="551" ht="15" customHeight="1" s="131">
      <c r="A551" s="220" t="n"/>
      <c r="B551" s="222" t="n"/>
      <c r="C551" s="222" t="n"/>
      <c r="D551" s="220" t="n"/>
      <c r="E551" s="220" t="n"/>
      <c r="F551" s="181">
        <f>IFERROR(E551/D551,"")</f>
        <v/>
      </c>
      <c r="G551" s="219" t="n"/>
      <c r="H551" s="220" t="n"/>
      <c r="I551" s="221">
        <f>IF(COUNTA(A551:E551)=0,"",IF(OR(D551&lt;=0,E551&lt;0),"ERRO: bases inválidas",IF(E551&gt;D551,"ERRO: presenças acima do previsto",IF(COUNTIFS($A$5:$A$1200,A551,$B$5:$B$1200,B551,$C$5:$C$1200,C551)&gt;1,"ERRO: chave duplicada",IF(COUNTIFS(DISCIPLINAS!$A$5:$A$101,B551,DISCIPLINAS!$B$5:$B$101,C551)=0,"ERRO: disciplina não pertence ao curso","OK")))))</f>
        <v/>
      </c>
    </row>
    <row r="552" ht="15" customHeight="1" s="131">
      <c r="A552" s="220" t="n"/>
      <c r="B552" s="222" t="n"/>
      <c r="C552" s="222" t="n"/>
      <c r="D552" s="220" t="n"/>
      <c r="E552" s="220" t="n"/>
      <c r="F552" s="181">
        <f>IFERROR(E552/D552,"")</f>
        <v/>
      </c>
      <c r="G552" s="219" t="n"/>
      <c r="H552" s="220" t="n"/>
      <c r="I552" s="221">
        <f>IF(COUNTA(A552:E552)=0,"",IF(OR(D552&lt;=0,E552&lt;0),"ERRO: bases inválidas",IF(E552&gt;D552,"ERRO: presenças acima do previsto",IF(COUNTIFS($A$5:$A$1200,A552,$B$5:$B$1200,B552,$C$5:$C$1200,C552)&gt;1,"ERRO: chave duplicada",IF(COUNTIFS(DISCIPLINAS!$A$5:$A$101,B552,DISCIPLINAS!$B$5:$B$101,C552)=0,"ERRO: disciplina não pertence ao curso","OK")))))</f>
        <v/>
      </c>
    </row>
    <row r="553" ht="15" customHeight="1" s="131">
      <c r="A553" s="220" t="n"/>
      <c r="B553" s="222" t="n"/>
      <c r="C553" s="222" t="n"/>
      <c r="D553" s="220" t="n"/>
      <c r="E553" s="220" t="n"/>
      <c r="F553" s="181">
        <f>IFERROR(E553/D553,"")</f>
        <v/>
      </c>
      <c r="G553" s="219" t="n"/>
      <c r="H553" s="220" t="n"/>
      <c r="I553" s="221">
        <f>IF(COUNTA(A553:E553)=0,"",IF(OR(D553&lt;=0,E553&lt;0),"ERRO: bases inválidas",IF(E553&gt;D553,"ERRO: presenças acima do previsto",IF(COUNTIFS($A$5:$A$1200,A553,$B$5:$B$1200,B553,$C$5:$C$1200,C553)&gt;1,"ERRO: chave duplicada",IF(COUNTIFS(DISCIPLINAS!$A$5:$A$101,B553,DISCIPLINAS!$B$5:$B$101,C553)=0,"ERRO: disciplina não pertence ao curso","OK")))))</f>
        <v/>
      </c>
    </row>
    <row r="554" ht="15" customHeight="1" s="131">
      <c r="A554" s="220" t="n"/>
      <c r="B554" s="222" t="n"/>
      <c r="C554" s="222" t="n"/>
      <c r="D554" s="220" t="n"/>
      <c r="E554" s="220" t="n"/>
      <c r="F554" s="181">
        <f>IFERROR(E554/D554,"")</f>
        <v/>
      </c>
      <c r="G554" s="219" t="n"/>
      <c r="H554" s="220" t="n"/>
      <c r="I554" s="221">
        <f>IF(COUNTA(A554:E554)=0,"",IF(OR(D554&lt;=0,E554&lt;0),"ERRO: bases inválidas",IF(E554&gt;D554,"ERRO: presenças acima do previsto",IF(COUNTIFS($A$5:$A$1200,A554,$B$5:$B$1200,B554,$C$5:$C$1200,C554)&gt;1,"ERRO: chave duplicada",IF(COUNTIFS(DISCIPLINAS!$A$5:$A$101,B554,DISCIPLINAS!$B$5:$B$101,C554)=0,"ERRO: disciplina não pertence ao curso","OK")))))</f>
        <v/>
      </c>
    </row>
    <row r="555" ht="15" customHeight="1" s="131">
      <c r="A555" s="220" t="n"/>
      <c r="B555" s="222" t="n"/>
      <c r="C555" s="222" t="n"/>
      <c r="D555" s="220" t="n"/>
      <c r="E555" s="220" t="n"/>
      <c r="F555" s="181">
        <f>IFERROR(E555/D555,"")</f>
        <v/>
      </c>
      <c r="G555" s="219" t="n"/>
      <c r="H555" s="220" t="n"/>
      <c r="I555" s="221">
        <f>IF(COUNTA(A555:E555)=0,"",IF(OR(D555&lt;=0,E555&lt;0),"ERRO: bases inválidas",IF(E555&gt;D555,"ERRO: presenças acima do previsto",IF(COUNTIFS($A$5:$A$1200,A555,$B$5:$B$1200,B555,$C$5:$C$1200,C555)&gt;1,"ERRO: chave duplicada",IF(COUNTIFS(DISCIPLINAS!$A$5:$A$101,B555,DISCIPLINAS!$B$5:$B$101,C555)=0,"ERRO: disciplina não pertence ao curso","OK")))))</f>
        <v/>
      </c>
    </row>
    <row r="556" ht="15" customHeight="1" s="131">
      <c r="A556" s="220" t="n"/>
      <c r="B556" s="222" t="n"/>
      <c r="C556" s="222" t="n"/>
      <c r="D556" s="220" t="n"/>
      <c r="E556" s="220" t="n"/>
      <c r="F556" s="181">
        <f>IFERROR(E556/D556,"")</f>
        <v/>
      </c>
      <c r="G556" s="219" t="n"/>
      <c r="H556" s="220" t="n"/>
      <c r="I556" s="221">
        <f>IF(COUNTA(A556:E556)=0,"",IF(OR(D556&lt;=0,E556&lt;0),"ERRO: bases inválidas",IF(E556&gt;D556,"ERRO: presenças acima do previsto",IF(COUNTIFS($A$5:$A$1200,A556,$B$5:$B$1200,B556,$C$5:$C$1200,C556)&gt;1,"ERRO: chave duplicada",IF(COUNTIFS(DISCIPLINAS!$A$5:$A$101,B556,DISCIPLINAS!$B$5:$B$101,C556)=0,"ERRO: disciplina não pertence ao curso","OK")))))</f>
        <v/>
      </c>
    </row>
    <row r="557" ht="15" customHeight="1" s="131">
      <c r="A557" s="220" t="n"/>
      <c r="B557" s="222" t="n"/>
      <c r="C557" s="222" t="n"/>
      <c r="D557" s="220" t="n"/>
      <c r="E557" s="220" t="n"/>
      <c r="F557" s="181">
        <f>IFERROR(E557/D557,"")</f>
        <v/>
      </c>
      <c r="G557" s="219" t="n"/>
      <c r="H557" s="220" t="n"/>
      <c r="I557" s="221">
        <f>IF(COUNTA(A557:E557)=0,"",IF(OR(D557&lt;=0,E557&lt;0),"ERRO: bases inválidas",IF(E557&gt;D557,"ERRO: presenças acima do previsto",IF(COUNTIFS($A$5:$A$1200,A557,$B$5:$B$1200,B557,$C$5:$C$1200,C557)&gt;1,"ERRO: chave duplicada",IF(COUNTIFS(DISCIPLINAS!$A$5:$A$101,B557,DISCIPLINAS!$B$5:$B$101,C557)=0,"ERRO: disciplina não pertence ao curso","OK")))))</f>
        <v/>
      </c>
    </row>
    <row r="558" ht="15" customHeight="1" s="131">
      <c r="A558" s="220" t="n"/>
      <c r="B558" s="222" t="n"/>
      <c r="C558" s="222" t="n"/>
      <c r="D558" s="220" t="n"/>
      <c r="E558" s="220" t="n"/>
      <c r="F558" s="181">
        <f>IFERROR(E558/D558,"")</f>
        <v/>
      </c>
      <c r="G558" s="219" t="n"/>
      <c r="H558" s="220" t="n"/>
      <c r="I558" s="221">
        <f>IF(COUNTA(A558:E558)=0,"",IF(OR(D558&lt;=0,E558&lt;0),"ERRO: bases inválidas",IF(E558&gt;D558,"ERRO: presenças acima do previsto",IF(COUNTIFS($A$5:$A$1200,A558,$B$5:$B$1200,B558,$C$5:$C$1200,C558)&gt;1,"ERRO: chave duplicada",IF(COUNTIFS(DISCIPLINAS!$A$5:$A$101,B558,DISCIPLINAS!$B$5:$B$101,C558)=0,"ERRO: disciplina não pertence ao curso","OK")))))</f>
        <v/>
      </c>
    </row>
    <row r="559" ht="15" customHeight="1" s="131">
      <c r="A559" s="220" t="n"/>
      <c r="B559" s="222" t="n"/>
      <c r="C559" s="222" t="n"/>
      <c r="D559" s="220" t="n"/>
      <c r="E559" s="220" t="n"/>
      <c r="F559" s="181">
        <f>IFERROR(E559/D559,"")</f>
        <v/>
      </c>
      <c r="G559" s="219" t="n"/>
      <c r="H559" s="220" t="n"/>
      <c r="I559" s="221">
        <f>IF(COUNTA(A559:E559)=0,"",IF(OR(D559&lt;=0,E559&lt;0),"ERRO: bases inválidas",IF(E559&gt;D559,"ERRO: presenças acima do previsto",IF(COUNTIFS($A$5:$A$1200,A559,$B$5:$B$1200,B559,$C$5:$C$1200,C559)&gt;1,"ERRO: chave duplicada",IF(COUNTIFS(DISCIPLINAS!$A$5:$A$101,B559,DISCIPLINAS!$B$5:$B$101,C559)=0,"ERRO: disciplina não pertence ao curso","OK")))))</f>
        <v/>
      </c>
    </row>
    <row r="560" ht="15" customHeight="1" s="131">
      <c r="A560" s="220" t="n"/>
      <c r="B560" s="222" t="n"/>
      <c r="C560" s="222" t="n"/>
      <c r="D560" s="220" t="n"/>
      <c r="E560" s="220" t="n"/>
      <c r="F560" s="181">
        <f>IFERROR(E560/D560,"")</f>
        <v/>
      </c>
      <c r="G560" s="219" t="n"/>
      <c r="H560" s="220" t="n"/>
      <c r="I560" s="221">
        <f>IF(COUNTA(A560:E560)=0,"",IF(OR(D560&lt;=0,E560&lt;0),"ERRO: bases inválidas",IF(E560&gt;D560,"ERRO: presenças acima do previsto",IF(COUNTIFS($A$5:$A$1200,A560,$B$5:$B$1200,B560,$C$5:$C$1200,C560)&gt;1,"ERRO: chave duplicada",IF(COUNTIFS(DISCIPLINAS!$A$5:$A$101,B560,DISCIPLINAS!$B$5:$B$101,C560)=0,"ERRO: disciplina não pertence ao curso","OK")))))</f>
        <v/>
      </c>
    </row>
    <row r="561" ht="15" customHeight="1" s="131">
      <c r="A561" s="220" t="n"/>
      <c r="B561" s="222" t="n"/>
      <c r="C561" s="222" t="n"/>
      <c r="D561" s="220" t="n"/>
      <c r="E561" s="220" t="n"/>
      <c r="F561" s="181">
        <f>IFERROR(E561/D561,"")</f>
        <v/>
      </c>
      <c r="G561" s="219" t="n"/>
      <c r="H561" s="220" t="n"/>
      <c r="I561" s="221">
        <f>IF(COUNTA(A561:E561)=0,"",IF(OR(D561&lt;=0,E561&lt;0),"ERRO: bases inválidas",IF(E561&gt;D561,"ERRO: presenças acima do previsto",IF(COUNTIFS($A$5:$A$1200,A561,$B$5:$B$1200,B561,$C$5:$C$1200,C561)&gt;1,"ERRO: chave duplicada",IF(COUNTIFS(DISCIPLINAS!$A$5:$A$101,B561,DISCIPLINAS!$B$5:$B$101,C561)=0,"ERRO: disciplina não pertence ao curso","OK")))))</f>
        <v/>
      </c>
    </row>
    <row r="562" ht="15" customHeight="1" s="131">
      <c r="A562" s="220" t="n"/>
      <c r="B562" s="222" t="n"/>
      <c r="C562" s="222" t="n"/>
      <c r="D562" s="220" t="n"/>
      <c r="E562" s="220" t="n"/>
      <c r="F562" s="181">
        <f>IFERROR(E562/D562,"")</f>
        <v/>
      </c>
      <c r="G562" s="219" t="n"/>
      <c r="H562" s="220" t="n"/>
      <c r="I562" s="221">
        <f>IF(COUNTA(A562:E562)=0,"",IF(OR(D562&lt;=0,E562&lt;0),"ERRO: bases inválidas",IF(E562&gt;D562,"ERRO: presenças acima do previsto",IF(COUNTIFS($A$5:$A$1200,A562,$B$5:$B$1200,B562,$C$5:$C$1200,C562)&gt;1,"ERRO: chave duplicada",IF(COUNTIFS(DISCIPLINAS!$A$5:$A$101,B562,DISCIPLINAS!$B$5:$B$101,C562)=0,"ERRO: disciplina não pertence ao curso","OK")))))</f>
        <v/>
      </c>
    </row>
    <row r="563" ht="15" customHeight="1" s="131">
      <c r="A563" s="220" t="n"/>
      <c r="B563" s="222" t="n"/>
      <c r="C563" s="222" t="n"/>
      <c r="D563" s="220" t="n"/>
      <c r="E563" s="220" t="n"/>
      <c r="F563" s="181">
        <f>IFERROR(E563/D563,"")</f>
        <v/>
      </c>
      <c r="G563" s="219" t="n"/>
      <c r="H563" s="220" t="n"/>
      <c r="I563" s="221">
        <f>IF(COUNTA(A563:E563)=0,"",IF(OR(D563&lt;=0,E563&lt;0),"ERRO: bases inválidas",IF(E563&gt;D563,"ERRO: presenças acima do previsto",IF(COUNTIFS($A$5:$A$1200,A563,$B$5:$B$1200,B563,$C$5:$C$1200,C563)&gt;1,"ERRO: chave duplicada",IF(COUNTIFS(DISCIPLINAS!$A$5:$A$101,B563,DISCIPLINAS!$B$5:$B$101,C563)=0,"ERRO: disciplina não pertence ao curso","OK")))))</f>
        <v/>
      </c>
    </row>
    <row r="564" ht="15" customHeight="1" s="131">
      <c r="A564" s="220" t="n"/>
      <c r="B564" s="222" t="n"/>
      <c r="C564" s="222" t="n"/>
      <c r="D564" s="220" t="n"/>
      <c r="E564" s="220" t="n"/>
      <c r="F564" s="181">
        <f>IFERROR(E564/D564,"")</f>
        <v/>
      </c>
      <c r="G564" s="219" t="n"/>
      <c r="H564" s="220" t="n"/>
      <c r="I564" s="221">
        <f>IF(COUNTA(A564:E564)=0,"",IF(OR(D564&lt;=0,E564&lt;0),"ERRO: bases inválidas",IF(E564&gt;D564,"ERRO: presenças acima do previsto",IF(COUNTIFS($A$5:$A$1200,A564,$B$5:$B$1200,B564,$C$5:$C$1200,C564)&gt;1,"ERRO: chave duplicada",IF(COUNTIFS(DISCIPLINAS!$A$5:$A$101,B564,DISCIPLINAS!$B$5:$B$101,C564)=0,"ERRO: disciplina não pertence ao curso","OK")))))</f>
        <v/>
      </c>
    </row>
    <row r="565" ht="15" customHeight="1" s="131">
      <c r="A565" s="220" t="n"/>
      <c r="B565" s="222" t="n"/>
      <c r="C565" s="222" t="n"/>
      <c r="D565" s="220" t="n"/>
      <c r="E565" s="220" t="n"/>
      <c r="F565" s="181">
        <f>IFERROR(E565/D565,"")</f>
        <v/>
      </c>
      <c r="G565" s="219" t="n"/>
      <c r="H565" s="220" t="n"/>
      <c r="I565" s="221">
        <f>IF(COUNTA(A565:E565)=0,"",IF(OR(D565&lt;=0,E565&lt;0),"ERRO: bases inválidas",IF(E565&gt;D565,"ERRO: presenças acima do previsto",IF(COUNTIFS($A$5:$A$1200,A565,$B$5:$B$1200,B565,$C$5:$C$1200,C565)&gt;1,"ERRO: chave duplicada",IF(COUNTIFS(DISCIPLINAS!$A$5:$A$101,B565,DISCIPLINAS!$B$5:$B$101,C565)=0,"ERRO: disciplina não pertence ao curso","OK")))))</f>
        <v/>
      </c>
    </row>
    <row r="566" ht="15" customHeight="1" s="131">
      <c r="A566" s="220" t="n"/>
      <c r="B566" s="222" t="n"/>
      <c r="C566" s="222" t="n"/>
      <c r="D566" s="220" t="n"/>
      <c r="E566" s="220" t="n"/>
      <c r="F566" s="181">
        <f>IFERROR(E566/D566,"")</f>
        <v/>
      </c>
      <c r="G566" s="219" t="n"/>
      <c r="H566" s="220" t="n"/>
      <c r="I566" s="221">
        <f>IF(COUNTA(A566:E566)=0,"",IF(OR(D566&lt;=0,E566&lt;0),"ERRO: bases inválidas",IF(E566&gt;D566,"ERRO: presenças acima do previsto",IF(COUNTIFS($A$5:$A$1200,A566,$B$5:$B$1200,B566,$C$5:$C$1200,C566)&gt;1,"ERRO: chave duplicada",IF(COUNTIFS(DISCIPLINAS!$A$5:$A$101,B566,DISCIPLINAS!$B$5:$B$101,C566)=0,"ERRO: disciplina não pertence ao curso","OK")))))</f>
        <v/>
      </c>
    </row>
    <row r="567" ht="15" customHeight="1" s="131">
      <c r="A567" s="220" t="n"/>
      <c r="B567" s="222" t="n"/>
      <c r="C567" s="222" t="n"/>
      <c r="D567" s="220" t="n"/>
      <c r="E567" s="220" t="n"/>
      <c r="F567" s="181">
        <f>IFERROR(E567/D567,"")</f>
        <v/>
      </c>
      <c r="G567" s="219" t="n"/>
      <c r="H567" s="220" t="n"/>
      <c r="I567" s="221">
        <f>IF(COUNTA(A567:E567)=0,"",IF(OR(D567&lt;=0,E567&lt;0),"ERRO: bases inválidas",IF(E567&gt;D567,"ERRO: presenças acima do previsto",IF(COUNTIFS($A$5:$A$1200,A567,$B$5:$B$1200,B567,$C$5:$C$1200,C567)&gt;1,"ERRO: chave duplicada",IF(COUNTIFS(DISCIPLINAS!$A$5:$A$101,B567,DISCIPLINAS!$B$5:$B$101,C567)=0,"ERRO: disciplina não pertence ao curso","OK")))))</f>
        <v/>
      </c>
    </row>
    <row r="568" ht="15" customHeight="1" s="131">
      <c r="A568" s="220" t="n"/>
      <c r="B568" s="222" t="n"/>
      <c r="C568" s="222" t="n"/>
      <c r="D568" s="220" t="n"/>
      <c r="E568" s="220" t="n"/>
      <c r="F568" s="181">
        <f>IFERROR(E568/D568,"")</f>
        <v/>
      </c>
      <c r="G568" s="219" t="n"/>
      <c r="H568" s="220" t="n"/>
      <c r="I568" s="221">
        <f>IF(COUNTA(A568:E568)=0,"",IF(OR(D568&lt;=0,E568&lt;0),"ERRO: bases inválidas",IF(E568&gt;D568,"ERRO: presenças acima do previsto",IF(COUNTIFS($A$5:$A$1200,A568,$B$5:$B$1200,B568,$C$5:$C$1200,C568)&gt;1,"ERRO: chave duplicada",IF(COUNTIFS(DISCIPLINAS!$A$5:$A$101,B568,DISCIPLINAS!$B$5:$B$101,C568)=0,"ERRO: disciplina não pertence ao curso","OK")))))</f>
        <v/>
      </c>
    </row>
    <row r="569" ht="15" customHeight="1" s="131">
      <c r="A569" s="220" t="n"/>
      <c r="B569" s="222" t="n"/>
      <c r="C569" s="222" t="n"/>
      <c r="D569" s="220" t="n"/>
      <c r="E569" s="220" t="n"/>
      <c r="F569" s="181">
        <f>IFERROR(E569/D569,"")</f>
        <v/>
      </c>
      <c r="G569" s="219" t="n"/>
      <c r="H569" s="220" t="n"/>
      <c r="I569" s="221">
        <f>IF(COUNTA(A569:E569)=0,"",IF(OR(D569&lt;=0,E569&lt;0),"ERRO: bases inválidas",IF(E569&gt;D569,"ERRO: presenças acima do previsto",IF(COUNTIFS($A$5:$A$1200,A569,$B$5:$B$1200,B569,$C$5:$C$1200,C569)&gt;1,"ERRO: chave duplicada",IF(COUNTIFS(DISCIPLINAS!$A$5:$A$101,B569,DISCIPLINAS!$B$5:$B$101,C569)=0,"ERRO: disciplina não pertence ao curso","OK")))))</f>
        <v/>
      </c>
    </row>
    <row r="570" ht="15" customHeight="1" s="131">
      <c r="A570" s="220" t="n"/>
      <c r="B570" s="222" t="n"/>
      <c r="C570" s="222" t="n"/>
      <c r="D570" s="220" t="n"/>
      <c r="E570" s="220" t="n"/>
      <c r="F570" s="181">
        <f>IFERROR(E570/D570,"")</f>
        <v/>
      </c>
      <c r="G570" s="219" t="n"/>
      <c r="H570" s="220" t="n"/>
      <c r="I570" s="221">
        <f>IF(COUNTA(A570:E570)=0,"",IF(OR(D570&lt;=0,E570&lt;0),"ERRO: bases inválidas",IF(E570&gt;D570,"ERRO: presenças acima do previsto",IF(COUNTIFS($A$5:$A$1200,A570,$B$5:$B$1200,B570,$C$5:$C$1200,C570)&gt;1,"ERRO: chave duplicada",IF(COUNTIFS(DISCIPLINAS!$A$5:$A$101,B570,DISCIPLINAS!$B$5:$B$101,C570)=0,"ERRO: disciplina não pertence ao curso","OK")))))</f>
        <v/>
      </c>
    </row>
    <row r="571" ht="15" customHeight="1" s="131">
      <c r="A571" s="220" t="n"/>
      <c r="B571" s="222" t="n"/>
      <c r="C571" s="222" t="n"/>
      <c r="D571" s="220" t="n"/>
      <c r="E571" s="220" t="n"/>
      <c r="F571" s="181">
        <f>IFERROR(E571/D571,"")</f>
        <v/>
      </c>
      <c r="G571" s="219" t="n"/>
      <c r="H571" s="220" t="n"/>
      <c r="I571" s="221">
        <f>IF(COUNTA(A571:E571)=0,"",IF(OR(D571&lt;=0,E571&lt;0),"ERRO: bases inválidas",IF(E571&gt;D571,"ERRO: presenças acima do previsto",IF(COUNTIFS($A$5:$A$1200,A571,$B$5:$B$1200,B571,$C$5:$C$1200,C571)&gt;1,"ERRO: chave duplicada",IF(COUNTIFS(DISCIPLINAS!$A$5:$A$101,B571,DISCIPLINAS!$B$5:$B$101,C571)=0,"ERRO: disciplina não pertence ao curso","OK")))))</f>
        <v/>
      </c>
    </row>
    <row r="572" ht="15" customHeight="1" s="131">
      <c r="A572" s="220" t="n"/>
      <c r="B572" s="222" t="n"/>
      <c r="C572" s="222" t="n"/>
      <c r="D572" s="220" t="n"/>
      <c r="E572" s="220" t="n"/>
      <c r="F572" s="181">
        <f>IFERROR(E572/D572,"")</f>
        <v/>
      </c>
      <c r="G572" s="219" t="n"/>
      <c r="H572" s="220" t="n"/>
      <c r="I572" s="221">
        <f>IF(COUNTA(A572:E572)=0,"",IF(OR(D572&lt;=0,E572&lt;0),"ERRO: bases inválidas",IF(E572&gt;D572,"ERRO: presenças acima do previsto",IF(COUNTIFS($A$5:$A$1200,A572,$B$5:$B$1200,B572,$C$5:$C$1200,C572)&gt;1,"ERRO: chave duplicada",IF(COUNTIFS(DISCIPLINAS!$A$5:$A$101,B572,DISCIPLINAS!$B$5:$B$101,C572)=0,"ERRO: disciplina não pertence ao curso","OK")))))</f>
        <v/>
      </c>
    </row>
    <row r="573" ht="15" customHeight="1" s="131">
      <c r="A573" s="220" t="n"/>
      <c r="B573" s="222" t="n"/>
      <c r="C573" s="222" t="n"/>
      <c r="D573" s="220" t="n"/>
      <c r="E573" s="220" t="n"/>
      <c r="F573" s="181">
        <f>IFERROR(E573/D573,"")</f>
        <v/>
      </c>
      <c r="G573" s="219" t="n"/>
      <c r="H573" s="220" t="n"/>
      <c r="I573" s="221">
        <f>IF(COUNTA(A573:E573)=0,"",IF(OR(D573&lt;=0,E573&lt;0),"ERRO: bases inválidas",IF(E573&gt;D573,"ERRO: presenças acima do previsto",IF(COUNTIFS($A$5:$A$1200,A573,$B$5:$B$1200,B573,$C$5:$C$1200,C573)&gt;1,"ERRO: chave duplicada",IF(COUNTIFS(DISCIPLINAS!$A$5:$A$101,B573,DISCIPLINAS!$B$5:$B$101,C573)=0,"ERRO: disciplina não pertence ao curso","OK")))))</f>
        <v/>
      </c>
    </row>
    <row r="574" ht="15" customHeight="1" s="131">
      <c r="A574" s="220" t="n"/>
      <c r="B574" s="222" t="n"/>
      <c r="C574" s="222" t="n"/>
      <c r="D574" s="220" t="n"/>
      <c r="E574" s="220" t="n"/>
      <c r="F574" s="181">
        <f>IFERROR(E574/D574,"")</f>
        <v/>
      </c>
      <c r="G574" s="219" t="n"/>
      <c r="H574" s="220" t="n"/>
      <c r="I574" s="221">
        <f>IF(COUNTA(A574:E574)=0,"",IF(OR(D574&lt;=0,E574&lt;0),"ERRO: bases inválidas",IF(E574&gt;D574,"ERRO: presenças acima do previsto",IF(COUNTIFS($A$5:$A$1200,A574,$B$5:$B$1200,B574,$C$5:$C$1200,C574)&gt;1,"ERRO: chave duplicada",IF(COUNTIFS(DISCIPLINAS!$A$5:$A$101,B574,DISCIPLINAS!$B$5:$B$101,C574)=0,"ERRO: disciplina não pertence ao curso","OK")))))</f>
        <v/>
      </c>
    </row>
    <row r="575" ht="15" customHeight="1" s="131">
      <c r="A575" s="220" t="n"/>
      <c r="B575" s="222" t="n"/>
      <c r="C575" s="222" t="n"/>
      <c r="D575" s="220" t="n"/>
      <c r="E575" s="220" t="n"/>
      <c r="F575" s="181">
        <f>IFERROR(E575/D575,"")</f>
        <v/>
      </c>
      <c r="G575" s="219" t="n"/>
      <c r="H575" s="220" t="n"/>
      <c r="I575" s="221">
        <f>IF(COUNTA(A575:E575)=0,"",IF(OR(D575&lt;=0,E575&lt;0),"ERRO: bases inválidas",IF(E575&gt;D575,"ERRO: presenças acima do previsto",IF(COUNTIFS($A$5:$A$1200,A575,$B$5:$B$1200,B575,$C$5:$C$1200,C575)&gt;1,"ERRO: chave duplicada",IF(COUNTIFS(DISCIPLINAS!$A$5:$A$101,B575,DISCIPLINAS!$B$5:$B$101,C575)=0,"ERRO: disciplina não pertence ao curso","OK")))))</f>
        <v/>
      </c>
    </row>
    <row r="576" ht="15" customHeight="1" s="131">
      <c r="A576" s="220" t="n"/>
      <c r="B576" s="222" t="n"/>
      <c r="C576" s="222" t="n"/>
      <c r="D576" s="220" t="n"/>
      <c r="E576" s="220" t="n"/>
      <c r="F576" s="181">
        <f>IFERROR(E576/D576,"")</f>
        <v/>
      </c>
      <c r="G576" s="219" t="n"/>
      <c r="H576" s="220" t="n"/>
      <c r="I576" s="221">
        <f>IF(COUNTA(A576:E576)=0,"",IF(OR(D576&lt;=0,E576&lt;0),"ERRO: bases inválidas",IF(E576&gt;D576,"ERRO: presenças acima do previsto",IF(COUNTIFS($A$5:$A$1200,A576,$B$5:$B$1200,B576,$C$5:$C$1200,C576)&gt;1,"ERRO: chave duplicada",IF(COUNTIFS(DISCIPLINAS!$A$5:$A$101,B576,DISCIPLINAS!$B$5:$B$101,C576)=0,"ERRO: disciplina não pertence ao curso","OK")))))</f>
        <v/>
      </c>
    </row>
    <row r="577" ht="15" customHeight="1" s="131">
      <c r="A577" s="220" t="n"/>
      <c r="B577" s="222" t="n"/>
      <c r="C577" s="222" t="n"/>
      <c r="D577" s="220" t="n"/>
      <c r="E577" s="220" t="n"/>
      <c r="F577" s="181">
        <f>IFERROR(E577/D577,"")</f>
        <v/>
      </c>
      <c r="G577" s="219" t="n"/>
      <c r="H577" s="220" t="n"/>
      <c r="I577" s="221">
        <f>IF(COUNTA(A577:E577)=0,"",IF(OR(D577&lt;=0,E577&lt;0),"ERRO: bases inválidas",IF(E577&gt;D577,"ERRO: presenças acima do previsto",IF(COUNTIFS($A$5:$A$1200,A577,$B$5:$B$1200,B577,$C$5:$C$1200,C577)&gt;1,"ERRO: chave duplicada",IF(COUNTIFS(DISCIPLINAS!$A$5:$A$101,B577,DISCIPLINAS!$B$5:$B$101,C577)=0,"ERRO: disciplina não pertence ao curso","OK")))))</f>
        <v/>
      </c>
    </row>
    <row r="578" ht="15" customHeight="1" s="131">
      <c r="A578" s="220" t="n"/>
      <c r="B578" s="222" t="n"/>
      <c r="C578" s="222" t="n"/>
      <c r="D578" s="220" t="n"/>
      <c r="E578" s="220" t="n"/>
      <c r="F578" s="181">
        <f>IFERROR(E578/D578,"")</f>
        <v/>
      </c>
      <c r="G578" s="219" t="n"/>
      <c r="H578" s="220" t="n"/>
      <c r="I578" s="221">
        <f>IF(COUNTA(A578:E578)=0,"",IF(OR(D578&lt;=0,E578&lt;0),"ERRO: bases inválidas",IF(E578&gt;D578,"ERRO: presenças acima do previsto",IF(COUNTIFS($A$5:$A$1200,A578,$B$5:$B$1200,B578,$C$5:$C$1200,C578)&gt;1,"ERRO: chave duplicada",IF(COUNTIFS(DISCIPLINAS!$A$5:$A$101,B578,DISCIPLINAS!$B$5:$B$101,C578)=0,"ERRO: disciplina não pertence ao curso","OK")))))</f>
        <v/>
      </c>
    </row>
    <row r="579" ht="15" customHeight="1" s="131">
      <c r="A579" s="220" t="n"/>
      <c r="B579" s="222" t="n"/>
      <c r="C579" s="222" t="n"/>
      <c r="D579" s="220" t="n"/>
      <c r="E579" s="220" t="n"/>
      <c r="F579" s="181">
        <f>IFERROR(E579/D579,"")</f>
        <v/>
      </c>
      <c r="G579" s="219" t="n"/>
      <c r="H579" s="220" t="n"/>
      <c r="I579" s="221">
        <f>IF(COUNTA(A579:E579)=0,"",IF(OR(D579&lt;=0,E579&lt;0),"ERRO: bases inválidas",IF(E579&gt;D579,"ERRO: presenças acima do previsto",IF(COUNTIFS($A$5:$A$1200,A579,$B$5:$B$1200,B579,$C$5:$C$1200,C579)&gt;1,"ERRO: chave duplicada",IF(COUNTIFS(DISCIPLINAS!$A$5:$A$101,B579,DISCIPLINAS!$B$5:$B$101,C579)=0,"ERRO: disciplina não pertence ao curso","OK")))))</f>
        <v/>
      </c>
    </row>
    <row r="580" ht="15" customHeight="1" s="131">
      <c r="A580" s="220" t="n"/>
      <c r="B580" s="222" t="n"/>
      <c r="C580" s="222" t="n"/>
      <c r="D580" s="220" t="n"/>
      <c r="E580" s="220" t="n"/>
      <c r="F580" s="181">
        <f>IFERROR(E580/D580,"")</f>
        <v/>
      </c>
      <c r="G580" s="219" t="n"/>
      <c r="H580" s="220" t="n"/>
      <c r="I580" s="221">
        <f>IF(COUNTA(A580:E580)=0,"",IF(OR(D580&lt;=0,E580&lt;0),"ERRO: bases inválidas",IF(E580&gt;D580,"ERRO: presenças acima do previsto",IF(COUNTIFS($A$5:$A$1200,A580,$B$5:$B$1200,B580,$C$5:$C$1200,C580)&gt;1,"ERRO: chave duplicada",IF(COUNTIFS(DISCIPLINAS!$A$5:$A$101,B580,DISCIPLINAS!$B$5:$B$101,C580)=0,"ERRO: disciplina não pertence ao curso","OK")))))</f>
        <v/>
      </c>
    </row>
    <row r="581" ht="15" customHeight="1" s="131">
      <c r="A581" s="220" t="n"/>
      <c r="B581" s="222" t="n"/>
      <c r="C581" s="222" t="n"/>
      <c r="D581" s="220" t="n"/>
      <c r="E581" s="220" t="n"/>
      <c r="F581" s="181">
        <f>IFERROR(E581/D581,"")</f>
        <v/>
      </c>
      <c r="G581" s="219" t="n"/>
      <c r="H581" s="220" t="n"/>
      <c r="I581" s="221">
        <f>IF(COUNTA(A581:E581)=0,"",IF(OR(D581&lt;=0,E581&lt;0),"ERRO: bases inválidas",IF(E581&gt;D581,"ERRO: presenças acima do previsto",IF(COUNTIFS($A$5:$A$1200,A581,$B$5:$B$1200,B581,$C$5:$C$1200,C581)&gt;1,"ERRO: chave duplicada",IF(COUNTIFS(DISCIPLINAS!$A$5:$A$101,B581,DISCIPLINAS!$B$5:$B$101,C581)=0,"ERRO: disciplina não pertence ao curso","OK")))))</f>
        <v/>
      </c>
    </row>
    <row r="582" ht="15" customHeight="1" s="131">
      <c r="A582" s="220" t="n"/>
      <c r="B582" s="222" t="n"/>
      <c r="C582" s="222" t="n"/>
      <c r="D582" s="220" t="n"/>
      <c r="E582" s="220" t="n"/>
      <c r="F582" s="181">
        <f>IFERROR(E582/D582,"")</f>
        <v/>
      </c>
      <c r="G582" s="219" t="n"/>
      <c r="H582" s="220" t="n"/>
      <c r="I582" s="221">
        <f>IF(COUNTA(A582:E582)=0,"",IF(OR(D582&lt;=0,E582&lt;0),"ERRO: bases inválidas",IF(E582&gt;D582,"ERRO: presenças acima do previsto",IF(COUNTIFS($A$5:$A$1200,A582,$B$5:$B$1200,B582,$C$5:$C$1200,C582)&gt;1,"ERRO: chave duplicada",IF(COUNTIFS(DISCIPLINAS!$A$5:$A$101,B582,DISCIPLINAS!$B$5:$B$101,C582)=0,"ERRO: disciplina não pertence ao curso","OK")))))</f>
        <v/>
      </c>
    </row>
    <row r="583" ht="15" customHeight="1" s="131">
      <c r="A583" s="220" t="n"/>
      <c r="B583" s="222" t="n"/>
      <c r="C583" s="222" t="n"/>
      <c r="D583" s="220" t="n"/>
      <c r="E583" s="220" t="n"/>
      <c r="F583" s="181">
        <f>IFERROR(E583/D583,"")</f>
        <v/>
      </c>
      <c r="G583" s="219" t="n"/>
      <c r="H583" s="220" t="n"/>
      <c r="I583" s="221">
        <f>IF(COUNTA(A583:E583)=0,"",IF(OR(D583&lt;=0,E583&lt;0),"ERRO: bases inválidas",IF(E583&gt;D583,"ERRO: presenças acima do previsto",IF(COUNTIFS($A$5:$A$1200,A583,$B$5:$B$1200,B583,$C$5:$C$1200,C583)&gt;1,"ERRO: chave duplicada",IF(COUNTIFS(DISCIPLINAS!$A$5:$A$101,B583,DISCIPLINAS!$B$5:$B$101,C583)=0,"ERRO: disciplina não pertence ao curso","OK")))))</f>
        <v/>
      </c>
    </row>
    <row r="584" ht="15" customHeight="1" s="131">
      <c r="A584" s="220" t="n"/>
      <c r="B584" s="222" t="n"/>
      <c r="C584" s="222" t="n"/>
      <c r="D584" s="220" t="n"/>
      <c r="E584" s="220" t="n"/>
      <c r="F584" s="181">
        <f>IFERROR(E584/D584,"")</f>
        <v/>
      </c>
      <c r="G584" s="219" t="n"/>
      <c r="H584" s="220" t="n"/>
      <c r="I584" s="221">
        <f>IF(COUNTA(A584:E584)=0,"",IF(OR(D584&lt;=0,E584&lt;0),"ERRO: bases inválidas",IF(E584&gt;D584,"ERRO: presenças acima do previsto",IF(COUNTIFS($A$5:$A$1200,A584,$B$5:$B$1200,B584,$C$5:$C$1200,C584)&gt;1,"ERRO: chave duplicada",IF(COUNTIFS(DISCIPLINAS!$A$5:$A$101,B584,DISCIPLINAS!$B$5:$B$101,C584)=0,"ERRO: disciplina não pertence ao curso","OK")))))</f>
        <v/>
      </c>
    </row>
    <row r="585" ht="15" customHeight="1" s="131">
      <c r="A585" s="220" t="n"/>
      <c r="B585" s="222" t="n"/>
      <c r="C585" s="222" t="n"/>
      <c r="D585" s="220" t="n"/>
      <c r="E585" s="220" t="n"/>
      <c r="F585" s="181">
        <f>IFERROR(E585/D585,"")</f>
        <v/>
      </c>
      <c r="G585" s="219" t="n"/>
      <c r="H585" s="220" t="n"/>
      <c r="I585" s="221">
        <f>IF(COUNTA(A585:E585)=0,"",IF(OR(D585&lt;=0,E585&lt;0),"ERRO: bases inválidas",IF(E585&gt;D585,"ERRO: presenças acima do previsto",IF(COUNTIFS($A$5:$A$1200,A585,$B$5:$B$1200,B585,$C$5:$C$1200,C585)&gt;1,"ERRO: chave duplicada",IF(COUNTIFS(DISCIPLINAS!$A$5:$A$101,B585,DISCIPLINAS!$B$5:$B$101,C585)=0,"ERRO: disciplina não pertence ao curso","OK")))))</f>
        <v/>
      </c>
    </row>
    <row r="586" ht="15" customHeight="1" s="131">
      <c r="A586" s="220" t="n"/>
      <c r="B586" s="222" t="n"/>
      <c r="C586" s="222" t="n"/>
      <c r="D586" s="220" t="n"/>
      <c r="E586" s="220" t="n"/>
      <c r="F586" s="181">
        <f>IFERROR(E586/D586,"")</f>
        <v/>
      </c>
      <c r="G586" s="219" t="n"/>
      <c r="H586" s="220" t="n"/>
      <c r="I586" s="221">
        <f>IF(COUNTA(A586:E586)=0,"",IF(OR(D586&lt;=0,E586&lt;0),"ERRO: bases inválidas",IF(E586&gt;D586,"ERRO: presenças acima do previsto",IF(COUNTIFS($A$5:$A$1200,A586,$B$5:$B$1200,B586,$C$5:$C$1200,C586)&gt;1,"ERRO: chave duplicada",IF(COUNTIFS(DISCIPLINAS!$A$5:$A$101,B586,DISCIPLINAS!$B$5:$B$101,C586)=0,"ERRO: disciplina não pertence ao curso","OK")))))</f>
        <v/>
      </c>
    </row>
    <row r="587" ht="15" customHeight="1" s="131">
      <c r="A587" s="220" t="n"/>
      <c r="B587" s="222" t="n"/>
      <c r="C587" s="222" t="n"/>
      <c r="D587" s="220" t="n"/>
      <c r="E587" s="220" t="n"/>
      <c r="F587" s="181">
        <f>IFERROR(E587/D587,"")</f>
        <v/>
      </c>
      <c r="G587" s="219" t="n"/>
      <c r="H587" s="220" t="n"/>
      <c r="I587" s="221">
        <f>IF(COUNTA(A587:E587)=0,"",IF(OR(D587&lt;=0,E587&lt;0),"ERRO: bases inválidas",IF(E587&gt;D587,"ERRO: presenças acima do previsto",IF(COUNTIFS($A$5:$A$1200,A587,$B$5:$B$1200,B587,$C$5:$C$1200,C587)&gt;1,"ERRO: chave duplicada",IF(COUNTIFS(DISCIPLINAS!$A$5:$A$101,B587,DISCIPLINAS!$B$5:$B$101,C587)=0,"ERRO: disciplina não pertence ao curso","OK")))))</f>
        <v/>
      </c>
    </row>
    <row r="588" ht="15" customHeight="1" s="131">
      <c r="A588" s="220" t="n"/>
      <c r="B588" s="222" t="n"/>
      <c r="C588" s="222" t="n"/>
      <c r="D588" s="220" t="n"/>
      <c r="E588" s="220" t="n"/>
      <c r="F588" s="181">
        <f>IFERROR(E588/D588,"")</f>
        <v/>
      </c>
      <c r="G588" s="219" t="n"/>
      <c r="H588" s="220" t="n"/>
      <c r="I588" s="221">
        <f>IF(COUNTA(A588:E588)=0,"",IF(OR(D588&lt;=0,E588&lt;0),"ERRO: bases inválidas",IF(E588&gt;D588,"ERRO: presenças acima do previsto",IF(COUNTIFS($A$5:$A$1200,A588,$B$5:$B$1200,B588,$C$5:$C$1200,C588)&gt;1,"ERRO: chave duplicada",IF(COUNTIFS(DISCIPLINAS!$A$5:$A$101,B588,DISCIPLINAS!$B$5:$B$101,C588)=0,"ERRO: disciplina não pertence ao curso","OK")))))</f>
        <v/>
      </c>
    </row>
    <row r="589" ht="15" customHeight="1" s="131">
      <c r="A589" s="220" t="n"/>
      <c r="B589" s="222" t="n"/>
      <c r="C589" s="222" t="n"/>
      <c r="D589" s="220" t="n"/>
      <c r="E589" s="220" t="n"/>
      <c r="F589" s="181">
        <f>IFERROR(E589/D589,"")</f>
        <v/>
      </c>
      <c r="G589" s="219" t="n"/>
      <c r="H589" s="220" t="n"/>
      <c r="I589" s="221">
        <f>IF(COUNTA(A589:E589)=0,"",IF(OR(D589&lt;=0,E589&lt;0),"ERRO: bases inválidas",IF(E589&gt;D589,"ERRO: presenças acima do previsto",IF(COUNTIFS($A$5:$A$1200,A589,$B$5:$B$1200,B589,$C$5:$C$1200,C589)&gt;1,"ERRO: chave duplicada",IF(COUNTIFS(DISCIPLINAS!$A$5:$A$101,B589,DISCIPLINAS!$B$5:$B$101,C589)=0,"ERRO: disciplina não pertence ao curso","OK")))))</f>
        <v/>
      </c>
    </row>
    <row r="590" ht="15" customHeight="1" s="131">
      <c r="A590" s="220" t="n"/>
      <c r="B590" s="222" t="n"/>
      <c r="C590" s="222" t="n"/>
      <c r="D590" s="220" t="n"/>
      <c r="E590" s="220" t="n"/>
      <c r="F590" s="181">
        <f>IFERROR(E590/D590,"")</f>
        <v/>
      </c>
      <c r="G590" s="219" t="n"/>
      <c r="H590" s="220" t="n"/>
      <c r="I590" s="221">
        <f>IF(COUNTA(A590:E590)=0,"",IF(OR(D590&lt;=0,E590&lt;0),"ERRO: bases inválidas",IF(E590&gt;D590,"ERRO: presenças acima do previsto",IF(COUNTIFS($A$5:$A$1200,A590,$B$5:$B$1200,B590,$C$5:$C$1200,C590)&gt;1,"ERRO: chave duplicada",IF(COUNTIFS(DISCIPLINAS!$A$5:$A$101,B590,DISCIPLINAS!$B$5:$B$101,C590)=0,"ERRO: disciplina não pertence ao curso","OK")))))</f>
        <v/>
      </c>
    </row>
    <row r="591" ht="15" customHeight="1" s="131">
      <c r="A591" s="220" t="n"/>
      <c r="B591" s="222" t="n"/>
      <c r="C591" s="222" t="n"/>
      <c r="D591" s="220" t="n"/>
      <c r="E591" s="220" t="n"/>
      <c r="F591" s="181">
        <f>IFERROR(E591/D591,"")</f>
        <v/>
      </c>
      <c r="G591" s="219" t="n"/>
      <c r="H591" s="220" t="n"/>
      <c r="I591" s="221">
        <f>IF(COUNTA(A591:E591)=0,"",IF(OR(D591&lt;=0,E591&lt;0),"ERRO: bases inválidas",IF(E591&gt;D591,"ERRO: presenças acima do previsto",IF(COUNTIFS($A$5:$A$1200,A591,$B$5:$B$1200,B591,$C$5:$C$1200,C591)&gt;1,"ERRO: chave duplicada",IF(COUNTIFS(DISCIPLINAS!$A$5:$A$101,B591,DISCIPLINAS!$B$5:$B$101,C591)=0,"ERRO: disciplina não pertence ao curso","OK")))))</f>
        <v/>
      </c>
    </row>
    <row r="592" ht="15" customHeight="1" s="131">
      <c r="A592" s="220" t="n"/>
      <c r="B592" s="222" t="n"/>
      <c r="C592" s="222" t="n"/>
      <c r="D592" s="220" t="n"/>
      <c r="E592" s="220" t="n"/>
      <c r="F592" s="181">
        <f>IFERROR(E592/D592,"")</f>
        <v/>
      </c>
      <c r="G592" s="219" t="n"/>
      <c r="H592" s="220" t="n"/>
      <c r="I592" s="221">
        <f>IF(COUNTA(A592:E592)=0,"",IF(OR(D592&lt;=0,E592&lt;0),"ERRO: bases inválidas",IF(E592&gt;D592,"ERRO: presenças acima do previsto",IF(COUNTIFS($A$5:$A$1200,A592,$B$5:$B$1200,B592,$C$5:$C$1200,C592)&gt;1,"ERRO: chave duplicada",IF(COUNTIFS(DISCIPLINAS!$A$5:$A$101,B592,DISCIPLINAS!$B$5:$B$101,C592)=0,"ERRO: disciplina não pertence ao curso","OK")))))</f>
        <v/>
      </c>
    </row>
    <row r="593" ht="15" customHeight="1" s="131">
      <c r="A593" s="220" t="n"/>
      <c r="B593" s="222" t="n"/>
      <c r="C593" s="222" t="n"/>
      <c r="D593" s="220" t="n"/>
      <c r="E593" s="220" t="n"/>
      <c r="F593" s="181">
        <f>IFERROR(E593/D593,"")</f>
        <v/>
      </c>
      <c r="G593" s="219" t="n"/>
      <c r="H593" s="220" t="n"/>
      <c r="I593" s="221">
        <f>IF(COUNTA(A593:E593)=0,"",IF(OR(D593&lt;=0,E593&lt;0),"ERRO: bases inválidas",IF(E593&gt;D593,"ERRO: presenças acima do previsto",IF(COUNTIFS($A$5:$A$1200,A593,$B$5:$B$1200,B593,$C$5:$C$1200,C593)&gt;1,"ERRO: chave duplicada",IF(COUNTIFS(DISCIPLINAS!$A$5:$A$101,B593,DISCIPLINAS!$B$5:$B$101,C593)=0,"ERRO: disciplina não pertence ao curso","OK")))))</f>
        <v/>
      </c>
    </row>
    <row r="594" ht="15" customHeight="1" s="131">
      <c r="A594" s="220" t="n"/>
      <c r="B594" s="222" t="n"/>
      <c r="C594" s="222" t="n"/>
      <c r="D594" s="220" t="n"/>
      <c r="E594" s="220" t="n"/>
      <c r="F594" s="181">
        <f>IFERROR(E594/D594,"")</f>
        <v/>
      </c>
      <c r="G594" s="219" t="n"/>
      <c r="H594" s="220" t="n"/>
      <c r="I594" s="221">
        <f>IF(COUNTA(A594:E594)=0,"",IF(OR(D594&lt;=0,E594&lt;0),"ERRO: bases inválidas",IF(E594&gt;D594,"ERRO: presenças acima do previsto",IF(COUNTIFS($A$5:$A$1200,A594,$B$5:$B$1200,B594,$C$5:$C$1200,C594)&gt;1,"ERRO: chave duplicada",IF(COUNTIFS(DISCIPLINAS!$A$5:$A$101,B594,DISCIPLINAS!$B$5:$B$101,C594)=0,"ERRO: disciplina não pertence ao curso","OK")))))</f>
        <v/>
      </c>
    </row>
    <row r="595" ht="15" customHeight="1" s="131">
      <c r="A595" s="220" t="n"/>
      <c r="B595" s="222" t="n"/>
      <c r="C595" s="222" t="n"/>
      <c r="D595" s="220" t="n"/>
      <c r="E595" s="220" t="n"/>
      <c r="F595" s="181">
        <f>IFERROR(E595/D595,"")</f>
        <v/>
      </c>
      <c r="G595" s="219" t="n"/>
      <c r="H595" s="220" t="n"/>
      <c r="I595" s="221">
        <f>IF(COUNTA(A595:E595)=0,"",IF(OR(D595&lt;=0,E595&lt;0),"ERRO: bases inválidas",IF(E595&gt;D595,"ERRO: presenças acima do previsto",IF(COUNTIFS($A$5:$A$1200,A595,$B$5:$B$1200,B595,$C$5:$C$1200,C595)&gt;1,"ERRO: chave duplicada",IF(COUNTIFS(DISCIPLINAS!$A$5:$A$101,B595,DISCIPLINAS!$B$5:$B$101,C595)=0,"ERRO: disciplina não pertence ao curso","OK")))))</f>
        <v/>
      </c>
    </row>
    <row r="596" ht="15" customHeight="1" s="131">
      <c r="A596" s="220" t="n"/>
      <c r="B596" s="222" t="n"/>
      <c r="C596" s="222" t="n"/>
      <c r="D596" s="220" t="n"/>
      <c r="E596" s="220" t="n"/>
      <c r="F596" s="181">
        <f>IFERROR(E596/D596,"")</f>
        <v/>
      </c>
      <c r="G596" s="219" t="n"/>
      <c r="H596" s="220" t="n"/>
      <c r="I596" s="221">
        <f>IF(COUNTA(A596:E596)=0,"",IF(OR(D596&lt;=0,E596&lt;0),"ERRO: bases inválidas",IF(E596&gt;D596,"ERRO: presenças acima do previsto",IF(COUNTIFS($A$5:$A$1200,A596,$B$5:$B$1200,B596,$C$5:$C$1200,C596)&gt;1,"ERRO: chave duplicada",IF(COUNTIFS(DISCIPLINAS!$A$5:$A$101,B596,DISCIPLINAS!$B$5:$B$101,C596)=0,"ERRO: disciplina não pertence ao curso","OK")))))</f>
        <v/>
      </c>
    </row>
    <row r="597" ht="15" customHeight="1" s="131">
      <c r="A597" s="220" t="n"/>
      <c r="B597" s="222" t="n"/>
      <c r="C597" s="222" t="n"/>
      <c r="D597" s="220" t="n"/>
      <c r="E597" s="220" t="n"/>
      <c r="F597" s="181">
        <f>IFERROR(E597/D597,"")</f>
        <v/>
      </c>
      <c r="G597" s="219" t="n"/>
      <c r="H597" s="220" t="n"/>
      <c r="I597" s="221">
        <f>IF(COUNTA(A597:E597)=0,"",IF(OR(D597&lt;=0,E597&lt;0),"ERRO: bases inválidas",IF(E597&gt;D597,"ERRO: presenças acima do previsto",IF(COUNTIFS($A$5:$A$1200,A597,$B$5:$B$1200,B597,$C$5:$C$1200,C597)&gt;1,"ERRO: chave duplicada",IF(COUNTIFS(DISCIPLINAS!$A$5:$A$101,B597,DISCIPLINAS!$B$5:$B$101,C597)=0,"ERRO: disciplina não pertence ao curso","OK")))))</f>
        <v/>
      </c>
    </row>
    <row r="598" ht="15" customHeight="1" s="131">
      <c r="A598" s="220" t="n"/>
      <c r="B598" s="222" t="n"/>
      <c r="C598" s="222" t="n"/>
      <c r="D598" s="220" t="n"/>
      <c r="E598" s="220" t="n"/>
      <c r="F598" s="181">
        <f>IFERROR(E598/D598,"")</f>
        <v/>
      </c>
      <c r="G598" s="219" t="n"/>
      <c r="H598" s="220" t="n"/>
      <c r="I598" s="221">
        <f>IF(COUNTA(A598:E598)=0,"",IF(OR(D598&lt;=0,E598&lt;0),"ERRO: bases inválidas",IF(E598&gt;D598,"ERRO: presenças acima do previsto",IF(COUNTIFS($A$5:$A$1200,A598,$B$5:$B$1200,B598,$C$5:$C$1200,C598)&gt;1,"ERRO: chave duplicada",IF(COUNTIFS(DISCIPLINAS!$A$5:$A$101,B598,DISCIPLINAS!$B$5:$B$101,C598)=0,"ERRO: disciplina não pertence ao curso","OK")))))</f>
        <v/>
      </c>
    </row>
    <row r="599" ht="15" customHeight="1" s="131">
      <c r="A599" s="220" t="n"/>
      <c r="B599" s="222" t="n"/>
      <c r="C599" s="222" t="n"/>
      <c r="D599" s="220" t="n"/>
      <c r="E599" s="220" t="n"/>
      <c r="F599" s="181">
        <f>IFERROR(E599/D599,"")</f>
        <v/>
      </c>
      <c r="G599" s="219" t="n"/>
      <c r="H599" s="220" t="n"/>
      <c r="I599" s="221">
        <f>IF(COUNTA(A599:E599)=0,"",IF(OR(D599&lt;=0,E599&lt;0),"ERRO: bases inválidas",IF(E599&gt;D599,"ERRO: presenças acima do previsto",IF(COUNTIFS($A$5:$A$1200,A599,$B$5:$B$1200,B599,$C$5:$C$1200,C599)&gt;1,"ERRO: chave duplicada",IF(COUNTIFS(DISCIPLINAS!$A$5:$A$101,B599,DISCIPLINAS!$B$5:$B$101,C599)=0,"ERRO: disciplina não pertence ao curso","OK")))))</f>
        <v/>
      </c>
    </row>
    <row r="600" ht="15" customHeight="1" s="131">
      <c r="A600" s="220" t="n"/>
      <c r="B600" s="222" t="n"/>
      <c r="C600" s="222" t="n"/>
      <c r="D600" s="220" t="n"/>
      <c r="E600" s="220" t="n"/>
      <c r="F600" s="181">
        <f>IFERROR(E600/D600,"")</f>
        <v/>
      </c>
      <c r="G600" s="219" t="n"/>
      <c r="H600" s="220" t="n"/>
      <c r="I600" s="221">
        <f>IF(COUNTA(A600:E600)=0,"",IF(OR(D600&lt;=0,E600&lt;0),"ERRO: bases inválidas",IF(E600&gt;D600,"ERRO: presenças acima do previsto",IF(COUNTIFS($A$5:$A$1200,A600,$B$5:$B$1200,B600,$C$5:$C$1200,C600)&gt;1,"ERRO: chave duplicada",IF(COUNTIFS(DISCIPLINAS!$A$5:$A$101,B600,DISCIPLINAS!$B$5:$B$101,C600)=0,"ERRO: disciplina não pertence ao curso","OK")))))</f>
        <v/>
      </c>
    </row>
    <row r="601" ht="15" customHeight="1" s="131">
      <c r="A601" s="220" t="n"/>
      <c r="B601" s="222" t="n"/>
      <c r="C601" s="222" t="n"/>
      <c r="D601" s="220" t="n"/>
      <c r="E601" s="220" t="n"/>
      <c r="F601" s="181">
        <f>IFERROR(E601/D601,"")</f>
        <v/>
      </c>
      <c r="G601" s="219" t="n"/>
      <c r="H601" s="220" t="n"/>
      <c r="I601" s="221">
        <f>IF(COUNTA(A601:E601)=0,"",IF(OR(D601&lt;=0,E601&lt;0),"ERRO: bases inválidas",IF(E601&gt;D601,"ERRO: presenças acima do previsto",IF(COUNTIFS($A$5:$A$1200,A601,$B$5:$B$1200,B601,$C$5:$C$1200,C601)&gt;1,"ERRO: chave duplicada",IF(COUNTIFS(DISCIPLINAS!$A$5:$A$101,B601,DISCIPLINAS!$B$5:$B$101,C601)=0,"ERRO: disciplina não pertence ao curso","OK")))))</f>
        <v/>
      </c>
    </row>
    <row r="602" ht="15" customHeight="1" s="131">
      <c r="A602" s="220" t="n"/>
      <c r="B602" s="222" t="n"/>
      <c r="C602" s="222" t="n"/>
      <c r="D602" s="220" t="n"/>
      <c r="E602" s="220" t="n"/>
      <c r="F602" s="181">
        <f>IFERROR(E602/D602,"")</f>
        <v/>
      </c>
      <c r="G602" s="219" t="n"/>
      <c r="H602" s="220" t="n"/>
      <c r="I602" s="221">
        <f>IF(COUNTA(A602:E602)=0,"",IF(OR(D602&lt;=0,E602&lt;0),"ERRO: bases inválidas",IF(E602&gt;D602,"ERRO: presenças acima do previsto",IF(COUNTIFS($A$5:$A$1200,A602,$B$5:$B$1200,B602,$C$5:$C$1200,C602)&gt;1,"ERRO: chave duplicada",IF(COUNTIFS(DISCIPLINAS!$A$5:$A$101,B602,DISCIPLINAS!$B$5:$B$101,C602)=0,"ERRO: disciplina não pertence ao curso","OK")))))</f>
        <v/>
      </c>
    </row>
    <row r="603" ht="15" customHeight="1" s="131">
      <c r="A603" s="220" t="n"/>
      <c r="B603" s="222" t="n"/>
      <c r="C603" s="222" t="n"/>
      <c r="D603" s="220" t="n"/>
      <c r="E603" s="220" t="n"/>
      <c r="F603" s="181">
        <f>IFERROR(E603/D603,"")</f>
        <v/>
      </c>
      <c r="G603" s="219" t="n"/>
      <c r="H603" s="220" t="n"/>
      <c r="I603" s="221">
        <f>IF(COUNTA(A603:E603)=0,"",IF(OR(D603&lt;=0,E603&lt;0),"ERRO: bases inválidas",IF(E603&gt;D603,"ERRO: presenças acima do previsto",IF(COUNTIFS($A$5:$A$1200,A603,$B$5:$B$1200,B603,$C$5:$C$1200,C603)&gt;1,"ERRO: chave duplicada",IF(COUNTIFS(DISCIPLINAS!$A$5:$A$101,B603,DISCIPLINAS!$B$5:$B$101,C603)=0,"ERRO: disciplina não pertence ao curso","OK")))))</f>
        <v/>
      </c>
    </row>
    <row r="604" ht="15" customHeight="1" s="131">
      <c r="A604" s="220" t="n"/>
      <c r="B604" s="222" t="n"/>
      <c r="C604" s="222" t="n"/>
      <c r="D604" s="220" t="n"/>
      <c r="E604" s="220" t="n"/>
      <c r="F604" s="181">
        <f>IFERROR(E604/D604,"")</f>
        <v/>
      </c>
      <c r="G604" s="219" t="n"/>
      <c r="H604" s="220" t="n"/>
      <c r="I604" s="221">
        <f>IF(COUNTA(A604:E604)=0,"",IF(OR(D604&lt;=0,E604&lt;0),"ERRO: bases inválidas",IF(E604&gt;D604,"ERRO: presenças acima do previsto",IF(COUNTIFS($A$5:$A$1200,A604,$B$5:$B$1200,B604,$C$5:$C$1200,C604)&gt;1,"ERRO: chave duplicada",IF(COUNTIFS(DISCIPLINAS!$A$5:$A$101,B604,DISCIPLINAS!$B$5:$B$101,C604)=0,"ERRO: disciplina não pertence ao curso","OK")))))</f>
        <v/>
      </c>
    </row>
    <row r="605" ht="15" customHeight="1" s="131">
      <c r="A605" s="220" t="n"/>
      <c r="B605" s="222" t="n"/>
      <c r="C605" s="222" t="n"/>
      <c r="D605" s="220" t="n"/>
      <c r="E605" s="220" t="n"/>
      <c r="F605" s="181">
        <f>IFERROR(E605/D605,"")</f>
        <v/>
      </c>
      <c r="G605" s="219" t="n"/>
      <c r="H605" s="220" t="n"/>
      <c r="I605" s="221">
        <f>IF(COUNTA(A605:E605)=0,"",IF(OR(D605&lt;=0,E605&lt;0),"ERRO: bases inválidas",IF(E605&gt;D605,"ERRO: presenças acima do previsto",IF(COUNTIFS($A$5:$A$1200,A605,$B$5:$B$1200,B605,$C$5:$C$1200,C605)&gt;1,"ERRO: chave duplicada",IF(COUNTIFS(DISCIPLINAS!$A$5:$A$101,B605,DISCIPLINAS!$B$5:$B$101,C605)=0,"ERRO: disciplina não pertence ao curso","OK")))))</f>
        <v/>
      </c>
    </row>
    <row r="606" ht="15" customHeight="1" s="131">
      <c r="A606" s="220" t="n"/>
      <c r="B606" s="222" t="n"/>
      <c r="C606" s="222" t="n"/>
      <c r="D606" s="220" t="n"/>
      <c r="E606" s="220" t="n"/>
      <c r="F606" s="181">
        <f>IFERROR(E606/D606,"")</f>
        <v/>
      </c>
      <c r="G606" s="219" t="n"/>
      <c r="H606" s="220" t="n"/>
      <c r="I606" s="221">
        <f>IF(COUNTA(A606:E606)=0,"",IF(OR(D606&lt;=0,E606&lt;0),"ERRO: bases inválidas",IF(E606&gt;D606,"ERRO: presenças acima do previsto",IF(COUNTIFS($A$5:$A$1200,A606,$B$5:$B$1200,B606,$C$5:$C$1200,C606)&gt;1,"ERRO: chave duplicada",IF(COUNTIFS(DISCIPLINAS!$A$5:$A$101,B606,DISCIPLINAS!$B$5:$B$101,C606)=0,"ERRO: disciplina não pertence ao curso","OK")))))</f>
        <v/>
      </c>
    </row>
    <row r="607" ht="15" customHeight="1" s="131">
      <c r="A607" s="220" t="n"/>
      <c r="B607" s="222" t="n"/>
      <c r="C607" s="222" t="n"/>
      <c r="D607" s="220" t="n"/>
      <c r="E607" s="220" t="n"/>
      <c r="F607" s="181">
        <f>IFERROR(E607/D607,"")</f>
        <v/>
      </c>
      <c r="G607" s="219" t="n"/>
      <c r="H607" s="220" t="n"/>
      <c r="I607" s="221">
        <f>IF(COUNTA(A607:E607)=0,"",IF(OR(D607&lt;=0,E607&lt;0),"ERRO: bases inválidas",IF(E607&gt;D607,"ERRO: presenças acima do previsto",IF(COUNTIFS($A$5:$A$1200,A607,$B$5:$B$1200,B607,$C$5:$C$1200,C607)&gt;1,"ERRO: chave duplicada",IF(COUNTIFS(DISCIPLINAS!$A$5:$A$101,B607,DISCIPLINAS!$B$5:$B$101,C607)=0,"ERRO: disciplina não pertence ao curso","OK")))))</f>
        <v/>
      </c>
    </row>
    <row r="608" ht="15" customHeight="1" s="131">
      <c r="A608" s="220" t="n"/>
      <c r="B608" s="222" t="n"/>
      <c r="C608" s="222" t="n"/>
      <c r="D608" s="220" t="n"/>
      <c r="E608" s="220" t="n"/>
      <c r="F608" s="181">
        <f>IFERROR(E608/D608,"")</f>
        <v/>
      </c>
      <c r="G608" s="219" t="n"/>
      <c r="H608" s="220" t="n"/>
      <c r="I608" s="221">
        <f>IF(COUNTA(A608:E608)=0,"",IF(OR(D608&lt;=0,E608&lt;0),"ERRO: bases inválidas",IF(E608&gt;D608,"ERRO: presenças acima do previsto",IF(COUNTIFS($A$5:$A$1200,A608,$B$5:$B$1200,B608,$C$5:$C$1200,C608)&gt;1,"ERRO: chave duplicada",IF(COUNTIFS(DISCIPLINAS!$A$5:$A$101,B608,DISCIPLINAS!$B$5:$B$101,C608)=0,"ERRO: disciplina não pertence ao curso","OK")))))</f>
        <v/>
      </c>
    </row>
    <row r="609" ht="15" customHeight="1" s="131">
      <c r="A609" s="220" t="n"/>
      <c r="B609" s="222" t="n"/>
      <c r="C609" s="222" t="n"/>
      <c r="D609" s="220" t="n"/>
      <c r="E609" s="220" t="n"/>
      <c r="F609" s="181">
        <f>IFERROR(E609/D609,"")</f>
        <v/>
      </c>
      <c r="G609" s="219" t="n"/>
      <c r="H609" s="220" t="n"/>
      <c r="I609" s="221">
        <f>IF(COUNTA(A609:E609)=0,"",IF(OR(D609&lt;=0,E609&lt;0),"ERRO: bases inválidas",IF(E609&gt;D609,"ERRO: presenças acima do previsto",IF(COUNTIFS($A$5:$A$1200,A609,$B$5:$B$1200,B609,$C$5:$C$1200,C609)&gt;1,"ERRO: chave duplicada",IF(COUNTIFS(DISCIPLINAS!$A$5:$A$101,B609,DISCIPLINAS!$B$5:$B$101,C609)=0,"ERRO: disciplina não pertence ao curso","OK")))))</f>
        <v/>
      </c>
    </row>
    <row r="610" ht="15" customHeight="1" s="131">
      <c r="A610" s="220" t="n"/>
      <c r="B610" s="222" t="n"/>
      <c r="C610" s="222" t="n"/>
      <c r="D610" s="220" t="n"/>
      <c r="E610" s="220" t="n"/>
      <c r="F610" s="181">
        <f>IFERROR(E610/D610,"")</f>
        <v/>
      </c>
      <c r="G610" s="219" t="n"/>
      <c r="H610" s="220" t="n"/>
      <c r="I610" s="221">
        <f>IF(COUNTA(A610:E610)=0,"",IF(OR(D610&lt;=0,E610&lt;0),"ERRO: bases inválidas",IF(E610&gt;D610,"ERRO: presenças acima do previsto",IF(COUNTIFS($A$5:$A$1200,A610,$B$5:$B$1200,B610,$C$5:$C$1200,C610)&gt;1,"ERRO: chave duplicada",IF(COUNTIFS(DISCIPLINAS!$A$5:$A$101,B610,DISCIPLINAS!$B$5:$B$101,C610)=0,"ERRO: disciplina não pertence ao curso","OK")))))</f>
        <v/>
      </c>
    </row>
    <row r="611" ht="15" customHeight="1" s="131">
      <c r="A611" s="220" t="n"/>
      <c r="B611" s="222" t="n"/>
      <c r="C611" s="222" t="n"/>
      <c r="D611" s="220" t="n"/>
      <c r="E611" s="220" t="n"/>
      <c r="F611" s="181">
        <f>IFERROR(E611/D611,"")</f>
        <v/>
      </c>
      <c r="G611" s="219" t="n"/>
      <c r="H611" s="220" t="n"/>
      <c r="I611" s="221">
        <f>IF(COUNTA(A611:E611)=0,"",IF(OR(D611&lt;=0,E611&lt;0),"ERRO: bases inválidas",IF(E611&gt;D611,"ERRO: presenças acima do previsto",IF(COUNTIFS($A$5:$A$1200,A611,$B$5:$B$1200,B611,$C$5:$C$1200,C611)&gt;1,"ERRO: chave duplicada",IF(COUNTIFS(DISCIPLINAS!$A$5:$A$101,B611,DISCIPLINAS!$B$5:$B$101,C611)=0,"ERRO: disciplina não pertence ao curso","OK")))))</f>
        <v/>
      </c>
    </row>
    <row r="612" ht="15" customHeight="1" s="131">
      <c r="A612" s="220" t="n"/>
      <c r="B612" s="222" t="n"/>
      <c r="C612" s="222" t="n"/>
      <c r="D612" s="220" t="n"/>
      <c r="E612" s="220" t="n"/>
      <c r="F612" s="181">
        <f>IFERROR(E612/D612,"")</f>
        <v/>
      </c>
      <c r="G612" s="219" t="n"/>
      <c r="H612" s="220" t="n"/>
      <c r="I612" s="221">
        <f>IF(COUNTA(A612:E612)=0,"",IF(OR(D612&lt;=0,E612&lt;0),"ERRO: bases inválidas",IF(E612&gt;D612,"ERRO: presenças acima do previsto",IF(COUNTIFS($A$5:$A$1200,A612,$B$5:$B$1200,B612,$C$5:$C$1200,C612)&gt;1,"ERRO: chave duplicada",IF(COUNTIFS(DISCIPLINAS!$A$5:$A$101,B612,DISCIPLINAS!$B$5:$B$101,C612)=0,"ERRO: disciplina não pertence ao curso","OK")))))</f>
        <v/>
      </c>
    </row>
    <row r="613" ht="15" customHeight="1" s="131">
      <c r="A613" s="220" t="n"/>
      <c r="B613" s="222" t="n"/>
      <c r="C613" s="222" t="n"/>
      <c r="D613" s="220" t="n"/>
      <c r="E613" s="220" t="n"/>
      <c r="F613" s="181">
        <f>IFERROR(E613/D613,"")</f>
        <v/>
      </c>
      <c r="G613" s="219" t="n"/>
      <c r="H613" s="220" t="n"/>
      <c r="I613" s="221">
        <f>IF(COUNTA(A613:E613)=0,"",IF(OR(D613&lt;=0,E613&lt;0),"ERRO: bases inválidas",IF(E613&gt;D613,"ERRO: presenças acima do previsto",IF(COUNTIFS($A$5:$A$1200,A613,$B$5:$B$1200,B613,$C$5:$C$1200,C613)&gt;1,"ERRO: chave duplicada",IF(COUNTIFS(DISCIPLINAS!$A$5:$A$101,B613,DISCIPLINAS!$B$5:$B$101,C613)=0,"ERRO: disciplina não pertence ao curso","OK")))))</f>
        <v/>
      </c>
    </row>
    <row r="614" ht="15" customHeight="1" s="131">
      <c r="A614" s="220" t="n"/>
      <c r="B614" s="222" t="n"/>
      <c r="C614" s="222" t="n"/>
      <c r="D614" s="220" t="n"/>
      <c r="E614" s="220" t="n"/>
      <c r="F614" s="181">
        <f>IFERROR(E614/D614,"")</f>
        <v/>
      </c>
      <c r="G614" s="219" t="n"/>
      <c r="H614" s="220" t="n"/>
      <c r="I614" s="221">
        <f>IF(COUNTA(A614:E614)=0,"",IF(OR(D614&lt;=0,E614&lt;0),"ERRO: bases inválidas",IF(E614&gt;D614,"ERRO: presenças acima do previsto",IF(COUNTIFS($A$5:$A$1200,A614,$B$5:$B$1200,B614,$C$5:$C$1200,C614)&gt;1,"ERRO: chave duplicada",IF(COUNTIFS(DISCIPLINAS!$A$5:$A$101,B614,DISCIPLINAS!$B$5:$B$101,C614)=0,"ERRO: disciplina não pertence ao curso","OK")))))</f>
        <v/>
      </c>
    </row>
    <row r="615" ht="15" customHeight="1" s="131">
      <c r="A615" s="220" t="n"/>
      <c r="B615" s="222" t="n"/>
      <c r="C615" s="222" t="n"/>
      <c r="D615" s="220" t="n"/>
      <c r="E615" s="220" t="n"/>
      <c r="F615" s="181">
        <f>IFERROR(E615/D615,"")</f>
        <v/>
      </c>
      <c r="G615" s="219" t="n"/>
      <c r="H615" s="220" t="n"/>
      <c r="I615" s="221">
        <f>IF(COUNTA(A615:E615)=0,"",IF(OR(D615&lt;=0,E615&lt;0),"ERRO: bases inválidas",IF(E615&gt;D615,"ERRO: presenças acima do previsto",IF(COUNTIFS($A$5:$A$1200,A615,$B$5:$B$1200,B615,$C$5:$C$1200,C615)&gt;1,"ERRO: chave duplicada",IF(COUNTIFS(DISCIPLINAS!$A$5:$A$101,B615,DISCIPLINAS!$B$5:$B$101,C615)=0,"ERRO: disciplina não pertence ao curso","OK")))))</f>
        <v/>
      </c>
    </row>
    <row r="616" ht="15" customHeight="1" s="131">
      <c r="A616" s="220" t="n"/>
      <c r="B616" s="222" t="n"/>
      <c r="C616" s="222" t="n"/>
      <c r="D616" s="220" t="n"/>
      <c r="E616" s="220" t="n"/>
      <c r="F616" s="181">
        <f>IFERROR(E616/D616,"")</f>
        <v/>
      </c>
      <c r="G616" s="219" t="n"/>
      <c r="H616" s="220" t="n"/>
      <c r="I616" s="221">
        <f>IF(COUNTA(A616:E616)=0,"",IF(OR(D616&lt;=0,E616&lt;0),"ERRO: bases inválidas",IF(E616&gt;D616,"ERRO: presenças acima do previsto",IF(COUNTIFS($A$5:$A$1200,A616,$B$5:$B$1200,B616,$C$5:$C$1200,C616)&gt;1,"ERRO: chave duplicada",IF(COUNTIFS(DISCIPLINAS!$A$5:$A$101,B616,DISCIPLINAS!$B$5:$B$101,C616)=0,"ERRO: disciplina não pertence ao curso","OK")))))</f>
        <v/>
      </c>
    </row>
    <row r="617" ht="15" customHeight="1" s="131">
      <c r="A617" s="220" t="n"/>
      <c r="B617" s="222" t="n"/>
      <c r="C617" s="222" t="n"/>
      <c r="D617" s="220" t="n"/>
      <c r="E617" s="220" t="n"/>
      <c r="F617" s="181">
        <f>IFERROR(E617/D617,"")</f>
        <v/>
      </c>
      <c r="G617" s="219" t="n"/>
      <c r="H617" s="220" t="n"/>
      <c r="I617" s="221">
        <f>IF(COUNTA(A617:E617)=0,"",IF(OR(D617&lt;=0,E617&lt;0),"ERRO: bases inválidas",IF(E617&gt;D617,"ERRO: presenças acima do previsto",IF(COUNTIFS($A$5:$A$1200,A617,$B$5:$B$1200,B617,$C$5:$C$1200,C617)&gt;1,"ERRO: chave duplicada",IF(COUNTIFS(DISCIPLINAS!$A$5:$A$101,B617,DISCIPLINAS!$B$5:$B$101,C617)=0,"ERRO: disciplina não pertence ao curso","OK")))))</f>
        <v/>
      </c>
    </row>
    <row r="618" ht="15" customHeight="1" s="131">
      <c r="A618" s="220" t="n"/>
      <c r="B618" s="222" t="n"/>
      <c r="C618" s="222" t="n"/>
      <c r="D618" s="220" t="n"/>
      <c r="E618" s="220" t="n"/>
      <c r="F618" s="181">
        <f>IFERROR(E618/D618,"")</f>
        <v/>
      </c>
      <c r="G618" s="219" t="n"/>
      <c r="H618" s="220" t="n"/>
      <c r="I618" s="221">
        <f>IF(COUNTA(A618:E618)=0,"",IF(OR(D618&lt;=0,E618&lt;0),"ERRO: bases inválidas",IF(E618&gt;D618,"ERRO: presenças acima do previsto",IF(COUNTIFS($A$5:$A$1200,A618,$B$5:$B$1200,B618,$C$5:$C$1200,C618)&gt;1,"ERRO: chave duplicada",IF(COUNTIFS(DISCIPLINAS!$A$5:$A$101,B618,DISCIPLINAS!$B$5:$B$101,C618)=0,"ERRO: disciplina não pertence ao curso","OK")))))</f>
        <v/>
      </c>
    </row>
    <row r="619" ht="15" customHeight="1" s="131">
      <c r="A619" s="220" t="n"/>
      <c r="B619" s="222" t="n"/>
      <c r="C619" s="222" t="n"/>
      <c r="D619" s="220" t="n"/>
      <c r="E619" s="220" t="n"/>
      <c r="F619" s="181">
        <f>IFERROR(E619/D619,"")</f>
        <v/>
      </c>
      <c r="G619" s="219" t="n"/>
      <c r="H619" s="220" t="n"/>
      <c r="I619" s="221">
        <f>IF(COUNTA(A619:E619)=0,"",IF(OR(D619&lt;=0,E619&lt;0),"ERRO: bases inválidas",IF(E619&gt;D619,"ERRO: presenças acima do previsto",IF(COUNTIFS($A$5:$A$1200,A619,$B$5:$B$1200,B619,$C$5:$C$1200,C619)&gt;1,"ERRO: chave duplicada",IF(COUNTIFS(DISCIPLINAS!$A$5:$A$101,B619,DISCIPLINAS!$B$5:$B$101,C619)=0,"ERRO: disciplina não pertence ao curso","OK")))))</f>
        <v/>
      </c>
    </row>
    <row r="620" ht="15" customHeight="1" s="131">
      <c r="A620" s="220" t="n"/>
      <c r="B620" s="222" t="n"/>
      <c r="C620" s="222" t="n"/>
      <c r="D620" s="220" t="n"/>
      <c r="E620" s="220" t="n"/>
      <c r="F620" s="181">
        <f>IFERROR(E620/D620,"")</f>
        <v/>
      </c>
      <c r="G620" s="219" t="n"/>
      <c r="H620" s="220" t="n"/>
      <c r="I620" s="221">
        <f>IF(COUNTA(A620:E620)=0,"",IF(OR(D620&lt;=0,E620&lt;0),"ERRO: bases inválidas",IF(E620&gt;D620,"ERRO: presenças acima do previsto",IF(COUNTIFS($A$5:$A$1200,A620,$B$5:$B$1200,B620,$C$5:$C$1200,C620)&gt;1,"ERRO: chave duplicada",IF(COUNTIFS(DISCIPLINAS!$A$5:$A$101,B620,DISCIPLINAS!$B$5:$B$101,C620)=0,"ERRO: disciplina não pertence ao curso","OK")))))</f>
        <v/>
      </c>
    </row>
    <row r="621" ht="15" customHeight="1" s="131">
      <c r="A621" s="220" t="n"/>
      <c r="B621" s="222" t="n"/>
      <c r="C621" s="222" t="n"/>
      <c r="D621" s="220" t="n"/>
      <c r="E621" s="220" t="n"/>
      <c r="F621" s="181">
        <f>IFERROR(E621/D621,"")</f>
        <v/>
      </c>
      <c r="G621" s="219" t="n"/>
      <c r="H621" s="220" t="n"/>
      <c r="I621" s="221">
        <f>IF(COUNTA(A621:E621)=0,"",IF(OR(D621&lt;=0,E621&lt;0),"ERRO: bases inválidas",IF(E621&gt;D621,"ERRO: presenças acima do previsto",IF(COUNTIFS($A$5:$A$1200,A621,$B$5:$B$1200,B621,$C$5:$C$1200,C621)&gt;1,"ERRO: chave duplicada",IF(COUNTIFS(DISCIPLINAS!$A$5:$A$101,B621,DISCIPLINAS!$B$5:$B$101,C621)=0,"ERRO: disciplina não pertence ao curso","OK")))))</f>
        <v/>
      </c>
    </row>
    <row r="622" ht="15" customHeight="1" s="131">
      <c r="A622" s="220" t="n"/>
      <c r="B622" s="222" t="n"/>
      <c r="C622" s="222" t="n"/>
      <c r="D622" s="220" t="n"/>
      <c r="E622" s="220" t="n"/>
      <c r="F622" s="181">
        <f>IFERROR(E622/D622,"")</f>
        <v/>
      </c>
      <c r="G622" s="219" t="n"/>
      <c r="H622" s="220" t="n"/>
      <c r="I622" s="221">
        <f>IF(COUNTA(A622:E622)=0,"",IF(OR(D622&lt;=0,E622&lt;0),"ERRO: bases inválidas",IF(E622&gt;D622,"ERRO: presenças acima do previsto",IF(COUNTIFS($A$5:$A$1200,A622,$B$5:$B$1200,B622,$C$5:$C$1200,C622)&gt;1,"ERRO: chave duplicada",IF(COUNTIFS(DISCIPLINAS!$A$5:$A$101,B622,DISCIPLINAS!$B$5:$B$101,C622)=0,"ERRO: disciplina não pertence ao curso","OK")))))</f>
        <v/>
      </c>
    </row>
    <row r="623" ht="15" customHeight="1" s="131">
      <c r="A623" s="220" t="n"/>
      <c r="B623" s="222" t="n"/>
      <c r="C623" s="222" t="n"/>
      <c r="D623" s="220" t="n"/>
      <c r="E623" s="220" t="n"/>
      <c r="F623" s="181">
        <f>IFERROR(E623/D623,"")</f>
        <v/>
      </c>
      <c r="G623" s="219" t="n"/>
      <c r="H623" s="220" t="n"/>
      <c r="I623" s="221">
        <f>IF(COUNTA(A623:E623)=0,"",IF(OR(D623&lt;=0,E623&lt;0),"ERRO: bases inválidas",IF(E623&gt;D623,"ERRO: presenças acima do previsto",IF(COUNTIFS($A$5:$A$1200,A623,$B$5:$B$1200,B623,$C$5:$C$1200,C623)&gt;1,"ERRO: chave duplicada",IF(COUNTIFS(DISCIPLINAS!$A$5:$A$101,B623,DISCIPLINAS!$B$5:$B$101,C623)=0,"ERRO: disciplina não pertence ao curso","OK")))))</f>
        <v/>
      </c>
    </row>
    <row r="624" ht="15" customHeight="1" s="131">
      <c r="A624" s="220" t="n"/>
      <c r="B624" s="222" t="n"/>
      <c r="C624" s="222" t="n"/>
      <c r="D624" s="220" t="n"/>
      <c r="E624" s="220" t="n"/>
      <c r="F624" s="181">
        <f>IFERROR(E624/D624,"")</f>
        <v/>
      </c>
      <c r="G624" s="219" t="n"/>
      <c r="H624" s="220" t="n"/>
      <c r="I624" s="221">
        <f>IF(COUNTA(A624:E624)=0,"",IF(OR(D624&lt;=0,E624&lt;0),"ERRO: bases inválidas",IF(E624&gt;D624,"ERRO: presenças acima do previsto",IF(COUNTIFS($A$5:$A$1200,A624,$B$5:$B$1200,B624,$C$5:$C$1200,C624)&gt;1,"ERRO: chave duplicada",IF(COUNTIFS(DISCIPLINAS!$A$5:$A$101,B624,DISCIPLINAS!$B$5:$B$101,C624)=0,"ERRO: disciplina não pertence ao curso","OK")))))</f>
        <v/>
      </c>
    </row>
    <row r="625" ht="15" customHeight="1" s="131">
      <c r="A625" s="220" t="n"/>
      <c r="B625" s="222" t="n"/>
      <c r="C625" s="222" t="n"/>
      <c r="D625" s="220" t="n"/>
      <c r="E625" s="220" t="n"/>
      <c r="F625" s="181">
        <f>IFERROR(E625/D625,"")</f>
        <v/>
      </c>
      <c r="G625" s="219" t="n"/>
      <c r="H625" s="220" t="n"/>
      <c r="I625" s="221">
        <f>IF(COUNTA(A625:E625)=0,"",IF(OR(D625&lt;=0,E625&lt;0),"ERRO: bases inválidas",IF(E625&gt;D625,"ERRO: presenças acima do previsto",IF(COUNTIFS($A$5:$A$1200,A625,$B$5:$B$1200,B625,$C$5:$C$1200,C625)&gt;1,"ERRO: chave duplicada",IF(COUNTIFS(DISCIPLINAS!$A$5:$A$101,B625,DISCIPLINAS!$B$5:$B$101,C625)=0,"ERRO: disciplina não pertence ao curso","OK")))))</f>
        <v/>
      </c>
    </row>
    <row r="626" ht="15" customHeight="1" s="131">
      <c r="A626" s="220" t="n"/>
      <c r="B626" s="222" t="n"/>
      <c r="C626" s="222" t="n"/>
      <c r="D626" s="220" t="n"/>
      <c r="E626" s="220" t="n"/>
      <c r="F626" s="181">
        <f>IFERROR(E626/D626,"")</f>
        <v/>
      </c>
      <c r="G626" s="219" t="n"/>
      <c r="H626" s="220" t="n"/>
      <c r="I626" s="221">
        <f>IF(COUNTA(A626:E626)=0,"",IF(OR(D626&lt;=0,E626&lt;0),"ERRO: bases inválidas",IF(E626&gt;D626,"ERRO: presenças acima do previsto",IF(COUNTIFS($A$5:$A$1200,A626,$B$5:$B$1200,B626,$C$5:$C$1200,C626)&gt;1,"ERRO: chave duplicada",IF(COUNTIFS(DISCIPLINAS!$A$5:$A$101,B626,DISCIPLINAS!$B$5:$B$101,C626)=0,"ERRO: disciplina não pertence ao curso","OK")))))</f>
        <v/>
      </c>
    </row>
    <row r="627" ht="15" customHeight="1" s="131">
      <c r="A627" s="220" t="n"/>
      <c r="B627" s="222" t="n"/>
      <c r="C627" s="222" t="n"/>
      <c r="D627" s="220" t="n"/>
      <c r="E627" s="220" t="n"/>
      <c r="F627" s="181">
        <f>IFERROR(E627/D627,"")</f>
        <v/>
      </c>
      <c r="G627" s="219" t="n"/>
      <c r="H627" s="220" t="n"/>
      <c r="I627" s="221">
        <f>IF(COUNTA(A627:E627)=0,"",IF(OR(D627&lt;=0,E627&lt;0),"ERRO: bases inválidas",IF(E627&gt;D627,"ERRO: presenças acima do previsto",IF(COUNTIFS($A$5:$A$1200,A627,$B$5:$B$1200,B627,$C$5:$C$1200,C627)&gt;1,"ERRO: chave duplicada",IF(COUNTIFS(DISCIPLINAS!$A$5:$A$101,B627,DISCIPLINAS!$B$5:$B$101,C627)=0,"ERRO: disciplina não pertence ao curso","OK")))))</f>
        <v/>
      </c>
    </row>
    <row r="628" ht="15" customHeight="1" s="131">
      <c r="A628" s="220" t="n"/>
      <c r="B628" s="222" t="n"/>
      <c r="C628" s="222" t="n"/>
      <c r="D628" s="220" t="n"/>
      <c r="E628" s="220" t="n"/>
      <c r="F628" s="181">
        <f>IFERROR(E628/D628,"")</f>
        <v/>
      </c>
      <c r="G628" s="219" t="n"/>
      <c r="H628" s="220" t="n"/>
      <c r="I628" s="221">
        <f>IF(COUNTA(A628:E628)=0,"",IF(OR(D628&lt;=0,E628&lt;0),"ERRO: bases inválidas",IF(E628&gt;D628,"ERRO: presenças acima do previsto",IF(COUNTIFS($A$5:$A$1200,A628,$B$5:$B$1200,B628,$C$5:$C$1200,C628)&gt;1,"ERRO: chave duplicada",IF(COUNTIFS(DISCIPLINAS!$A$5:$A$101,B628,DISCIPLINAS!$B$5:$B$101,C628)=0,"ERRO: disciplina não pertence ao curso","OK")))))</f>
        <v/>
      </c>
    </row>
    <row r="629" ht="15" customHeight="1" s="131">
      <c r="A629" s="220" t="n"/>
      <c r="B629" s="222" t="n"/>
      <c r="C629" s="222" t="n"/>
      <c r="D629" s="220" t="n"/>
      <c r="E629" s="220" t="n"/>
      <c r="F629" s="181">
        <f>IFERROR(E629/D629,"")</f>
        <v/>
      </c>
      <c r="G629" s="219" t="n"/>
      <c r="H629" s="220" t="n"/>
      <c r="I629" s="221">
        <f>IF(COUNTA(A629:E629)=0,"",IF(OR(D629&lt;=0,E629&lt;0),"ERRO: bases inválidas",IF(E629&gt;D629,"ERRO: presenças acima do previsto",IF(COUNTIFS($A$5:$A$1200,A629,$B$5:$B$1200,B629,$C$5:$C$1200,C629)&gt;1,"ERRO: chave duplicada",IF(COUNTIFS(DISCIPLINAS!$A$5:$A$101,B629,DISCIPLINAS!$B$5:$B$101,C629)=0,"ERRO: disciplina não pertence ao curso","OK")))))</f>
        <v/>
      </c>
    </row>
    <row r="630" ht="15" customHeight="1" s="131">
      <c r="A630" s="220" t="n"/>
      <c r="B630" s="222" t="n"/>
      <c r="C630" s="222" t="n"/>
      <c r="D630" s="220" t="n"/>
      <c r="E630" s="220" t="n"/>
      <c r="F630" s="181">
        <f>IFERROR(E630/D630,"")</f>
        <v/>
      </c>
      <c r="G630" s="219" t="n"/>
      <c r="H630" s="220" t="n"/>
      <c r="I630" s="221">
        <f>IF(COUNTA(A630:E630)=0,"",IF(OR(D630&lt;=0,E630&lt;0),"ERRO: bases inválidas",IF(E630&gt;D630,"ERRO: presenças acima do previsto",IF(COUNTIFS($A$5:$A$1200,A630,$B$5:$B$1200,B630,$C$5:$C$1200,C630)&gt;1,"ERRO: chave duplicada",IF(COUNTIFS(DISCIPLINAS!$A$5:$A$101,B630,DISCIPLINAS!$B$5:$B$101,C630)=0,"ERRO: disciplina não pertence ao curso","OK")))))</f>
        <v/>
      </c>
    </row>
    <row r="631" ht="15" customHeight="1" s="131">
      <c r="A631" s="220" t="n"/>
      <c r="B631" s="222" t="n"/>
      <c r="C631" s="222" t="n"/>
      <c r="D631" s="220" t="n"/>
      <c r="E631" s="220" t="n"/>
      <c r="F631" s="181">
        <f>IFERROR(E631/D631,"")</f>
        <v/>
      </c>
      <c r="G631" s="219" t="n"/>
      <c r="H631" s="220" t="n"/>
      <c r="I631" s="221">
        <f>IF(COUNTA(A631:E631)=0,"",IF(OR(D631&lt;=0,E631&lt;0),"ERRO: bases inválidas",IF(E631&gt;D631,"ERRO: presenças acima do previsto",IF(COUNTIFS($A$5:$A$1200,A631,$B$5:$B$1200,B631,$C$5:$C$1200,C631)&gt;1,"ERRO: chave duplicada",IF(COUNTIFS(DISCIPLINAS!$A$5:$A$101,B631,DISCIPLINAS!$B$5:$B$101,C631)=0,"ERRO: disciplina não pertence ao curso","OK")))))</f>
        <v/>
      </c>
    </row>
    <row r="632" ht="15" customHeight="1" s="131">
      <c r="A632" s="220" t="n"/>
      <c r="B632" s="222" t="n"/>
      <c r="C632" s="222" t="n"/>
      <c r="D632" s="220" t="n"/>
      <c r="E632" s="220" t="n"/>
      <c r="F632" s="181">
        <f>IFERROR(E632/D632,"")</f>
        <v/>
      </c>
      <c r="G632" s="219" t="n"/>
      <c r="H632" s="220" t="n"/>
      <c r="I632" s="221">
        <f>IF(COUNTA(A632:E632)=0,"",IF(OR(D632&lt;=0,E632&lt;0),"ERRO: bases inválidas",IF(E632&gt;D632,"ERRO: presenças acima do previsto",IF(COUNTIFS($A$5:$A$1200,A632,$B$5:$B$1200,B632,$C$5:$C$1200,C632)&gt;1,"ERRO: chave duplicada",IF(COUNTIFS(DISCIPLINAS!$A$5:$A$101,B632,DISCIPLINAS!$B$5:$B$101,C632)=0,"ERRO: disciplina não pertence ao curso","OK")))))</f>
        <v/>
      </c>
    </row>
    <row r="633" ht="15" customHeight="1" s="131">
      <c r="A633" s="220" t="n"/>
      <c r="B633" s="222" t="n"/>
      <c r="C633" s="222" t="n"/>
      <c r="D633" s="220" t="n"/>
      <c r="E633" s="220" t="n"/>
      <c r="F633" s="181">
        <f>IFERROR(E633/D633,"")</f>
        <v/>
      </c>
      <c r="G633" s="219" t="n"/>
      <c r="H633" s="220" t="n"/>
      <c r="I633" s="221">
        <f>IF(COUNTA(A633:E633)=0,"",IF(OR(D633&lt;=0,E633&lt;0),"ERRO: bases inválidas",IF(E633&gt;D633,"ERRO: presenças acima do previsto",IF(COUNTIFS($A$5:$A$1200,A633,$B$5:$B$1200,B633,$C$5:$C$1200,C633)&gt;1,"ERRO: chave duplicada",IF(COUNTIFS(DISCIPLINAS!$A$5:$A$101,B633,DISCIPLINAS!$B$5:$B$101,C633)=0,"ERRO: disciplina não pertence ao curso","OK")))))</f>
        <v/>
      </c>
    </row>
    <row r="634" ht="15" customHeight="1" s="131">
      <c r="A634" s="220" t="n"/>
      <c r="B634" s="222" t="n"/>
      <c r="C634" s="222" t="n"/>
      <c r="D634" s="220" t="n"/>
      <c r="E634" s="220" t="n"/>
      <c r="F634" s="181">
        <f>IFERROR(E634/D634,"")</f>
        <v/>
      </c>
      <c r="G634" s="219" t="n"/>
      <c r="H634" s="220" t="n"/>
      <c r="I634" s="221">
        <f>IF(COUNTA(A634:E634)=0,"",IF(OR(D634&lt;=0,E634&lt;0),"ERRO: bases inválidas",IF(E634&gt;D634,"ERRO: presenças acima do previsto",IF(COUNTIFS($A$5:$A$1200,A634,$B$5:$B$1200,B634,$C$5:$C$1200,C634)&gt;1,"ERRO: chave duplicada",IF(COUNTIFS(DISCIPLINAS!$A$5:$A$101,B634,DISCIPLINAS!$B$5:$B$101,C634)=0,"ERRO: disciplina não pertence ao curso","OK")))))</f>
        <v/>
      </c>
    </row>
    <row r="635" ht="15" customHeight="1" s="131">
      <c r="A635" s="220" t="n"/>
      <c r="B635" s="222" t="n"/>
      <c r="C635" s="222" t="n"/>
      <c r="D635" s="220" t="n"/>
      <c r="E635" s="220" t="n"/>
      <c r="F635" s="181">
        <f>IFERROR(E635/D635,"")</f>
        <v/>
      </c>
      <c r="G635" s="219" t="n"/>
      <c r="H635" s="220" t="n"/>
      <c r="I635" s="221">
        <f>IF(COUNTA(A635:E635)=0,"",IF(OR(D635&lt;=0,E635&lt;0),"ERRO: bases inválidas",IF(E635&gt;D635,"ERRO: presenças acima do previsto",IF(COUNTIFS($A$5:$A$1200,A635,$B$5:$B$1200,B635,$C$5:$C$1200,C635)&gt;1,"ERRO: chave duplicada",IF(COUNTIFS(DISCIPLINAS!$A$5:$A$101,B635,DISCIPLINAS!$B$5:$B$101,C635)=0,"ERRO: disciplina não pertence ao curso","OK")))))</f>
        <v/>
      </c>
    </row>
    <row r="636" ht="15" customHeight="1" s="131">
      <c r="A636" s="220" t="n"/>
      <c r="B636" s="222" t="n"/>
      <c r="C636" s="222" t="n"/>
      <c r="D636" s="220" t="n"/>
      <c r="E636" s="220" t="n"/>
      <c r="F636" s="181">
        <f>IFERROR(E636/D636,"")</f>
        <v/>
      </c>
      <c r="G636" s="219" t="n"/>
      <c r="H636" s="220" t="n"/>
      <c r="I636" s="221">
        <f>IF(COUNTA(A636:E636)=0,"",IF(OR(D636&lt;=0,E636&lt;0),"ERRO: bases inválidas",IF(E636&gt;D636,"ERRO: presenças acima do previsto",IF(COUNTIFS($A$5:$A$1200,A636,$B$5:$B$1200,B636,$C$5:$C$1200,C636)&gt;1,"ERRO: chave duplicada",IF(COUNTIFS(DISCIPLINAS!$A$5:$A$101,B636,DISCIPLINAS!$B$5:$B$101,C636)=0,"ERRO: disciplina não pertence ao curso","OK")))))</f>
        <v/>
      </c>
    </row>
    <row r="637" ht="15" customHeight="1" s="131">
      <c r="A637" s="220" t="n"/>
      <c r="B637" s="222" t="n"/>
      <c r="C637" s="222" t="n"/>
      <c r="D637" s="220" t="n"/>
      <c r="E637" s="220" t="n"/>
      <c r="F637" s="181">
        <f>IFERROR(E637/D637,"")</f>
        <v/>
      </c>
      <c r="G637" s="219" t="n"/>
      <c r="H637" s="220" t="n"/>
      <c r="I637" s="221">
        <f>IF(COUNTA(A637:E637)=0,"",IF(OR(D637&lt;=0,E637&lt;0),"ERRO: bases inválidas",IF(E637&gt;D637,"ERRO: presenças acima do previsto",IF(COUNTIFS($A$5:$A$1200,A637,$B$5:$B$1200,B637,$C$5:$C$1200,C637)&gt;1,"ERRO: chave duplicada",IF(COUNTIFS(DISCIPLINAS!$A$5:$A$101,B637,DISCIPLINAS!$B$5:$B$101,C637)=0,"ERRO: disciplina não pertence ao curso","OK")))))</f>
        <v/>
      </c>
    </row>
    <row r="638" ht="15" customHeight="1" s="131">
      <c r="A638" s="220" t="n"/>
      <c r="B638" s="222" t="n"/>
      <c r="C638" s="222" t="n"/>
      <c r="D638" s="220" t="n"/>
      <c r="E638" s="220" t="n"/>
      <c r="F638" s="181">
        <f>IFERROR(E638/D638,"")</f>
        <v/>
      </c>
      <c r="G638" s="219" t="n"/>
      <c r="H638" s="220" t="n"/>
      <c r="I638" s="221">
        <f>IF(COUNTA(A638:E638)=0,"",IF(OR(D638&lt;=0,E638&lt;0),"ERRO: bases inválidas",IF(E638&gt;D638,"ERRO: presenças acima do previsto",IF(COUNTIFS($A$5:$A$1200,A638,$B$5:$B$1200,B638,$C$5:$C$1200,C638)&gt;1,"ERRO: chave duplicada",IF(COUNTIFS(DISCIPLINAS!$A$5:$A$101,B638,DISCIPLINAS!$B$5:$B$101,C638)=0,"ERRO: disciplina não pertence ao curso","OK")))))</f>
        <v/>
      </c>
    </row>
    <row r="639" ht="15" customHeight="1" s="131">
      <c r="A639" s="220" t="n"/>
      <c r="B639" s="222" t="n"/>
      <c r="C639" s="222" t="n"/>
      <c r="D639" s="220" t="n"/>
      <c r="E639" s="220" t="n"/>
      <c r="F639" s="181">
        <f>IFERROR(E639/D639,"")</f>
        <v/>
      </c>
      <c r="G639" s="219" t="n"/>
      <c r="H639" s="220" t="n"/>
      <c r="I639" s="221">
        <f>IF(COUNTA(A639:E639)=0,"",IF(OR(D639&lt;=0,E639&lt;0),"ERRO: bases inválidas",IF(E639&gt;D639,"ERRO: presenças acima do previsto",IF(COUNTIFS($A$5:$A$1200,A639,$B$5:$B$1200,B639,$C$5:$C$1200,C639)&gt;1,"ERRO: chave duplicada",IF(COUNTIFS(DISCIPLINAS!$A$5:$A$101,B639,DISCIPLINAS!$B$5:$B$101,C639)=0,"ERRO: disciplina não pertence ao curso","OK")))))</f>
        <v/>
      </c>
    </row>
    <row r="640" ht="15" customHeight="1" s="131">
      <c r="A640" s="220" t="n"/>
      <c r="B640" s="222" t="n"/>
      <c r="C640" s="222" t="n"/>
      <c r="D640" s="220" t="n"/>
      <c r="E640" s="220" t="n"/>
      <c r="F640" s="181">
        <f>IFERROR(E640/D640,"")</f>
        <v/>
      </c>
      <c r="G640" s="219" t="n"/>
      <c r="H640" s="220" t="n"/>
      <c r="I640" s="221">
        <f>IF(COUNTA(A640:E640)=0,"",IF(OR(D640&lt;=0,E640&lt;0),"ERRO: bases inválidas",IF(E640&gt;D640,"ERRO: presenças acima do previsto",IF(COUNTIFS($A$5:$A$1200,A640,$B$5:$B$1200,B640,$C$5:$C$1200,C640)&gt;1,"ERRO: chave duplicada",IF(COUNTIFS(DISCIPLINAS!$A$5:$A$101,B640,DISCIPLINAS!$B$5:$B$101,C640)=0,"ERRO: disciplina não pertence ao curso","OK")))))</f>
        <v/>
      </c>
    </row>
    <row r="641" ht="15" customHeight="1" s="131">
      <c r="A641" s="220" t="n"/>
      <c r="B641" s="222" t="n"/>
      <c r="C641" s="222" t="n"/>
      <c r="D641" s="220" t="n"/>
      <c r="E641" s="220" t="n"/>
      <c r="F641" s="181">
        <f>IFERROR(E641/D641,"")</f>
        <v/>
      </c>
      <c r="G641" s="219" t="n"/>
      <c r="H641" s="220" t="n"/>
      <c r="I641" s="221">
        <f>IF(COUNTA(A641:E641)=0,"",IF(OR(D641&lt;=0,E641&lt;0),"ERRO: bases inválidas",IF(E641&gt;D641,"ERRO: presenças acima do previsto",IF(COUNTIFS($A$5:$A$1200,A641,$B$5:$B$1200,B641,$C$5:$C$1200,C641)&gt;1,"ERRO: chave duplicada",IF(COUNTIFS(DISCIPLINAS!$A$5:$A$101,B641,DISCIPLINAS!$B$5:$B$101,C641)=0,"ERRO: disciplina não pertence ao curso","OK")))))</f>
        <v/>
      </c>
    </row>
    <row r="642" ht="15" customHeight="1" s="131">
      <c r="A642" s="220" t="n"/>
      <c r="B642" s="222" t="n"/>
      <c r="C642" s="222" t="n"/>
      <c r="D642" s="220" t="n"/>
      <c r="E642" s="220" t="n"/>
      <c r="F642" s="181">
        <f>IFERROR(E642/D642,"")</f>
        <v/>
      </c>
      <c r="G642" s="219" t="n"/>
      <c r="H642" s="220" t="n"/>
      <c r="I642" s="221">
        <f>IF(COUNTA(A642:E642)=0,"",IF(OR(D642&lt;=0,E642&lt;0),"ERRO: bases inválidas",IF(E642&gt;D642,"ERRO: presenças acima do previsto",IF(COUNTIFS($A$5:$A$1200,A642,$B$5:$B$1200,B642,$C$5:$C$1200,C642)&gt;1,"ERRO: chave duplicada",IF(COUNTIFS(DISCIPLINAS!$A$5:$A$101,B642,DISCIPLINAS!$B$5:$B$101,C642)=0,"ERRO: disciplina não pertence ao curso","OK")))))</f>
        <v/>
      </c>
    </row>
    <row r="643" ht="15" customHeight="1" s="131">
      <c r="A643" s="220" t="n"/>
      <c r="B643" s="222" t="n"/>
      <c r="C643" s="222" t="n"/>
      <c r="D643" s="220" t="n"/>
      <c r="E643" s="220" t="n"/>
      <c r="F643" s="181">
        <f>IFERROR(E643/D643,"")</f>
        <v/>
      </c>
      <c r="G643" s="219" t="n"/>
      <c r="H643" s="220" t="n"/>
      <c r="I643" s="221">
        <f>IF(COUNTA(A643:E643)=0,"",IF(OR(D643&lt;=0,E643&lt;0),"ERRO: bases inválidas",IF(E643&gt;D643,"ERRO: presenças acima do previsto",IF(COUNTIFS($A$5:$A$1200,A643,$B$5:$B$1200,B643,$C$5:$C$1200,C643)&gt;1,"ERRO: chave duplicada",IF(COUNTIFS(DISCIPLINAS!$A$5:$A$101,B643,DISCIPLINAS!$B$5:$B$101,C643)=0,"ERRO: disciplina não pertence ao curso","OK")))))</f>
        <v/>
      </c>
    </row>
    <row r="644" ht="15" customHeight="1" s="131">
      <c r="A644" s="220" t="n"/>
      <c r="B644" s="222" t="n"/>
      <c r="C644" s="222" t="n"/>
      <c r="D644" s="220" t="n"/>
      <c r="E644" s="220" t="n"/>
      <c r="F644" s="181">
        <f>IFERROR(E644/D644,"")</f>
        <v/>
      </c>
      <c r="G644" s="219" t="n"/>
      <c r="H644" s="220" t="n"/>
      <c r="I644" s="221">
        <f>IF(COUNTA(A644:E644)=0,"",IF(OR(D644&lt;=0,E644&lt;0),"ERRO: bases inválidas",IF(E644&gt;D644,"ERRO: presenças acima do previsto",IF(COUNTIFS($A$5:$A$1200,A644,$B$5:$B$1200,B644,$C$5:$C$1200,C644)&gt;1,"ERRO: chave duplicada",IF(COUNTIFS(DISCIPLINAS!$A$5:$A$101,B644,DISCIPLINAS!$B$5:$B$101,C644)=0,"ERRO: disciplina não pertence ao curso","OK")))))</f>
        <v/>
      </c>
    </row>
    <row r="645" ht="15" customHeight="1" s="131">
      <c r="A645" s="220" t="n"/>
      <c r="B645" s="222" t="n"/>
      <c r="C645" s="222" t="n"/>
      <c r="D645" s="220" t="n"/>
      <c r="E645" s="220" t="n"/>
      <c r="F645" s="181">
        <f>IFERROR(E645/D645,"")</f>
        <v/>
      </c>
      <c r="G645" s="219" t="n"/>
      <c r="H645" s="220" t="n"/>
      <c r="I645" s="221">
        <f>IF(COUNTA(A645:E645)=0,"",IF(OR(D645&lt;=0,E645&lt;0),"ERRO: bases inválidas",IF(E645&gt;D645,"ERRO: presenças acima do previsto",IF(COUNTIFS($A$5:$A$1200,A645,$B$5:$B$1200,B645,$C$5:$C$1200,C645)&gt;1,"ERRO: chave duplicada",IF(COUNTIFS(DISCIPLINAS!$A$5:$A$101,B645,DISCIPLINAS!$B$5:$B$101,C645)=0,"ERRO: disciplina não pertence ao curso","OK")))))</f>
        <v/>
      </c>
    </row>
    <row r="646" ht="15" customHeight="1" s="131">
      <c r="A646" s="220" t="n"/>
      <c r="B646" s="222" t="n"/>
      <c r="C646" s="222" t="n"/>
      <c r="D646" s="220" t="n"/>
      <c r="E646" s="220" t="n"/>
      <c r="F646" s="181">
        <f>IFERROR(E646/D646,"")</f>
        <v/>
      </c>
      <c r="G646" s="219" t="n"/>
      <c r="H646" s="220" t="n"/>
      <c r="I646" s="221">
        <f>IF(COUNTA(A646:E646)=0,"",IF(OR(D646&lt;=0,E646&lt;0),"ERRO: bases inválidas",IF(E646&gt;D646,"ERRO: presenças acima do previsto",IF(COUNTIFS($A$5:$A$1200,A646,$B$5:$B$1200,B646,$C$5:$C$1200,C646)&gt;1,"ERRO: chave duplicada",IF(COUNTIFS(DISCIPLINAS!$A$5:$A$101,B646,DISCIPLINAS!$B$5:$B$101,C646)=0,"ERRO: disciplina não pertence ao curso","OK")))))</f>
        <v/>
      </c>
    </row>
    <row r="647" ht="15" customHeight="1" s="131">
      <c r="A647" s="220" t="n"/>
      <c r="B647" s="222" t="n"/>
      <c r="C647" s="222" t="n"/>
      <c r="D647" s="220" t="n"/>
      <c r="E647" s="220" t="n"/>
      <c r="F647" s="181">
        <f>IFERROR(E647/D647,"")</f>
        <v/>
      </c>
      <c r="G647" s="219" t="n"/>
      <c r="H647" s="220" t="n"/>
      <c r="I647" s="221">
        <f>IF(COUNTA(A647:E647)=0,"",IF(OR(D647&lt;=0,E647&lt;0),"ERRO: bases inválidas",IF(E647&gt;D647,"ERRO: presenças acima do previsto",IF(COUNTIFS($A$5:$A$1200,A647,$B$5:$B$1200,B647,$C$5:$C$1200,C647)&gt;1,"ERRO: chave duplicada",IF(COUNTIFS(DISCIPLINAS!$A$5:$A$101,B647,DISCIPLINAS!$B$5:$B$101,C647)=0,"ERRO: disciplina não pertence ao curso","OK")))))</f>
        <v/>
      </c>
    </row>
    <row r="648" ht="15" customHeight="1" s="131">
      <c r="A648" s="220" t="n"/>
      <c r="B648" s="222" t="n"/>
      <c r="C648" s="222" t="n"/>
      <c r="D648" s="220" t="n"/>
      <c r="E648" s="220" t="n"/>
      <c r="F648" s="181">
        <f>IFERROR(E648/D648,"")</f>
        <v/>
      </c>
      <c r="G648" s="219" t="n"/>
      <c r="H648" s="220" t="n"/>
      <c r="I648" s="221">
        <f>IF(COUNTA(A648:E648)=0,"",IF(OR(D648&lt;=0,E648&lt;0),"ERRO: bases inválidas",IF(E648&gt;D648,"ERRO: presenças acima do previsto",IF(COUNTIFS($A$5:$A$1200,A648,$B$5:$B$1200,B648,$C$5:$C$1200,C648)&gt;1,"ERRO: chave duplicada",IF(COUNTIFS(DISCIPLINAS!$A$5:$A$101,B648,DISCIPLINAS!$B$5:$B$101,C648)=0,"ERRO: disciplina não pertence ao curso","OK")))))</f>
        <v/>
      </c>
    </row>
    <row r="649" ht="15" customHeight="1" s="131">
      <c r="A649" s="220" t="n"/>
      <c r="B649" s="222" t="n"/>
      <c r="C649" s="222" t="n"/>
      <c r="D649" s="220" t="n"/>
      <c r="E649" s="220" t="n"/>
      <c r="F649" s="181">
        <f>IFERROR(E649/D649,"")</f>
        <v/>
      </c>
      <c r="G649" s="219" t="n"/>
      <c r="H649" s="220" t="n"/>
      <c r="I649" s="221">
        <f>IF(COUNTA(A649:E649)=0,"",IF(OR(D649&lt;=0,E649&lt;0),"ERRO: bases inválidas",IF(E649&gt;D649,"ERRO: presenças acima do previsto",IF(COUNTIFS($A$5:$A$1200,A649,$B$5:$B$1200,B649,$C$5:$C$1200,C649)&gt;1,"ERRO: chave duplicada",IF(COUNTIFS(DISCIPLINAS!$A$5:$A$101,B649,DISCIPLINAS!$B$5:$B$101,C649)=0,"ERRO: disciplina não pertence ao curso","OK")))))</f>
        <v/>
      </c>
    </row>
    <row r="650" ht="15" customHeight="1" s="131">
      <c r="A650" s="220" t="n"/>
      <c r="B650" s="222" t="n"/>
      <c r="C650" s="222" t="n"/>
      <c r="D650" s="220" t="n"/>
      <c r="E650" s="220" t="n"/>
      <c r="F650" s="181">
        <f>IFERROR(E650/D650,"")</f>
        <v/>
      </c>
      <c r="G650" s="219" t="n"/>
      <c r="H650" s="220" t="n"/>
      <c r="I650" s="221">
        <f>IF(COUNTA(A650:E650)=0,"",IF(OR(D650&lt;=0,E650&lt;0),"ERRO: bases inválidas",IF(E650&gt;D650,"ERRO: presenças acima do previsto",IF(COUNTIFS($A$5:$A$1200,A650,$B$5:$B$1200,B650,$C$5:$C$1200,C650)&gt;1,"ERRO: chave duplicada",IF(COUNTIFS(DISCIPLINAS!$A$5:$A$101,B650,DISCIPLINAS!$B$5:$B$101,C650)=0,"ERRO: disciplina não pertence ao curso","OK")))))</f>
        <v/>
      </c>
    </row>
    <row r="651" ht="15" customHeight="1" s="131">
      <c r="A651" s="220" t="n"/>
      <c r="B651" s="222" t="n"/>
      <c r="C651" s="222" t="n"/>
      <c r="D651" s="220" t="n"/>
      <c r="E651" s="220" t="n"/>
      <c r="F651" s="181">
        <f>IFERROR(E651/D651,"")</f>
        <v/>
      </c>
      <c r="G651" s="219" t="n"/>
      <c r="H651" s="220" t="n"/>
      <c r="I651" s="221">
        <f>IF(COUNTA(A651:E651)=0,"",IF(OR(D651&lt;=0,E651&lt;0),"ERRO: bases inválidas",IF(E651&gt;D651,"ERRO: presenças acima do previsto",IF(COUNTIFS($A$5:$A$1200,A651,$B$5:$B$1200,B651,$C$5:$C$1200,C651)&gt;1,"ERRO: chave duplicada",IF(COUNTIFS(DISCIPLINAS!$A$5:$A$101,B651,DISCIPLINAS!$B$5:$B$101,C651)=0,"ERRO: disciplina não pertence ao curso","OK")))))</f>
        <v/>
      </c>
    </row>
    <row r="652" ht="15" customHeight="1" s="131">
      <c r="A652" s="220" t="n"/>
      <c r="B652" s="222" t="n"/>
      <c r="C652" s="222" t="n"/>
      <c r="D652" s="220" t="n"/>
      <c r="E652" s="220" t="n"/>
      <c r="F652" s="181">
        <f>IFERROR(E652/D652,"")</f>
        <v/>
      </c>
      <c r="G652" s="219" t="n"/>
      <c r="H652" s="220" t="n"/>
      <c r="I652" s="221">
        <f>IF(COUNTA(A652:E652)=0,"",IF(OR(D652&lt;=0,E652&lt;0),"ERRO: bases inválidas",IF(E652&gt;D652,"ERRO: presenças acima do previsto",IF(COUNTIFS($A$5:$A$1200,A652,$B$5:$B$1200,B652,$C$5:$C$1200,C652)&gt;1,"ERRO: chave duplicada",IF(COUNTIFS(DISCIPLINAS!$A$5:$A$101,B652,DISCIPLINAS!$B$5:$B$101,C652)=0,"ERRO: disciplina não pertence ao curso","OK")))))</f>
        <v/>
      </c>
    </row>
    <row r="653" ht="15" customHeight="1" s="131">
      <c r="A653" s="220" t="n"/>
      <c r="B653" s="222" t="n"/>
      <c r="C653" s="222" t="n"/>
      <c r="D653" s="220" t="n"/>
      <c r="E653" s="220" t="n"/>
      <c r="F653" s="181">
        <f>IFERROR(E653/D653,"")</f>
        <v/>
      </c>
      <c r="G653" s="219" t="n"/>
      <c r="H653" s="220" t="n"/>
      <c r="I653" s="221">
        <f>IF(COUNTA(A653:E653)=0,"",IF(OR(D653&lt;=0,E653&lt;0),"ERRO: bases inválidas",IF(E653&gt;D653,"ERRO: presenças acima do previsto",IF(COUNTIFS($A$5:$A$1200,A653,$B$5:$B$1200,B653,$C$5:$C$1200,C653)&gt;1,"ERRO: chave duplicada",IF(COUNTIFS(DISCIPLINAS!$A$5:$A$101,B653,DISCIPLINAS!$B$5:$B$101,C653)=0,"ERRO: disciplina não pertence ao curso","OK")))))</f>
        <v/>
      </c>
    </row>
    <row r="654" ht="15" customHeight="1" s="131">
      <c r="A654" s="220" t="n"/>
      <c r="B654" s="222" t="n"/>
      <c r="C654" s="222" t="n"/>
      <c r="D654" s="220" t="n"/>
      <c r="E654" s="220" t="n"/>
      <c r="F654" s="181">
        <f>IFERROR(E654/D654,"")</f>
        <v/>
      </c>
      <c r="G654" s="219" t="n"/>
      <c r="H654" s="220" t="n"/>
      <c r="I654" s="221">
        <f>IF(COUNTA(A654:E654)=0,"",IF(OR(D654&lt;=0,E654&lt;0),"ERRO: bases inválidas",IF(E654&gt;D654,"ERRO: presenças acima do previsto",IF(COUNTIFS($A$5:$A$1200,A654,$B$5:$B$1200,B654,$C$5:$C$1200,C654)&gt;1,"ERRO: chave duplicada",IF(COUNTIFS(DISCIPLINAS!$A$5:$A$101,B654,DISCIPLINAS!$B$5:$B$101,C654)=0,"ERRO: disciplina não pertence ao curso","OK")))))</f>
        <v/>
      </c>
    </row>
    <row r="655" ht="15" customHeight="1" s="131">
      <c r="A655" s="220" t="n"/>
      <c r="B655" s="222" t="n"/>
      <c r="C655" s="222" t="n"/>
      <c r="D655" s="220" t="n"/>
      <c r="E655" s="220" t="n"/>
      <c r="F655" s="181">
        <f>IFERROR(E655/D655,"")</f>
        <v/>
      </c>
      <c r="G655" s="219" t="n"/>
      <c r="H655" s="220" t="n"/>
      <c r="I655" s="221">
        <f>IF(COUNTA(A655:E655)=0,"",IF(OR(D655&lt;=0,E655&lt;0),"ERRO: bases inválidas",IF(E655&gt;D655,"ERRO: presenças acima do previsto",IF(COUNTIFS($A$5:$A$1200,A655,$B$5:$B$1200,B655,$C$5:$C$1200,C655)&gt;1,"ERRO: chave duplicada",IF(COUNTIFS(DISCIPLINAS!$A$5:$A$101,B655,DISCIPLINAS!$B$5:$B$101,C655)=0,"ERRO: disciplina não pertence ao curso","OK")))))</f>
        <v/>
      </c>
    </row>
    <row r="656" ht="15" customHeight="1" s="131">
      <c r="A656" s="220" t="n"/>
      <c r="B656" s="222" t="n"/>
      <c r="C656" s="222" t="n"/>
      <c r="D656" s="220" t="n"/>
      <c r="E656" s="220" t="n"/>
      <c r="F656" s="181">
        <f>IFERROR(E656/D656,"")</f>
        <v/>
      </c>
      <c r="G656" s="219" t="n"/>
      <c r="H656" s="220" t="n"/>
      <c r="I656" s="221">
        <f>IF(COUNTA(A656:E656)=0,"",IF(OR(D656&lt;=0,E656&lt;0),"ERRO: bases inválidas",IF(E656&gt;D656,"ERRO: presenças acima do previsto",IF(COUNTIFS($A$5:$A$1200,A656,$B$5:$B$1200,B656,$C$5:$C$1200,C656)&gt;1,"ERRO: chave duplicada",IF(COUNTIFS(DISCIPLINAS!$A$5:$A$101,B656,DISCIPLINAS!$B$5:$B$101,C656)=0,"ERRO: disciplina não pertence ao curso","OK")))))</f>
        <v/>
      </c>
    </row>
    <row r="657" ht="15" customHeight="1" s="131">
      <c r="A657" s="220" t="n"/>
      <c r="B657" s="222" t="n"/>
      <c r="C657" s="222" t="n"/>
      <c r="D657" s="220" t="n"/>
      <c r="E657" s="220" t="n"/>
      <c r="F657" s="181">
        <f>IFERROR(E657/D657,"")</f>
        <v/>
      </c>
      <c r="G657" s="219" t="n"/>
      <c r="H657" s="220" t="n"/>
      <c r="I657" s="221">
        <f>IF(COUNTA(A657:E657)=0,"",IF(OR(D657&lt;=0,E657&lt;0),"ERRO: bases inválidas",IF(E657&gt;D657,"ERRO: presenças acima do previsto",IF(COUNTIFS($A$5:$A$1200,A657,$B$5:$B$1200,B657,$C$5:$C$1200,C657)&gt;1,"ERRO: chave duplicada",IF(COUNTIFS(DISCIPLINAS!$A$5:$A$101,B657,DISCIPLINAS!$B$5:$B$101,C657)=0,"ERRO: disciplina não pertence ao curso","OK")))))</f>
        <v/>
      </c>
    </row>
    <row r="658" ht="15" customHeight="1" s="131">
      <c r="A658" s="220" t="n"/>
      <c r="B658" s="222" t="n"/>
      <c r="C658" s="222" t="n"/>
      <c r="D658" s="220" t="n"/>
      <c r="E658" s="220" t="n"/>
      <c r="F658" s="181">
        <f>IFERROR(E658/D658,"")</f>
        <v/>
      </c>
      <c r="G658" s="219" t="n"/>
      <c r="H658" s="220" t="n"/>
      <c r="I658" s="221">
        <f>IF(COUNTA(A658:E658)=0,"",IF(OR(D658&lt;=0,E658&lt;0),"ERRO: bases inválidas",IF(E658&gt;D658,"ERRO: presenças acima do previsto",IF(COUNTIFS($A$5:$A$1200,A658,$B$5:$B$1200,B658,$C$5:$C$1200,C658)&gt;1,"ERRO: chave duplicada",IF(COUNTIFS(DISCIPLINAS!$A$5:$A$101,B658,DISCIPLINAS!$B$5:$B$101,C658)=0,"ERRO: disciplina não pertence ao curso","OK")))))</f>
        <v/>
      </c>
    </row>
    <row r="659" ht="15" customHeight="1" s="131">
      <c r="A659" s="220" t="n"/>
      <c r="B659" s="222" t="n"/>
      <c r="C659" s="222" t="n"/>
      <c r="D659" s="220" t="n"/>
      <c r="E659" s="220" t="n"/>
      <c r="F659" s="181">
        <f>IFERROR(E659/D659,"")</f>
        <v/>
      </c>
      <c r="G659" s="219" t="n"/>
      <c r="H659" s="220" t="n"/>
      <c r="I659" s="221">
        <f>IF(COUNTA(A659:E659)=0,"",IF(OR(D659&lt;=0,E659&lt;0),"ERRO: bases inválidas",IF(E659&gt;D659,"ERRO: presenças acima do previsto",IF(COUNTIFS($A$5:$A$1200,A659,$B$5:$B$1200,B659,$C$5:$C$1200,C659)&gt;1,"ERRO: chave duplicada",IF(COUNTIFS(DISCIPLINAS!$A$5:$A$101,B659,DISCIPLINAS!$B$5:$B$101,C659)=0,"ERRO: disciplina não pertence ao curso","OK")))))</f>
        <v/>
      </c>
    </row>
    <row r="660" ht="15" customHeight="1" s="131">
      <c r="A660" s="220" t="n"/>
      <c r="B660" s="222" t="n"/>
      <c r="C660" s="222" t="n"/>
      <c r="D660" s="220" t="n"/>
      <c r="E660" s="220" t="n"/>
      <c r="F660" s="181">
        <f>IFERROR(E660/D660,"")</f>
        <v/>
      </c>
      <c r="G660" s="219" t="n"/>
      <c r="H660" s="220" t="n"/>
      <c r="I660" s="221">
        <f>IF(COUNTA(A660:E660)=0,"",IF(OR(D660&lt;=0,E660&lt;0),"ERRO: bases inválidas",IF(E660&gt;D660,"ERRO: presenças acima do previsto",IF(COUNTIFS($A$5:$A$1200,A660,$B$5:$B$1200,B660,$C$5:$C$1200,C660)&gt;1,"ERRO: chave duplicada",IF(COUNTIFS(DISCIPLINAS!$A$5:$A$101,B660,DISCIPLINAS!$B$5:$B$101,C660)=0,"ERRO: disciplina não pertence ao curso","OK")))))</f>
        <v/>
      </c>
    </row>
    <row r="661" ht="15" customHeight="1" s="131">
      <c r="A661" s="220" t="n"/>
      <c r="B661" s="222" t="n"/>
      <c r="C661" s="222" t="n"/>
      <c r="D661" s="220" t="n"/>
      <c r="E661" s="220" t="n"/>
      <c r="F661" s="181">
        <f>IFERROR(E661/D661,"")</f>
        <v/>
      </c>
      <c r="G661" s="219" t="n"/>
      <c r="H661" s="220" t="n"/>
      <c r="I661" s="221">
        <f>IF(COUNTA(A661:E661)=0,"",IF(OR(D661&lt;=0,E661&lt;0),"ERRO: bases inválidas",IF(E661&gt;D661,"ERRO: presenças acima do previsto",IF(COUNTIFS($A$5:$A$1200,A661,$B$5:$B$1200,B661,$C$5:$C$1200,C661)&gt;1,"ERRO: chave duplicada",IF(COUNTIFS(DISCIPLINAS!$A$5:$A$101,B661,DISCIPLINAS!$B$5:$B$101,C661)=0,"ERRO: disciplina não pertence ao curso","OK")))))</f>
        <v/>
      </c>
    </row>
    <row r="662" ht="15" customHeight="1" s="131">
      <c r="A662" s="220" t="n"/>
      <c r="B662" s="222" t="n"/>
      <c r="C662" s="222" t="n"/>
      <c r="D662" s="220" t="n"/>
      <c r="E662" s="220" t="n"/>
      <c r="F662" s="181">
        <f>IFERROR(E662/D662,"")</f>
        <v/>
      </c>
      <c r="G662" s="219" t="n"/>
      <c r="H662" s="220" t="n"/>
      <c r="I662" s="221">
        <f>IF(COUNTA(A662:E662)=0,"",IF(OR(D662&lt;=0,E662&lt;0),"ERRO: bases inválidas",IF(E662&gt;D662,"ERRO: presenças acima do previsto",IF(COUNTIFS($A$5:$A$1200,A662,$B$5:$B$1200,B662,$C$5:$C$1200,C662)&gt;1,"ERRO: chave duplicada",IF(COUNTIFS(DISCIPLINAS!$A$5:$A$101,B662,DISCIPLINAS!$B$5:$B$101,C662)=0,"ERRO: disciplina não pertence ao curso","OK")))))</f>
        <v/>
      </c>
    </row>
    <row r="663" ht="15" customHeight="1" s="131">
      <c r="A663" s="220" t="n"/>
      <c r="B663" s="222" t="n"/>
      <c r="C663" s="222" t="n"/>
      <c r="D663" s="220" t="n"/>
      <c r="E663" s="220" t="n"/>
      <c r="F663" s="181">
        <f>IFERROR(E663/D663,"")</f>
        <v/>
      </c>
      <c r="G663" s="219" t="n"/>
      <c r="H663" s="220" t="n"/>
      <c r="I663" s="221">
        <f>IF(COUNTA(A663:E663)=0,"",IF(OR(D663&lt;=0,E663&lt;0),"ERRO: bases inválidas",IF(E663&gt;D663,"ERRO: presenças acima do previsto",IF(COUNTIFS($A$5:$A$1200,A663,$B$5:$B$1200,B663,$C$5:$C$1200,C663)&gt;1,"ERRO: chave duplicada",IF(COUNTIFS(DISCIPLINAS!$A$5:$A$101,B663,DISCIPLINAS!$B$5:$B$101,C663)=0,"ERRO: disciplina não pertence ao curso","OK")))))</f>
        <v/>
      </c>
    </row>
    <row r="664" ht="15" customHeight="1" s="131">
      <c r="A664" s="220" t="n"/>
      <c r="B664" s="222" t="n"/>
      <c r="C664" s="222" t="n"/>
      <c r="D664" s="220" t="n"/>
      <c r="E664" s="220" t="n"/>
      <c r="F664" s="181">
        <f>IFERROR(E664/D664,"")</f>
        <v/>
      </c>
      <c r="G664" s="219" t="n"/>
      <c r="H664" s="220" t="n"/>
      <c r="I664" s="221">
        <f>IF(COUNTA(A664:E664)=0,"",IF(OR(D664&lt;=0,E664&lt;0),"ERRO: bases inválidas",IF(E664&gt;D664,"ERRO: presenças acima do previsto",IF(COUNTIFS($A$5:$A$1200,A664,$B$5:$B$1200,B664,$C$5:$C$1200,C664)&gt;1,"ERRO: chave duplicada",IF(COUNTIFS(DISCIPLINAS!$A$5:$A$101,B664,DISCIPLINAS!$B$5:$B$101,C664)=0,"ERRO: disciplina não pertence ao curso","OK")))))</f>
        <v/>
      </c>
    </row>
    <row r="665" ht="15" customHeight="1" s="131">
      <c r="A665" s="220" t="n"/>
      <c r="B665" s="222" t="n"/>
      <c r="C665" s="222" t="n"/>
      <c r="D665" s="220" t="n"/>
      <c r="E665" s="220" t="n"/>
      <c r="F665" s="181">
        <f>IFERROR(E665/D665,"")</f>
        <v/>
      </c>
      <c r="G665" s="219" t="n"/>
      <c r="H665" s="220" t="n"/>
      <c r="I665" s="221">
        <f>IF(COUNTA(A665:E665)=0,"",IF(OR(D665&lt;=0,E665&lt;0),"ERRO: bases inválidas",IF(E665&gt;D665,"ERRO: presenças acima do previsto",IF(COUNTIFS($A$5:$A$1200,A665,$B$5:$B$1200,B665,$C$5:$C$1200,C665)&gt;1,"ERRO: chave duplicada",IF(COUNTIFS(DISCIPLINAS!$A$5:$A$101,B665,DISCIPLINAS!$B$5:$B$101,C665)=0,"ERRO: disciplina não pertence ao curso","OK")))))</f>
        <v/>
      </c>
    </row>
    <row r="666" ht="15" customHeight="1" s="131">
      <c r="A666" s="220" t="n"/>
      <c r="B666" s="222" t="n"/>
      <c r="C666" s="222" t="n"/>
      <c r="D666" s="220" t="n"/>
      <c r="E666" s="220" t="n"/>
      <c r="F666" s="181">
        <f>IFERROR(E666/D666,"")</f>
        <v/>
      </c>
      <c r="G666" s="219" t="n"/>
      <c r="H666" s="220" t="n"/>
      <c r="I666" s="221">
        <f>IF(COUNTA(A666:E666)=0,"",IF(OR(D666&lt;=0,E666&lt;0),"ERRO: bases inválidas",IF(E666&gt;D666,"ERRO: presenças acima do previsto",IF(COUNTIFS($A$5:$A$1200,A666,$B$5:$B$1200,B666,$C$5:$C$1200,C666)&gt;1,"ERRO: chave duplicada",IF(COUNTIFS(DISCIPLINAS!$A$5:$A$101,B666,DISCIPLINAS!$B$5:$B$101,C666)=0,"ERRO: disciplina não pertence ao curso","OK")))))</f>
        <v/>
      </c>
    </row>
    <row r="667" ht="15" customHeight="1" s="131">
      <c r="A667" s="220" t="n"/>
      <c r="B667" s="222" t="n"/>
      <c r="C667" s="222" t="n"/>
      <c r="D667" s="220" t="n"/>
      <c r="E667" s="220" t="n"/>
      <c r="F667" s="181">
        <f>IFERROR(E667/D667,"")</f>
        <v/>
      </c>
      <c r="G667" s="219" t="n"/>
      <c r="H667" s="220" t="n"/>
      <c r="I667" s="221">
        <f>IF(COUNTA(A667:E667)=0,"",IF(OR(D667&lt;=0,E667&lt;0),"ERRO: bases inválidas",IF(E667&gt;D667,"ERRO: presenças acima do previsto",IF(COUNTIFS($A$5:$A$1200,A667,$B$5:$B$1200,B667,$C$5:$C$1200,C667)&gt;1,"ERRO: chave duplicada",IF(COUNTIFS(DISCIPLINAS!$A$5:$A$101,B667,DISCIPLINAS!$B$5:$B$101,C667)=0,"ERRO: disciplina não pertence ao curso","OK")))))</f>
        <v/>
      </c>
    </row>
    <row r="668" ht="15" customHeight="1" s="131">
      <c r="A668" s="220" t="n"/>
      <c r="B668" s="222" t="n"/>
      <c r="C668" s="222" t="n"/>
      <c r="D668" s="220" t="n"/>
      <c r="E668" s="220" t="n"/>
      <c r="F668" s="181">
        <f>IFERROR(E668/D668,"")</f>
        <v/>
      </c>
      <c r="G668" s="219" t="n"/>
      <c r="H668" s="220" t="n"/>
      <c r="I668" s="221">
        <f>IF(COUNTA(A668:E668)=0,"",IF(OR(D668&lt;=0,E668&lt;0),"ERRO: bases inválidas",IF(E668&gt;D668,"ERRO: presenças acima do previsto",IF(COUNTIFS($A$5:$A$1200,A668,$B$5:$B$1200,B668,$C$5:$C$1200,C668)&gt;1,"ERRO: chave duplicada",IF(COUNTIFS(DISCIPLINAS!$A$5:$A$101,B668,DISCIPLINAS!$B$5:$B$101,C668)=0,"ERRO: disciplina não pertence ao curso","OK")))))</f>
        <v/>
      </c>
    </row>
    <row r="669" ht="15" customHeight="1" s="131">
      <c r="A669" s="220" t="n"/>
      <c r="B669" s="222" t="n"/>
      <c r="C669" s="222" t="n"/>
      <c r="D669" s="220" t="n"/>
      <c r="E669" s="220" t="n"/>
      <c r="F669" s="181">
        <f>IFERROR(E669/D669,"")</f>
        <v/>
      </c>
      <c r="G669" s="219" t="n"/>
      <c r="H669" s="220" t="n"/>
      <c r="I669" s="221">
        <f>IF(COUNTA(A669:E669)=0,"",IF(OR(D669&lt;=0,E669&lt;0),"ERRO: bases inválidas",IF(E669&gt;D669,"ERRO: presenças acima do previsto",IF(COUNTIFS($A$5:$A$1200,A669,$B$5:$B$1200,B669,$C$5:$C$1200,C669)&gt;1,"ERRO: chave duplicada",IF(COUNTIFS(DISCIPLINAS!$A$5:$A$101,B669,DISCIPLINAS!$B$5:$B$101,C669)=0,"ERRO: disciplina não pertence ao curso","OK")))))</f>
        <v/>
      </c>
    </row>
    <row r="670" ht="15" customHeight="1" s="131">
      <c r="A670" s="220" t="n"/>
      <c r="B670" s="222" t="n"/>
      <c r="C670" s="222" t="n"/>
      <c r="D670" s="220" t="n"/>
      <c r="E670" s="220" t="n"/>
      <c r="F670" s="181">
        <f>IFERROR(E670/D670,"")</f>
        <v/>
      </c>
      <c r="G670" s="219" t="n"/>
      <c r="H670" s="220" t="n"/>
      <c r="I670" s="221">
        <f>IF(COUNTA(A670:E670)=0,"",IF(OR(D670&lt;=0,E670&lt;0),"ERRO: bases inválidas",IF(E670&gt;D670,"ERRO: presenças acima do previsto",IF(COUNTIFS($A$5:$A$1200,A670,$B$5:$B$1200,B670,$C$5:$C$1200,C670)&gt;1,"ERRO: chave duplicada",IF(COUNTIFS(DISCIPLINAS!$A$5:$A$101,B670,DISCIPLINAS!$B$5:$B$101,C670)=0,"ERRO: disciplina não pertence ao curso","OK")))))</f>
        <v/>
      </c>
    </row>
    <row r="671" ht="15" customHeight="1" s="131">
      <c r="A671" s="220" t="n"/>
      <c r="B671" s="222" t="n"/>
      <c r="C671" s="222" t="n"/>
      <c r="D671" s="220" t="n"/>
      <c r="E671" s="220" t="n"/>
      <c r="F671" s="181">
        <f>IFERROR(E671/D671,"")</f>
        <v/>
      </c>
      <c r="G671" s="219" t="n"/>
      <c r="H671" s="220" t="n"/>
      <c r="I671" s="221">
        <f>IF(COUNTA(A671:E671)=0,"",IF(OR(D671&lt;=0,E671&lt;0),"ERRO: bases inválidas",IF(E671&gt;D671,"ERRO: presenças acima do previsto",IF(COUNTIFS($A$5:$A$1200,A671,$B$5:$B$1200,B671,$C$5:$C$1200,C671)&gt;1,"ERRO: chave duplicada",IF(COUNTIFS(DISCIPLINAS!$A$5:$A$101,B671,DISCIPLINAS!$B$5:$B$101,C671)=0,"ERRO: disciplina não pertence ao curso","OK")))))</f>
        <v/>
      </c>
    </row>
    <row r="672" ht="15" customHeight="1" s="131">
      <c r="A672" s="220" t="n"/>
      <c r="B672" s="222" t="n"/>
      <c r="C672" s="222" t="n"/>
      <c r="D672" s="220" t="n"/>
      <c r="E672" s="220" t="n"/>
      <c r="F672" s="181">
        <f>IFERROR(E672/D672,"")</f>
        <v/>
      </c>
      <c r="G672" s="219" t="n"/>
      <c r="H672" s="220" t="n"/>
      <c r="I672" s="221">
        <f>IF(COUNTA(A672:E672)=0,"",IF(OR(D672&lt;=0,E672&lt;0),"ERRO: bases inválidas",IF(E672&gt;D672,"ERRO: presenças acima do previsto",IF(COUNTIFS($A$5:$A$1200,A672,$B$5:$B$1200,B672,$C$5:$C$1200,C672)&gt;1,"ERRO: chave duplicada",IF(COUNTIFS(DISCIPLINAS!$A$5:$A$101,B672,DISCIPLINAS!$B$5:$B$101,C672)=0,"ERRO: disciplina não pertence ao curso","OK")))))</f>
        <v/>
      </c>
    </row>
    <row r="673" ht="15" customHeight="1" s="131">
      <c r="A673" s="220" t="n"/>
      <c r="B673" s="222" t="n"/>
      <c r="C673" s="222" t="n"/>
      <c r="D673" s="220" t="n"/>
      <c r="E673" s="220" t="n"/>
      <c r="F673" s="181">
        <f>IFERROR(E673/D673,"")</f>
        <v/>
      </c>
      <c r="G673" s="219" t="n"/>
      <c r="H673" s="220" t="n"/>
      <c r="I673" s="221">
        <f>IF(COUNTA(A673:E673)=0,"",IF(OR(D673&lt;=0,E673&lt;0),"ERRO: bases inválidas",IF(E673&gt;D673,"ERRO: presenças acima do previsto",IF(COUNTIFS($A$5:$A$1200,A673,$B$5:$B$1200,B673,$C$5:$C$1200,C673)&gt;1,"ERRO: chave duplicada",IF(COUNTIFS(DISCIPLINAS!$A$5:$A$101,B673,DISCIPLINAS!$B$5:$B$101,C673)=0,"ERRO: disciplina não pertence ao curso","OK")))))</f>
        <v/>
      </c>
    </row>
    <row r="674" ht="15" customHeight="1" s="131">
      <c r="A674" s="220" t="n"/>
      <c r="B674" s="222" t="n"/>
      <c r="C674" s="222" t="n"/>
      <c r="D674" s="220" t="n"/>
      <c r="E674" s="220" t="n"/>
      <c r="F674" s="181">
        <f>IFERROR(E674/D674,"")</f>
        <v/>
      </c>
      <c r="G674" s="219" t="n"/>
      <c r="H674" s="220" t="n"/>
      <c r="I674" s="221">
        <f>IF(COUNTA(A674:E674)=0,"",IF(OR(D674&lt;=0,E674&lt;0),"ERRO: bases inválidas",IF(E674&gt;D674,"ERRO: presenças acima do previsto",IF(COUNTIFS($A$5:$A$1200,A674,$B$5:$B$1200,B674,$C$5:$C$1200,C674)&gt;1,"ERRO: chave duplicada",IF(COUNTIFS(DISCIPLINAS!$A$5:$A$101,B674,DISCIPLINAS!$B$5:$B$101,C674)=0,"ERRO: disciplina não pertence ao curso","OK")))))</f>
        <v/>
      </c>
    </row>
    <row r="675" ht="15" customHeight="1" s="131">
      <c r="A675" s="220" t="n"/>
      <c r="B675" s="222" t="n"/>
      <c r="C675" s="222" t="n"/>
      <c r="D675" s="220" t="n"/>
      <c r="E675" s="220" t="n"/>
      <c r="F675" s="181">
        <f>IFERROR(E675/D675,"")</f>
        <v/>
      </c>
      <c r="G675" s="219" t="n"/>
      <c r="H675" s="220" t="n"/>
      <c r="I675" s="221">
        <f>IF(COUNTA(A675:E675)=0,"",IF(OR(D675&lt;=0,E675&lt;0),"ERRO: bases inválidas",IF(E675&gt;D675,"ERRO: presenças acima do previsto",IF(COUNTIFS($A$5:$A$1200,A675,$B$5:$B$1200,B675,$C$5:$C$1200,C675)&gt;1,"ERRO: chave duplicada",IF(COUNTIFS(DISCIPLINAS!$A$5:$A$101,B675,DISCIPLINAS!$B$5:$B$101,C675)=0,"ERRO: disciplina não pertence ao curso","OK")))))</f>
        <v/>
      </c>
    </row>
    <row r="676" ht="15" customHeight="1" s="131">
      <c r="A676" s="220" t="n"/>
      <c r="B676" s="222" t="n"/>
      <c r="C676" s="222" t="n"/>
      <c r="D676" s="220" t="n"/>
      <c r="E676" s="220" t="n"/>
      <c r="F676" s="181">
        <f>IFERROR(E676/D676,"")</f>
        <v/>
      </c>
      <c r="G676" s="219" t="n"/>
      <c r="H676" s="220" t="n"/>
      <c r="I676" s="221">
        <f>IF(COUNTA(A676:E676)=0,"",IF(OR(D676&lt;=0,E676&lt;0),"ERRO: bases inválidas",IF(E676&gt;D676,"ERRO: presenças acima do previsto",IF(COUNTIFS($A$5:$A$1200,A676,$B$5:$B$1200,B676,$C$5:$C$1200,C676)&gt;1,"ERRO: chave duplicada",IF(COUNTIFS(DISCIPLINAS!$A$5:$A$101,B676,DISCIPLINAS!$B$5:$B$101,C676)=0,"ERRO: disciplina não pertence ao curso","OK")))))</f>
        <v/>
      </c>
    </row>
    <row r="677" ht="15" customHeight="1" s="131">
      <c r="A677" s="220" t="n"/>
      <c r="B677" s="222" t="n"/>
      <c r="C677" s="222" t="n"/>
      <c r="D677" s="220" t="n"/>
      <c r="E677" s="220" t="n"/>
      <c r="F677" s="181">
        <f>IFERROR(E677/D677,"")</f>
        <v/>
      </c>
      <c r="G677" s="219" t="n"/>
      <c r="H677" s="220" t="n"/>
      <c r="I677" s="221">
        <f>IF(COUNTA(A677:E677)=0,"",IF(OR(D677&lt;=0,E677&lt;0),"ERRO: bases inválidas",IF(E677&gt;D677,"ERRO: presenças acima do previsto",IF(COUNTIFS($A$5:$A$1200,A677,$B$5:$B$1200,B677,$C$5:$C$1200,C677)&gt;1,"ERRO: chave duplicada",IF(COUNTIFS(DISCIPLINAS!$A$5:$A$101,B677,DISCIPLINAS!$B$5:$B$101,C677)=0,"ERRO: disciplina não pertence ao curso","OK")))))</f>
        <v/>
      </c>
    </row>
    <row r="678" ht="15" customHeight="1" s="131">
      <c r="A678" s="220" t="n"/>
      <c r="B678" s="222" t="n"/>
      <c r="C678" s="222" t="n"/>
      <c r="D678" s="220" t="n"/>
      <c r="E678" s="220" t="n"/>
      <c r="F678" s="181">
        <f>IFERROR(E678/D678,"")</f>
        <v/>
      </c>
      <c r="G678" s="219" t="n"/>
      <c r="H678" s="220" t="n"/>
      <c r="I678" s="221">
        <f>IF(COUNTA(A678:E678)=0,"",IF(OR(D678&lt;=0,E678&lt;0),"ERRO: bases inválidas",IF(E678&gt;D678,"ERRO: presenças acima do previsto",IF(COUNTIFS($A$5:$A$1200,A678,$B$5:$B$1200,B678,$C$5:$C$1200,C678)&gt;1,"ERRO: chave duplicada",IF(COUNTIFS(DISCIPLINAS!$A$5:$A$101,B678,DISCIPLINAS!$B$5:$B$101,C678)=0,"ERRO: disciplina não pertence ao curso","OK")))))</f>
        <v/>
      </c>
    </row>
    <row r="679" ht="15" customHeight="1" s="131">
      <c r="A679" s="220" t="n"/>
      <c r="B679" s="222" t="n"/>
      <c r="C679" s="222" t="n"/>
      <c r="D679" s="220" t="n"/>
      <c r="E679" s="220" t="n"/>
      <c r="F679" s="181">
        <f>IFERROR(E679/D679,"")</f>
        <v/>
      </c>
      <c r="G679" s="219" t="n"/>
      <c r="H679" s="220" t="n"/>
      <c r="I679" s="221">
        <f>IF(COUNTA(A679:E679)=0,"",IF(OR(D679&lt;=0,E679&lt;0),"ERRO: bases inválidas",IF(E679&gt;D679,"ERRO: presenças acima do previsto",IF(COUNTIFS($A$5:$A$1200,A679,$B$5:$B$1200,B679,$C$5:$C$1200,C679)&gt;1,"ERRO: chave duplicada",IF(COUNTIFS(DISCIPLINAS!$A$5:$A$101,B679,DISCIPLINAS!$B$5:$B$101,C679)=0,"ERRO: disciplina não pertence ao curso","OK")))))</f>
        <v/>
      </c>
    </row>
    <row r="680" ht="15" customHeight="1" s="131">
      <c r="A680" s="220" t="n"/>
      <c r="B680" s="222" t="n"/>
      <c r="C680" s="222" t="n"/>
      <c r="D680" s="220" t="n"/>
      <c r="E680" s="220" t="n"/>
      <c r="F680" s="181">
        <f>IFERROR(E680/D680,"")</f>
        <v/>
      </c>
      <c r="G680" s="219" t="n"/>
      <c r="H680" s="220" t="n"/>
      <c r="I680" s="221">
        <f>IF(COUNTA(A680:E680)=0,"",IF(OR(D680&lt;=0,E680&lt;0),"ERRO: bases inválidas",IF(E680&gt;D680,"ERRO: presenças acima do previsto",IF(COUNTIFS($A$5:$A$1200,A680,$B$5:$B$1200,B680,$C$5:$C$1200,C680)&gt;1,"ERRO: chave duplicada",IF(COUNTIFS(DISCIPLINAS!$A$5:$A$101,B680,DISCIPLINAS!$B$5:$B$101,C680)=0,"ERRO: disciplina não pertence ao curso","OK")))))</f>
        <v/>
      </c>
    </row>
    <row r="681" ht="15" customHeight="1" s="131">
      <c r="A681" s="220" t="n"/>
      <c r="B681" s="222" t="n"/>
      <c r="C681" s="222" t="n"/>
      <c r="D681" s="220" t="n"/>
      <c r="E681" s="220" t="n"/>
      <c r="F681" s="181">
        <f>IFERROR(E681/D681,"")</f>
        <v/>
      </c>
      <c r="G681" s="219" t="n"/>
      <c r="H681" s="220" t="n"/>
      <c r="I681" s="221">
        <f>IF(COUNTA(A681:E681)=0,"",IF(OR(D681&lt;=0,E681&lt;0),"ERRO: bases inválidas",IF(E681&gt;D681,"ERRO: presenças acima do previsto",IF(COUNTIFS($A$5:$A$1200,A681,$B$5:$B$1200,B681,$C$5:$C$1200,C681)&gt;1,"ERRO: chave duplicada",IF(COUNTIFS(DISCIPLINAS!$A$5:$A$101,B681,DISCIPLINAS!$B$5:$B$101,C681)=0,"ERRO: disciplina não pertence ao curso","OK")))))</f>
        <v/>
      </c>
    </row>
    <row r="682" ht="15" customHeight="1" s="131">
      <c r="A682" s="220" t="n"/>
      <c r="B682" s="222" t="n"/>
      <c r="C682" s="222" t="n"/>
      <c r="D682" s="220" t="n"/>
      <c r="E682" s="220" t="n"/>
      <c r="F682" s="181">
        <f>IFERROR(E682/D682,"")</f>
        <v/>
      </c>
      <c r="G682" s="219" t="n"/>
      <c r="H682" s="220" t="n"/>
      <c r="I682" s="221">
        <f>IF(COUNTA(A682:E682)=0,"",IF(OR(D682&lt;=0,E682&lt;0),"ERRO: bases inválidas",IF(E682&gt;D682,"ERRO: presenças acima do previsto",IF(COUNTIFS($A$5:$A$1200,A682,$B$5:$B$1200,B682,$C$5:$C$1200,C682)&gt;1,"ERRO: chave duplicada",IF(COUNTIFS(DISCIPLINAS!$A$5:$A$101,B682,DISCIPLINAS!$B$5:$B$101,C682)=0,"ERRO: disciplina não pertence ao curso","OK")))))</f>
        <v/>
      </c>
    </row>
    <row r="683" ht="15" customHeight="1" s="131">
      <c r="A683" s="220" t="n"/>
      <c r="B683" s="222" t="n"/>
      <c r="C683" s="222" t="n"/>
      <c r="D683" s="220" t="n"/>
      <c r="E683" s="220" t="n"/>
      <c r="F683" s="181">
        <f>IFERROR(E683/D683,"")</f>
        <v/>
      </c>
      <c r="G683" s="219" t="n"/>
      <c r="H683" s="220" t="n"/>
      <c r="I683" s="221">
        <f>IF(COUNTA(A683:E683)=0,"",IF(OR(D683&lt;=0,E683&lt;0),"ERRO: bases inválidas",IF(E683&gt;D683,"ERRO: presenças acima do previsto",IF(COUNTIFS($A$5:$A$1200,A683,$B$5:$B$1200,B683,$C$5:$C$1200,C683)&gt;1,"ERRO: chave duplicada",IF(COUNTIFS(DISCIPLINAS!$A$5:$A$101,B683,DISCIPLINAS!$B$5:$B$101,C683)=0,"ERRO: disciplina não pertence ao curso","OK")))))</f>
        <v/>
      </c>
    </row>
    <row r="684" ht="15" customHeight="1" s="131">
      <c r="A684" s="220" t="n"/>
      <c r="B684" s="222" t="n"/>
      <c r="C684" s="222" t="n"/>
      <c r="D684" s="220" t="n"/>
      <c r="E684" s="220" t="n"/>
      <c r="F684" s="181">
        <f>IFERROR(E684/D684,"")</f>
        <v/>
      </c>
      <c r="G684" s="219" t="n"/>
      <c r="H684" s="220" t="n"/>
      <c r="I684" s="221">
        <f>IF(COUNTA(A684:E684)=0,"",IF(OR(D684&lt;=0,E684&lt;0),"ERRO: bases inválidas",IF(E684&gt;D684,"ERRO: presenças acima do previsto",IF(COUNTIFS($A$5:$A$1200,A684,$B$5:$B$1200,B684,$C$5:$C$1200,C684)&gt;1,"ERRO: chave duplicada",IF(COUNTIFS(DISCIPLINAS!$A$5:$A$101,B684,DISCIPLINAS!$B$5:$B$101,C684)=0,"ERRO: disciplina não pertence ao curso","OK")))))</f>
        <v/>
      </c>
    </row>
    <row r="685" ht="15" customHeight="1" s="131">
      <c r="A685" s="220" t="n"/>
      <c r="B685" s="222" t="n"/>
      <c r="C685" s="222" t="n"/>
      <c r="D685" s="220" t="n"/>
      <c r="E685" s="220" t="n"/>
      <c r="F685" s="181">
        <f>IFERROR(E685/D685,"")</f>
        <v/>
      </c>
      <c r="G685" s="219" t="n"/>
      <c r="H685" s="220" t="n"/>
      <c r="I685" s="221">
        <f>IF(COUNTA(A685:E685)=0,"",IF(OR(D685&lt;=0,E685&lt;0),"ERRO: bases inválidas",IF(E685&gt;D685,"ERRO: presenças acima do previsto",IF(COUNTIFS($A$5:$A$1200,A685,$B$5:$B$1200,B685,$C$5:$C$1200,C685)&gt;1,"ERRO: chave duplicada",IF(COUNTIFS(DISCIPLINAS!$A$5:$A$101,B685,DISCIPLINAS!$B$5:$B$101,C685)=0,"ERRO: disciplina não pertence ao curso","OK")))))</f>
        <v/>
      </c>
    </row>
    <row r="686" ht="15" customHeight="1" s="131">
      <c r="A686" s="220" t="n"/>
      <c r="B686" s="222" t="n"/>
      <c r="C686" s="222" t="n"/>
      <c r="D686" s="220" t="n"/>
      <c r="E686" s="220" t="n"/>
      <c r="F686" s="181">
        <f>IFERROR(E686/D686,"")</f>
        <v/>
      </c>
      <c r="G686" s="219" t="n"/>
      <c r="H686" s="220" t="n"/>
      <c r="I686" s="221">
        <f>IF(COUNTA(A686:E686)=0,"",IF(OR(D686&lt;=0,E686&lt;0),"ERRO: bases inválidas",IF(E686&gt;D686,"ERRO: presenças acima do previsto",IF(COUNTIFS($A$5:$A$1200,A686,$B$5:$B$1200,B686,$C$5:$C$1200,C686)&gt;1,"ERRO: chave duplicada",IF(COUNTIFS(DISCIPLINAS!$A$5:$A$101,B686,DISCIPLINAS!$B$5:$B$101,C686)=0,"ERRO: disciplina não pertence ao curso","OK")))))</f>
        <v/>
      </c>
    </row>
    <row r="687" ht="15" customHeight="1" s="131">
      <c r="A687" s="220" t="n"/>
      <c r="B687" s="222" t="n"/>
      <c r="C687" s="222" t="n"/>
      <c r="D687" s="220" t="n"/>
      <c r="E687" s="220" t="n"/>
      <c r="F687" s="181">
        <f>IFERROR(E687/D687,"")</f>
        <v/>
      </c>
      <c r="G687" s="219" t="n"/>
      <c r="H687" s="220" t="n"/>
      <c r="I687" s="221">
        <f>IF(COUNTA(A687:E687)=0,"",IF(OR(D687&lt;=0,E687&lt;0),"ERRO: bases inválidas",IF(E687&gt;D687,"ERRO: presenças acima do previsto",IF(COUNTIFS($A$5:$A$1200,A687,$B$5:$B$1200,B687,$C$5:$C$1200,C687)&gt;1,"ERRO: chave duplicada",IF(COUNTIFS(DISCIPLINAS!$A$5:$A$101,B687,DISCIPLINAS!$B$5:$B$101,C687)=0,"ERRO: disciplina não pertence ao curso","OK")))))</f>
        <v/>
      </c>
    </row>
    <row r="688" ht="15" customHeight="1" s="131">
      <c r="A688" s="220" t="n"/>
      <c r="B688" s="222" t="n"/>
      <c r="C688" s="222" t="n"/>
      <c r="D688" s="220" t="n"/>
      <c r="E688" s="220" t="n"/>
      <c r="F688" s="181">
        <f>IFERROR(E688/D688,"")</f>
        <v/>
      </c>
      <c r="G688" s="219" t="n"/>
      <c r="H688" s="220" t="n"/>
      <c r="I688" s="221">
        <f>IF(COUNTA(A688:E688)=0,"",IF(OR(D688&lt;=0,E688&lt;0),"ERRO: bases inválidas",IF(E688&gt;D688,"ERRO: presenças acima do previsto",IF(COUNTIFS($A$5:$A$1200,A688,$B$5:$B$1200,B688,$C$5:$C$1200,C688)&gt;1,"ERRO: chave duplicada",IF(COUNTIFS(DISCIPLINAS!$A$5:$A$101,B688,DISCIPLINAS!$B$5:$B$101,C688)=0,"ERRO: disciplina não pertence ao curso","OK")))))</f>
        <v/>
      </c>
    </row>
    <row r="689" ht="15" customHeight="1" s="131">
      <c r="A689" s="220" t="n"/>
      <c r="B689" s="222" t="n"/>
      <c r="C689" s="222" t="n"/>
      <c r="D689" s="220" t="n"/>
      <c r="E689" s="220" t="n"/>
      <c r="F689" s="181">
        <f>IFERROR(E689/D689,"")</f>
        <v/>
      </c>
      <c r="G689" s="219" t="n"/>
      <c r="H689" s="220" t="n"/>
      <c r="I689" s="221">
        <f>IF(COUNTA(A689:E689)=0,"",IF(OR(D689&lt;=0,E689&lt;0),"ERRO: bases inválidas",IF(E689&gt;D689,"ERRO: presenças acima do previsto",IF(COUNTIFS($A$5:$A$1200,A689,$B$5:$B$1200,B689,$C$5:$C$1200,C689)&gt;1,"ERRO: chave duplicada",IF(COUNTIFS(DISCIPLINAS!$A$5:$A$101,B689,DISCIPLINAS!$B$5:$B$101,C689)=0,"ERRO: disciplina não pertence ao curso","OK")))))</f>
        <v/>
      </c>
    </row>
    <row r="690" ht="15" customHeight="1" s="131">
      <c r="A690" s="220" t="n"/>
      <c r="B690" s="222" t="n"/>
      <c r="C690" s="222" t="n"/>
      <c r="D690" s="220" t="n"/>
      <c r="E690" s="220" t="n"/>
      <c r="F690" s="181">
        <f>IFERROR(E690/D690,"")</f>
        <v/>
      </c>
      <c r="G690" s="219" t="n"/>
      <c r="H690" s="220" t="n"/>
      <c r="I690" s="221">
        <f>IF(COUNTA(A690:E690)=0,"",IF(OR(D690&lt;=0,E690&lt;0),"ERRO: bases inválidas",IF(E690&gt;D690,"ERRO: presenças acima do previsto",IF(COUNTIFS($A$5:$A$1200,A690,$B$5:$B$1200,B690,$C$5:$C$1200,C690)&gt;1,"ERRO: chave duplicada",IF(COUNTIFS(DISCIPLINAS!$A$5:$A$101,B690,DISCIPLINAS!$B$5:$B$101,C690)=0,"ERRO: disciplina não pertence ao curso","OK")))))</f>
        <v/>
      </c>
    </row>
    <row r="691" ht="15" customHeight="1" s="131">
      <c r="A691" s="220" t="n"/>
      <c r="B691" s="222" t="n"/>
      <c r="C691" s="222" t="n"/>
      <c r="D691" s="220" t="n"/>
      <c r="E691" s="220" t="n"/>
      <c r="F691" s="181">
        <f>IFERROR(E691/D691,"")</f>
        <v/>
      </c>
      <c r="G691" s="219" t="n"/>
      <c r="H691" s="220" t="n"/>
      <c r="I691" s="221">
        <f>IF(COUNTA(A691:E691)=0,"",IF(OR(D691&lt;=0,E691&lt;0),"ERRO: bases inválidas",IF(E691&gt;D691,"ERRO: presenças acima do previsto",IF(COUNTIFS($A$5:$A$1200,A691,$B$5:$B$1200,B691,$C$5:$C$1200,C691)&gt;1,"ERRO: chave duplicada",IF(COUNTIFS(DISCIPLINAS!$A$5:$A$101,B691,DISCIPLINAS!$B$5:$B$101,C691)=0,"ERRO: disciplina não pertence ao curso","OK")))))</f>
        <v/>
      </c>
    </row>
    <row r="692" ht="15" customHeight="1" s="131">
      <c r="A692" s="220" t="n"/>
      <c r="B692" s="222" t="n"/>
      <c r="C692" s="222" t="n"/>
      <c r="D692" s="220" t="n"/>
      <c r="E692" s="220" t="n"/>
      <c r="F692" s="181">
        <f>IFERROR(E692/D692,"")</f>
        <v/>
      </c>
      <c r="G692" s="219" t="n"/>
      <c r="H692" s="220" t="n"/>
      <c r="I692" s="221">
        <f>IF(COUNTA(A692:E692)=0,"",IF(OR(D692&lt;=0,E692&lt;0),"ERRO: bases inválidas",IF(E692&gt;D692,"ERRO: presenças acima do previsto",IF(COUNTIFS($A$5:$A$1200,A692,$B$5:$B$1200,B692,$C$5:$C$1200,C692)&gt;1,"ERRO: chave duplicada",IF(COUNTIFS(DISCIPLINAS!$A$5:$A$101,B692,DISCIPLINAS!$B$5:$B$101,C692)=0,"ERRO: disciplina não pertence ao curso","OK")))))</f>
        <v/>
      </c>
    </row>
    <row r="693" ht="15" customHeight="1" s="131">
      <c r="A693" s="220" t="n"/>
      <c r="B693" s="222" t="n"/>
      <c r="C693" s="222" t="n"/>
      <c r="D693" s="220" t="n"/>
      <c r="E693" s="220" t="n"/>
      <c r="F693" s="181">
        <f>IFERROR(E693/D693,"")</f>
        <v/>
      </c>
      <c r="G693" s="219" t="n"/>
      <c r="H693" s="220" t="n"/>
      <c r="I693" s="221">
        <f>IF(COUNTA(A693:E693)=0,"",IF(OR(D693&lt;=0,E693&lt;0),"ERRO: bases inválidas",IF(E693&gt;D693,"ERRO: presenças acima do previsto",IF(COUNTIFS($A$5:$A$1200,A693,$B$5:$B$1200,B693,$C$5:$C$1200,C693)&gt;1,"ERRO: chave duplicada",IF(COUNTIFS(DISCIPLINAS!$A$5:$A$101,B693,DISCIPLINAS!$B$5:$B$101,C693)=0,"ERRO: disciplina não pertence ao curso","OK")))))</f>
        <v/>
      </c>
    </row>
    <row r="694" ht="15" customHeight="1" s="131">
      <c r="A694" s="220" t="n"/>
      <c r="B694" s="222" t="n"/>
      <c r="C694" s="222" t="n"/>
      <c r="D694" s="220" t="n"/>
      <c r="E694" s="220" t="n"/>
      <c r="F694" s="181">
        <f>IFERROR(E694/D694,"")</f>
        <v/>
      </c>
      <c r="G694" s="219" t="n"/>
      <c r="H694" s="220" t="n"/>
      <c r="I694" s="221">
        <f>IF(COUNTA(A694:E694)=0,"",IF(OR(D694&lt;=0,E694&lt;0),"ERRO: bases inválidas",IF(E694&gt;D694,"ERRO: presenças acima do previsto",IF(COUNTIFS($A$5:$A$1200,A694,$B$5:$B$1200,B694,$C$5:$C$1200,C694)&gt;1,"ERRO: chave duplicada",IF(COUNTIFS(DISCIPLINAS!$A$5:$A$101,B694,DISCIPLINAS!$B$5:$B$101,C694)=0,"ERRO: disciplina não pertence ao curso","OK")))))</f>
        <v/>
      </c>
    </row>
    <row r="695" ht="15" customHeight="1" s="131">
      <c r="A695" s="220" t="n"/>
      <c r="B695" s="222" t="n"/>
      <c r="C695" s="222" t="n"/>
      <c r="D695" s="220" t="n"/>
      <c r="E695" s="220" t="n"/>
      <c r="F695" s="181">
        <f>IFERROR(E695/D695,"")</f>
        <v/>
      </c>
      <c r="G695" s="219" t="n"/>
      <c r="H695" s="220" t="n"/>
      <c r="I695" s="221">
        <f>IF(COUNTA(A695:E695)=0,"",IF(OR(D695&lt;=0,E695&lt;0),"ERRO: bases inválidas",IF(E695&gt;D695,"ERRO: presenças acima do previsto",IF(COUNTIFS($A$5:$A$1200,A695,$B$5:$B$1200,B695,$C$5:$C$1200,C695)&gt;1,"ERRO: chave duplicada",IF(COUNTIFS(DISCIPLINAS!$A$5:$A$101,B695,DISCIPLINAS!$B$5:$B$101,C695)=0,"ERRO: disciplina não pertence ao curso","OK")))))</f>
        <v/>
      </c>
    </row>
    <row r="696" ht="15" customHeight="1" s="131">
      <c r="A696" s="220" t="n"/>
      <c r="B696" s="222" t="n"/>
      <c r="C696" s="222" t="n"/>
      <c r="D696" s="220" t="n"/>
      <c r="E696" s="220" t="n"/>
      <c r="F696" s="181">
        <f>IFERROR(E696/D696,"")</f>
        <v/>
      </c>
      <c r="G696" s="219" t="n"/>
      <c r="H696" s="220" t="n"/>
      <c r="I696" s="221">
        <f>IF(COUNTA(A696:E696)=0,"",IF(OR(D696&lt;=0,E696&lt;0),"ERRO: bases inválidas",IF(E696&gt;D696,"ERRO: presenças acima do previsto",IF(COUNTIFS($A$5:$A$1200,A696,$B$5:$B$1200,B696,$C$5:$C$1200,C696)&gt;1,"ERRO: chave duplicada",IF(COUNTIFS(DISCIPLINAS!$A$5:$A$101,B696,DISCIPLINAS!$B$5:$B$101,C696)=0,"ERRO: disciplina não pertence ao curso","OK")))))</f>
        <v/>
      </c>
    </row>
    <row r="697" ht="15" customHeight="1" s="131">
      <c r="A697" s="220" t="n"/>
      <c r="B697" s="222" t="n"/>
      <c r="C697" s="222" t="n"/>
      <c r="D697" s="220" t="n"/>
      <c r="E697" s="220" t="n"/>
      <c r="F697" s="181">
        <f>IFERROR(E697/D697,"")</f>
        <v/>
      </c>
      <c r="G697" s="219" t="n"/>
      <c r="H697" s="220" t="n"/>
      <c r="I697" s="221">
        <f>IF(COUNTA(A697:E697)=0,"",IF(OR(D697&lt;=0,E697&lt;0),"ERRO: bases inválidas",IF(E697&gt;D697,"ERRO: presenças acima do previsto",IF(COUNTIFS($A$5:$A$1200,A697,$B$5:$B$1200,B697,$C$5:$C$1200,C697)&gt;1,"ERRO: chave duplicada",IF(COUNTIFS(DISCIPLINAS!$A$5:$A$101,B697,DISCIPLINAS!$B$5:$B$101,C697)=0,"ERRO: disciplina não pertence ao curso","OK")))))</f>
        <v/>
      </c>
    </row>
    <row r="698" ht="15" customHeight="1" s="131">
      <c r="A698" s="220" t="n"/>
      <c r="B698" s="222" t="n"/>
      <c r="C698" s="222" t="n"/>
      <c r="D698" s="220" t="n"/>
      <c r="E698" s="220" t="n"/>
      <c r="F698" s="181">
        <f>IFERROR(E698/D698,"")</f>
        <v/>
      </c>
      <c r="G698" s="219" t="n"/>
      <c r="H698" s="220" t="n"/>
      <c r="I698" s="221">
        <f>IF(COUNTA(A698:E698)=0,"",IF(OR(D698&lt;=0,E698&lt;0),"ERRO: bases inválidas",IF(E698&gt;D698,"ERRO: presenças acima do previsto",IF(COUNTIFS($A$5:$A$1200,A698,$B$5:$B$1200,B698,$C$5:$C$1200,C698)&gt;1,"ERRO: chave duplicada",IF(COUNTIFS(DISCIPLINAS!$A$5:$A$101,B698,DISCIPLINAS!$B$5:$B$101,C698)=0,"ERRO: disciplina não pertence ao curso","OK")))))</f>
        <v/>
      </c>
    </row>
    <row r="699" ht="15" customHeight="1" s="131">
      <c r="A699" s="220" t="n"/>
      <c r="B699" s="222" t="n"/>
      <c r="C699" s="222" t="n"/>
      <c r="D699" s="220" t="n"/>
      <c r="E699" s="220" t="n"/>
      <c r="F699" s="181">
        <f>IFERROR(E699/D699,"")</f>
        <v/>
      </c>
      <c r="G699" s="219" t="n"/>
      <c r="H699" s="220" t="n"/>
      <c r="I699" s="221">
        <f>IF(COUNTA(A699:E699)=0,"",IF(OR(D699&lt;=0,E699&lt;0),"ERRO: bases inválidas",IF(E699&gt;D699,"ERRO: presenças acima do previsto",IF(COUNTIFS($A$5:$A$1200,A699,$B$5:$B$1200,B699,$C$5:$C$1200,C699)&gt;1,"ERRO: chave duplicada",IF(COUNTIFS(DISCIPLINAS!$A$5:$A$101,B699,DISCIPLINAS!$B$5:$B$101,C699)=0,"ERRO: disciplina não pertence ao curso","OK")))))</f>
        <v/>
      </c>
    </row>
    <row r="700" ht="15" customHeight="1" s="131">
      <c r="A700" s="220" t="n"/>
      <c r="B700" s="222" t="n"/>
      <c r="C700" s="222" t="n"/>
      <c r="D700" s="220" t="n"/>
      <c r="E700" s="220" t="n"/>
      <c r="F700" s="181">
        <f>IFERROR(E700/D700,"")</f>
        <v/>
      </c>
      <c r="G700" s="219" t="n"/>
      <c r="H700" s="220" t="n"/>
      <c r="I700" s="221">
        <f>IF(COUNTA(A700:E700)=0,"",IF(OR(D700&lt;=0,E700&lt;0),"ERRO: bases inválidas",IF(E700&gt;D700,"ERRO: presenças acima do previsto",IF(COUNTIFS($A$5:$A$1200,A700,$B$5:$B$1200,B700,$C$5:$C$1200,C700)&gt;1,"ERRO: chave duplicada",IF(COUNTIFS(DISCIPLINAS!$A$5:$A$101,B700,DISCIPLINAS!$B$5:$B$101,C700)=0,"ERRO: disciplina não pertence ao curso","OK")))))</f>
        <v/>
      </c>
    </row>
    <row r="701" ht="15" customHeight="1" s="131">
      <c r="A701" s="220" t="n"/>
      <c r="B701" s="222" t="n"/>
      <c r="C701" s="222" t="n"/>
      <c r="D701" s="220" t="n"/>
      <c r="E701" s="220" t="n"/>
      <c r="F701" s="181">
        <f>IFERROR(E701/D701,"")</f>
        <v/>
      </c>
      <c r="G701" s="219" t="n"/>
      <c r="H701" s="220" t="n"/>
      <c r="I701" s="221">
        <f>IF(COUNTA(A701:E701)=0,"",IF(OR(D701&lt;=0,E701&lt;0),"ERRO: bases inválidas",IF(E701&gt;D701,"ERRO: presenças acima do previsto",IF(COUNTIFS($A$5:$A$1200,A701,$B$5:$B$1200,B701,$C$5:$C$1200,C701)&gt;1,"ERRO: chave duplicada",IF(COUNTIFS(DISCIPLINAS!$A$5:$A$101,B701,DISCIPLINAS!$B$5:$B$101,C701)=0,"ERRO: disciplina não pertence ao curso","OK")))))</f>
        <v/>
      </c>
    </row>
    <row r="702" ht="15" customHeight="1" s="131">
      <c r="A702" s="220" t="n"/>
      <c r="B702" s="222" t="n"/>
      <c r="C702" s="222" t="n"/>
      <c r="D702" s="220" t="n"/>
      <c r="E702" s="220" t="n"/>
      <c r="F702" s="181">
        <f>IFERROR(E702/D702,"")</f>
        <v/>
      </c>
      <c r="G702" s="219" t="n"/>
      <c r="H702" s="220" t="n"/>
      <c r="I702" s="221">
        <f>IF(COUNTA(A702:E702)=0,"",IF(OR(D702&lt;=0,E702&lt;0),"ERRO: bases inválidas",IF(E702&gt;D702,"ERRO: presenças acima do previsto",IF(COUNTIFS($A$5:$A$1200,A702,$B$5:$B$1200,B702,$C$5:$C$1200,C702)&gt;1,"ERRO: chave duplicada",IF(COUNTIFS(DISCIPLINAS!$A$5:$A$101,B702,DISCIPLINAS!$B$5:$B$101,C702)=0,"ERRO: disciplina não pertence ao curso","OK")))))</f>
        <v/>
      </c>
    </row>
    <row r="703" ht="15" customHeight="1" s="131">
      <c r="A703" s="220" t="n"/>
      <c r="B703" s="222" t="n"/>
      <c r="C703" s="222" t="n"/>
      <c r="D703" s="220" t="n"/>
      <c r="E703" s="220" t="n"/>
      <c r="F703" s="181">
        <f>IFERROR(E703/D703,"")</f>
        <v/>
      </c>
      <c r="G703" s="219" t="n"/>
      <c r="H703" s="220" t="n"/>
      <c r="I703" s="221">
        <f>IF(COUNTA(A703:E703)=0,"",IF(OR(D703&lt;=0,E703&lt;0),"ERRO: bases inválidas",IF(E703&gt;D703,"ERRO: presenças acima do previsto",IF(COUNTIFS($A$5:$A$1200,A703,$B$5:$B$1200,B703,$C$5:$C$1200,C703)&gt;1,"ERRO: chave duplicada",IF(COUNTIFS(DISCIPLINAS!$A$5:$A$101,B703,DISCIPLINAS!$B$5:$B$101,C703)=0,"ERRO: disciplina não pertence ao curso","OK")))))</f>
        <v/>
      </c>
    </row>
    <row r="704" ht="15" customHeight="1" s="131">
      <c r="A704" s="220" t="n"/>
      <c r="B704" s="222" t="n"/>
      <c r="C704" s="222" t="n"/>
      <c r="D704" s="220" t="n"/>
      <c r="E704" s="220" t="n"/>
      <c r="F704" s="181">
        <f>IFERROR(E704/D704,"")</f>
        <v/>
      </c>
      <c r="G704" s="219" t="n"/>
      <c r="H704" s="220" t="n"/>
      <c r="I704" s="221">
        <f>IF(COUNTA(A704:E704)=0,"",IF(OR(D704&lt;=0,E704&lt;0),"ERRO: bases inválidas",IF(E704&gt;D704,"ERRO: presenças acima do previsto",IF(COUNTIFS($A$5:$A$1200,A704,$B$5:$B$1200,B704,$C$5:$C$1200,C704)&gt;1,"ERRO: chave duplicada",IF(COUNTIFS(DISCIPLINAS!$A$5:$A$101,B704,DISCIPLINAS!$B$5:$B$101,C704)=0,"ERRO: disciplina não pertence ao curso","OK")))))</f>
        <v/>
      </c>
    </row>
    <row r="705" ht="15" customHeight="1" s="131">
      <c r="A705" s="220" t="n"/>
      <c r="B705" s="222" t="n"/>
      <c r="C705" s="222" t="n"/>
      <c r="D705" s="220" t="n"/>
      <c r="E705" s="220" t="n"/>
      <c r="F705" s="181">
        <f>IFERROR(E705/D705,"")</f>
        <v/>
      </c>
      <c r="G705" s="219" t="n"/>
      <c r="H705" s="220" t="n"/>
      <c r="I705" s="221">
        <f>IF(COUNTA(A705:E705)=0,"",IF(OR(D705&lt;=0,E705&lt;0),"ERRO: bases inválidas",IF(E705&gt;D705,"ERRO: presenças acima do previsto",IF(COUNTIFS($A$5:$A$1200,A705,$B$5:$B$1200,B705,$C$5:$C$1200,C705)&gt;1,"ERRO: chave duplicada",IF(COUNTIFS(DISCIPLINAS!$A$5:$A$101,B705,DISCIPLINAS!$B$5:$B$101,C705)=0,"ERRO: disciplina não pertence ao curso","OK")))))</f>
        <v/>
      </c>
    </row>
    <row r="706" ht="15" customHeight="1" s="131">
      <c r="A706" s="220" t="n"/>
      <c r="B706" s="222" t="n"/>
      <c r="C706" s="222" t="n"/>
      <c r="D706" s="220" t="n"/>
      <c r="E706" s="220" t="n"/>
      <c r="F706" s="181">
        <f>IFERROR(E706/D706,"")</f>
        <v/>
      </c>
      <c r="G706" s="219" t="n"/>
      <c r="H706" s="220" t="n"/>
      <c r="I706" s="221">
        <f>IF(COUNTA(A706:E706)=0,"",IF(OR(D706&lt;=0,E706&lt;0),"ERRO: bases inválidas",IF(E706&gt;D706,"ERRO: presenças acima do previsto",IF(COUNTIFS($A$5:$A$1200,A706,$B$5:$B$1200,B706,$C$5:$C$1200,C706)&gt;1,"ERRO: chave duplicada",IF(COUNTIFS(DISCIPLINAS!$A$5:$A$101,B706,DISCIPLINAS!$B$5:$B$101,C706)=0,"ERRO: disciplina não pertence ao curso","OK")))))</f>
        <v/>
      </c>
    </row>
    <row r="707" ht="15" customHeight="1" s="131">
      <c r="A707" s="220" t="n"/>
      <c r="B707" s="222" t="n"/>
      <c r="C707" s="222" t="n"/>
      <c r="D707" s="220" t="n"/>
      <c r="E707" s="220" t="n"/>
      <c r="F707" s="181">
        <f>IFERROR(E707/D707,"")</f>
        <v/>
      </c>
      <c r="G707" s="219" t="n"/>
      <c r="H707" s="220" t="n"/>
      <c r="I707" s="221">
        <f>IF(COUNTA(A707:E707)=0,"",IF(OR(D707&lt;=0,E707&lt;0),"ERRO: bases inválidas",IF(E707&gt;D707,"ERRO: presenças acima do previsto",IF(COUNTIFS($A$5:$A$1200,A707,$B$5:$B$1200,B707,$C$5:$C$1200,C707)&gt;1,"ERRO: chave duplicada",IF(COUNTIFS(DISCIPLINAS!$A$5:$A$101,B707,DISCIPLINAS!$B$5:$B$101,C707)=0,"ERRO: disciplina não pertence ao curso","OK")))))</f>
        <v/>
      </c>
    </row>
    <row r="708" ht="15" customHeight="1" s="131">
      <c r="A708" s="220" t="n"/>
      <c r="B708" s="222" t="n"/>
      <c r="C708" s="222" t="n"/>
      <c r="D708" s="220" t="n"/>
      <c r="E708" s="220" t="n"/>
      <c r="F708" s="181">
        <f>IFERROR(E708/D708,"")</f>
        <v/>
      </c>
      <c r="G708" s="219" t="n"/>
      <c r="H708" s="220" t="n"/>
      <c r="I708" s="221">
        <f>IF(COUNTA(A708:E708)=0,"",IF(OR(D708&lt;=0,E708&lt;0),"ERRO: bases inválidas",IF(E708&gt;D708,"ERRO: presenças acima do previsto",IF(COUNTIFS($A$5:$A$1200,A708,$B$5:$B$1200,B708,$C$5:$C$1200,C708)&gt;1,"ERRO: chave duplicada",IF(COUNTIFS(DISCIPLINAS!$A$5:$A$101,B708,DISCIPLINAS!$B$5:$B$101,C708)=0,"ERRO: disciplina não pertence ao curso","OK")))))</f>
        <v/>
      </c>
    </row>
    <row r="709" ht="15" customHeight="1" s="131">
      <c r="A709" s="220" t="n"/>
      <c r="B709" s="222" t="n"/>
      <c r="C709" s="222" t="n"/>
      <c r="D709" s="220" t="n"/>
      <c r="E709" s="220" t="n"/>
      <c r="F709" s="181">
        <f>IFERROR(E709/D709,"")</f>
        <v/>
      </c>
      <c r="G709" s="219" t="n"/>
      <c r="H709" s="220" t="n"/>
      <c r="I709" s="221">
        <f>IF(COUNTA(A709:E709)=0,"",IF(OR(D709&lt;=0,E709&lt;0),"ERRO: bases inválidas",IF(E709&gt;D709,"ERRO: presenças acima do previsto",IF(COUNTIFS($A$5:$A$1200,A709,$B$5:$B$1200,B709,$C$5:$C$1200,C709)&gt;1,"ERRO: chave duplicada",IF(COUNTIFS(DISCIPLINAS!$A$5:$A$101,B709,DISCIPLINAS!$B$5:$B$101,C709)=0,"ERRO: disciplina não pertence ao curso","OK")))))</f>
        <v/>
      </c>
    </row>
    <row r="710" ht="15" customHeight="1" s="131">
      <c r="A710" s="220" t="n"/>
      <c r="B710" s="222" t="n"/>
      <c r="C710" s="222" t="n"/>
      <c r="D710" s="220" t="n"/>
      <c r="E710" s="220" t="n"/>
      <c r="F710" s="181">
        <f>IFERROR(E710/D710,"")</f>
        <v/>
      </c>
      <c r="G710" s="219" t="n"/>
      <c r="H710" s="220" t="n"/>
      <c r="I710" s="221">
        <f>IF(COUNTA(A710:E710)=0,"",IF(OR(D710&lt;=0,E710&lt;0),"ERRO: bases inválidas",IF(E710&gt;D710,"ERRO: presenças acima do previsto",IF(COUNTIFS($A$5:$A$1200,A710,$B$5:$B$1200,B710,$C$5:$C$1200,C710)&gt;1,"ERRO: chave duplicada",IF(COUNTIFS(DISCIPLINAS!$A$5:$A$101,B710,DISCIPLINAS!$B$5:$B$101,C710)=0,"ERRO: disciplina não pertence ao curso","OK")))))</f>
        <v/>
      </c>
    </row>
    <row r="711" ht="15" customHeight="1" s="131">
      <c r="A711" s="220" t="n"/>
      <c r="B711" s="222" t="n"/>
      <c r="C711" s="222" t="n"/>
      <c r="D711" s="220" t="n"/>
      <c r="E711" s="220" t="n"/>
      <c r="F711" s="181">
        <f>IFERROR(E711/D711,"")</f>
        <v/>
      </c>
      <c r="G711" s="219" t="n"/>
      <c r="H711" s="220" t="n"/>
      <c r="I711" s="221">
        <f>IF(COUNTA(A711:E711)=0,"",IF(OR(D711&lt;=0,E711&lt;0),"ERRO: bases inválidas",IF(E711&gt;D711,"ERRO: presenças acima do previsto",IF(COUNTIFS($A$5:$A$1200,A711,$B$5:$B$1200,B711,$C$5:$C$1200,C711)&gt;1,"ERRO: chave duplicada",IF(COUNTIFS(DISCIPLINAS!$A$5:$A$101,B711,DISCIPLINAS!$B$5:$B$101,C711)=0,"ERRO: disciplina não pertence ao curso","OK")))))</f>
        <v/>
      </c>
    </row>
    <row r="712" ht="15" customHeight="1" s="131">
      <c r="A712" s="220" t="n"/>
      <c r="B712" s="222" t="n"/>
      <c r="C712" s="222" t="n"/>
      <c r="D712" s="220" t="n"/>
      <c r="E712" s="220" t="n"/>
      <c r="F712" s="181">
        <f>IFERROR(E712/D712,"")</f>
        <v/>
      </c>
      <c r="G712" s="219" t="n"/>
      <c r="H712" s="220" t="n"/>
      <c r="I712" s="221">
        <f>IF(COUNTA(A712:E712)=0,"",IF(OR(D712&lt;=0,E712&lt;0),"ERRO: bases inválidas",IF(E712&gt;D712,"ERRO: presenças acima do previsto",IF(COUNTIFS($A$5:$A$1200,A712,$B$5:$B$1200,B712,$C$5:$C$1200,C712)&gt;1,"ERRO: chave duplicada",IF(COUNTIFS(DISCIPLINAS!$A$5:$A$101,B712,DISCIPLINAS!$B$5:$B$101,C712)=0,"ERRO: disciplina não pertence ao curso","OK")))))</f>
        <v/>
      </c>
    </row>
    <row r="713" ht="15" customHeight="1" s="131">
      <c r="A713" s="220" t="n"/>
      <c r="B713" s="222" t="n"/>
      <c r="C713" s="222" t="n"/>
      <c r="D713" s="220" t="n"/>
      <c r="E713" s="220" t="n"/>
      <c r="F713" s="181">
        <f>IFERROR(E713/D713,"")</f>
        <v/>
      </c>
      <c r="G713" s="219" t="n"/>
      <c r="H713" s="220" t="n"/>
      <c r="I713" s="221">
        <f>IF(COUNTA(A713:E713)=0,"",IF(OR(D713&lt;=0,E713&lt;0),"ERRO: bases inválidas",IF(E713&gt;D713,"ERRO: presenças acima do previsto",IF(COUNTIFS($A$5:$A$1200,A713,$B$5:$B$1200,B713,$C$5:$C$1200,C713)&gt;1,"ERRO: chave duplicada",IF(COUNTIFS(DISCIPLINAS!$A$5:$A$101,B713,DISCIPLINAS!$B$5:$B$101,C713)=0,"ERRO: disciplina não pertence ao curso","OK")))))</f>
        <v/>
      </c>
    </row>
    <row r="714" ht="15" customHeight="1" s="131">
      <c r="A714" s="220" t="n"/>
      <c r="B714" s="222" t="n"/>
      <c r="C714" s="222" t="n"/>
      <c r="D714" s="220" t="n"/>
      <c r="E714" s="220" t="n"/>
      <c r="F714" s="181">
        <f>IFERROR(E714/D714,"")</f>
        <v/>
      </c>
      <c r="G714" s="219" t="n"/>
      <c r="H714" s="220" t="n"/>
      <c r="I714" s="221">
        <f>IF(COUNTA(A714:E714)=0,"",IF(OR(D714&lt;=0,E714&lt;0),"ERRO: bases inválidas",IF(E714&gt;D714,"ERRO: presenças acima do previsto",IF(COUNTIFS($A$5:$A$1200,A714,$B$5:$B$1200,B714,$C$5:$C$1200,C714)&gt;1,"ERRO: chave duplicada",IF(COUNTIFS(DISCIPLINAS!$A$5:$A$101,B714,DISCIPLINAS!$B$5:$B$101,C714)=0,"ERRO: disciplina não pertence ao curso","OK")))))</f>
        <v/>
      </c>
    </row>
    <row r="715" ht="15" customHeight="1" s="131">
      <c r="A715" s="220" t="n"/>
      <c r="B715" s="222" t="n"/>
      <c r="C715" s="222" t="n"/>
      <c r="D715" s="220" t="n"/>
      <c r="E715" s="220" t="n"/>
      <c r="F715" s="181">
        <f>IFERROR(E715/D715,"")</f>
        <v/>
      </c>
      <c r="G715" s="219" t="n"/>
      <c r="H715" s="220" t="n"/>
      <c r="I715" s="221">
        <f>IF(COUNTA(A715:E715)=0,"",IF(OR(D715&lt;=0,E715&lt;0),"ERRO: bases inválidas",IF(E715&gt;D715,"ERRO: presenças acima do previsto",IF(COUNTIFS($A$5:$A$1200,A715,$B$5:$B$1200,B715,$C$5:$C$1200,C715)&gt;1,"ERRO: chave duplicada",IF(COUNTIFS(DISCIPLINAS!$A$5:$A$101,B715,DISCIPLINAS!$B$5:$B$101,C715)=0,"ERRO: disciplina não pertence ao curso","OK")))))</f>
        <v/>
      </c>
    </row>
    <row r="716" ht="15" customHeight="1" s="131">
      <c r="A716" s="220" t="n"/>
      <c r="B716" s="222" t="n"/>
      <c r="C716" s="222" t="n"/>
      <c r="D716" s="220" t="n"/>
      <c r="E716" s="220" t="n"/>
      <c r="F716" s="181">
        <f>IFERROR(E716/D716,"")</f>
        <v/>
      </c>
      <c r="G716" s="219" t="n"/>
      <c r="H716" s="220" t="n"/>
      <c r="I716" s="221">
        <f>IF(COUNTA(A716:E716)=0,"",IF(OR(D716&lt;=0,E716&lt;0),"ERRO: bases inválidas",IF(E716&gt;D716,"ERRO: presenças acima do previsto",IF(COUNTIFS($A$5:$A$1200,A716,$B$5:$B$1200,B716,$C$5:$C$1200,C716)&gt;1,"ERRO: chave duplicada",IF(COUNTIFS(DISCIPLINAS!$A$5:$A$101,B716,DISCIPLINAS!$B$5:$B$101,C716)=0,"ERRO: disciplina não pertence ao curso","OK")))))</f>
        <v/>
      </c>
    </row>
    <row r="717" ht="15" customHeight="1" s="131">
      <c r="A717" s="220" t="n"/>
      <c r="B717" s="222" t="n"/>
      <c r="C717" s="222" t="n"/>
      <c r="D717" s="220" t="n"/>
      <c r="E717" s="220" t="n"/>
      <c r="F717" s="181">
        <f>IFERROR(E717/D717,"")</f>
        <v/>
      </c>
      <c r="G717" s="219" t="n"/>
      <c r="H717" s="220" t="n"/>
      <c r="I717" s="221">
        <f>IF(COUNTA(A717:E717)=0,"",IF(OR(D717&lt;=0,E717&lt;0),"ERRO: bases inválidas",IF(E717&gt;D717,"ERRO: presenças acima do previsto",IF(COUNTIFS($A$5:$A$1200,A717,$B$5:$B$1200,B717,$C$5:$C$1200,C717)&gt;1,"ERRO: chave duplicada",IF(COUNTIFS(DISCIPLINAS!$A$5:$A$101,B717,DISCIPLINAS!$B$5:$B$101,C717)=0,"ERRO: disciplina não pertence ao curso","OK")))))</f>
        <v/>
      </c>
    </row>
    <row r="718" ht="15" customHeight="1" s="131">
      <c r="A718" s="220" t="n"/>
      <c r="B718" s="222" t="n"/>
      <c r="C718" s="222" t="n"/>
      <c r="D718" s="220" t="n"/>
      <c r="E718" s="220" t="n"/>
      <c r="F718" s="181">
        <f>IFERROR(E718/D718,"")</f>
        <v/>
      </c>
      <c r="G718" s="219" t="n"/>
      <c r="H718" s="220" t="n"/>
      <c r="I718" s="221">
        <f>IF(COUNTA(A718:E718)=0,"",IF(OR(D718&lt;=0,E718&lt;0),"ERRO: bases inválidas",IF(E718&gt;D718,"ERRO: presenças acima do previsto",IF(COUNTIFS($A$5:$A$1200,A718,$B$5:$B$1200,B718,$C$5:$C$1200,C718)&gt;1,"ERRO: chave duplicada",IF(COUNTIFS(DISCIPLINAS!$A$5:$A$101,B718,DISCIPLINAS!$B$5:$B$101,C718)=0,"ERRO: disciplina não pertence ao curso","OK")))))</f>
        <v/>
      </c>
    </row>
    <row r="719" ht="15" customHeight="1" s="131">
      <c r="A719" s="220" t="n"/>
      <c r="B719" s="222" t="n"/>
      <c r="C719" s="222" t="n"/>
      <c r="D719" s="220" t="n"/>
      <c r="E719" s="220" t="n"/>
      <c r="F719" s="181">
        <f>IFERROR(E719/D719,"")</f>
        <v/>
      </c>
      <c r="G719" s="219" t="n"/>
      <c r="H719" s="220" t="n"/>
      <c r="I719" s="221">
        <f>IF(COUNTA(A719:E719)=0,"",IF(OR(D719&lt;=0,E719&lt;0),"ERRO: bases inválidas",IF(E719&gt;D719,"ERRO: presenças acima do previsto",IF(COUNTIFS($A$5:$A$1200,A719,$B$5:$B$1200,B719,$C$5:$C$1200,C719)&gt;1,"ERRO: chave duplicada",IF(COUNTIFS(DISCIPLINAS!$A$5:$A$101,B719,DISCIPLINAS!$B$5:$B$101,C719)=0,"ERRO: disciplina não pertence ao curso","OK")))))</f>
        <v/>
      </c>
    </row>
    <row r="720" ht="15" customHeight="1" s="131">
      <c r="A720" s="220" t="n"/>
      <c r="B720" s="222" t="n"/>
      <c r="C720" s="222" t="n"/>
      <c r="D720" s="220" t="n"/>
      <c r="E720" s="220" t="n"/>
      <c r="F720" s="181">
        <f>IFERROR(E720/D720,"")</f>
        <v/>
      </c>
      <c r="G720" s="219" t="n"/>
      <c r="H720" s="220" t="n"/>
      <c r="I720" s="221">
        <f>IF(COUNTA(A720:E720)=0,"",IF(OR(D720&lt;=0,E720&lt;0),"ERRO: bases inválidas",IF(E720&gt;D720,"ERRO: presenças acima do previsto",IF(COUNTIFS($A$5:$A$1200,A720,$B$5:$B$1200,B720,$C$5:$C$1200,C720)&gt;1,"ERRO: chave duplicada",IF(COUNTIFS(DISCIPLINAS!$A$5:$A$101,B720,DISCIPLINAS!$B$5:$B$101,C720)=0,"ERRO: disciplina não pertence ao curso","OK")))))</f>
        <v/>
      </c>
    </row>
    <row r="721" ht="15" customHeight="1" s="131">
      <c r="A721" s="220" t="n"/>
      <c r="B721" s="222" t="n"/>
      <c r="C721" s="222" t="n"/>
      <c r="D721" s="220" t="n"/>
      <c r="E721" s="220" t="n"/>
      <c r="F721" s="181">
        <f>IFERROR(E721/D721,"")</f>
        <v/>
      </c>
      <c r="G721" s="219" t="n"/>
      <c r="H721" s="220" t="n"/>
      <c r="I721" s="221">
        <f>IF(COUNTA(A721:E721)=0,"",IF(OR(D721&lt;=0,E721&lt;0),"ERRO: bases inválidas",IF(E721&gt;D721,"ERRO: presenças acima do previsto",IF(COUNTIFS($A$5:$A$1200,A721,$B$5:$B$1200,B721,$C$5:$C$1200,C721)&gt;1,"ERRO: chave duplicada",IF(COUNTIFS(DISCIPLINAS!$A$5:$A$101,B721,DISCIPLINAS!$B$5:$B$101,C721)=0,"ERRO: disciplina não pertence ao curso","OK")))))</f>
        <v/>
      </c>
    </row>
    <row r="722" ht="15" customHeight="1" s="131">
      <c r="A722" s="220" t="n"/>
      <c r="B722" s="222" t="n"/>
      <c r="C722" s="222" t="n"/>
      <c r="D722" s="220" t="n"/>
      <c r="E722" s="220" t="n"/>
      <c r="F722" s="181">
        <f>IFERROR(E722/D722,"")</f>
        <v/>
      </c>
      <c r="G722" s="219" t="n"/>
      <c r="H722" s="220" t="n"/>
      <c r="I722" s="221">
        <f>IF(COUNTA(A722:E722)=0,"",IF(OR(D722&lt;=0,E722&lt;0),"ERRO: bases inválidas",IF(E722&gt;D722,"ERRO: presenças acima do previsto",IF(COUNTIFS($A$5:$A$1200,A722,$B$5:$B$1200,B722,$C$5:$C$1200,C722)&gt;1,"ERRO: chave duplicada",IF(COUNTIFS(DISCIPLINAS!$A$5:$A$101,B722,DISCIPLINAS!$B$5:$B$101,C722)=0,"ERRO: disciplina não pertence ao curso","OK")))))</f>
        <v/>
      </c>
    </row>
    <row r="723" ht="15" customHeight="1" s="131">
      <c r="A723" s="220" t="n"/>
      <c r="B723" s="222" t="n"/>
      <c r="C723" s="222" t="n"/>
      <c r="D723" s="220" t="n"/>
      <c r="E723" s="220" t="n"/>
      <c r="F723" s="181">
        <f>IFERROR(E723/D723,"")</f>
        <v/>
      </c>
      <c r="G723" s="219" t="n"/>
      <c r="H723" s="220" t="n"/>
      <c r="I723" s="221">
        <f>IF(COUNTA(A723:E723)=0,"",IF(OR(D723&lt;=0,E723&lt;0),"ERRO: bases inválidas",IF(E723&gt;D723,"ERRO: presenças acima do previsto",IF(COUNTIFS($A$5:$A$1200,A723,$B$5:$B$1200,B723,$C$5:$C$1200,C723)&gt;1,"ERRO: chave duplicada",IF(COUNTIFS(DISCIPLINAS!$A$5:$A$101,B723,DISCIPLINAS!$B$5:$B$101,C723)=0,"ERRO: disciplina não pertence ao curso","OK")))))</f>
        <v/>
      </c>
    </row>
    <row r="724" ht="15" customHeight="1" s="131">
      <c r="A724" s="220" t="n"/>
      <c r="B724" s="222" t="n"/>
      <c r="C724" s="222" t="n"/>
      <c r="D724" s="220" t="n"/>
      <c r="E724" s="220" t="n"/>
      <c r="F724" s="181">
        <f>IFERROR(E724/D724,"")</f>
        <v/>
      </c>
      <c r="G724" s="219" t="n"/>
      <c r="H724" s="220" t="n"/>
      <c r="I724" s="221">
        <f>IF(COUNTA(A724:E724)=0,"",IF(OR(D724&lt;=0,E724&lt;0),"ERRO: bases inválidas",IF(E724&gt;D724,"ERRO: presenças acima do previsto",IF(COUNTIFS($A$5:$A$1200,A724,$B$5:$B$1200,B724,$C$5:$C$1200,C724)&gt;1,"ERRO: chave duplicada",IF(COUNTIFS(DISCIPLINAS!$A$5:$A$101,B724,DISCIPLINAS!$B$5:$B$101,C724)=0,"ERRO: disciplina não pertence ao curso","OK")))))</f>
        <v/>
      </c>
    </row>
    <row r="725" ht="15" customHeight="1" s="131">
      <c r="A725" s="220" t="n"/>
      <c r="B725" s="222" t="n"/>
      <c r="C725" s="222" t="n"/>
      <c r="D725" s="220" t="n"/>
      <c r="E725" s="220" t="n"/>
      <c r="F725" s="181">
        <f>IFERROR(E725/D725,"")</f>
        <v/>
      </c>
      <c r="G725" s="219" t="n"/>
      <c r="H725" s="220" t="n"/>
      <c r="I725" s="221">
        <f>IF(COUNTA(A725:E725)=0,"",IF(OR(D725&lt;=0,E725&lt;0),"ERRO: bases inválidas",IF(E725&gt;D725,"ERRO: presenças acima do previsto",IF(COUNTIFS($A$5:$A$1200,A725,$B$5:$B$1200,B725,$C$5:$C$1200,C725)&gt;1,"ERRO: chave duplicada",IF(COUNTIFS(DISCIPLINAS!$A$5:$A$101,B725,DISCIPLINAS!$B$5:$B$101,C725)=0,"ERRO: disciplina não pertence ao curso","OK")))))</f>
        <v/>
      </c>
    </row>
    <row r="726" ht="15" customHeight="1" s="131">
      <c r="A726" s="220" t="n"/>
      <c r="B726" s="222" t="n"/>
      <c r="C726" s="222" t="n"/>
      <c r="D726" s="220" t="n"/>
      <c r="E726" s="220" t="n"/>
      <c r="F726" s="181">
        <f>IFERROR(E726/D726,"")</f>
        <v/>
      </c>
      <c r="G726" s="219" t="n"/>
      <c r="H726" s="220" t="n"/>
      <c r="I726" s="221">
        <f>IF(COUNTA(A726:E726)=0,"",IF(OR(D726&lt;=0,E726&lt;0),"ERRO: bases inválidas",IF(E726&gt;D726,"ERRO: presenças acima do previsto",IF(COUNTIFS($A$5:$A$1200,A726,$B$5:$B$1200,B726,$C$5:$C$1200,C726)&gt;1,"ERRO: chave duplicada",IF(COUNTIFS(DISCIPLINAS!$A$5:$A$101,B726,DISCIPLINAS!$B$5:$B$101,C726)=0,"ERRO: disciplina não pertence ao curso","OK")))))</f>
        <v/>
      </c>
    </row>
    <row r="727" ht="15" customHeight="1" s="131">
      <c r="A727" s="220" t="n"/>
      <c r="B727" s="222" t="n"/>
      <c r="C727" s="222" t="n"/>
      <c r="D727" s="220" t="n"/>
      <c r="E727" s="220" t="n"/>
      <c r="F727" s="181">
        <f>IFERROR(E727/D727,"")</f>
        <v/>
      </c>
      <c r="G727" s="219" t="n"/>
      <c r="H727" s="220" t="n"/>
      <c r="I727" s="221">
        <f>IF(COUNTA(A727:E727)=0,"",IF(OR(D727&lt;=0,E727&lt;0),"ERRO: bases inválidas",IF(E727&gt;D727,"ERRO: presenças acima do previsto",IF(COUNTIFS($A$5:$A$1200,A727,$B$5:$B$1200,B727,$C$5:$C$1200,C727)&gt;1,"ERRO: chave duplicada",IF(COUNTIFS(DISCIPLINAS!$A$5:$A$101,B727,DISCIPLINAS!$B$5:$B$101,C727)=0,"ERRO: disciplina não pertence ao curso","OK")))))</f>
        <v/>
      </c>
    </row>
    <row r="728" ht="15" customHeight="1" s="131">
      <c r="A728" s="220" t="n"/>
      <c r="B728" s="222" t="n"/>
      <c r="C728" s="222" t="n"/>
      <c r="D728" s="220" t="n"/>
      <c r="E728" s="220" t="n"/>
      <c r="F728" s="181">
        <f>IFERROR(E728/D728,"")</f>
        <v/>
      </c>
      <c r="G728" s="219" t="n"/>
      <c r="H728" s="220" t="n"/>
      <c r="I728" s="221">
        <f>IF(COUNTA(A728:E728)=0,"",IF(OR(D728&lt;=0,E728&lt;0),"ERRO: bases inválidas",IF(E728&gt;D728,"ERRO: presenças acima do previsto",IF(COUNTIFS($A$5:$A$1200,A728,$B$5:$B$1200,B728,$C$5:$C$1200,C728)&gt;1,"ERRO: chave duplicada",IF(COUNTIFS(DISCIPLINAS!$A$5:$A$101,B728,DISCIPLINAS!$B$5:$B$101,C728)=0,"ERRO: disciplina não pertence ao curso","OK")))))</f>
        <v/>
      </c>
    </row>
    <row r="729" ht="15" customHeight="1" s="131">
      <c r="A729" s="220" t="n"/>
      <c r="B729" s="222" t="n"/>
      <c r="C729" s="222" t="n"/>
      <c r="D729" s="220" t="n"/>
      <c r="E729" s="220" t="n"/>
      <c r="F729" s="181">
        <f>IFERROR(E729/D729,"")</f>
        <v/>
      </c>
      <c r="G729" s="219" t="n"/>
      <c r="H729" s="220" t="n"/>
      <c r="I729" s="221">
        <f>IF(COUNTA(A729:E729)=0,"",IF(OR(D729&lt;=0,E729&lt;0),"ERRO: bases inválidas",IF(E729&gt;D729,"ERRO: presenças acima do previsto",IF(COUNTIFS($A$5:$A$1200,A729,$B$5:$B$1200,B729,$C$5:$C$1200,C729)&gt;1,"ERRO: chave duplicada",IF(COUNTIFS(DISCIPLINAS!$A$5:$A$101,B729,DISCIPLINAS!$B$5:$B$101,C729)=0,"ERRO: disciplina não pertence ao curso","OK")))))</f>
        <v/>
      </c>
    </row>
    <row r="730" ht="15" customHeight="1" s="131">
      <c r="A730" s="220" t="n"/>
      <c r="B730" s="222" t="n"/>
      <c r="C730" s="222" t="n"/>
      <c r="D730" s="220" t="n"/>
      <c r="E730" s="220" t="n"/>
      <c r="F730" s="181">
        <f>IFERROR(E730/D730,"")</f>
        <v/>
      </c>
      <c r="G730" s="219" t="n"/>
      <c r="H730" s="220" t="n"/>
      <c r="I730" s="221">
        <f>IF(COUNTA(A730:E730)=0,"",IF(OR(D730&lt;=0,E730&lt;0),"ERRO: bases inválidas",IF(E730&gt;D730,"ERRO: presenças acima do previsto",IF(COUNTIFS($A$5:$A$1200,A730,$B$5:$B$1200,B730,$C$5:$C$1200,C730)&gt;1,"ERRO: chave duplicada",IF(COUNTIFS(DISCIPLINAS!$A$5:$A$101,B730,DISCIPLINAS!$B$5:$B$101,C730)=0,"ERRO: disciplina não pertence ao curso","OK")))))</f>
        <v/>
      </c>
    </row>
    <row r="731" ht="15" customHeight="1" s="131">
      <c r="A731" s="220" t="n"/>
      <c r="B731" s="222" t="n"/>
      <c r="C731" s="222" t="n"/>
      <c r="D731" s="220" t="n"/>
      <c r="E731" s="220" t="n"/>
      <c r="F731" s="181">
        <f>IFERROR(E731/D731,"")</f>
        <v/>
      </c>
      <c r="G731" s="219" t="n"/>
      <c r="H731" s="220" t="n"/>
      <c r="I731" s="221">
        <f>IF(COUNTA(A731:E731)=0,"",IF(OR(D731&lt;=0,E731&lt;0),"ERRO: bases inválidas",IF(E731&gt;D731,"ERRO: presenças acima do previsto",IF(COUNTIFS($A$5:$A$1200,A731,$B$5:$B$1200,B731,$C$5:$C$1200,C731)&gt;1,"ERRO: chave duplicada",IF(COUNTIFS(DISCIPLINAS!$A$5:$A$101,B731,DISCIPLINAS!$B$5:$B$101,C731)=0,"ERRO: disciplina não pertence ao curso","OK")))))</f>
        <v/>
      </c>
    </row>
    <row r="732" ht="15" customHeight="1" s="131">
      <c r="A732" s="220" t="n"/>
      <c r="B732" s="222" t="n"/>
      <c r="C732" s="222" t="n"/>
      <c r="D732" s="220" t="n"/>
      <c r="E732" s="220" t="n"/>
      <c r="F732" s="181">
        <f>IFERROR(E732/D732,"")</f>
        <v/>
      </c>
      <c r="G732" s="219" t="n"/>
      <c r="H732" s="220" t="n"/>
      <c r="I732" s="221">
        <f>IF(COUNTA(A732:E732)=0,"",IF(OR(D732&lt;=0,E732&lt;0),"ERRO: bases inválidas",IF(E732&gt;D732,"ERRO: presenças acima do previsto",IF(COUNTIFS($A$5:$A$1200,A732,$B$5:$B$1200,B732,$C$5:$C$1200,C732)&gt;1,"ERRO: chave duplicada",IF(COUNTIFS(DISCIPLINAS!$A$5:$A$101,B732,DISCIPLINAS!$B$5:$B$101,C732)=0,"ERRO: disciplina não pertence ao curso","OK")))))</f>
        <v/>
      </c>
    </row>
    <row r="733" ht="15" customHeight="1" s="131">
      <c r="A733" s="220" t="n"/>
      <c r="B733" s="222" t="n"/>
      <c r="C733" s="222" t="n"/>
      <c r="D733" s="220" t="n"/>
      <c r="E733" s="220" t="n"/>
      <c r="F733" s="181">
        <f>IFERROR(E733/D733,"")</f>
        <v/>
      </c>
      <c r="G733" s="219" t="n"/>
      <c r="H733" s="220" t="n"/>
      <c r="I733" s="221">
        <f>IF(COUNTA(A733:E733)=0,"",IF(OR(D733&lt;=0,E733&lt;0),"ERRO: bases inválidas",IF(E733&gt;D733,"ERRO: presenças acima do previsto",IF(COUNTIFS($A$5:$A$1200,A733,$B$5:$B$1200,B733,$C$5:$C$1200,C733)&gt;1,"ERRO: chave duplicada",IF(COUNTIFS(DISCIPLINAS!$A$5:$A$101,B733,DISCIPLINAS!$B$5:$B$101,C733)=0,"ERRO: disciplina não pertence ao curso","OK")))))</f>
        <v/>
      </c>
    </row>
    <row r="734" ht="15" customHeight="1" s="131">
      <c r="A734" s="220" t="n"/>
      <c r="B734" s="222" t="n"/>
      <c r="C734" s="222" t="n"/>
      <c r="D734" s="220" t="n"/>
      <c r="E734" s="220" t="n"/>
      <c r="F734" s="181">
        <f>IFERROR(E734/D734,"")</f>
        <v/>
      </c>
      <c r="G734" s="219" t="n"/>
      <c r="H734" s="220" t="n"/>
      <c r="I734" s="221">
        <f>IF(COUNTA(A734:E734)=0,"",IF(OR(D734&lt;=0,E734&lt;0),"ERRO: bases inválidas",IF(E734&gt;D734,"ERRO: presenças acima do previsto",IF(COUNTIFS($A$5:$A$1200,A734,$B$5:$B$1200,B734,$C$5:$C$1200,C734)&gt;1,"ERRO: chave duplicada",IF(COUNTIFS(DISCIPLINAS!$A$5:$A$101,B734,DISCIPLINAS!$B$5:$B$101,C734)=0,"ERRO: disciplina não pertence ao curso","OK")))))</f>
        <v/>
      </c>
    </row>
    <row r="735" ht="15" customHeight="1" s="131">
      <c r="A735" s="220" t="n"/>
      <c r="B735" s="222" t="n"/>
      <c r="C735" s="222" t="n"/>
      <c r="D735" s="220" t="n"/>
      <c r="E735" s="220" t="n"/>
      <c r="F735" s="181">
        <f>IFERROR(E735/D735,"")</f>
        <v/>
      </c>
      <c r="G735" s="219" t="n"/>
      <c r="H735" s="220" t="n"/>
      <c r="I735" s="221">
        <f>IF(COUNTA(A735:E735)=0,"",IF(OR(D735&lt;=0,E735&lt;0),"ERRO: bases inválidas",IF(E735&gt;D735,"ERRO: presenças acima do previsto",IF(COUNTIFS($A$5:$A$1200,A735,$B$5:$B$1200,B735,$C$5:$C$1200,C735)&gt;1,"ERRO: chave duplicada",IF(COUNTIFS(DISCIPLINAS!$A$5:$A$101,B735,DISCIPLINAS!$B$5:$B$101,C735)=0,"ERRO: disciplina não pertence ao curso","OK")))))</f>
        <v/>
      </c>
    </row>
    <row r="736" ht="15" customHeight="1" s="131">
      <c r="A736" s="220" t="n"/>
      <c r="B736" s="222" t="n"/>
      <c r="C736" s="222" t="n"/>
      <c r="D736" s="220" t="n"/>
      <c r="E736" s="220" t="n"/>
      <c r="F736" s="181">
        <f>IFERROR(E736/D736,"")</f>
        <v/>
      </c>
      <c r="G736" s="219" t="n"/>
      <c r="H736" s="220" t="n"/>
      <c r="I736" s="221">
        <f>IF(COUNTA(A736:E736)=0,"",IF(OR(D736&lt;=0,E736&lt;0),"ERRO: bases inválidas",IF(E736&gt;D736,"ERRO: presenças acima do previsto",IF(COUNTIFS($A$5:$A$1200,A736,$B$5:$B$1200,B736,$C$5:$C$1200,C736)&gt;1,"ERRO: chave duplicada",IF(COUNTIFS(DISCIPLINAS!$A$5:$A$101,B736,DISCIPLINAS!$B$5:$B$101,C736)=0,"ERRO: disciplina não pertence ao curso","OK")))))</f>
        <v/>
      </c>
    </row>
    <row r="737" ht="15" customHeight="1" s="131">
      <c r="A737" s="220" t="n"/>
      <c r="B737" s="222" t="n"/>
      <c r="C737" s="222" t="n"/>
      <c r="D737" s="220" t="n"/>
      <c r="E737" s="220" t="n"/>
      <c r="F737" s="181">
        <f>IFERROR(E737/D737,"")</f>
        <v/>
      </c>
      <c r="G737" s="219" t="n"/>
      <c r="H737" s="220" t="n"/>
      <c r="I737" s="221">
        <f>IF(COUNTA(A737:E737)=0,"",IF(OR(D737&lt;=0,E737&lt;0),"ERRO: bases inválidas",IF(E737&gt;D737,"ERRO: presenças acima do previsto",IF(COUNTIFS($A$5:$A$1200,A737,$B$5:$B$1200,B737,$C$5:$C$1200,C737)&gt;1,"ERRO: chave duplicada",IF(COUNTIFS(DISCIPLINAS!$A$5:$A$101,B737,DISCIPLINAS!$B$5:$B$101,C737)=0,"ERRO: disciplina não pertence ao curso","OK")))))</f>
        <v/>
      </c>
    </row>
    <row r="738" ht="15" customHeight="1" s="131">
      <c r="A738" s="220" t="n"/>
      <c r="B738" s="222" t="n"/>
      <c r="C738" s="222" t="n"/>
      <c r="D738" s="220" t="n"/>
      <c r="E738" s="220" t="n"/>
      <c r="F738" s="181">
        <f>IFERROR(E738/D738,"")</f>
        <v/>
      </c>
      <c r="G738" s="219" t="n"/>
      <c r="H738" s="220" t="n"/>
      <c r="I738" s="221">
        <f>IF(COUNTA(A738:E738)=0,"",IF(OR(D738&lt;=0,E738&lt;0),"ERRO: bases inválidas",IF(E738&gt;D738,"ERRO: presenças acima do previsto",IF(COUNTIFS($A$5:$A$1200,A738,$B$5:$B$1200,B738,$C$5:$C$1200,C738)&gt;1,"ERRO: chave duplicada",IF(COUNTIFS(DISCIPLINAS!$A$5:$A$101,B738,DISCIPLINAS!$B$5:$B$101,C738)=0,"ERRO: disciplina não pertence ao curso","OK")))))</f>
        <v/>
      </c>
    </row>
    <row r="739" ht="15" customHeight="1" s="131">
      <c r="A739" s="220" t="n"/>
      <c r="B739" s="222" t="n"/>
      <c r="C739" s="222" t="n"/>
      <c r="D739" s="220" t="n"/>
      <c r="E739" s="220" t="n"/>
      <c r="F739" s="181">
        <f>IFERROR(E739/D739,"")</f>
        <v/>
      </c>
      <c r="G739" s="219" t="n"/>
      <c r="H739" s="220" t="n"/>
      <c r="I739" s="221">
        <f>IF(COUNTA(A739:E739)=0,"",IF(OR(D739&lt;=0,E739&lt;0),"ERRO: bases inválidas",IF(E739&gt;D739,"ERRO: presenças acima do previsto",IF(COUNTIFS($A$5:$A$1200,A739,$B$5:$B$1200,B739,$C$5:$C$1200,C739)&gt;1,"ERRO: chave duplicada",IF(COUNTIFS(DISCIPLINAS!$A$5:$A$101,B739,DISCIPLINAS!$B$5:$B$101,C739)=0,"ERRO: disciplina não pertence ao curso","OK")))))</f>
        <v/>
      </c>
    </row>
    <row r="740" ht="15" customHeight="1" s="131">
      <c r="A740" s="220" t="n"/>
      <c r="B740" s="222" t="n"/>
      <c r="C740" s="222" t="n"/>
      <c r="D740" s="220" t="n"/>
      <c r="E740" s="220" t="n"/>
      <c r="F740" s="181">
        <f>IFERROR(E740/D740,"")</f>
        <v/>
      </c>
      <c r="G740" s="219" t="n"/>
      <c r="H740" s="220" t="n"/>
      <c r="I740" s="221">
        <f>IF(COUNTA(A740:E740)=0,"",IF(OR(D740&lt;=0,E740&lt;0),"ERRO: bases inválidas",IF(E740&gt;D740,"ERRO: presenças acima do previsto",IF(COUNTIFS($A$5:$A$1200,A740,$B$5:$B$1200,B740,$C$5:$C$1200,C740)&gt;1,"ERRO: chave duplicada",IF(COUNTIFS(DISCIPLINAS!$A$5:$A$101,B740,DISCIPLINAS!$B$5:$B$101,C740)=0,"ERRO: disciplina não pertence ao curso","OK")))))</f>
        <v/>
      </c>
    </row>
    <row r="741" ht="15" customHeight="1" s="131">
      <c r="A741" s="220" t="n"/>
      <c r="B741" s="222" t="n"/>
      <c r="C741" s="222" t="n"/>
      <c r="D741" s="220" t="n"/>
      <c r="E741" s="220" t="n"/>
      <c r="F741" s="181">
        <f>IFERROR(E741/D741,"")</f>
        <v/>
      </c>
      <c r="G741" s="219" t="n"/>
      <c r="H741" s="220" t="n"/>
      <c r="I741" s="221">
        <f>IF(COUNTA(A741:E741)=0,"",IF(OR(D741&lt;=0,E741&lt;0),"ERRO: bases inválidas",IF(E741&gt;D741,"ERRO: presenças acima do previsto",IF(COUNTIFS($A$5:$A$1200,A741,$B$5:$B$1200,B741,$C$5:$C$1200,C741)&gt;1,"ERRO: chave duplicada",IF(COUNTIFS(DISCIPLINAS!$A$5:$A$101,B741,DISCIPLINAS!$B$5:$B$101,C741)=0,"ERRO: disciplina não pertence ao curso","OK")))))</f>
        <v/>
      </c>
    </row>
    <row r="742" ht="15" customHeight="1" s="131">
      <c r="A742" s="220" t="n"/>
      <c r="B742" s="222" t="n"/>
      <c r="C742" s="222" t="n"/>
      <c r="D742" s="220" t="n"/>
      <c r="E742" s="220" t="n"/>
      <c r="F742" s="181">
        <f>IFERROR(E742/D742,"")</f>
        <v/>
      </c>
      <c r="G742" s="219" t="n"/>
      <c r="H742" s="220" t="n"/>
      <c r="I742" s="221">
        <f>IF(COUNTA(A742:E742)=0,"",IF(OR(D742&lt;=0,E742&lt;0),"ERRO: bases inválidas",IF(E742&gt;D742,"ERRO: presenças acima do previsto",IF(COUNTIFS($A$5:$A$1200,A742,$B$5:$B$1200,B742,$C$5:$C$1200,C742)&gt;1,"ERRO: chave duplicada",IF(COUNTIFS(DISCIPLINAS!$A$5:$A$101,B742,DISCIPLINAS!$B$5:$B$101,C742)=0,"ERRO: disciplina não pertence ao curso","OK")))))</f>
        <v/>
      </c>
    </row>
    <row r="743" ht="15" customHeight="1" s="131">
      <c r="A743" s="220" t="n"/>
      <c r="B743" s="222" t="n"/>
      <c r="C743" s="222" t="n"/>
      <c r="D743" s="220" t="n"/>
      <c r="E743" s="220" t="n"/>
      <c r="F743" s="181">
        <f>IFERROR(E743/D743,"")</f>
        <v/>
      </c>
      <c r="G743" s="219" t="n"/>
      <c r="H743" s="220" t="n"/>
      <c r="I743" s="221">
        <f>IF(COUNTA(A743:E743)=0,"",IF(OR(D743&lt;=0,E743&lt;0),"ERRO: bases inválidas",IF(E743&gt;D743,"ERRO: presenças acima do previsto",IF(COUNTIFS($A$5:$A$1200,A743,$B$5:$B$1200,B743,$C$5:$C$1200,C743)&gt;1,"ERRO: chave duplicada",IF(COUNTIFS(DISCIPLINAS!$A$5:$A$101,B743,DISCIPLINAS!$B$5:$B$101,C743)=0,"ERRO: disciplina não pertence ao curso","OK")))))</f>
        <v/>
      </c>
    </row>
    <row r="744" ht="15" customHeight="1" s="131">
      <c r="A744" s="220" t="n"/>
      <c r="B744" s="222" t="n"/>
      <c r="C744" s="222" t="n"/>
      <c r="D744" s="220" t="n"/>
      <c r="E744" s="220" t="n"/>
      <c r="F744" s="181">
        <f>IFERROR(E744/D744,"")</f>
        <v/>
      </c>
      <c r="G744" s="219" t="n"/>
      <c r="H744" s="220" t="n"/>
      <c r="I744" s="221">
        <f>IF(COUNTA(A744:E744)=0,"",IF(OR(D744&lt;=0,E744&lt;0),"ERRO: bases inválidas",IF(E744&gt;D744,"ERRO: presenças acima do previsto",IF(COUNTIFS($A$5:$A$1200,A744,$B$5:$B$1200,B744,$C$5:$C$1200,C744)&gt;1,"ERRO: chave duplicada",IF(COUNTIFS(DISCIPLINAS!$A$5:$A$101,B744,DISCIPLINAS!$B$5:$B$101,C744)=0,"ERRO: disciplina não pertence ao curso","OK")))))</f>
        <v/>
      </c>
    </row>
    <row r="745" ht="15" customHeight="1" s="131">
      <c r="A745" s="220" t="n"/>
      <c r="B745" s="222" t="n"/>
      <c r="C745" s="222" t="n"/>
      <c r="D745" s="220" t="n"/>
      <c r="E745" s="220" t="n"/>
      <c r="F745" s="181">
        <f>IFERROR(E745/D745,"")</f>
        <v/>
      </c>
      <c r="G745" s="219" t="n"/>
      <c r="H745" s="220" t="n"/>
      <c r="I745" s="221">
        <f>IF(COUNTA(A745:E745)=0,"",IF(OR(D745&lt;=0,E745&lt;0),"ERRO: bases inválidas",IF(E745&gt;D745,"ERRO: presenças acima do previsto",IF(COUNTIFS($A$5:$A$1200,A745,$B$5:$B$1200,B745,$C$5:$C$1200,C745)&gt;1,"ERRO: chave duplicada",IF(COUNTIFS(DISCIPLINAS!$A$5:$A$101,B745,DISCIPLINAS!$B$5:$B$101,C745)=0,"ERRO: disciplina não pertence ao curso","OK")))))</f>
        <v/>
      </c>
    </row>
    <row r="746" ht="15" customHeight="1" s="131">
      <c r="A746" s="220" t="n"/>
      <c r="B746" s="222" t="n"/>
      <c r="C746" s="222" t="n"/>
      <c r="D746" s="220" t="n"/>
      <c r="E746" s="220" t="n"/>
      <c r="F746" s="181">
        <f>IFERROR(E746/D746,"")</f>
        <v/>
      </c>
      <c r="G746" s="219" t="n"/>
      <c r="H746" s="220" t="n"/>
      <c r="I746" s="221">
        <f>IF(COUNTA(A746:E746)=0,"",IF(OR(D746&lt;=0,E746&lt;0),"ERRO: bases inválidas",IF(E746&gt;D746,"ERRO: presenças acima do previsto",IF(COUNTIFS($A$5:$A$1200,A746,$B$5:$B$1200,B746,$C$5:$C$1200,C746)&gt;1,"ERRO: chave duplicada",IF(COUNTIFS(DISCIPLINAS!$A$5:$A$101,B746,DISCIPLINAS!$B$5:$B$101,C746)=0,"ERRO: disciplina não pertence ao curso","OK")))))</f>
        <v/>
      </c>
    </row>
    <row r="747" ht="15" customHeight="1" s="131">
      <c r="A747" s="220" t="n"/>
      <c r="B747" s="222" t="n"/>
      <c r="C747" s="222" t="n"/>
      <c r="D747" s="220" t="n"/>
      <c r="E747" s="220" t="n"/>
      <c r="F747" s="181">
        <f>IFERROR(E747/D747,"")</f>
        <v/>
      </c>
      <c r="G747" s="219" t="n"/>
      <c r="H747" s="220" t="n"/>
      <c r="I747" s="221">
        <f>IF(COUNTA(A747:E747)=0,"",IF(OR(D747&lt;=0,E747&lt;0),"ERRO: bases inválidas",IF(E747&gt;D747,"ERRO: presenças acima do previsto",IF(COUNTIFS($A$5:$A$1200,A747,$B$5:$B$1200,B747,$C$5:$C$1200,C747)&gt;1,"ERRO: chave duplicada",IF(COUNTIFS(DISCIPLINAS!$A$5:$A$101,B747,DISCIPLINAS!$B$5:$B$101,C747)=0,"ERRO: disciplina não pertence ao curso","OK")))))</f>
        <v/>
      </c>
    </row>
    <row r="748" ht="15" customHeight="1" s="131">
      <c r="A748" s="220" t="n"/>
      <c r="B748" s="222" t="n"/>
      <c r="C748" s="222" t="n"/>
      <c r="D748" s="220" t="n"/>
      <c r="E748" s="220" t="n"/>
      <c r="F748" s="181">
        <f>IFERROR(E748/D748,"")</f>
        <v/>
      </c>
      <c r="G748" s="219" t="n"/>
      <c r="H748" s="220" t="n"/>
      <c r="I748" s="221">
        <f>IF(COUNTA(A748:E748)=0,"",IF(OR(D748&lt;=0,E748&lt;0),"ERRO: bases inválidas",IF(E748&gt;D748,"ERRO: presenças acima do previsto",IF(COUNTIFS($A$5:$A$1200,A748,$B$5:$B$1200,B748,$C$5:$C$1200,C748)&gt;1,"ERRO: chave duplicada",IF(COUNTIFS(DISCIPLINAS!$A$5:$A$101,B748,DISCIPLINAS!$B$5:$B$101,C748)=0,"ERRO: disciplina não pertence ao curso","OK")))))</f>
        <v/>
      </c>
    </row>
    <row r="749" ht="15" customHeight="1" s="131">
      <c r="A749" s="220" t="n"/>
      <c r="B749" s="222" t="n"/>
      <c r="C749" s="222" t="n"/>
      <c r="D749" s="220" t="n"/>
      <c r="E749" s="220" t="n"/>
      <c r="F749" s="181">
        <f>IFERROR(E749/D749,"")</f>
        <v/>
      </c>
      <c r="G749" s="219" t="n"/>
      <c r="H749" s="220" t="n"/>
      <c r="I749" s="221">
        <f>IF(COUNTA(A749:E749)=0,"",IF(OR(D749&lt;=0,E749&lt;0),"ERRO: bases inválidas",IF(E749&gt;D749,"ERRO: presenças acima do previsto",IF(COUNTIFS($A$5:$A$1200,A749,$B$5:$B$1200,B749,$C$5:$C$1200,C749)&gt;1,"ERRO: chave duplicada",IF(COUNTIFS(DISCIPLINAS!$A$5:$A$101,B749,DISCIPLINAS!$B$5:$B$101,C749)=0,"ERRO: disciplina não pertence ao curso","OK")))))</f>
        <v/>
      </c>
    </row>
    <row r="750" ht="15" customHeight="1" s="131">
      <c r="A750" s="220" t="n"/>
      <c r="B750" s="222" t="n"/>
      <c r="C750" s="222" t="n"/>
      <c r="D750" s="220" t="n"/>
      <c r="E750" s="220" t="n"/>
      <c r="F750" s="181">
        <f>IFERROR(E750/D750,"")</f>
        <v/>
      </c>
      <c r="G750" s="219" t="n"/>
      <c r="H750" s="220" t="n"/>
      <c r="I750" s="221">
        <f>IF(COUNTA(A750:E750)=0,"",IF(OR(D750&lt;=0,E750&lt;0),"ERRO: bases inválidas",IF(E750&gt;D750,"ERRO: presenças acima do previsto",IF(COUNTIFS($A$5:$A$1200,A750,$B$5:$B$1200,B750,$C$5:$C$1200,C750)&gt;1,"ERRO: chave duplicada",IF(COUNTIFS(DISCIPLINAS!$A$5:$A$101,B750,DISCIPLINAS!$B$5:$B$101,C750)=0,"ERRO: disciplina não pertence ao curso","OK")))))</f>
        <v/>
      </c>
    </row>
    <row r="751" ht="15" customHeight="1" s="131">
      <c r="A751" s="220" t="n"/>
      <c r="B751" s="222" t="n"/>
      <c r="C751" s="222" t="n"/>
      <c r="D751" s="220" t="n"/>
      <c r="E751" s="220" t="n"/>
      <c r="F751" s="181">
        <f>IFERROR(E751/D751,"")</f>
        <v/>
      </c>
      <c r="G751" s="219" t="n"/>
      <c r="H751" s="220" t="n"/>
      <c r="I751" s="221">
        <f>IF(COUNTA(A751:E751)=0,"",IF(OR(D751&lt;=0,E751&lt;0),"ERRO: bases inválidas",IF(E751&gt;D751,"ERRO: presenças acima do previsto",IF(COUNTIFS($A$5:$A$1200,A751,$B$5:$B$1200,B751,$C$5:$C$1200,C751)&gt;1,"ERRO: chave duplicada",IF(COUNTIFS(DISCIPLINAS!$A$5:$A$101,B751,DISCIPLINAS!$B$5:$B$101,C751)=0,"ERRO: disciplina não pertence ao curso","OK")))))</f>
        <v/>
      </c>
    </row>
    <row r="752" ht="15" customHeight="1" s="131">
      <c r="A752" s="220" t="n"/>
      <c r="B752" s="222" t="n"/>
      <c r="C752" s="222" t="n"/>
      <c r="D752" s="220" t="n"/>
      <c r="E752" s="220" t="n"/>
      <c r="F752" s="181">
        <f>IFERROR(E752/D752,"")</f>
        <v/>
      </c>
      <c r="G752" s="219" t="n"/>
      <c r="H752" s="220" t="n"/>
      <c r="I752" s="221">
        <f>IF(COUNTA(A752:E752)=0,"",IF(OR(D752&lt;=0,E752&lt;0),"ERRO: bases inválidas",IF(E752&gt;D752,"ERRO: presenças acima do previsto",IF(COUNTIFS($A$5:$A$1200,A752,$B$5:$B$1200,B752,$C$5:$C$1200,C752)&gt;1,"ERRO: chave duplicada",IF(COUNTIFS(DISCIPLINAS!$A$5:$A$101,B752,DISCIPLINAS!$B$5:$B$101,C752)=0,"ERRO: disciplina não pertence ao curso","OK")))))</f>
        <v/>
      </c>
    </row>
    <row r="753" ht="15" customHeight="1" s="131">
      <c r="A753" s="220" t="n"/>
      <c r="B753" s="222" t="n"/>
      <c r="C753" s="222" t="n"/>
      <c r="D753" s="220" t="n"/>
      <c r="E753" s="220" t="n"/>
      <c r="F753" s="181">
        <f>IFERROR(E753/D753,"")</f>
        <v/>
      </c>
      <c r="G753" s="219" t="n"/>
      <c r="H753" s="220" t="n"/>
      <c r="I753" s="221">
        <f>IF(COUNTA(A753:E753)=0,"",IF(OR(D753&lt;=0,E753&lt;0),"ERRO: bases inválidas",IF(E753&gt;D753,"ERRO: presenças acima do previsto",IF(COUNTIFS($A$5:$A$1200,A753,$B$5:$B$1200,B753,$C$5:$C$1200,C753)&gt;1,"ERRO: chave duplicada",IF(COUNTIFS(DISCIPLINAS!$A$5:$A$101,B753,DISCIPLINAS!$B$5:$B$101,C753)=0,"ERRO: disciplina não pertence ao curso","OK")))))</f>
        <v/>
      </c>
    </row>
    <row r="754" ht="15" customHeight="1" s="131">
      <c r="A754" s="220" t="n"/>
      <c r="B754" s="222" t="n"/>
      <c r="C754" s="222" t="n"/>
      <c r="D754" s="220" t="n"/>
      <c r="E754" s="220" t="n"/>
      <c r="F754" s="181">
        <f>IFERROR(E754/D754,"")</f>
        <v/>
      </c>
      <c r="G754" s="219" t="n"/>
      <c r="H754" s="220" t="n"/>
      <c r="I754" s="221">
        <f>IF(COUNTA(A754:E754)=0,"",IF(OR(D754&lt;=0,E754&lt;0),"ERRO: bases inválidas",IF(E754&gt;D754,"ERRO: presenças acima do previsto",IF(COUNTIFS($A$5:$A$1200,A754,$B$5:$B$1200,B754,$C$5:$C$1200,C754)&gt;1,"ERRO: chave duplicada",IF(COUNTIFS(DISCIPLINAS!$A$5:$A$101,B754,DISCIPLINAS!$B$5:$B$101,C754)=0,"ERRO: disciplina não pertence ao curso","OK")))))</f>
        <v/>
      </c>
    </row>
    <row r="755" ht="15" customHeight="1" s="131">
      <c r="A755" s="220" t="n"/>
      <c r="B755" s="222" t="n"/>
      <c r="C755" s="222" t="n"/>
      <c r="D755" s="220" t="n"/>
      <c r="E755" s="220" t="n"/>
      <c r="F755" s="181">
        <f>IFERROR(E755/D755,"")</f>
        <v/>
      </c>
      <c r="G755" s="219" t="n"/>
      <c r="H755" s="220" t="n"/>
      <c r="I755" s="221">
        <f>IF(COUNTA(A755:E755)=0,"",IF(OR(D755&lt;=0,E755&lt;0),"ERRO: bases inválidas",IF(E755&gt;D755,"ERRO: presenças acima do previsto",IF(COUNTIFS($A$5:$A$1200,A755,$B$5:$B$1200,B755,$C$5:$C$1200,C755)&gt;1,"ERRO: chave duplicada",IF(COUNTIFS(DISCIPLINAS!$A$5:$A$101,B755,DISCIPLINAS!$B$5:$B$101,C755)=0,"ERRO: disciplina não pertence ao curso","OK")))))</f>
        <v/>
      </c>
    </row>
    <row r="756" ht="15" customHeight="1" s="131">
      <c r="A756" s="220" t="n"/>
      <c r="B756" s="222" t="n"/>
      <c r="C756" s="222" t="n"/>
      <c r="D756" s="220" t="n"/>
      <c r="E756" s="220" t="n"/>
      <c r="F756" s="181">
        <f>IFERROR(E756/D756,"")</f>
        <v/>
      </c>
      <c r="G756" s="219" t="n"/>
      <c r="H756" s="220" t="n"/>
      <c r="I756" s="221">
        <f>IF(COUNTA(A756:E756)=0,"",IF(OR(D756&lt;=0,E756&lt;0),"ERRO: bases inválidas",IF(E756&gt;D756,"ERRO: presenças acima do previsto",IF(COUNTIFS($A$5:$A$1200,A756,$B$5:$B$1200,B756,$C$5:$C$1200,C756)&gt;1,"ERRO: chave duplicada",IF(COUNTIFS(DISCIPLINAS!$A$5:$A$101,B756,DISCIPLINAS!$B$5:$B$101,C756)=0,"ERRO: disciplina não pertence ao curso","OK")))))</f>
        <v/>
      </c>
    </row>
    <row r="757" ht="15" customHeight="1" s="131">
      <c r="A757" s="220" t="n"/>
      <c r="B757" s="222" t="n"/>
      <c r="C757" s="222" t="n"/>
      <c r="D757" s="220" t="n"/>
      <c r="E757" s="220" t="n"/>
      <c r="F757" s="181">
        <f>IFERROR(E757/D757,"")</f>
        <v/>
      </c>
      <c r="G757" s="219" t="n"/>
      <c r="H757" s="220" t="n"/>
      <c r="I757" s="221">
        <f>IF(COUNTA(A757:E757)=0,"",IF(OR(D757&lt;=0,E757&lt;0),"ERRO: bases inválidas",IF(E757&gt;D757,"ERRO: presenças acima do previsto",IF(COUNTIFS($A$5:$A$1200,A757,$B$5:$B$1200,B757,$C$5:$C$1200,C757)&gt;1,"ERRO: chave duplicada",IF(COUNTIFS(DISCIPLINAS!$A$5:$A$101,B757,DISCIPLINAS!$B$5:$B$101,C757)=0,"ERRO: disciplina não pertence ao curso","OK")))))</f>
        <v/>
      </c>
    </row>
    <row r="758" ht="15" customHeight="1" s="131">
      <c r="A758" s="220" t="n"/>
      <c r="B758" s="222" t="n"/>
      <c r="C758" s="222" t="n"/>
      <c r="D758" s="220" t="n"/>
      <c r="E758" s="220" t="n"/>
      <c r="F758" s="181">
        <f>IFERROR(E758/D758,"")</f>
        <v/>
      </c>
      <c r="G758" s="219" t="n"/>
      <c r="H758" s="220" t="n"/>
      <c r="I758" s="221">
        <f>IF(COUNTA(A758:E758)=0,"",IF(OR(D758&lt;=0,E758&lt;0),"ERRO: bases inválidas",IF(E758&gt;D758,"ERRO: presenças acima do previsto",IF(COUNTIFS($A$5:$A$1200,A758,$B$5:$B$1200,B758,$C$5:$C$1200,C758)&gt;1,"ERRO: chave duplicada",IF(COUNTIFS(DISCIPLINAS!$A$5:$A$101,B758,DISCIPLINAS!$B$5:$B$101,C758)=0,"ERRO: disciplina não pertence ao curso","OK")))))</f>
        <v/>
      </c>
    </row>
    <row r="759" ht="15" customHeight="1" s="131">
      <c r="A759" s="220" t="n"/>
      <c r="B759" s="222" t="n"/>
      <c r="C759" s="222" t="n"/>
      <c r="D759" s="220" t="n"/>
      <c r="E759" s="220" t="n"/>
      <c r="F759" s="181">
        <f>IFERROR(E759/D759,"")</f>
        <v/>
      </c>
      <c r="G759" s="219" t="n"/>
      <c r="H759" s="220" t="n"/>
      <c r="I759" s="221">
        <f>IF(COUNTA(A759:E759)=0,"",IF(OR(D759&lt;=0,E759&lt;0),"ERRO: bases inválidas",IF(E759&gt;D759,"ERRO: presenças acima do previsto",IF(COUNTIFS($A$5:$A$1200,A759,$B$5:$B$1200,B759,$C$5:$C$1200,C759)&gt;1,"ERRO: chave duplicada",IF(COUNTIFS(DISCIPLINAS!$A$5:$A$101,B759,DISCIPLINAS!$B$5:$B$101,C759)=0,"ERRO: disciplina não pertence ao curso","OK")))))</f>
        <v/>
      </c>
    </row>
    <row r="760" ht="15" customHeight="1" s="131">
      <c r="A760" s="220" t="n"/>
      <c r="B760" s="222" t="n"/>
      <c r="C760" s="222" t="n"/>
      <c r="D760" s="220" t="n"/>
      <c r="E760" s="220" t="n"/>
      <c r="F760" s="181">
        <f>IFERROR(E760/D760,"")</f>
        <v/>
      </c>
      <c r="G760" s="219" t="n"/>
      <c r="H760" s="220" t="n"/>
      <c r="I760" s="221">
        <f>IF(COUNTA(A760:E760)=0,"",IF(OR(D760&lt;=0,E760&lt;0),"ERRO: bases inválidas",IF(E760&gt;D760,"ERRO: presenças acima do previsto",IF(COUNTIFS($A$5:$A$1200,A760,$B$5:$B$1200,B760,$C$5:$C$1200,C760)&gt;1,"ERRO: chave duplicada",IF(COUNTIFS(DISCIPLINAS!$A$5:$A$101,B760,DISCIPLINAS!$B$5:$B$101,C760)=0,"ERRO: disciplina não pertence ao curso","OK")))))</f>
        <v/>
      </c>
    </row>
    <row r="761" ht="15" customHeight="1" s="131">
      <c r="A761" s="220" t="n"/>
      <c r="B761" s="222" t="n"/>
      <c r="C761" s="222" t="n"/>
      <c r="D761" s="220" t="n"/>
      <c r="E761" s="220" t="n"/>
      <c r="F761" s="181">
        <f>IFERROR(E761/D761,"")</f>
        <v/>
      </c>
      <c r="G761" s="219" t="n"/>
      <c r="H761" s="220" t="n"/>
      <c r="I761" s="221">
        <f>IF(COUNTA(A761:E761)=0,"",IF(OR(D761&lt;=0,E761&lt;0),"ERRO: bases inválidas",IF(E761&gt;D761,"ERRO: presenças acima do previsto",IF(COUNTIFS($A$5:$A$1200,A761,$B$5:$B$1200,B761,$C$5:$C$1200,C761)&gt;1,"ERRO: chave duplicada",IF(COUNTIFS(DISCIPLINAS!$A$5:$A$101,B761,DISCIPLINAS!$B$5:$B$101,C761)=0,"ERRO: disciplina não pertence ao curso","OK")))))</f>
        <v/>
      </c>
    </row>
    <row r="762" ht="15" customHeight="1" s="131">
      <c r="A762" s="220" t="n"/>
      <c r="B762" s="222" t="n"/>
      <c r="C762" s="222" t="n"/>
      <c r="D762" s="220" t="n"/>
      <c r="E762" s="220" t="n"/>
      <c r="F762" s="181">
        <f>IFERROR(E762/D762,"")</f>
        <v/>
      </c>
      <c r="G762" s="219" t="n"/>
      <c r="H762" s="220" t="n"/>
      <c r="I762" s="221">
        <f>IF(COUNTA(A762:E762)=0,"",IF(OR(D762&lt;=0,E762&lt;0),"ERRO: bases inválidas",IF(E762&gt;D762,"ERRO: presenças acima do previsto",IF(COUNTIFS($A$5:$A$1200,A762,$B$5:$B$1200,B762,$C$5:$C$1200,C762)&gt;1,"ERRO: chave duplicada",IF(COUNTIFS(DISCIPLINAS!$A$5:$A$101,B762,DISCIPLINAS!$B$5:$B$101,C762)=0,"ERRO: disciplina não pertence ao curso","OK")))))</f>
        <v/>
      </c>
    </row>
    <row r="763" ht="15" customHeight="1" s="131">
      <c r="A763" s="220" t="n"/>
      <c r="B763" s="222" t="n"/>
      <c r="C763" s="222" t="n"/>
      <c r="D763" s="220" t="n"/>
      <c r="E763" s="220" t="n"/>
      <c r="F763" s="181">
        <f>IFERROR(E763/D763,"")</f>
        <v/>
      </c>
      <c r="G763" s="219" t="n"/>
      <c r="H763" s="220" t="n"/>
      <c r="I763" s="221">
        <f>IF(COUNTA(A763:E763)=0,"",IF(OR(D763&lt;=0,E763&lt;0),"ERRO: bases inválidas",IF(E763&gt;D763,"ERRO: presenças acima do previsto",IF(COUNTIFS($A$5:$A$1200,A763,$B$5:$B$1200,B763,$C$5:$C$1200,C763)&gt;1,"ERRO: chave duplicada",IF(COUNTIFS(DISCIPLINAS!$A$5:$A$101,B763,DISCIPLINAS!$B$5:$B$101,C763)=0,"ERRO: disciplina não pertence ao curso","OK")))))</f>
        <v/>
      </c>
    </row>
    <row r="764" ht="15" customHeight="1" s="131">
      <c r="A764" s="220" t="n"/>
      <c r="B764" s="222" t="n"/>
      <c r="C764" s="222" t="n"/>
      <c r="D764" s="220" t="n"/>
      <c r="E764" s="220" t="n"/>
      <c r="F764" s="181">
        <f>IFERROR(E764/D764,"")</f>
        <v/>
      </c>
      <c r="G764" s="219" t="n"/>
      <c r="H764" s="220" t="n"/>
      <c r="I764" s="221">
        <f>IF(COUNTA(A764:E764)=0,"",IF(OR(D764&lt;=0,E764&lt;0),"ERRO: bases inválidas",IF(E764&gt;D764,"ERRO: presenças acima do previsto",IF(COUNTIFS($A$5:$A$1200,A764,$B$5:$B$1200,B764,$C$5:$C$1200,C764)&gt;1,"ERRO: chave duplicada",IF(COUNTIFS(DISCIPLINAS!$A$5:$A$101,B764,DISCIPLINAS!$B$5:$B$101,C764)=0,"ERRO: disciplina não pertence ao curso","OK")))))</f>
        <v/>
      </c>
    </row>
    <row r="765" ht="15" customHeight="1" s="131">
      <c r="A765" s="220" t="n"/>
      <c r="B765" s="222" t="n"/>
      <c r="C765" s="222" t="n"/>
      <c r="D765" s="220" t="n"/>
      <c r="E765" s="220" t="n"/>
      <c r="F765" s="181">
        <f>IFERROR(E765/D765,"")</f>
        <v/>
      </c>
      <c r="G765" s="219" t="n"/>
      <c r="H765" s="220" t="n"/>
      <c r="I765" s="221">
        <f>IF(COUNTA(A765:E765)=0,"",IF(OR(D765&lt;=0,E765&lt;0),"ERRO: bases inválidas",IF(E765&gt;D765,"ERRO: presenças acima do previsto",IF(COUNTIFS($A$5:$A$1200,A765,$B$5:$B$1200,B765,$C$5:$C$1200,C765)&gt;1,"ERRO: chave duplicada",IF(COUNTIFS(DISCIPLINAS!$A$5:$A$101,B765,DISCIPLINAS!$B$5:$B$101,C765)=0,"ERRO: disciplina não pertence ao curso","OK")))))</f>
        <v/>
      </c>
    </row>
    <row r="766" ht="15" customHeight="1" s="131">
      <c r="A766" s="220" t="n"/>
      <c r="B766" s="222" t="n"/>
      <c r="C766" s="222" t="n"/>
      <c r="D766" s="220" t="n"/>
      <c r="E766" s="220" t="n"/>
      <c r="F766" s="181">
        <f>IFERROR(E766/D766,"")</f>
        <v/>
      </c>
      <c r="G766" s="219" t="n"/>
      <c r="H766" s="220" t="n"/>
      <c r="I766" s="221">
        <f>IF(COUNTA(A766:E766)=0,"",IF(OR(D766&lt;=0,E766&lt;0),"ERRO: bases inválidas",IF(E766&gt;D766,"ERRO: presenças acima do previsto",IF(COUNTIFS($A$5:$A$1200,A766,$B$5:$B$1200,B766,$C$5:$C$1200,C766)&gt;1,"ERRO: chave duplicada",IF(COUNTIFS(DISCIPLINAS!$A$5:$A$101,B766,DISCIPLINAS!$B$5:$B$101,C766)=0,"ERRO: disciplina não pertence ao curso","OK")))))</f>
        <v/>
      </c>
    </row>
    <row r="767" ht="15" customHeight="1" s="131">
      <c r="A767" s="220" t="n"/>
      <c r="B767" s="222" t="n"/>
      <c r="C767" s="222" t="n"/>
      <c r="D767" s="220" t="n"/>
      <c r="E767" s="220" t="n"/>
      <c r="F767" s="181">
        <f>IFERROR(E767/D767,"")</f>
        <v/>
      </c>
      <c r="G767" s="219" t="n"/>
      <c r="H767" s="220" t="n"/>
      <c r="I767" s="221">
        <f>IF(COUNTA(A767:E767)=0,"",IF(OR(D767&lt;=0,E767&lt;0),"ERRO: bases inválidas",IF(E767&gt;D767,"ERRO: presenças acima do previsto",IF(COUNTIFS($A$5:$A$1200,A767,$B$5:$B$1200,B767,$C$5:$C$1200,C767)&gt;1,"ERRO: chave duplicada",IF(COUNTIFS(DISCIPLINAS!$A$5:$A$101,B767,DISCIPLINAS!$B$5:$B$101,C767)=0,"ERRO: disciplina não pertence ao curso","OK")))))</f>
        <v/>
      </c>
    </row>
    <row r="768" ht="15" customHeight="1" s="131">
      <c r="A768" s="220" t="n"/>
      <c r="B768" s="222" t="n"/>
      <c r="C768" s="222" t="n"/>
      <c r="D768" s="220" t="n"/>
      <c r="E768" s="220" t="n"/>
      <c r="F768" s="181">
        <f>IFERROR(E768/D768,"")</f>
        <v/>
      </c>
      <c r="G768" s="219" t="n"/>
      <c r="H768" s="220" t="n"/>
      <c r="I768" s="221">
        <f>IF(COUNTA(A768:E768)=0,"",IF(OR(D768&lt;=0,E768&lt;0),"ERRO: bases inválidas",IF(E768&gt;D768,"ERRO: presenças acima do previsto",IF(COUNTIFS($A$5:$A$1200,A768,$B$5:$B$1200,B768,$C$5:$C$1200,C768)&gt;1,"ERRO: chave duplicada",IF(COUNTIFS(DISCIPLINAS!$A$5:$A$101,B768,DISCIPLINAS!$B$5:$B$101,C768)=0,"ERRO: disciplina não pertence ao curso","OK")))))</f>
        <v/>
      </c>
    </row>
    <row r="769" ht="15" customHeight="1" s="131">
      <c r="A769" s="220" t="n"/>
      <c r="B769" s="222" t="n"/>
      <c r="C769" s="222" t="n"/>
      <c r="D769" s="220" t="n"/>
      <c r="E769" s="220" t="n"/>
      <c r="F769" s="181">
        <f>IFERROR(E769/D769,"")</f>
        <v/>
      </c>
      <c r="G769" s="219" t="n"/>
      <c r="H769" s="220" t="n"/>
      <c r="I769" s="221">
        <f>IF(COUNTA(A769:E769)=0,"",IF(OR(D769&lt;=0,E769&lt;0),"ERRO: bases inválidas",IF(E769&gt;D769,"ERRO: presenças acima do previsto",IF(COUNTIFS($A$5:$A$1200,A769,$B$5:$B$1200,B769,$C$5:$C$1200,C769)&gt;1,"ERRO: chave duplicada",IF(COUNTIFS(DISCIPLINAS!$A$5:$A$101,B769,DISCIPLINAS!$B$5:$B$101,C769)=0,"ERRO: disciplina não pertence ao curso","OK")))))</f>
        <v/>
      </c>
    </row>
    <row r="770" ht="15" customHeight="1" s="131">
      <c r="A770" s="220" t="n"/>
      <c r="B770" s="222" t="n"/>
      <c r="C770" s="222" t="n"/>
      <c r="D770" s="220" t="n"/>
      <c r="E770" s="220" t="n"/>
      <c r="F770" s="181">
        <f>IFERROR(E770/D770,"")</f>
        <v/>
      </c>
      <c r="G770" s="219" t="n"/>
      <c r="H770" s="220" t="n"/>
      <c r="I770" s="221">
        <f>IF(COUNTA(A770:E770)=0,"",IF(OR(D770&lt;=0,E770&lt;0),"ERRO: bases inválidas",IF(E770&gt;D770,"ERRO: presenças acima do previsto",IF(COUNTIFS($A$5:$A$1200,A770,$B$5:$B$1200,B770,$C$5:$C$1200,C770)&gt;1,"ERRO: chave duplicada",IF(COUNTIFS(DISCIPLINAS!$A$5:$A$101,B770,DISCIPLINAS!$B$5:$B$101,C770)=0,"ERRO: disciplina não pertence ao curso","OK")))))</f>
        <v/>
      </c>
    </row>
    <row r="771" ht="15" customHeight="1" s="131">
      <c r="A771" s="220" t="n"/>
      <c r="B771" s="222" t="n"/>
      <c r="C771" s="222" t="n"/>
      <c r="D771" s="220" t="n"/>
      <c r="E771" s="220" t="n"/>
      <c r="F771" s="181">
        <f>IFERROR(E771/D771,"")</f>
        <v/>
      </c>
      <c r="G771" s="219" t="n"/>
      <c r="H771" s="220" t="n"/>
      <c r="I771" s="221">
        <f>IF(COUNTA(A771:E771)=0,"",IF(OR(D771&lt;=0,E771&lt;0),"ERRO: bases inválidas",IF(E771&gt;D771,"ERRO: presenças acima do previsto",IF(COUNTIFS($A$5:$A$1200,A771,$B$5:$B$1200,B771,$C$5:$C$1200,C771)&gt;1,"ERRO: chave duplicada",IF(COUNTIFS(DISCIPLINAS!$A$5:$A$101,B771,DISCIPLINAS!$B$5:$B$101,C771)=0,"ERRO: disciplina não pertence ao curso","OK")))))</f>
        <v/>
      </c>
    </row>
    <row r="772" ht="15" customHeight="1" s="131">
      <c r="A772" s="220" t="n"/>
      <c r="B772" s="222" t="n"/>
      <c r="C772" s="222" t="n"/>
      <c r="D772" s="220" t="n"/>
      <c r="E772" s="220" t="n"/>
      <c r="F772" s="181">
        <f>IFERROR(E772/D772,"")</f>
        <v/>
      </c>
      <c r="G772" s="219" t="n"/>
      <c r="H772" s="220" t="n"/>
      <c r="I772" s="221">
        <f>IF(COUNTA(A772:E772)=0,"",IF(OR(D772&lt;=0,E772&lt;0),"ERRO: bases inválidas",IF(E772&gt;D772,"ERRO: presenças acima do previsto",IF(COUNTIFS($A$5:$A$1200,A772,$B$5:$B$1200,B772,$C$5:$C$1200,C772)&gt;1,"ERRO: chave duplicada",IF(COUNTIFS(DISCIPLINAS!$A$5:$A$101,B772,DISCIPLINAS!$B$5:$B$101,C772)=0,"ERRO: disciplina não pertence ao curso","OK")))))</f>
        <v/>
      </c>
    </row>
    <row r="773" ht="15" customHeight="1" s="131">
      <c r="A773" s="220" t="n"/>
      <c r="B773" s="222" t="n"/>
      <c r="C773" s="222" t="n"/>
      <c r="D773" s="220" t="n"/>
      <c r="E773" s="220" t="n"/>
      <c r="F773" s="181">
        <f>IFERROR(E773/D773,"")</f>
        <v/>
      </c>
      <c r="G773" s="219" t="n"/>
      <c r="H773" s="220" t="n"/>
      <c r="I773" s="221">
        <f>IF(COUNTA(A773:E773)=0,"",IF(OR(D773&lt;=0,E773&lt;0),"ERRO: bases inválidas",IF(E773&gt;D773,"ERRO: presenças acima do previsto",IF(COUNTIFS($A$5:$A$1200,A773,$B$5:$B$1200,B773,$C$5:$C$1200,C773)&gt;1,"ERRO: chave duplicada",IF(COUNTIFS(DISCIPLINAS!$A$5:$A$101,B773,DISCIPLINAS!$B$5:$B$101,C773)=0,"ERRO: disciplina não pertence ao curso","OK")))))</f>
        <v/>
      </c>
    </row>
    <row r="774" ht="15" customHeight="1" s="131">
      <c r="A774" s="220" t="n"/>
      <c r="B774" s="222" t="n"/>
      <c r="C774" s="222" t="n"/>
      <c r="D774" s="220" t="n"/>
      <c r="E774" s="220" t="n"/>
      <c r="F774" s="181">
        <f>IFERROR(E774/D774,"")</f>
        <v/>
      </c>
      <c r="G774" s="219" t="n"/>
      <c r="H774" s="220" t="n"/>
      <c r="I774" s="221">
        <f>IF(COUNTA(A774:E774)=0,"",IF(OR(D774&lt;=0,E774&lt;0),"ERRO: bases inválidas",IF(E774&gt;D774,"ERRO: presenças acima do previsto",IF(COUNTIFS($A$5:$A$1200,A774,$B$5:$B$1200,B774,$C$5:$C$1200,C774)&gt;1,"ERRO: chave duplicada",IF(COUNTIFS(DISCIPLINAS!$A$5:$A$101,B774,DISCIPLINAS!$B$5:$B$101,C774)=0,"ERRO: disciplina não pertence ao curso","OK")))))</f>
        <v/>
      </c>
    </row>
    <row r="775" ht="15" customHeight="1" s="131">
      <c r="A775" s="220" t="n"/>
      <c r="B775" s="222" t="n"/>
      <c r="C775" s="222" t="n"/>
      <c r="D775" s="220" t="n"/>
      <c r="E775" s="220" t="n"/>
      <c r="F775" s="181">
        <f>IFERROR(E775/D775,"")</f>
        <v/>
      </c>
      <c r="G775" s="219" t="n"/>
      <c r="H775" s="220" t="n"/>
      <c r="I775" s="221">
        <f>IF(COUNTA(A775:E775)=0,"",IF(OR(D775&lt;=0,E775&lt;0),"ERRO: bases inválidas",IF(E775&gt;D775,"ERRO: presenças acima do previsto",IF(COUNTIFS($A$5:$A$1200,A775,$B$5:$B$1200,B775,$C$5:$C$1200,C775)&gt;1,"ERRO: chave duplicada",IF(COUNTIFS(DISCIPLINAS!$A$5:$A$101,B775,DISCIPLINAS!$B$5:$B$101,C775)=0,"ERRO: disciplina não pertence ao curso","OK")))))</f>
        <v/>
      </c>
    </row>
    <row r="776" ht="15" customHeight="1" s="131">
      <c r="A776" s="220" t="n"/>
      <c r="B776" s="222" t="n"/>
      <c r="C776" s="222" t="n"/>
      <c r="D776" s="220" t="n"/>
      <c r="E776" s="220" t="n"/>
      <c r="F776" s="181">
        <f>IFERROR(E776/D776,"")</f>
        <v/>
      </c>
      <c r="G776" s="219" t="n"/>
      <c r="H776" s="220" t="n"/>
      <c r="I776" s="221">
        <f>IF(COUNTA(A776:E776)=0,"",IF(OR(D776&lt;=0,E776&lt;0),"ERRO: bases inválidas",IF(E776&gt;D776,"ERRO: presenças acima do previsto",IF(COUNTIFS($A$5:$A$1200,A776,$B$5:$B$1200,B776,$C$5:$C$1200,C776)&gt;1,"ERRO: chave duplicada",IF(COUNTIFS(DISCIPLINAS!$A$5:$A$101,B776,DISCIPLINAS!$B$5:$B$101,C776)=0,"ERRO: disciplina não pertence ao curso","OK")))))</f>
        <v/>
      </c>
    </row>
    <row r="777" ht="15" customHeight="1" s="131">
      <c r="A777" s="220" t="n"/>
      <c r="B777" s="222" t="n"/>
      <c r="C777" s="222" t="n"/>
      <c r="D777" s="220" t="n"/>
      <c r="E777" s="220" t="n"/>
      <c r="F777" s="181">
        <f>IFERROR(E777/D777,"")</f>
        <v/>
      </c>
      <c r="G777" s="219" t="n"/>
      <c r="H777" s="220" t="n"/>
      <c r="I777" s="221">
        <f>IF(COUNTA(A777:E777)=0,"",IF(OR(D777&lt;=0,E777&lt;0),"ERRO: bases inválidas",IF(E777&gt;D777,"ERRO: presenças acima do previsto",IF(COUNTIFS($A$5:$A$1200,A777,$B$5:$B$1200,B777,$C$5:$C$1200,C777)&gt;1,"ERRO: chave duplicada",IF(COUNTIFS(DISCIPLINAS!$A$5:$A$101,B777,DISCIPLINAS!$B$5:$B$101,C777)=0,"ERRO: disciplina não pertence ao curso","OK")))))</f>
        <v/>
      </c>
    </row>
    <row r="778" ht="15" customHeight="1" s="131">
      <c r="A778" s="220" t="n"/>
      <c r="B778" s="222" t="n"/>
      <c r="C778" s="222" t="n"/>
      <c r="D778" s="220" t="n"/>
      <c r="E778" s="220" t="n"/>
      <c r="F778" s="181">
        <f>IFERROR(E778/D778,"")</f>
        <v/>
      </c>
      <c r="G778" s="219" t="n"/>
      <c r="H778" s="220" t="n"/>
      <c r="I778" s="221">
        <f>IF(COUNTA(A778:E778)=0,"",IF(OR(D778&lt;=0,E778&lt;0),"ERRO: bases inválidas",IF(E778&gt;D778,"ERRO: presenças acima do previsto",IF(COUNTIFS($A$5:$A$1200,A778,$B$5:$B$1200,B778,$C$5:$C$1200,C778)&gt;1,"ERRO: chave duplicada",IF(COUNTIFS(DISCIPLINAS!$A$5:$A$101,B778,DISCIPLINAS!$B$5:$B$101,C778)=0,"ERRO: disciplina não pertence ao curso","OK")))))</f>
        <v/>
      </c>
    </row>
    <row r="779" ht="15" customHeight="1" s="131">
      <c r="A779" s="220" t="n"/>
      <c r="B779" s="222" t="n"/>
      <c r="C779" s="222" t="n"/>
      <c r="D779" s="220" t="n"/>
      <c r="E779" s="220" t="n"/>
      <c r="F779" s="181">
        <f>IFERROR(E779/D779,"")</f>
        <v/>
      </c>
      <c r="G779" s="219" t="n"/>
      <c r="H779" s="220" t="n"/>
      <c r="I779" s="221">
        <f>IF(COUNTA(A779:E779)=0,"",IF(OR(D779&lt;=0,E779&lt;0),"ERRO: bases inválidas",IF(E779&gt;D779,"ERRO: presenças acima do previsto",IF(COUNTIFS($A$5:$A$1200,A779,$B$5:$B$1200,B779,$C$5:$C$1200,C779)&gt;1,"ERRO: chave duplicada",IF(COUNTIFS(DISCIPLINAS!$A$5:$A$101,B779,DISCIPLINAS!$B$5:$B$101,C779)=0,"ERRO: disciplina não pertence ao curso","OK")))))</f>
        <v/>
      </c>
    </row>
    <row r="780" ht="15" customHeight="1" s="131">
      <c r="A780" s="220" t="n"/>
      <c r="B780" s="222" t="n"/>
      <c r="C780" s="222" t="n"/>
      <c r="D780" s="220" t="n"/>
      <c r="E780" s="220" t="n"/>
      <c r="F780" s="181">
        <f>IFERROR(E780/D780,"")</f>
        <v/>
      </c>
      <c r="G780" s="219" t="n"/>
      <c r="H780" s="220" t="n"/>
      <c r="I780" s="221">
        <f>IF(COUNTA(A780:E780)=0,"",IF(OR(D780&lt;=0,E780&lt;0),"ERRO: bases inválidas",IF(E780&gt;D780,"ERRO: presenças acima do previsto",IF(COUNTIFS($A$5:$A$1200,A780,$B$5:$B$1200,B780,$C$5:$C$1200,C780)&gt;1,"ERRO: chave duplicada",IF(COUNTIFS(DISCIPLINAS!$A$5:$A$101,B780,DISCIPLINAS!$B$5:$B$101,C780)=0,"ERRO: disciplina não pertence ao curso","OK")))))</f>
        <v/>
      </c>
    </row>
    <row r="781" ht="15" customHeight="1" s="131">
      <c r="A781" s="220" t="n"/>
      <c r="B781" s="222" t="n"/>
      <c r="C781" s="222" t="n"/>
      <c r="D781" s="220" t="n"/>
      <c r="E781" s="220" t="n"/>
      <c r="F781" s="181">
        <f>IFERROR(E781/D781,"")</f>
        <v/>
      </c>
      <c r="G781" s="219" t="n"/>
      <c r="H781" s="220" t="n"/>
      <c r="I781" s="221">
        <f>IF(COUNTA(A781:E781)=0,"",IF(OR(D781&lt;=0,E781&lt;0),"ERRO: bases inválidas",IF(E781&gt;D781,"ERRO: presenças acima do previsto",IF(COUNTIFS($A$5:$A$1200,A781,$B$5:$B$1200,B781,$C$5:$C$1200,C781)&gt;1,"ERRO: chave duplicada",IF(COUNTIFS(DISCIPLINAS!$A$5:$A$101,B781,DISCIPLINAS!$B$5:$B$101,C781)=0,"ERRO: disciplina não pertence ao curso","OK")))))</f>
        <v/>
      </c>
    </row>
    <row r="782" ht="15" customHeight="1" s="131">
      <c r="A782" s="220" t="n"/>
      <c r="B782" s="222" t="n"/>
      <c r="C782" s="222" t="n"/>
      <c r="D782" s="220" t="n"/>
      <c r="E782" s="220" t="n"/>
      <c r="F782" s="181">
        <f>IFERROR(E782/D782,"")</f>
        <v/>
      </c>
      <c r="G782" s="219" t="n"/>
      <c r="H782" s="220" t="n"/>
      <c r="I782" s="221">
        <f>IF(COUNTA(A782:E782)=0,"",IF(OR(D782&lt;=0,E782&lt;0),"ERRO: bases inválidas",IF(E782&gt;D782,"ERRO: presenças acima do previsto",IF(COUNTIFS($A$5:$A$1200,A782,$B$5:$B$1200,B782,$C$5:$C$1200,C782)&gt;1,"ERRO: chave duplicada",IF(COUNTIFS(DISCIPLINAS!$A$5:$A$101,B782,DISCIPLINAS!$B$5:$B$101,C782)=0,"ERRO: disciplina não pertence ao curso","OK")))))</f>
        <v/>
      </c>
    </row>
    <row r="783" ht="15" customHeight="1" s="131">
      <c r="A783" s="220" t="n"/>
      <c r="B783" s="222" t="n"/>
      <c r="C783" s="222" t="n"/>
      <c r="D783" s="220" t="n"/>
      <c r="E783" s="220" t="n"/>
      <c r="F783" s="181">
        <f>IFERROR(E783/D783,"")</f>
        <v/>
      </c>
      <c r="G783" s="219" t="n"/>
      <c r="H783" s="220" t="n"/>
      <c r="I783" s="221">
        <f>IF(COUNTA(A783:E783)=0,"",IF(OR(D783&lt;=0,E783&lt;0),"ERRO: bases inválidas",IF(E783&gt;D783,"ERRO: presenças acima do previsto",IF(COUNTIFS($A$5:$A$1200,A783,$B$5:$B$1200,B783,$C$5:$C$1200,C783)&gt;1,"ERRO: chave duplicada",IF(COUNTIFS(DISCIPLINAS!$A$5:$A$101,B783,DISCIPLINAS!$B$5:$B$101,C783)=0,"ERRO: disciplina não pertence ao curso","OK")))))</f>
        <v/>
      </c>
    </row>
    <row r="784" ht="15" customHeight="1" s="131">
      <c r="A784" s="220" t="n"/>
      <c r="B784" s="222" t="n"/>
      <c r="C784" s="222" t="n"/>
      <c r="D784" s="220" t="n"/>
      <c r="E784" s="220" t="n"/>
      <c r="F784" s="181">
        <f>IFERROR(E784/D784,"")</f>
        <v/>
      </c>
      <c r="G784" s="219" t="n"/>
      <c r="H784" s="220" t="n"/>
      <c r="I784" s="221">
        <f>IF(COUNTA(A784:E784)=0,"",IF(OR(D784&lt;=0,E784&lt;0),"ERRO: bases inválidas",IF(E784&gt;D784,"ERRO: presenças acima do previsto",IF(COUNTIFS($A$5:$A$1200,A784,$B$5:$B$1200,B784,$C$5:$C$1200,C784)&gt;1,"ERRO: chave duplicada",IF(COUNTIFS(DISCIPLINAS!$A$5:$A$101,B784,DISCIPLINAS!$B$5:$B$101,C784)=0,"ERRO: disciplina não pertence ao curso","OK")))))</f>
        <v/>
      </c>
    </row>
    <row r="785" ht="15" customHeight="1" s="131">
      <c r="A785" s="220" t="n"/>
      <c r="B785" s="222" t="n"/>
      <c r="C785" s="222" t="n"/>
      <c r="D785" s="220" t="n"/>
      <c r="E785" s="220" t="n"/>
      <c r="F785" s="181">
        <f>IFERROR(E785/D785,"")</f>
        <v/>
      </c>
      <c r="G785" s="219" t="n"/>
      <c r="H785" s="220" t="n"/>
      <c r="I785" s="221">
        <f>IF(COUNTA(A785:E785)=0,"",IF(OR(D785&lt;=0,E785&lt;0),"ERRO: bases inválidas",IF(E785&gt;D785,"ERRO: presenças acima do previsto",IF(COUNTIFS($A$5:$A$1200,A785,$B$5:$B$1200,B785,$C$5:$C$1200,C785)&gt;1,"ERRO: chave duplicada",IF(COUNTIFS(DISCIPLINAS!$A$5:$A$101,B785,DISCIPLINAS!$B$5:$B$101,C785)=0,"ERRO: disciplina não pertence ao curso","OK")))))</f>
        <v/>
      </c>
    </row>
    <row r="786" ht="15" customHeight="1" s="131">
      <c r="A786" s="220" t="n"/>
      <c r="B786" s="222" t="n"/>
      <c r="C786" s="222" t="n"/>
      <c r="D786" s="220" t="n"/>
      <c r="E786" s="220" t="n"/>
      <c r="F786" s="181">
        <f>IFERROR(E786/D786,"")</f>
        <v/>
      </c>
      <c r="G786" s="219" t="n"/>
      <c r="H786" s="220" t="n"/>
      <c r="I786" s="221">
        <f>IF(COUNTA(A786:E786)=0,"",IF(OR(D786&lt;=0,E786&lt;0),"ERRO: bases inválidas",IF(E786&gt;D786,"ERRO: presenças acima do previsto",IF(COUNTIFS($A$5:$A$1200,A786,$B$5:$B$1200,B786,$C$5:$C$1200,C786)&gt;1,"ERRO: chave duplicada",IF(COUNTIFS(DISCIPLINAS!$A$5:$A$101,B786,DISCIPLINAS!$B$5:$B$101,C786)=0,"ERRO: disciplina não pertence ao curso","OK")))))</f>
        <v/>
      </c>
    </row>
    <row r="787" ht="15" customHeight="1" s="131">
      <c r="A787" s="220" t="n"/>
      <c r="B787" s="222" t="n"/>
      <c r="C787" s="222" t="n"/>
      <c r="D787" s="220" t="n"/>
      <c r="E787" s="220" t="n"/>
      <c r="F787" s="181">
        <f>IFERROR(E787/D787,"")</f>
        <v/>
      </c>
      <c r="G787" s="219" t="n"/>
      <c r="H787" s="220" t="n"/>
      <c r="I787" s="221">
        <f>IF(COUNTA(A787:E787)=0,"",IF(OR(D787&lt;=0,E787&lt;0),"ERRO: bases inválidas",IF(E787&gt;D787,"ERRO: presenças acima do previsto",IF(COUNTIFS($A$5:$A$1200,A787,$B$5:$B$1200,B787,$C$5:$C$1200,C787)&gt;1,"ERRO: chave duplicada",IF(COUNTIFS(DISCIPLINAS!$A$5:$A$101,B787,DISCIPLINAS!$B$5:$B$101,C787)=0,"ERRO: disciplina não pertence ao curso","OK")))))</f>
        <v/>
      </c>
    </row>
    <row r="788" ht="15" customHeight="1" s="131">
      <c r="A788" s="220" t="n"/>
      <c r="B788" s="222" t="n"/>
      <c r="C788" s="222" t="n"/>
      <c r="D788" s="220" t="n"/>
      <c r="E788" s="220" t="n"/>
      <c r="F788" s="181">
        <f>IFERROR(E788/D788,"")</f>
        <v/>
      </c>
      <c r="G788" s="219" t="n"/>
      <c r="H788" s="220" t="n"/>
      <c r="I788" s="221">
        <f>IF(COUNTA(A788:E788)=0,"",IF(OR(D788&lt;=0,E788&lt;0),"ERRO: bases inválidas",IF(E788&gt;D788,"ERRO: presenças acima do previsto",IF(COUNTIFS($A$5:$A$1200,A788,$B$5:$B$1200,B788,$C$5:$C$1200,C788)&gt;1,"ERRO: chave duplicada",IF(COUNTIFS(DISCIPLINAS!$A$5:$A$101,B788,DISCIPLINAS!$B$5:$B$101,C788)=0,"ERRO: disciplina não pertence ao curso","OK")))))</f>
        <v/>
      </c>
    </row>
    <row r="789" ht="15" customHeight="1" s="131">
      <c r="A789" s="220" t="n"/>
      <c r="B789" s="222" t="n"/>
      <c r="C789" s="222" t="n"/>
      <c r="D789" s="220" t="n"/>
      <c r="E789" s="220" t="n"/>
      <c r="F789" s="181">
        <f>IFERROR(E789/D789,"")</f>
        <v/>
      </c>
      <c r="G789" s="219" t="n"/>
      <c r="H789" s="220" t="n"/>
      <c r="I789" s="221">
        <f>IF(COUNTA(A789:E789)=0,"",IF(OR(D789&lt;=0,E789&lt;0),"ERRO: bases inválidas",IF(E789&gt;D789,"ERRO: presenças acima do previsto",IF(COUNTIFS($A$5:$A$1200,A789,$B$5:$B$1200,B789,$C$5:$C$1200,C789)&gt;1,"ERRO: chave duplicada",IF(COUNTIFS(DISCIPLINAS!$A$5:$A$101,B789,DISCIPLINAS!$B$5:$B$101,C789)=0,"ERRO: disciplina não pertence ao curso","OK")))))</f>
        <v/>
      </c>
    </row>
    <row r="790" ht="15" customHeight="1" s="131">
      <c r="A790" s="220" t="n"/>
      <c r="B790" s="222" t="n"/>
      <c r="C790" s="222" t="n"/>
      <c r="D790" s="220" t="n"/>
      <c r="E790" s="220" t="n"/>
      <c r="F790" s="181">
        <f>IFERROR(E790/D790,"")</f>
        <v/>
      </c>
      <c r="G790" s="219" t="n"/>
      <c r="H790" s="220" t="n"/>
      <c r="I790" s="221">
        <f>IF(COUNTA(A790:E790)=0,"",IF(OR(D790&lt;=0,E790&lt;0),"ERRO: bases inválidas",IF(E790&gt;D790,"ERRO: presenças acima do previsto",IF(COUNTIFS($A$5:$A$1200,A790,$B$5:$B$1200,B790,$C$5:$C$1200,C790)&gt;1,"ERRO: chave duplicada",IF(COUNTIFS(DISCIPLINAS!$A$5:$A$101,B790,DISCIPLINAS!$B$5:$B$101,C790)=0,"ERRO: disciplina não pertence ao curso","OK")))))</f>
        <v/>
      </c>
    </row>
    <row r="791" ht="15" customHeight="1" s="131">
      <c r="A791" s="220" t="n"/>
      <c r="B791" s="222" t="n"/>
      <c r="C791" s="222" t="n"/>
      <c r="D791" s="220" t="n"/>
      <c r="E791" s="220" t="n"/>
      <c r="F791" s="181">
        <f>IFERROR(E791/D791,"")</f>
        <v/>
      </c>
      <c r="G791" s="219" t="n"/>
      <c r="H791" s="220" t="n"/>
      <c r="I791" s="221">
        <f>IF(COUNTA(A791:E791)=0,"",IF(OR(D791&lt;=0,E791&lt;0),"ERRO: bases inválidas",IF(E791&gt;D791,"ERRO: presenças acima do previsto",IF(COUNTIFS($A$5:$A$1200,A791,$B$5:$B$1200,B791,$C$5:$C$1200,C791)&gt;1,"ERRO: chave duplicada",IF(COUNTIFS(DISCIPLINAS!$A$5:$A$101,B791,DISCIPLINAS!$B$5:$B$101,C791)=0,"ERRO: disciplina não pertence ao curso","OK")))))</f>
        <v/>
      </c>
    </row>
    <row r="792" ht="15" customHeight="1" s="131">
      <c r="A792" s="220" t="n"/>
      <c r="B792" s="222" t="n"/>
      <c r="C792" s="222" t="n"/>
      <c r="D792" s="220" t="n"/>
      <c r="E792" s="220" t="n"/>
      <c r="F792" s="181">
        <f>IFERROR(E792/D792,"")</f>
        <v/>
      </c>
      <c r="G792" s="219" t="n"/>
      <c r="H792" s="220" t="n"/>
      <c r="I792" s="221">
        <f>IF(COUNTA(A792:E792)=0,"",IF(OR(D792&lt;=0,E792&lt;0),"ERRO: bases inválidas",IF(E792&gt;D792,"ERRO: presenças acima do previsto",IF(COUNTIFS($A$5:$A$1200,A792,$B$5:$B$1200,B792,$C$5:$C$1200,C792)&gt;1,"ERRO: chave duplicada",IF(COUNTIFS(DISCIPLINAS!$A$5:$A$101,B792,DISCIPLINAS!$B$5:$B$101,C792)=0,"ERRO: disciplina não pertence ao curso","OK")))))</f>
        <v/>
      </c>
    </row>
    <row r="793" ht="15" customHeight="1" s="131">
      <c r="A793" s="220" t="n"/>
      <c r="B793" s="222" t="n"/>
      <c r="C793" s="222" t="n"/>
      <c r="D793" s="220" t="n"/>
      <c r="E793" s="220" t="n"/>
      <c r="F793" s="181">
        <f>IFERROR(E793/D793,"")</f>
        <v/>
      </c>
      <c r="G793" s="219" t="n"/>
      <c r="H793" s="220" t="n"/>
      <c r="I793" s="221">
        <f>IF(COUNTA(A793:E793)=0,"",IF(OR(D793&lt;=0,E793&lt;0),"ERRO: bases inválidas",IF(E793&gt;D793,"ERRO: presenças acima do previsto",IF(COUNTIFS($A$5:$A$1200,A793,$B$5:$B$1200,B793,$C$5:$C$1200,C793)&gt;1,"ERRO: chave duplicada",IF(COUNTIFS(DISCIPLINAS!$A$5:$A$101,B793,DISCIPLINAS!$B$5:$B$101,C793)=0,"ERRO: disciplina não pertence ao curso","OK")))))</f>
        <v/>
      </c>
    </row>
    <row r="794" ht="15" customHeight="1" s="131">
      <c r="A794" s="220" t="n"/>
      <c r="B794" s="222" t="n"/>
      <c r="C794" s="222" t="n"/>
      <c r="D794" s="220" t="n"/>
      <c r="E794" s="220" t="n"/>
      <c r="F794" s="181">
        <f>IFERROR(E794/D794,"")</f>
        <v/>
      </c>
      <c r="G794" s="219" t="n"/>
      <c r="H794" s="220" t="n"/>
      <c r="I794" s="221">
        <f>IF(COUNTA(A794:E794)=0,"",IF(OR(D794&lt;=0,E794&lt;0),"ERRO: bases inválidas",IF(E794&gt;D794,"ERRO: presenças acima do previsto",IF(COUNTIFS($A$5:$A$1200,A794,$B$5:$B$1200,B794,$C$5:$C$1200,C794)&gt;1,"ERRO: chave duplicada",IF(COUNTIFS(DISCIPLINAS!$A$5:$A$101,B794,DISCIPLINAS!$B$5:$B$101,C794)=0,"ERRO: disciplina não pertence ao curso","OK")))))</f>
        <v/>
      </c>
    </row>
    <row r="795" ht="15" customHeight="1" s="131">
      <c r="A795" s="220" t="n"/>
      <c r="B795" s="222" t="n"/>
      <c r="C795" s="222" t="n"/>
      <c r="D795" s="220" t="n"/>
      <c r="E795" s="220" t="n"/>
      <c r="F795" s="181">
        <f>IFERROR(E795/D795,"")</f>
        <v/>
      </c>
      <c r="G795" s="219" t="n"/>
      <c r="H795" s="220" t="n"/>
      <c r="I795" s="221">
        <f>IF(COUNTA(A795:E795)=0,"",IF(OR(D795&lt;=0,E795&lt;0),"ERRO: bases inválidas",IF(E795&gt;D795,"ERRO: presenças acima do previsto",IF(COUNTIFS($A$5:$A$1200,A795,$B$5:$B$1200,B795,$C$5:$C$1200,C795)&gt;1,"ERRO: chave duplicada",IF(COUNTIFS(DISCIPLINAS!$A$5:$A$101,B795,DISCIPLINAS!$B$5:$B$101,C795)=0,"ERRO: disciplina não pertence ao curso","OK")))))</f>
        <v/>
      </c>
    </row>
    <row r="796" ht="15" customHeight="1" s="131">
      <c r="A796" s="220" t="n"/>
      <c r="B796" s="222" t="n"/>
      <c r="C796" s="222" t="n"/>
      <c r="D796" s="220" t="n"/>
      <c r="E796" s="220" t="n"/>
      <c r="F796" s="181">
        <f>IFERROR(E796/D796,"")</f>
        <v/>
      </c>
      <c r="G796" s="219" t="n"/>
      <c r="H796" s="220" t="n"/>
      <c r="I796" s="221">
        <f>IF(COUNTA(A796:E796)=0,"",IF(OR(D796&lt;=0,E796&lt;0),"ERRO: bases inválidas",IF(E796&gt;D796,"ERRO: presenças acima do previsto",IF(COUNTIFS($A$5:$A$1200,A796,$B$5:$B$1200,B796,$C$5:$C$1200,C796)&gt;1,"ERRO: chave duplicada",IF(COUNTIFS(DISCIPLINAS!$A$5:$A$101,B796,DISCIPLINAS!$B$5:$B$101,C796)=0,"ERRO: disciplina não pertence ao curso","OK")))))</f>
        <v/>
      </c>
    </row>
    <row r="797" ht="15" customHeight="1" s="131">
      <c r="A797" s="220" t="n"/>
      <c r="B797" s="222" t="n"/>
      <c r="C797" s="222" t="n"/>
      <c r="D797" s="220" t="n"/>
      <c r="E797" s="220" t="n"/>
      <c r="F797" s="181">
        <f>IFERROR(E797/D797,"")</f>
        <v/>
      </c>
      <c r="G797" s="219" t="n"/>
      <c r="H797" s="220" t="n"/>
      <c r="I797" s="221">
        <f>IF(COUNTA(A797:E797)=0,"",IF(OR(D797&lt;=0,E797&lt;0),"ERRO: bases inválidas",IF(E797&gt;D797,"ERRO: presenças acima do previsto",IF(COUNTIFS($A$5:$A$1200,A797,$B$5:$B$1200,B797,$C$5:$C$1200,C797)&gt;1,"ERRO: chave duplicada",IF(COUNTIFS(DISCIPLINAS!$A$5:$A$101,B797,DISCIPLINAS!$B$5:$B$101,C797)=0,"ERRO: disciplina não pertence ao curso","OK")))))</f>
        <v/>
      </c>
    </row>
    <row r="798" ht="15" customHeight="1" s="131">
      <c r="A798" s="220" t="n"/>
      <c r="B798" s="222" t="n"/>
      <c r="C798" s="222" t="n"/>
      <c r="D798" s="220" t="n"/>
      <c r="E798" s="220" t="n"/>
      <c r="F798" s="181">
        <f>IFERROR(E798/D798,"")</f>
        <v/>
      </c>
      <c r="G798" s="219" t="n"/>
      <c r="H798" s="220" t="n"/>
      <c r="I798" s="221">
        <f>IF(COUNTA(A798:E798)=0,"",IF(OR(D798&lt;=0,E798&lt;0),"ERRO: bases inválidas",IF(E798&gt;D798,"ERRO: presenças acima do previsto",IF(COUNTIFS($A$5:$A$1200,A798,$B$5:$B$1200,B798,$C$5:$C$1200,C798)&gt;1,"ERRO: chave duplicada",IF(COUNTIFS(DISCIPLINAS!$A$5:$A$101,B798,DISCIPLINAS!$B$5:$B$101,C798)=0,"ERRO: disciplina não pertence ao curso","OK")))))</f>
        <v/>
      </c>
    </row>
    <row r="799" ht="15" customHeight="1" s="131">
      <c r="A799" s="220" t="n"/>
      <c r="B799" s="222" t="n"/>
      <c r="C799" s="222" t="n"/>
      <c r="D799" s="220" t="n"/>
      <c r="E799" s="220" t="n"/>
      <c r="F799" s="181">
        <f>IFERROR(E799/D799,"")</f>
        <v/>
      </c>
      <c r="G799" s="219" t="n"/>
      <c r="H799" s="220" t="n"/>
      <c r="I799" s="221">
        <f>IF(COUNTA(A799:E799)=0,"",IF(OR(D799&lt;=0,E799&lt;0),"ERRO: bases inválidas",IF(E799&gt;D799,"ERRO: presenças acima do previsto",IF(COUNTIFS($A$5:$A$1200,A799,$B$5:$B$1200,B799,$C$5:$C$1200,C799)&gt;1,"ERRO: chave duplicada",IF(COUNTIFS(DISCIPLINAS!$A$5:$A$101,B799,DISCIPLINAS!$B$5:$B$101,C799)=0,"ERRO: disciplina não pertence ao curso","OK")))))</f>
        <v/>
      </c>
    </row>
    <row r="800" ht="15" customHeight="1" s="131">
      <c r="A800" s="220" t="n"/>
      <c r="B800" s="222" t="n"/>
      <c r="C800" s="222" t="n"/>
      <c r="D800" s="220" t="n"/>
      <c r="E800" s="220" t="n"/>
      <c r="F800" s="181">
        <f>IFERROR(E800/D800,"")</f>
        <v/>
      </c>
      <c r="G800" s="219" t="n"/>
      <c r="H800" s="220" t="n"/>
      <c r="I800" s="221">
        <f>IF(COUNTA(A800:E800)=0,"",IF(OR(D800&lt;=0,E800&lt;0),"ERRO: bases inválidas",IF(E800&gt;D800,"ERRO: presenças acima do previsto",IF(COUNTIFS($A$5:$A$1200,A800,$B$5:$B$1200,B800,$C$5:$C$1200,C800)&gt;1,"ERRO: chave duplicada",IF(COUNTIFS(DISCIPLINAS!$A$5:$A$101,B800,DISCIPLINAS!$B$5:$B$101,C800)=0,"ERRO: disciplina não pertence ao curso","OK")))))</f>
        <v/>
      </c>
    </row>
    <row r="801" ht="15" customHeight="1" s="131">
      <c r="A801" s="220" t="n"/>
      <c r="B801" s="222" t="n"/>
      <c r="C801" s="222" t="n"/>
      <c r="D801" s="220" t="n"/>
      <c r="E801" s="220" t="n"/>
      <c r="F801" s="181">
        <f>IFERROR(E801/D801,"")</f>
        <v/>
      </c>
      <c r="G801" s="219" t="n"/>
      <c r="H801" s="220" t="n"/>
      <c r="I801" s="221">
        <f>IF(COUNTA(A801:E801)=0,"",IF(OR(D801&lt;=0,E801&lt;0),"ERRO: bases inválidas",IF(E801&gt;D801,"ERRO: presenças acima do previsto",IF(COUNTIFS($A$5:$A$1200,A801,$B$5:$B$1200,B801,$C$5:$C$1200,C801)&gt;1,"ERRO: chave duplicada",IF(COUNTIFS(DISCIPLINAS!$A$5:$A$101,B801,DISCIPLINAS!$B$5:$B$101,C801)=0,"ERRO: disciplina não pertence ao curso","OK")))))</f>
        <v/>
      </c>
    </row>
    <row r="802" ht="15" customHeight="1" s="131">
      <c r="A802" s="220" t="n"/>
      <c r="B802" s="222" t="n"/>
      <c r="C802" s="222" t="n"/>
      <c r="D802" s="220" t="n"/>
      <c r="E802" s="220" t="n"/>
      <c r="F802" s="181">
        <f>IFERROR(E802/D802,"")</f>
        <v/>
      </c>
      <c r="G802" s="219" t="n"/>
      <c r="H802" s="220" t="n"/>
      <c r="I802" s="221">
        <f>IF(COUNTA(A802:E802)=0,"",IF(OR(D802&lt;=0,E802&lt;0),"ERRO: bases inválidas",IF(E802&gt;D802,"ERRO: presenças acima do previsto",IF(COUNTIFS($A$5:$A$1200,A802,$B$5:$B$1200,B802,$C$5:$C$1200,C802)&gt;1,"ERRO: chave duplicada",IF(COUNTIFS(DISCIPLINAS!$A$5:$A$101,B802,DISCIPLINAS!$B$5:$B$101,C802)=0,"ERRO: disciplina não pertence ao curso","OK")))))</f>
        <v/>
      </c>
    </row>
    <row r="803" ht="15" customHeight="1" s="131">
      <c r="A803" s="220" t="n"/>
      <c r="B803" s="222" t="n"/>
      <c r="C803" s="222" t="n"/>
      <c r="D803" s="220" t="n"/>
      <c r="E803" s="220" t="n"/>
      <c r="F803" s="181">
        <f>IFERROR(E803/D803,"")</f>
        <v/>
      </c>
      <c r="G803" s="219" t="n"/>
      <c r="H803" s="220" t="n"/>
      <c r="I803" s="221">
        <f>IF(COUNTA(A803:E803)=0,"",IF(OR(D803&lt;=0,E803&lt;0),"ERRO: bases inválidas",IF(E803&gt;D803,"ERRO: presenças acima do previsto",IF(COUNTIFS($A$5:$A$1200,A803,$B$5:$B$1200,B803,$C$5:$C$1200,C803)&gt;1,"ERRO: chave duplicada",IF(COUNTIFS(DISCIPLINAS!$A$5:$A$101,B803,DISCIPLINAS!$B$5:$B$101,C803)=0,"ERRO: disciplina não pertence ao curso","OK")))))</f>
        <v/>
      </c>
    </row>
    <row r="804" ht="15" customHeight="1" s="131">
      <c r="A804" s="220" t="n"/>
      <c r="B804" s="222" t="n"/>
      <c r="C804" s="222" t="n"/>
      <c r="D804" s="220" t="n"/>
      <c r="E804" s="220" t="n"/>
      <c r="F804" s="181">
        <f>IFERROR(E804/D804,"")</f>
        <v/>
      </c>
      <c r="G804" s="219" t="n"/>
      <c r="H804" s="220" t="n"/>
      <c r="I804" s="221">
        <f>IF(COUNTA(A804:E804)=0,"",IF(OR(D804&lt;=0,E804&lt;0),"ERRO: bases inválidas",IF(E804&gt;D804,"ERRO: presenças acima do previsto",IF(COUNTIFS($A$5:$A$1200,A804,$B$5:$B$1200,B804,$C$5:$C$1200,C804)&gt;1,"ERRO: chave duplicada",IF(COUNTIFS(DISCIPLINAS!$A$5:$A$101,B804,DISCIPLINAS!$B$5:$B$101,C804)=0,"ERRO: disciplina não pertence ao curso","OK")))))</f>
        <v/>
      </c>
    </row>
    <row r="805" ht="15" customHeight="1" s="131">
      <c r="A805" s="220" t="n"/>
      <c r="B805" s="222" t="n"/>
      <c r="C805" s="222" t="n"/>
      <c r="D805" s="220" t="n"/>
      <c r="E805" s="220" t="n"/>
      <c r="F805" s="181">
        <f>IFERROR(E805/D805,"")</f>
        <v/>
      </c>
      <c r="G805" s="219" t="n"/>
      <c r="H805" s="220" t="n"/>
      <c r="I805" s="221">
        <f>IF(COUNTA(A805:E805)=0,"",IF(OR(D805&lt;=0,E805&lt;0),"ERRO: bases inválidas",IF(E805&gt;D805,"ERRO: presenças acima do previsto",IF(COUNTIFS($A$5:$A$1200,A805,$B$5:$B$1200,B805,$C$5:$C$1200,C805)&gt;1,"ERRO: chave duplicada",IF(COUNTIFS(DISCIPLINAS!$A$5:$A$101,B805,DISCIPLINAS!$B$5:$B$101,C805)=0,"ERRO: disciplina não pertence ao curso","OK")))))</f>
        <v/>
      </c>
    </row>
    <row r="806" ht="15" customHeight="1" s="131">
      <c r="A806" s="220" t="n"/>
      <c r="B806" s="222" t="n"/>
      <c r="C806" s="222" t="n"/>
      <c r="D806" s="220" t="n"/>
      <c r="E806" s="220" t="n"/>
      <c r="F806" s="181">
        <f>IFERROR(E806/D806,"")</f>
        <v/>
      </c>
      <c r="G806" s="219" t="n"/>
      <c r="H806" s="220" t="n"/>
      <c r="I806" s="221">
        <f>IF(COUNTA(A806:E806)=0,"",IF(OR(D806&lt;=0,E806&lt;0),"ERRO: bases inválidas",IF(E806&gt;D806,"ERRO: presenças acima do previsto",IF(COUNTIFS($A$5:$A$1200,A806,$B$5:$B$1200,B806,$C$5:$C$1200,C806)&gt;1,"ERRO: chave duplicada",IF(COUNTIFS(DISCIPLINAS!$A$5:$A$101,B806,DISCIPLINAS!$B$5:$B$101,C806)=0,"ERRO: disciplina não pertence ao curso","OK")))))</f>
        <v/>
      </c>
    </row>
    <row r="807" ht="15" customHeight="1" s="131">
      <c r="A807" s="220" t="n"/>
      <c r="B807" s="222" t="n"/>
      <c r="C807" s="222" t="n"/>
      <c r="D807" s="220" t="n"/>
      <c r="E807" s="220" t="n"/>
      <c r="F807" s="181">
        <f>IFERROR(E807/D807,"")</f>
        <v/>
      </c>
      <c r="G807" s="219" t="n"/>
      <c r="H807" s="220" t="n"/>
      <c r="I807" s="221">
        <f>IF(COUNTA(A807:E807)=0,"",IF(OR(D807&lt;=0,E807&lt;0),"ERRO: bases inválidas",IF(E807&gt;D807,"ERRO: presenças acima do previsto",IF(COUNTIFS($A$5:$A$1200,A807,$B$5:$B$1200,B807,$C$5:$C$1200,C807)&gt;1,"ERRO: chave duplicada",IF(COUNTIFS(DISCIPLINAS!$A$5:$A$101,B807,DISCIPLINAS!$B$5:$B$101,C807)=0,"ERRO: disciplina não pertence ao curso","OK")))))</f>
        <v/>
      </c>
    </row>
    <row r="808" ht="15" customHeight="1" s="131">
      <c r="A808" s="220" t="n"/>
      <c r="B808" s="222" t="n"/>
      <c r="C808" s="222" t="n"/>
      <c r="D808" s="220" t="n"/>
      <c r="E808" s="220" t="n"/>
      <c r="F808" s="181">
        <f>IFERROR(E808/D808,"")</f>
        <v/>
      </c>
      <c r="G808" s="219" t="n"/>
      <c r="H808" s="220" t="n"/>
      <c r="I808" s="221">
        <f>IF(COUNTA(A808:E808)=0,"",IF(OR(D808&lt;=0,E808&lt;0),"ERRO: bases inválidas",IF(E808&gt;D808,"ERRO: presenças acima do previsto",IF(COUNTIFS($A$5:$A$1200,A808,$B$5:$B$1200,B808,$C$5:$C$1200,C808)&gt;1,"ERRO: chave duplicada",IF(COUNTIFS(DISCIPLINAS!$A$5:$A$101,B808,DISCIPLINAS!$B$5:$B$101,C808)=0,"ERRO: disciplina não pertence ao curso","OK")))))</f>
        <v/>
      </c>
    </row>
    <row r="809" ht="15" customHeight="1" s="131">
      <c r="A809" s="220" t="n"/>
      <c r="B809" s="222" t="n"/>
      <c r="C809" s="222" t="n"/>
      <c r="D809" s="220" t="n"/>
      <c r="E809" s="220" t="n"/>
      <c r="F809" s="181">
        <f>IFERROR(E809/D809,"")</f>
        <v/>
      </c>
      <c r="G809" s="219" t="n"/>
      <c r="H809" s="220" t="n"/>
      <c r="I809" s="221">
        <f>IF(COUNTA(A809:E809)=0,"",IF(OR(D809&lt;=0,E809&lt;0),"ERRO: bases inválidas",IF(E809&gt;D809,"ERRO: presenças acima do previsto",IF(COUNTIFS($A$5:$A$1200,A809,$B$5:$B$1200,B809,$C$5:$C$1200,C809)&gt;1,"ERRO: chave duplicada",IF(COUNTIFS(DISCIPLINAS!$A$5:$A$101,B809,DISCIPLINAS!$B$5:$B$101,C809)=0,"ERRO: disciplina não pertence ao curso","OK")))))</f>
        <v/>
      </c>
    </row>
    <row r="810" ht="15" customHeight="1" s="131">
      <c r="A810" s="220" t="n"/>
      <c r="B810" s="222" t="n"/>
      <c r="C810" s="222" t="n"/>
      <c r="D810" s="220" t="n"/>
      <c r="E810" s="220" t="n"/>
      <c r="F810" s="181">
        <f>IFERROR(E810/D810,"")</f>
        <v/>
      </c>
      <c r="G810" s="219" t="n"/>
      <c r="H810" s="220" t="n"/>
      <c r="I810" s="221">
        <f>IF(COUNTA(A810:E810)=0,"",IF(OR(D810&lt;=0,E810&lt;0),"ERRO: bases inválidas",IF(E810&gt;D810,"ERRO: presenças acima do previsto",IF(COUNTIFS($A$5:$A$1200,A810,$B$5:$B$1200,B810,$C$5:$C$1200,C810)&gt;1,"ERRO: chave duplicada",IF(COUNTIFS(DISCIPLINAS!$A$5:$A$101,B810,DISCIPLINAS!$B$5:$B$101,C810)=0,"ERRO: disciplina não pertence ao curso","OK")))))</f>
        <v/>
      </c>
    </row>
    <row r="811" ht="15" customHeight="1" s="131">
      <c r="A811" s="220" t="n"/>
      <c r="B811" s="222" t="n"/>
      <c r="C811" s="222" t="n"/>
      <c r="D811" s="220" t="n"/>
      <c r="E811" s="220" t="n"/>
      <c r="F811" s="181">
        <f>IFERROR(E811/D811,"")</f>
        <v/>
      </c>
      <c r="G811" s="219" t="n"/>
      <c r="H811" s="220" t="n"/>
      <c r="I811" s="221">
        <f>IF(COUNTA(A811:E811)=0,"",IF(OR(D811&lt;=0,E811&lt;0),"ERRO: bases inválidas",IF(E811&gt;D811,"ERRO: presenças acima do previsto",IF(COUNTIFS($A$5:$A$1200,A811,$B$5:$B$1200,B811,$C$5:$C$1200,C811)&gt;1,"ERRO: chave duplicada",IF(COUNTIFS(DISCIPLINAS!$A$5:$A$101,B811,DISCIPLINAS!$B$5:$B$101,C811)=0,"ERRO: disciplina não pertence ao curso","OK")))))</f>
        <v/>
      </c>
    </row>
    <row r="812" ht="15" customHeight="1" s="131">
      <c r="A812" s="220" t="n"/>
      <c r="B812" s="222" t="n"/>
      <c r="C812" s="222" t="n"/>
      <c r="D812" s="220" t="n"/>
      <c r="E812" s="220" t="n"/>
      <c r="F812" s="181">
        <f>IFERROR(E812/D812,"")</f>
        <v/>
      </c>
      <c r="G812" s="219" t="n"/>
      <c r="H812" s="220" t="n"/>
      <c r="I812" s="221">
        <f>IF(COUNTA(A812:E812)=0,"",IF(OR(D812&lt;=0,E812&lt;0),"ERRO: bases inválidas",IF(E812&gt;D812,"ERRO: presenças acima do previsto",IF(COUNTIFS($A$5:$A$1200,A812,$B$5:$B$1200,B812,$C$5:$C$1200,C812)&gt;1,"ERRO: chave duplicada",IF(COUNTIFS(DISCIPLINAS!$A$5:$A$101,B812,DISCIPLINAS!$B$5:$B$101,C812)=0,"ERRO: disciplina não pertence ao curso","OK")))))</f>
        <v/>
      </c>
    </row>
    <row r="813" ht="15" customHeight="1" s="131">
      <c r="A813" s="220" t="n"/>
      <c r="B813" s="222" t="n"/>
      <c r="C813" s="222" t="n"/>
      <c r="D813" s="220" t="n"/>
      <c r="E813" s="220" t="n"/>
      <c r="F813" s="181">
        <f>IFERROR(E813/D813,"")</f>
        <v/>
      </c>
      <c r="G813" s="219" t="n"/>
      <c r="H813" s="220" t="n"/>
      <c r="I813" s="221">
        <f>IF(COUNTA(A813:E813)=0,"",IF(OR(D813&lt;=0,E813&lt;0),"ERRO: bases inválidas",IF(E813&gt;D813,"ERRO: presenças acima do previsto",IF(COUNTIFS($A$5:$A$1200,A813,$B$5:$B$1200,B813,$C$5:$C$1200,C813)&gt;1,"ERRO: chave duplicada",IF(COUNTIFS(DISCIPLINAS!$A$5:$A$101,B813,DISCIPLINAS!$B$5:$B$101,C813)=0,"ERRO: disciplina não pertence ao curso","OK")))))</f>
        <v/>
      </c>
    </row>
    <row r="814" ht="15" customHeight="1" s="131">
      <c r="A814" s="220" t="n"/>
      <c r="B814" s="222" t="n"/>
      <c r="C814" s="222" t="n"/>
      <c r="D814" s="220" t="n"/>
      <c r="E814" s="220" t="n"/>
      <c r="F814" s="181">
        <f>IFERROR(E814/D814,"")</f>
        <v/>
      </c>
      <c r="G814" s="219" t="n"/>
      <c r="H814" s="220" t="n"/>
      <c r="I814" s="221">
        <f>IF(COUNTA(A814:E814)=0,"",IF(OR(D814&lt;=0,E814&lt;0),"ERRO: bases inválidas",IF(E814&gt;D814,"ERRO: presenças acima do previsto",IF(COUNTIFS($A$5:$A$1200,A814,$B$5:$B$1200,B814,$C$5:$C$1200,C814)&gt;1,"ERRO: chave duplicada",IF(COUNTIFS(DISCIPLINAS!$A$5:$A$101,B814,DISCIPLINAS!$B$5:$B$101,C814)=0,"ERRO: disciplina não pertence ao curso","OK")))))</f>
        <v/>
      </c>
    </row>
    <row r="815" ht="15" customHeight="1" s="131">
      <c r="A815" s="220" t="n"/>
      <c r="B815" s="222" t="n"/>
      <c r="C815" s="222" t="n"/>
      <c r="D815" s="220" t="n"/>
      <c r="E815" s="220" t="n"/>
      <c r="F815" s="181">
        <f>IFERROR(E815/D815,"")</f>
        <v/>
      </c>
      <c r="G815" s="219" t="n"/>
      <c r="H815" s="220" t="n"/>
      <c r="I815" s="221">
        <f>IF(COUNTA(A815:E815)=0,"",IF(OR(D815&lt;=0,E815&lt;0),"ERRO: bases inválidas",IF(E815&gt;D815,"ERRO: presenças acima do previsto",IF(COUNTIFS($A$5:$A$1200,A815,$B$5:$B$1200,B815,$C$5:$C$1200,C815)&gt;1,"ERRO: chave duplicada",IF(COUNTIFS(DISCIPLINAS!$A$5:$A$101,B815,DISCIPLINAS!$B$5:$B$101,C815)=0,"ERRO: disciplina não pertence ao curso","OK")))))</f>
        <v/>
      </c>
    </row>
    <row r="816" ht="15" customHeight="1" s="131">
      <c r="A816" s="220" t="n"/>
      <c r="B816" s="222" t="n"/>
      <c r="C816" s="222" t="n"/>
      <c r="D816" s="220" t="n"/>
      <c r="E816" s="220" t="n"/>
      <c r="F816" s="181">
        <f>IFERROR(E816/D816,"")</f>
        <v/>
      </c>
      <c r="G816" s="219" t="n"/>
      <c r="H816" s="220" t="n"/>
      <c r="I816" s="221">
        <f>IF(COUNTA(A816:E816)=0,"",IF(OR(D816&lt;=0,E816&lt;0),"ERRO: bases inválidas",IF(E816&gt;D816,"ERRO: presenças acima do previsto",IF(COUNTIFS($A$5:$A$1200,A816,$B$5:$B$1200,B816,$C$5:$C$1200,C816)&gt;1,"ERRO: chave duplicada",IF(COUNTIFS(DISCIPLINAS!$A$5:$A$101,B816,DISCIPLINAS!$B$5:$B$101,C816)=0,"ERRO: disciplina não pertence ao curso","OK")))))</f>
        <v/>
      </c>
    </row>
    <row r="817" ht="15" customHeight="1" s="131">
      <c r="A817" s="220" t="n"/>
      <c r="B817" s="222" t="n"/>
      <c r="C817" s="222" t="n"/>
      <c r="D817" s="220" t="n"/>
      <c r="E817" s="220" t="n"/>
      <c r="F817" s="181">
        <f>IFERROR(E817/D817,"")</f>
        <v/>
      </c>
      <c r="G817" s="219" t="n"/>
      <c r="H817" s="220" t="n"/>
      <c r="I817" s="221">
        <f>IF(COUNTA(A817:E817)=0,"",IF(OR(D817&lt;=0,E817&lt;0),"ERRO: bases inválidas",IF(E817&gt;D817,"ERRO: presenças acima do previsto",IF(COUNTIFS($A$5:$A$1200,A817,$B$5:$B$1200,B817,$C$5:$C$1200,C817)&gt;1,"ERRO: chave duplicada",IF(COUNTIFS(DISCIPLINAS!$A$5:$A$101,B817,DISCIPLINAS!$B$5:$B$101,C817)=0,"ERRO: disciplina não pertence ao curso","OK")))))</f>
        <v/>
      </c>
    </row>
    <row r="818" ht="15" customHeight="1" s="131">
      <c r="A818" s="220" t="n"/>
      <c r="B818" s="222" t="n"/>
      <c r="C818" s="222" t="n"/>
      <c r="D818" s="220" t="n"/>
      <c r="E818" s="220" t="n"/>
      <c r="F818" s="181">
        <f>IFERROR(E818/D818,"")</f>
        <v/>
      </c>
      <c r="G818" s="219" t="n"/>
      <c r="H818" s="220" t="n"/>
      <c r="I818" s="221">
        <f>IF(COUNTA(A818:E818)=0,"",IF(OR(D818&lt;=0,E818&lt;0),"ERRO: bases inválidas",IF(E818&gt;D818,"ERRO: presenças acima do previsto",IF(COUNTIFS($A$5:$A$1200,A818,$B$5:$B$1200,B818,$C$5:$C$1200,C818)&gt;1,"ERRO: chave duplicada",IF(COUNTIFS(DISCIPLINAS!$A$5:$A$101,B818,DISCIPLINAS!$B$5:$B$101,C818)=0,"ERRO: disciplina não pertence ao curso","OK")))))</f>
        <v/>
      </c>
    </row>
    <row r="819" ht="15" customHeight="1" s="131">
      <c r="A819" s="220" t="n"/>
      <c r="B819" s="222" t="n"/>
      <c r="C819" s="222" t="n"/>
      <c r="D819" s="220" t="n"/>
      <c r="E819" s="220" t="n"/>
      <c r="F819" s="181">
        <f>IFERROR(E819/D819,"")</f>
        <v/>
      </c>
      <c r="G819" s="219" t="n"/>
      <c r="H819" s="220" t="n"/>
      <c r="I819" s="221">
        <f>IF(COUNTA(A819:E819)=0,"",IF(OR(D819&lt;=0,E819&lt;0),"ERRO: bases inválidas",IF(E819&gt;D819,"ERRO: presenças acima do previsto",IF(COUNTIFS($A$5:$A$1200,A819,$B$5:$B$1200,B819,$C$5:$C$1200,C819)&gt;1,"ERRO: chave duplicada",IF(COUNTIFS(DISCIPLINAS!$A$5:$A$101,B819,DISCIPLINAS!$B$5:$B$101,C819)=0,"ERRO: disciplina não pertence ao curso","OK")))))</f>
        <v/>
      </c>
    </row>
    <row r="820" ht="15" customHeight="1" s="131">
      <c r="A820" s="220" t="n"/>
      <c r="B820" s="222" t="n"/>
      <c r="C820" s="222" t="n"/>
      <c r="D820" s="220" t="n"/>
      <c r="E820" s="220" t="n"/>
      <c r="F820" s="181">
        <f>IFERROR(E820/D820,"")</f>
        <v/>
      </c>
      <c r="G820" s="219" t="n"/>
      <c r="H820" s="220" t="n"/>
      <c r="I820" s="221">
        <f>IF(COUNTA(A820:E820)=0,"",IF(OR(D820&lt;=0,E820&lt;0),"ERRO: bases inválidas",IF(E820&gt;D820,"ERRO: presenças acima do previsto",IF(COUNTIFS($A$5:$A$1200,A820,$B$5:$B$1200,B820,$C$5:$C$1200,C820)&gt;1,"ERRO: chave duplicada",IF(COUNTIFS(DISCIPLINAS!$A$5:$A$101,B820,DISCIPLINAS!$B$5:$B$101,C820)=0,"ERRO: disciplina não pertence ao curso","OK")))))</f>
        <v/>
      </c>
    </row>
    <row r="821" ht="15" customHeight="1" s="131">
      <c r="A821" s="220" t="n"/>
      <c r="B821" s="222" t="n"/>
      <c r="C821" s="222" t="n"/>
      <c r="D821" s="220" t="n"/>
      <c r="E821" s="220" t="n"/>
      <c r="F821" s="181">
        <f>IFERROR(E821/D821,"")</f>
        <v/>
      </c>
      <c r="G821" s="219" t="n"/>
      <c r="H821" s="220" t="n"/>
      <c r="I821" s="221">
        <f>IF(COUNTA(A821:E821)=0,"",IF(OR(D821&lt;=0,E821&lt;0),"ERRO: bases inválidas",IF(E821&gt;D821,"ERRO: presenças acima do previsto",IF(COUNTIFS($A$5:$A$1200,A821,$B$5:$B$1200,B821,$C$5:$C$1200,C821)&gt;1,"ERRO: chave duplicada",IF(COUNTIFS(DISCIPLINAS!$A$5:$A$101,B821,DISCIPLINAS!$B$5:$B$101,C821)=0,"ERRO: disciplina não pertence ao curso","OK")))))</f>
        <v/>
      </c>
    </row>
    <row r="822" ht="15" customHeight="1" s="131">
      <c r="A822" s="220" t="n"/>
      <c r="B822" s="222" t="n"/>
      <c r="C822" s="222" t="n"/>
      <c r="D822" s="220" t="n"/>
      <c r="E822" s="220" t="n"/>
      <c r="F822" s="181">
        <f>IFERROR(E822/D822,"")</f>
        <v/>
      </c>
      <c r="G822" s="219" t="n"/>
      <c r="H822" s="220" t="n"/>
      <c r="I822" s="221">
        <f>IF(COUNTA(A822:E822)=0,"",IF(OR(D822&lt;=0,E822&lt;0),"ERRO: bases inválidas",IF(E822&gt;D822,"ERRO: presenças acima do previsto",IF(COUNTIFS($A$5:$A$1200,A822,$B$5:$B$1200,B822,$C$5:$C$1200,C822)&gt;1,"ERRO: chave duplicada",IF(COUNTIFS(DISCIPLINAS!$A$5:$A$101,B822,DISCIPLINAS!$B$5:$B$101,C822)=0,"ERRO: disciplina não pertence ao curso","OK")))))</f>
        <v/>
      </c>
    </row>
    <row r="823" ht="15" customHeight="1" s="131">
      <c r="A823" s="220" t="n"/>
      <c r="B823" s="222" t="n"/>
      <c r="C823" s="222" t="n"/>
      <c r="D823" s="220" t="n"/>
      <c r="E823" s="220" t="n"/>
      <c r="F823" s="181">
        <f>IFERROR(E823/D823,"")</f>
        <v/>
      </c>
      <c r="G823" s="219" t="n"/>
      <c r="H823" s="220" t="n"/>
      <c r="I823" s="221">
        <f>IF(COUNTA(A823:E823)=0,"",IF(OR(D823&lt;=0,E823&lt;0),"ERRO: bases inválidas",IF(E823&gt;D823,"ERRO: presenças acima do previsto",IF(COUNTIFS($A$5:$A$1200,A823,$B$5:$B$1200,B823,$C$5:$C$1200,C823)&gt;1,"ERRO: chave duplicada",IF(COUNTIFS(DISCIPLINAS!$A$5:$A$101,B823,DISCIPLINAS!$B$5:$B$101,C823)=0,"ERRO: disciplina não pertence ao curso","OK")))))</f>
        <v/>
      </c>
    </row>
    <row r="824" ht="15" customHeight="1" s="131">
      <c r="A824" s="220" t="n"/>
      <c r="B824" s="222" t="n"/>
      <c r="C824" s="222" t="n"/>
      <c r="D824" s="220" t="n"/>
      <c r="E824" s="220" t="n"/>
      <c r="F824" s="181">
        <f>IFERROR(E824/D824,"")</f>
        <v/>
      </c>
      <c r="G824" s="219" t="n"/>
      <c r="H824" s="220" t="n"/>
      <c r="I824" s="221">
        <f>IF(COUNTA(A824:E824)=0,"",IF(OR(D824&lt;=0,E824&lt;0),"ERRO: bases inválidas",IF(E824&gt;D824,"ERRO: presenças acima do previsto",IF(COUNTIFS($A$5:$A$1200,A824,$B$5:$B$1200,B824,$C$5:$C$1200,C824)&gt;1,"ERRO: chave duplicada",IF(COUNTIFS(DISCIPLINAS!$A$5:$A$101,B824,DISCIPLINAS!$B$5:$B$101,C824)=0,"ERRO: disciplina não pertence ao curso","OK")))))</f>
        <v/>
      </c>
    </row>
    <row r="825" ht="15" customHeight="1" s="131">
      <c r="A825" s="220" t="n"/>
      <c r="B825" s="222" t="n"/>
      <c r="C825" s="222" t="n"/>
      <c r="D825" s="220" t="n"/>
      <c r="E825" s="220" t="n"/>
      <c r="F825" s="181">
        <f>IFERROR(E825/D825,"")</f>
        <v/>
      </c>
      <c r="G825" s="219" t="n"/>
      <c r="H825" s="220" t="n"/>
      <c r="I825" s="221">
        <f>IF(COUNTA(A825:E825)=0,"",IF(OR(D825&lt;=0,E825&lt;0),"ERRO: bases inválidas",IF(E825&gt;D825,"ERRO: presenças acima do previsto",IF(COUNTIFS($A$5:$A$1200,A825,$B$5:$B$1200,B825,$C$5:$C$1200,C825)&gt;1,"ERRO: chave duplicada",IF(COUNTIFS(DISCIPLINAS!$A$5:$A$101,B825,DISCIPLINAS!$B$5:$B$101,C825)=0,"ERRO: disciplina não pertence ao curso","OK")))))</f>
        <v/>
      </c>
    </row>
    <row r="826" ht="15" customHeight="1" s="131">
      <c r="A826" s="220" t="n"/>
      <c r="B826" s="222" t="n"/>
      <c r="C826" s="222" t="n"/>
      <c r="D826" s="220" t="n"/>
      <c r="E826" s="220" t="n"/>
      <c r="F826" s="181">
        <f>IFERROR(E826/D826,"")</f>
        <v/>
      </c>
      <c r="G826" s="219" t="n"/>
      <c r="H826" s="220" t="n"/>
      <c r="I826" s="221">
        <f>IF(COUNTA(A826:E826)=0,"",IF(OR(D826&lt;=0,E826&lt;0),"ERRO: bases inválidas",IF(E826&gt;D826,"ERRO: presenças acima do previsto",IF(COUNTIFS($A$5:$A$1200,A826,$B$5:$B$1200,B826,$C$5:$C$1200,C826)&gt;1,"ERRO: chave duplicada",IF(COUNTIFS(DISCIPLINAS!$A$5:$A$101,B826,DISCIPLINAS!$B$5:$B$101,C826)=0,"ERRO: disciplina não pertence ao curso","OK")))))</f>
        <v/>
      </c>
    </row>
    <row r="827" ht="15" customHeight="1" s="131">
      <c r="A827" s="220" t="n"/>
      <c r="B827" s="222" t="n"/>
      <c r="C827" s="222" t="n"/>
      <c r="D827" s="220" t="n"/>
      <c r="E827" s="220" t="n"/>
      <c r="F827" s="181">
        <f>IFERROR(E827/D827,"")</f>
        <v/>
      </c>
      <c r="G827" s="219" t="n"/>
      <c r="H827" s="220" t="n"/>
      <c r="I827" s="221">
        <f>IF(COUNTA(A827:E827)=0,"",IF(OR(D827&lt;=0,E827&lt;0),"ERRO: bases inválidas",IF(E827&gt;D827,"ERRO: presenças acima do previsto",IF(COUNTIFS($A$5:$A$1200,A827,$B$5:$B$1200,B827,$C$5:$C$1200,C827)&gt;1,"ERRO: chave duplicada",IF(COUNTIFS(DISCIPLINAS!$A$5:$A$101,B827,DISCIPLINAS!$B$5:$B$101,C827)=0,"ERRO: disciplina não pertence ao curso","OK")))))</f>
        <v/>
      </c>
    </row>
    <row r="828" ht="15" customHeight="1" s="131">
      <c r="A828" s="220" t="n"/>
      <c r="B828" s="222" t="n"/>
      <c r="C828" s="222" t="n"/>
      <c r="D828" s="220" t="n"/>
      <c r="E828" s="220" t="n"/>
      <c r="F828" s="181">
        <f>IFERROR(E828/D828,"")</f>
        <v/>
      </c>
      <c r="G828" s="219" t="n"/>
      <c r="H828" s="220" t="n"/>
      <c r="I828" s="221">
        <f>IF(COUNTA(A828:E828)=0,"",IF(OR(D828&lt;=0,E828&lt;0),"ERRO: bases inválidas",IF(E828&gt;D828,"ERRO: presenças acima do previsto",IF(COUNTIFS($A$5:$A$1200,A828,$B$5:$B$1200,B828,$C$5:$C$1200,C828)&gt;1,"ERRO: chave duplicada",IF(COUNTIFS(DISCIPLINAS!$A$5:$A$101,B828,DISCIPLINAS!$B$5:$B$101,C828)=0,"ERRO: disciplina não pertence ao curso","OK")))))</f>
        <v/>
      </c>
    </row>
    <row r="829" ht="15" customHeight="1" s="131">
      <c r="A829" s="220" t="n"/>
      <c r="B829" s="222" t="n"/>
      <c r="C829" s="222" t="n"/>
      <c r="D829" s="220" t="n"/>
      <c r="E829" s="220" t="n"/>
      <c r="F829" s="181">
        <f>IFERROR(E829/D829,"")</f>
        <v/>
      </c>
      <c r="G829" s="219" t="n"/>
      <c r="H829" s="220" t="n"/>
      <c r="I829" s="221">
        <f>IF(COUNTA(A829:E829)=0,"",IF(OR(D829&lt;=0,E829&lt;0),"ERRO: bases inválidas",IF(E829&gt;D829,"ERRO: presenças acima do previsto",IF(COUNTIFS($A$5:$A$1200,A829,$B$5:$B$1200,B829,$C$5:$C$1200,C829)&gt;1,"ERRO: chave duplicada",IF(COUNTIFS(DISCIPLINAS!$A$5:$A$101,B829,DISCIPLINAS!$B$5:$B$101,C829)=0,"ERRO: disciplina não pertence ao curso","OK")))))</f>
        <v/>
      </c>
    </row>
    <row r="830" ht="15" customHeight="1" s="131">
      <c r="A830" s="220" t="n"/>
      <c r="B830" s="222" t="n"/>
      <c r="C830" s="222" t="n"/>
      <c r="D830" s="220" t="n"/>
      <c r="E830" s="220" t="n"/>
      <c r="F830" s="181">
        <f>IFERROR(E830/D830,"")</f>
        <v/>
      </c>
      <c r="G830" s="219" t="n"/>
      <c r="H830" s="220" t="n"/>
      <c r="I830" s="221">
        <f>IF(COUNTA(A830:E830)=0,"",IF(OR(D830&lt;=0,E830&lt;0),"ERRO: bases inválidas",IF(E830&gt;D830,"ERRO: presenças acima do previsto",IF(COUNTIFS($A$5:$A$1200,A830,$B$5:$B$1200,B830,$C$5:$C$1200,C830)&gt;1,"ERRO: chave duplicada",IF(COUNTIFS(DISCIPLINAS!$A$5:$A$101,B830,DISCIPLINAS!$B$5:$B$101,C830)=0,"ERRO: disciplina não pertence ao curso","OK")))))</f>
        <v/>
      </c>
    </row>
    <row r="831" ht="15" customHeight="1" s="131">
      <c r="A831" s="220" t="n"/>
      <c r="B831" s="222" t="n"/>
      <c r="C831" s="222" t="n"/>
      <c r="D831" s="220" t="n"/>
      <c r="E831" s="220" t="n"/>
      <c r="F831" s="181">
        <f>IFERROR(E831/D831,"")</f>
        <v/>
      </c>
      <c r="G831" s="219" t="n"/>
      <c r="H831" s="220" t="n"/>
      <c r="I831" s="221">
        <f>IF(COUNTA(A831:E831)=0,"",IF(OR(D831&lt;=0,E831&lt;0),"ERRO: bases inválidas",IF(E831&gt;D831,"ERRO: presenças acima do previsto",IF(COUNTIFS($A$5:$A$1200,A831,$B$5:$B$1200,B831,$C$5:$C$1200,C831)&gt;1,"ERRO: chave duplicada",IF(COUNTIFS(DISCIPLINAS!$A$5:$A$101,B831,DISCIPLINAS!$B$5:$B$101,C831)=0,"ERRO: disciplina não pertence ao curso","OK")))))</f>
        <v/>
      </c>
    </row>
    <row r="832" ht="15" customHeight="1" s="131">
      <c r="A832" s="220" t="n"/>
      <c r="B832" s="222" t="n"/>
      <c r="C832" s="222" t="n"/>
      <c r="D832" s="220" t="n"/>
      <c r="E832" s="220" t="n"/>
      <c r="F832" s="181">
        <f>IFERROR(E832/D832,"")</f>
        <v/>
      </c>
      <c r="G832" s="219" t="n"/>
      <c r="H832" s="220" t="n"/>
      <c r="I832" s="221">
        <f>IF(COUNTA(A832:E832)=0,"",IF(OR(D832&lt;=0,E832&lt;0),"ERRO: bases inválidas",IF(E832&gt;D832,"ERRO: presenças acima do previsto",IF(COUNTIFS($A$5:$A$1200,A832,$B$5:$B$1200,B832,$C$5:$C$1200,C832)&gt;1,"ERRO: chave duplicada",IF(COUNTIFS(DISCIPLINAS!$A$5:$A$101,B832,DISCIPLINAS!$B$5:$B$101,C832)=0,"ERRO: disciplina não pertence ao curso","OK")))))</f>
        <v/>
      </c>
    </row>
    <row r="833" ht="15" customHeight="1" s="131">
      <c r="A833" s="220" t="n"/>
      <c r="B833" s="222" t="n"/>
      <c r="C833" s="222" t="n"/>
      <c r="D833" s="220" t="n"/>
      <c r="E833" s="220" t="n"/>
      <c r="F833" s="181">
        <f>IFERROR(E833/D833,"")</f>
        <v/>
      </c>
      <c r="G833" s="219" t="n"/>
      <c r="H833" s="220" t="n"/>
      <c r="I833" s="221">
        <f>IF(COUNTA(A833:E833)=0,"",IF(OR(D833&lt;=0,E833&lt;0),"ERRO: bases inválidas",IF(E833&gt;D833,"ERRO: presenças acima do previsto",IF(COUNTIFS($A$5:$A$1200,A833,$B$5:$B$1200,B833,$C$5:$C$1200,C833)&gt;1,"ERRO: chave duplicada",IF(COUNTIFS(DISCIPLINAS!$A$5:$A$101,B833,DISCIPLINAS!$B$5:$B$101,C833)=0,"ERRO: disciplina não pertence ao curso","OK")))))</f>
        <v/>
      </c>
    </row>
    <row r="834" ht="15" customHeight="1" s="131">
      <c r="A834" s="220" t="n"/>
      <c r="B834" s="222" t="n"/>
      <c r="C834" s="222" t="n"/>
      <c r="D834" s="220" t="n"/>
      <c r="E834" s="220" t="n"/>
      <c r="F834" s="181">
        <f>IFERROR(E834/D834,"")</f>
        <v/>
      </c>
      <c r="G834" s="219" t="n"/>
      <c r="H834" s="220" t="n"/>
      <c r="I834" s="221">
        <f>IF(COUNTA(A834:E834)=0,"",IF(OR(D834&lt;=0,E834&lt;0),"ERRO: bases inválidas",IF(E834&gt;D834,"ERRO: presenças acima do previsto",IF(COUNTIFS($A$5:$A$1200,A834,$B$5:$B$1200,B834,$C$5:$C$1200,C834)&gt;1,"ERRO: chave duplicada",IF(COUNTIFS(DISCIPLINAS!$A$5:$A$101,B834,DISCIPLINAS!$B$5:$B$101,C834)=0,"ERRO: disciplina não pertence ao curso","OK")))))</f>
        <v/>
      </c>
    </row>
    <row r="835" ht="15" customHeight="1" s="131">
      <c r="A835" s="220" t="n"/>
      <c r="B835" s="222" t="n"/>
      <c r="C835" s="222" t="n"/>
      <c r="D835" s="220" t="n"/>
      <c r="E835" s="220" t="n"/>
      <c r="F835" s="181">
        <f>IFERROR(E835/D835,"")</f>
        <v/>
      </c>
      <c r="G835" s="219" t="n"/>
      <c r="H835" s="220" t="n"/>
      <c r="I835" s="221">
        <f>IF(COUNTA(A835:E835)=0,"",IF(OR(D835&lt;=0,E835&lt;0),"ERRO: bases inválidas",IF(E835&gt;D835,"ERRO: presenças acima do previsto",IF(COUNTIFS($A$5:$A$1200,A835,$B$5:$B$1200,B835,$C$5:$C$1200,C835)&gt;1,"ERRO: chave duplicada",IF(COUNTIFS(DISCIPLINAS!$A$5:$A$101,B835,DISCIPLINAS!$B$5:$B$101,C835)=0,"ERRO: disciplina não pertence ao curso","OK")))))</f>
        <v/>
      </c>
    </row>
    <row r="836" ht="15" customHeight="1" s="131">
      <c r="A836" s="220" t="n"/>
      <c r="B836" s="222" t="n"/>
      <c r="C836" s="222" t="n"/>
      <c r="D836" s="220" t="n"/>
      <c r="E836" s="220" t="n"/>
      <c r="F836" s="181">
        <f>IFERROR(E836/D836,"")</f>
        <v/>
      </c>
      <c r="G836" s="219" t="n"/>
      <c r="H836" s="220" t="n"/>
      <c r="I836" s="221">
        <f>IF(COUNTA(A836:E836)=0,"",IF(OR(D836&lt;=0,E836&lt;0),"ERRO: bases inválidas",IF(E836&gt;D836,"ERRO: presenças acima do previsto",IF(COUNTIFS($A$5:$A$1200,A836,$B$5:$B$1200,B836,$C$5:$C$1200,C836)&gt;1,"ERRO: chave duplicada",IF(COUNTIFS(DISCIPLINAS!$A$5:$A$101,B836,DISCIPLINAS!$B$5:$B$101,C836)=0,"ERRO: disciplina não pertence ao curso","OK")))))</f>
        <v/>
      </c>
    </row>
    <row r="837" ht="15" customHeight="1" s="131">
      <c r="A837" s="220" t="n"/>
      <c r="B837" s="222" t="n"/>
      <c r="C837" s="222" t="n"/>
      <c r="D837" s="220" t="n"/>
      <c r="E837" s="220" t="n"/>
      <c r="F837" s="181">
        <f>IFERROR(E837/D837,"")</f>
        <v/>
      </c>
      <c r="G837" s="219" t="n"/>
      <c r="H837" s="220" t="n"/>
      <c r="I837" s="221">
        <f>IF(COUNTA(A837:E837)=0,"",IF(OR(D837&lt;=0,E837&lt;0),"ERRO: bases inválidas",IF(E837&gt;D837,"ERRO: presenças acima do previsto",IF(COUNTIFS($A$5:$A$1200,A837,$B$5:$B$1200,B837,$C$5:$C$1200,C837)&gt;1,"ERRO: chave duplicada",IF(COUNTIFS(DISCIPLINAS!$A$5:$A$101,B837,DISCIPLINAS!$B$5:$B$101,C837)=0,"ERRO: disciplina não pertence ao curso","OK")))))</f>
        <v/>
      </c>
    </row>
    <row r="838" ht="15" customHeight="1" s="131">
      <c r="A838" s="220" t="n"/>
      <c r="B838" s="222" t="n"/>
      <c r="C838" s="222" t="n"/>
      <c r="D838" s="220" t="n"/>
      <c r="E838" s="220" t="n"/>
      <c r="F838" s="181">
        <f>IFERROR(E838/D838,"")</f>
        <v/>
      </c>
      <c r="G838" s="219" t="n"/>
      <c r="H838" s="220" t="n"/>
      <c r="I838" s="221">
        <f>IF(COUNTA(A838:E838)=0,"",IF(OR(D838&lt;=0,E838&lt;0),"ERRO: bases inválidas",IF(E838&gt;D838,"ERRO: presenças acima do previsto",IF(COUNTIFS($A$5:$A$1200,A838,$B$5:$B$1200,B838,$C$5:$C$1200,C838)&gt;1,"ERRO: chave duplicada",IF(COUNTIFS(DISCIPLINAS!$A$5:$A$101,B838,DISCIPLINAS!$B$5:$B$101,C838)=0,"ERRO: disciplina não pertence ao curso","OK")))))</f>
        <v/>
      </c>
    </row>
    <row r="839" ht="15" customHeight="1" s="131">
      <c r="A839" s="220" t="n"/>
      <c r="B839" s="222" t="n"/>
      <c r="C839" s="222" t="n"/>
      <c r="D839" s="220" t="n"/>
      <c r="E839" s="220" t="n"/>
      <c r="F839" s="181">
        <f>IFERROR(E839/D839,"")</f>
        <v/>
      </c>
      <c r="G839" s="219" t="n"/>
      <c r="H839" s="220" t="n"/>
      <c r="I839" s="221">
        <f>IF(COUNTA(A839:E839)=0,"",IF(OR(D839&lt;=0,E839&lt;0),"ERRO: bases inválidas",IF(E839&gt;D839,"ERRO: presenças acima do previsto",IF(COUNTIFS($A$5:$A$1200,A839,$B$5:$B$1200,B839,$C$5:$C$1200,C839)&gt;1,"ERRO: chave duplicada",IF(COUNTIFS(DISCIPLINAS!$A$5:$A$101,B839,DISCIPLINAS!$B$5:$B$101,C839)=0,"ERRO: disciplina não pertence ao curso","OK")))))</f>
        <v/>
      </c>
    </row>
    <row r="840" ht="15" customHeight="1" s="131">
      <c r="A840" s="220" t="n"/>
      <c r="B840" s="222" t="n"/>
      <c r="C840" s="222" t="n"/>
      <c r="D840" s="220" t="n"/>
      <c r="E840" s="220" t="n"/>
      <c r="F840" s="181">
        <f>IFERROR(E840/D840,"")</f>
        <v/>
      </c>
      <c r="G840" s="219" t="n"/>
      <c r="H840" s="220" t="n"/>
      <c r="I840" s="221">
        <f>IF(COUNTA(A840:E840)=0,"",IF(OR(D840&lt;=0,E840&lt;0),"ERRO: bases inválidas",IF(E840&gt;D840,"ERRO: presenças acima do previsto",IF(COUNTIFS($A$5:$A$1200,A840,$B$5:$B$1200,B840,$C$5:$C$1200,C840)&gt;1,"ERRO: chave duplicada",IF(COUNTIFS(DISCIPLINAS!$A$5:$A$101,B840,DISCIPLINAS!$B$5:$B$101,C840)=0,"ERRO: disciplina não pertence ao curso","OK")))))</f>
        <v/>
      </c>
    </row>
    <row r="841" ht="15" customHeight="1" s="131">
      <c r="A841" s="220" t="n"/>
      <c r="B841" s="222" t="n"/>
      <c r="C841" s="222" t="n"/>
      <c r="D841" s="220" t="n"/>
      <c r="E841" s="220" t="n"/>
      <c r="F841" s="181">
        <f>IFERROR(E841/D841,"")</f>
        <v/>
      </c>
      <c r="G841" s="219" t="n"/>
      <c r="H841" s="220" t="n"/>
      <c r="I841" s="221">
        <f>IF(COUNTA(A841:E841)=0,"",IF(OR(D841&lt;=0,E841&lt;0),"ERRO: bases inválidas",IF(E841&gt;D841,"ERRO: presenças acima do previsto",IF(COUNTIFS($A$5:$A$1200,A841,$B$5:$B$1200,B841,$C$5:$C$1200,C841)&gt;1,"ERRO: chave duplicada",IF(COUNTIFS(DISCIPLINAS!$A$5:$A$101,B841,DISCIPLINAS!$B$5:$B$101,C841)=0,"ERRO: disciplina não pertence ao curso","OK")))))</f>
        <v/>
      </c>
    </row>
    <row r="842" ht="15" customHeight="1" s="131">
      <c r="A842" s="220" t="n"/>
      <c r="B842" s="222" t="n"/>
      <c r="C842" s="222" t="n"/>
      <c r="D842" s="220" t="n"/>
      <c r="E842" s="220" t="n"/>
      <c r="F842" s="181">
        <f>IFERROR(E842/D842,"")</f>
        <v/>
      </c>
      <c r="G842" s="219" t="n"/>
      <c r="H842" s="220" t="n"/>
      <c r="I842" s="221">
        <f>IF(COUNTA(A842:E842)=0,"",IF(OR(D842&lt;=0,E842&lt;0),"ERRO: bases inválidas",IF(E842&gt;D842,"ERRO: presenças acima do previsto",IF(COUNTIFS($A$5:$A$1200,A842,$B$5:$B$1200,B842,$C$5:$C$1200,C842)&gt;1,"ERRO: chave duplicada",IF(COUNTIFS(DISCIPLINAS!$A$5:$A$101,B842,DISCIPLINAS!$B$5:$B$101,C842)=0,"ERRO: disciplina não pertence ao curso","OK")))))</f>
        <v/>
      </c>
    </row>
    <row r="843" ht="15" customHeight="1" s="131">
      <c r="A843" s="220" t="n"/>
      <c r="B843" s="222" t="n"/>
      <c r="C843" s="222" t="n"/>
      <c r="D843" s="220" t="n"/>
      <c r="E843" s="220" t="n"/>
      <c r="F843" s="181">
        <f>IFERROR(E843/D843,"")</f>
        <v/>
      </c>
      <c r="G843" s="219" t="n"/>
      <c r="H843" s="220" t="n"/>
      <c r="I843" s="221">
        <f>IF(COUNTA(A843:E843)=0,"",IF(OR(D843&lt;=0,E843&lt;0),"ERRO: bases inválidas",IF(E843&gt;D843,"ERRO: presenças acima do previsto",IF(COUNTIFS($A$5:$A$1200,A843,$B$5:$B$1200,B843,$C$5:$C$1200,C843)&gt;1,"ERRO: chave duplicada",IF(COUNTIFS(DISCIPLINAS!$A$5:$A$101,B843,DISCIPLINAS!$B$5:$B$101,C843)=0,"ERRO: disciplina não pertence ao curso","OK")))))</f>
        <v/>
      </c>
    </row>
    <row r="844" ht="15" customHeight="1" s="131">
      <c r="A844" s="220" t="n"/>
      <c r="B844" s="222" t="n"/>
      <c r="C844" s="222" t="n"/>
      <c r="D844" s="220" t="n"/>
      <c r="E844" s="220" t="n"/>
      <c r="F844" s="181">
        <f>IFERROR(E844/D844,"")</f>
        <v/>
      </c>
      <c r="G844" s="219" t="n"/>
      <c r="H844" s="220" t="n"/>
      <c r="I844" s="221">
        <f>IF(COUNTA(A844:E844)=0,"",IF(OR(D844&lt;=0,E844&lt;0),"ERRO: bases inválidas",IF(E844&gt;D844,"ERRO: presenças acima do previsto",IF(COUNTIFS($A$5:$A$1200,A844,$B$5:$B$1200,B844,$C$5:$C$1200,C844)&gt;1,"ERRO: chave duplicada",IF(COUNTIFS(DISCIPLINAS!$A$5:$A$101,B844,DISCIPLINAS!$B$5:$B$101,C844)=0,"ERRO: disciplina não pertence ao curso","OK")))))</f>
        <v/>
      </c>
    </row>
    <row r="845" ht="15" customHeight="1" s="131">
      <c r="A845" s="220" t="n"/>
      <c r="B845" s="222" t="n"/>
      <c r="C845" s="222" t="n"/>
      <c r="D845" s="220" t="n"/>
      <c r="E845" s="220" t="n"/>
      <c r="F845" s="181">
        <f>IFERROR(E845/D845,"")</f>
        <v/>
      </c>
      <c r="G845" s="219" t="n"/>
      <c r="H845" s="220" t="n"/>
      <c r="I845" s="221">
        <f>IF(COUNTA(A845:E845)=0,"",IF(OR(D845&lt;=0,E845&lt;0),"ERRO: bases inválidas",IF(E845&gt;D845,"ERRO: presenças acima do previsto",IF(COUNTIFS($A$5:$A$1200,A845,$B$5:$B$1200,B845,$C$5:$C$1200,C845)&gt;1,"ERRO: chave duplicada",IF(COUNTIFS(DISCIPLINAS!$A$5:$A$101,B845,DISCIPLINAS!$B$5:$B$101,C845)=0,"ERRO: disciplina não pertence ao curso","OK")))))</f>
        <v/>
      </c>
    </row>
    <row r="846" ht="15" customHeight="1" s="131">
      <c r="A846" s="220" t="n"/>
      <c r="B846" s="222" t="n"/>
      <c r="C846" s="222" t="n"/>
      <c r="D846" s="220" t="n"/>
      <c r="E846" s="220" t="n"/>
      <c r="F846" s="181">
        <f>IFERROR(E846/D846,"")</f>
        <v/>
      </c>
      <c r="G846" s="219" t="n"/>
      <c r="H846" s="220" t="n"/>
      <c r="I846" s="221">
        <f>IF(COUNTA(A846:E846)=0,"",IF(OR(D846&lt;=0,E846&lt;0),"ERRO: bases inválidas",IF(E846&gt;D846,"ERRO: presenças acima do previsto",IF(COUNTIFS($A$5:$A$1200,A846,$B$5:$B$1200,B846,$C$5:$C$1200,C846)&gt;1,"ERRO: chave duplicada",IF(COUNTIFS(DISCIPLINAS!$A$5:$A$101,B846,DISCIPLINAS!$B$5:$B$101,C846)=0,"ERRO: disciplina não pertence ao curso","OK")))))</f>
        <v/>
      </c>
    </row>
    <row r="847" ht="15" customHeight="1" s="131">
      <c r="A847" s="220" t="n"/>
      <c r="B847" s="222" t="n"/>
      <c r="C847" s="222" t="n"/>
      <c r="D847" s="220" t="n"/>
      <c r="E847" s="220" t="n"/>
      <c r="F847" s="181">
        <f>IFERROR(E847/D847,"")</f>
        <v/>
      </c>
      <c r="G847" s="219" t="n"/>
      <c r="H847" s="220" t="n"/>
      <c r="I847" s="221">
        <f>IF(COUNTA(A847:E847)=0,"",IF(OR(D847&lt;=0,E847&lt;0),"ERRO: bases inválidas",IF(E847&gt;D847,"ERRO: presenças acima do previsto",IF(COUNTIFS($A$5:$A$1200,A847,$B$5:$B$1200,B847,$C$5:$C$1200,C847)&gt;1,"ERRO: chave duplicada",IF(COUNTIFS(DISCIPLINAS!$A$5:$A$101,B847,DISCIPLINAS!$B$5:$B$101,C847)=0,"ERRO: disciplina não pertence ao curso","OK")))))</f>
        <v/>
      </c>
    </row>
    <row r="848" ht="15" customHeight="1" s="131">
      <c r="A848" s="220" t="n"/>
      <c r="B848" s="222" t="n"/>
      <c r="C848" s="222" t="n"/>
      <c r="D848" s="220" t="n"/>
      <c r="E848" s="220" t="n"/>
      <c r="F848" s="181">
        <f>IFERROR(E848/D848,"")</f>
        <v/>
      </c>
      <c r="G848" s="219" t="n"/>
      <c r="H848" s="220" t="n"/>
      <c r="I848" s="221">
        <f>IF(COUNTA(A848:E848)=0,"",IF(OR(D848&lt;=0,E848&lt;0),"ERRO: bases inválidas",IF(E848&gt;D848,"ERRO: presenças acima do previsto",IF(COUNTIFS($A$5:$A$1200,A848,$B$5:$B$1200,B848,$C$5:$C$1200,C848)&gt;1,"ERRO: chave duplicada",IF(COUNTIFS(DISCIPLINAS!$A$5:$A$101,B848,DISCIPLINAS!$B$5:$B$101,C848)=0,"ERRO: disciplina não pertence ao curso","OK")))))</f>
        <v/>
      </c>
    </row>
    <row r="849" ht="15" customHeight="1" s="131">
      <c r="A849" s="220" t="n"/>
      <c r="B849" s="222" t="n"/>
      <c r="C849" s="222" t="n"/>
      <c r="D849" s="220" t="n"/>
      <c r="E849" s="220" t="n"/>
      <c r="F849" s="181">
        <f>IFERROR(E849/D849,"")</f>
        <v/>
      </c>
      <c r="G849" s="219" t="n"/>
      <c r="H849" s="220" t="n"/>
      <c r="I849" s="221">
        <f>IF(COUNTA(A849:E849)=0,"",IF(OR(D849&lt;=0,E849&lt;0),"ERRO: bases inválidas",IF(E849&gt;D849,"ERRO: presenças acima do previsto",IF(COUNTIFS($A$5:$A$1200,A849,$B$5:$B$1200,B849,$C$5:$C$1200,C849)&gt;1,"ERRO: chave duplicada",IF(COUNTIFS(DISCIPLINAS!$A$5:$A$101,B849,DISCIPLINAS!$B$5:$B$101,C849)=0,"ERRO: disciplina não pertence ao curso","OK")))))</f>
        <v/>
      </c>
    </row>
    <row r="850" ht="15" customHeight="1" s="131">
      <c r="A850" s="220" t="n"/>
      <c r="B850" s="222" t="n"/>
      <c r="C850" s="222" t="n"/>
      <c r="D850" s="220" t="n"/>
      <c r="E850" s="220" t="n"/>
      <c r="F850" s="181">
        <f>IFERROR(E850/D850,"")</f>
        <v/>
      </c>
      <c r="G850" s="219" t="n"/>
      <c r="H850" s="220" t="n"/>
      <c r="I850" s="221">
        <f>IF(COUNTA(A850:E850)=0,"",IF(OR(D850&lt;=0,E850&lt;0),"ERRO: bases inválidas",IF(E850&gt;D850,"ERRO: presenças acima do previsto",IF(COUNTIFS($A$5:$A$1200,A850,$B$5:$B$1200,B850,$C$5:$C$1200,C850)&gt;1,"ERRO: chave duplicada",IF(COUNTIFS(DISCIPLINAS!$A$5:$A$101,B850,DISCIPLINAS!$B$5:$B$101,C850)=0,"ERRO: disciplina não pertence ao curso","OK")))))</f>
        <v/>
      </c>
    </row>
    <row r="851" ht="15" customHeight="1" s="131">
      <c r="A851" s="220" t="n"/>
      <c r="B851" s="222" t="n"/>
      <c r="C851" s="222" t="n"/>
      <c r="D851" s="220" t="n"/>
      <c r="E851" s="220" t="n"/>
      <c r="F851" s="181">
        <f>IFERROR(E851/D851,"")</f>
        <v/>
      </c>
      <c r="G851" s="219" t="n"/>
      <c r="H851" s="220" t="n"/>
      <c r="I851" s="221">
        <f>IF(COUNTA(A851:E851)=0,"",IF(OR(D851&lt;=0,E851&lt;0),"ERRO: bases inválidas",IF(E851&gt;D851,"ERRO: presenças acima do previsto",IF(COUNTIFS($A$5:$A$1200,A851,$B$5:$B$1200,B851,$C$5:$C$1200,C851)&gt;1,"ERRO: chave duplicada",IF(COUNTIFS(DISCIPLINAS!$A$5:$A$101,B851,DISCIPLINAS!$B$5:$B$101,C851)=0,"ERRO: disciplina não pertence ao curso","OK")))))</f>
        <v/>
      </c>
    </row>
    <row r="852" ht="15" customHeight="1" s="131">
      <c r="A852" s="220" t="n"/>
      <c r="B852" s="222" t="n"/>
      <c r="C852" s="222" t="n"/>
      <c r="D852" s="220" t="n"/>
      <c r="E852" s="220" t="n"/>
      <c r="F852" s="181">
        <f>IFERROR(E852/D852,"")</f>
        <v/>
      </c>
      <c r="G852" s="219" t="n"/>
      <c r="H852" s="220" t="n"/>
      <c r="I852" s="221">
        <f>IF(COUNTA(A852:E852)=0,"",IF(OR(D852&lt;=0,E852&lt;0),"ERRO: bases inválidas",IF(E852&gt;D852,"ERRO: presenças acima do previsto",IF(COUNTIFS($A$5:$A$1200,A852,$B$5:$B$1200,B852,$C$5:$C$1200,C852)&gt;1,"ERRO: chave duplicada",IF(COUNTIFS(DISCIPLINAS!$A$5:$A$101,B852,DISCIPLINAS!$B$5:$B$101,C852)=0,"ERRO: disciplina não pertence ao curso","OK")))))</f>
        <v/>
      </c>
    </row>
    <row r="853" ht="15" customHeight="1" s="131">
      <c r="A853" s="220" t="n"/>
      <c r="B853" s="222" t="n"/>
      <c r="C853" s="222" t="n"/>
      <c r="D853" s="220" t="n"/>
      <c r="E853" s="220" t="n"/>
      <c r="F853" s="181">
        <f>IFERROR(E853/D853,"")</f>
        <v/>
      </c>
      <c r="G853" s="219" t="n"/>
      <c r="H853" s="220" t="n"/>
      <c r="I853" s="221">
        <f>IF(COUNTA(A853:E853)=0,"",IF(OR(D853&lt;=0,E853&lt;0),"ERRO: bases inválidas",IF(E853&gt;D853,"ERRO: presenças acima do previsto",IF(COUNTIFS($A$5:$A$1200,A853,$B$5:$B$1200,B853,$C$5:$C$1200,C853)&gt;1,"ERRO: chave duplicada",IF(COUNTIFS(DISCIPLINAS!$A$5:$A$101,B853,DISCIPLINAS!$B$5:$B$101,C853)=0,"ERRO: disciplina não pertence ao curso","OK")))))</f>
        <v/>
      </c>
    </row>
    <row r="854" ht="15" customHeight="1" s="131">
      <c r="A854" s="220" t="n"/>
      <c r="B854" s="222" t="n"/>
      <c r="C854" s="222" t="n"/>
      <c r="D854" s="220" t="n"/>
      <c r="E854" s="220" t="n"/>
      <c r="F854" s="181">
        <f>IFERROR(E854/D854,"")</f>
        <v/>
      </c>
      <c r="G854" s="219" t="n"/>
      <c r="H854" s="220" t="n"/>
      <c r="I854" s="221">
        <f>IF(COUNTA(A854:E854)=0,"",IF(OR(D854&lt;=0,E854&lt;0),"ERRO: bases inválidas",IF(E854&gt;D854,"ERRO: presenças acima do previsto",IF(COUNTIFS($A$5:$A$1200,A854,$B$5:$B$1200,B854,$C$5:$C$1200,C854)&gt;1,"ERRO: chave duplicada",IF(COUNTIFS(DISCIPLINAS!$A$5:$A$101,B854,DISCIPLINAS!$B$5:$B$101,C854)=0,"ERRO: disciplina não pertence ao curso","OK")))))</f>
        <v/>
      </c>
    </row>
    <row r="855" ht="15" customHeight="1" s="131">
      <c r="A855" s="220" t="n"/>
      <c r="B855" s="222" t="n"/>
      <c r="C855" s="222" t="n"/>
      <c r="D855" s="220" t="n"/>
      <c r="E855" s="220" t="n"/>
      <c r="F855" s="181">
        <f>IFERROR(E855/D855,"")</f>
        <v/>
      </c>
      <c r="G855" s="219" t="n"/>
      <c r="H855" s="220" t="n"/>
      <c r="I855" s="221">
        <f>IF(COUNTA(A855:E855)=0,"",IF(OR(D855&lt;=0,E855&lt;0),"ERRO: bases inválidas",IF(E855&gt;D855,"ERRO: presenças acima do previsto",IF(COUNTIFS($A$5:$A$1200,A855,$B$5:$B$1200,B855,$C$5:$C$1200,C855)&gt;1,"ERRO: chave duplicada",IF(COUNTIFS(DISCIPLINAS!$A$5:$A$101,B855,DISCIPLINAS!$B$5:$B$101,C855)=0,"ERRO: disciplina não pertence ao curso","OK")))))</f>
        <v/>
      </c>
    </row>
    <row r="856" ht="15" customHeight="1" s="131">
      <c r="A856" s="220" t="n"/>
      <c r="B856" s="222" t="n"/>
      <c r="C856" s="222" t="n"/>
      <c r="D856" s="220" t="n"/>
      <c r="E856" s="220" t="n"/>
      <c r="F856" s="181">
        <f>IFERROR(E856/D856,"")</f>
        <v/>
      </c>
      <c r="G856" s="219" t="n"/>
      <c r="H856" s="220" t="n"/>
      <c r="I856" s="221">
        <f>IF(COUNTA(A856:E856)=0,"",IF(OR(D856&lt;=0,E856&lt;0),"ERRO: bases inválidas",IF(E856&gt;D856,"ERRO: presenças acima do previsto",IF(COUNTIFS($A$5:$A$1200,A856,$B$5:$B$1200,B856,$C$5:$C$1200,C856)&gt;1,"ERRO: chave duplicada",IF(COUNTIFS(DISCIPLINAS!$A$5:$A$101,B856,DISCIPLINAS!$B$5:$B$101,C856)=0,"ERRO: disciplina não pertence ao curso","OK")))))</f>
        <v/>
      </c>
    </row>
    <row r="857" ht="15" customHeight="1" s="131">
      <c r="A857" s="220" t="n"/>
      <c r="B857" s="222" t="n"/>
      <c r="C857" s="222" t="n"/>
      <c r="D857" s="220" t="n"/>
      <c r="E857" s="220" t="n"/>
      <c r="F857" s="181">
        <f>IFERROR(E857/D857,"")</f>
        <v/>
      </c>
      <c r="G857" s="219" t="n"/>
      <c r="H857" s="220" t="n"/>
      <c r="I857" s="221">
        <f>IF(COUNTA(A857:E857)=0,"",IF(OR(D857&lt;=0,E857&lt;0),"ERRO: bases inválidas",IF(E857&gt;D857,"ERRO: presenças acima do previsto",IF(COUNTIFS($A$5:$A$1200,A857,$B$5:$B$1200,B857,$C$5:$C$1200,C857)&gt;1,"ERRO: chave duplicada",IF(COUNTIFS(DISCIPLINAS!$A$5:$A$101,B857,DISCIPLINAS!$B$5:$B$101,C857)=0,"ERRO: disciplina não pertence ao curso","OK")))))</f>
        <v/>
      </c>
    </row>
    <row r="858" ht="15" customHeight="1" s="131">
      <c r="A858" s="220" t="n"/>
      <c r="B858" s="222" t="n"/>
      <c r="C858" s="222" t="n"/>
      <c r="D858" s="220" t="n"/>
      <c r="E858" s="220" t="n"/>
      <c r="F858" s="181">
        <f>IFERROR(E858/D858,"")</f>
        <v/>
      </c>
      <c r="G858" s="219" t="n"/>
      <c r="H858" s="220" t="n"/>
      <c r="I858" s="221">
        <f>IF(COUNTA(A858:E858)=0,"",IF(OR(D858&lt;=0,E858&lt;0),"ERRO: bases inválidas",IF(E858&gt;D858,"ERRO: presenças acima do previsto",IF(COUNTIFS($A$5:$A$1200,A858,$B$5:$B$1200,B858,$C$5:$C$1200,C858)&gt;1,"ERRO: chave duplicada",IF(COUNTIFS(DISCIPLINAS!$A$5:$A$101,B858,DISCIPLINAS!$B$5:$B$101,C858)=0,"ERRO: disciplina não pertence ao curso","OK")))))</f>
        <v/>
      </c>
    </row>
    <row r="859" ht="15" customHeight="1" s="131">
      <c r="A859" s="220" t="n"/>
      <c r="B859" s="222" t="n"/>
      <c r="C859" s="222" t="n"/>
      <c r="D859" s="220" t="n"/>
      <c r="E859" s="220" t="n"/>
      <c r="F859" s="181">
        <f>IFERROR(E859/D859,"")</f>
        <v/>
      </c>
      <c r="G859" s="219" t="n"/>
      <c r="H859" s="220" t="n"/>
      <c r="I859" s="221">
        <f>IF(COUNTA(A859:E859)=0,"",IF(OR(D859&lt;=0,E859&lt;0),"ERRO: bases inválidas",IF(E859&gt;D859,"ERRO: presenças acima do previsto",IF(COUNTIFS($A$5:$A$1200,A859,$B$5:$B$1200,B859,$C$5:$C$1200,C859)&gt;1,"ERRO: chave duplicada",IF(COUNTIFS(DISCIPLINAS!$A$5:$A$101,B859,DISCIPLINAS!$B$5:$B$101,C859)=0,"ERRO: disciplina não pertence ao curso","OK")))))</f>
        <v/>
      </c>
    </row>
    <row r="860" ht="15" customHeight="1" s="131">
      <c r="A860" s="220" t="n"/>
      <c r="B860" s="222" t="n"/>
      <c r="C860" s="222" t="n"/>
      <c r="D860" s="220" t="n"/>
      <c r="E860" s="220" t="n"/>
      <c r="F860" s="181">
        <f>IFERROR(E860/D860,"")</f>
        <v/>
      </c>
      <c r="G860" s="219" t="n"/>
      <c r="H860" s="220" t="n"/>
      <c r="I860" s="221">
        <f>IF(COUNTA(A860:E860)=0,"",IF(OR(D860&lt;=0,E860&lt;0),"ERRO: bases inválidas",IF(E860&gt;D860,"ERRO: presenças acima do previsto",IF(COUNTIFS($A$5:$A$1200,A860,$B$5:$B$1200,B860,$C$5:$C$1200,C860)&gt;1,"ERRO: chave duplicada",IF(COUNTIFS(DISCIPLINAS!$A$5:$A$101,B860,DISCIPLINAS!$B$5:$B$101,C860)=0,"ERRO: disciplina não pertence ao curso","OK")))))</f>
        <v/>
      </c>
    </row>
    <row r="861" ht="15" customHeight="1" s="131">
      <c r="A861" s="220" t="n"/>
      <c r="B861" s="222" t="n"/>
      <c r="C861" s="222" t="n"/>
      <c r="D861" s="220" t="n"/>
      <c r="E861" s="220" t="n"/>
      <c r="F861" s="181">
        <f>IFERROR(E861/D861,"")</f>
        <v/>
      </c>
      <c r="G861" s="219" t="n"/>
      <c r="H861" s="220" t="n"/>
      <c r="I861" s="221">
        <f>IF(COUNTA(A861:E861)=0,"",IF(OR(D861&lt;=0,E861&lt;0),"ERRO: bases inválidas",IF(E861&gt;D861,"ERRO: presenças acima do previsto",IF(COUNTIFS($A$5:$A$1200,A861,$B$5:$B$1200,B861,$C$5:$C$1200,C861)&gt;1,"ERRO: chave duplicada",IF(COUNTIFS(DISCIPLINAS!$A$5:$A$101,B861,DISCIPLINAS!$B$5:$B$101,C861)=0,"ERRO: disciplina não pertence ao curso","OK")))))</f>
        <v/>
      </c>
    </row>
    <row r="862" ht="15" customHeight="1" s="131">
      <c r="A862" s="220" t="n"/>
      <c r="B862" s="222" t="n"/>
      <c r="C862" s="222" t="n"/>
      <c r="D862" s="220" t="n"/>
      <c r="E862" s="220" t="n"/>
      <c r="F862" s="181">
        <f>IFERROR(E862/D862,"")</f>
        <v/>
      </c>
      <c r="G862" s="219" t="n"/>
      <c r="H862" s="220" t="n"/>
      <c r="I862" s="221">
        <f>IF(COUNTA(A862:E862)=0,"",IF(OR(D862&lt;=0,E862&lt;0),"ERRO: bases inválidas",IF(E862&gt;D862,"ERRO: presenças acima do previsto",IF(COUNTIFS($A$5:$A$1200,A862,$B$5:$B$1200,B862,$C$5:$C$1200,C862)&gt;1,"ERRO: chave duplicada",IF(COUNTIFS(DISCIPLINAS!$A$5:$A$101,B862,DISCIPLINAS!$B$5:$B$101,C862)=0,"ERRO: disciplina não pertence ao curso","OK")))))</f>
        <v/>
      </c>
    </row>
    <row r="863" ht="15" customHeight="1" s="131">
      <c r="A863" s="220" t="n"/>
      <c r="B863" s="222" t="n"/>
      <c r="C863" s="222" t="n"/>
      <c r="D863" s="220" t="n"/>
      <c r="E863" s="220" t="n"/>
      <c r="F863" s="181">
        <f>IFERROR(E863/D863,"")</f>
        <v/>
      </c>
      <c r="G863" s="219" t="n"/>
      <c r="H863" s="220" t="n"/>
      <c r="I863" s="221">
        <f>IF(COUNTA(A863:E863)=0,"",IF(OR(D863&lt;=0,E863&lt;0),"ERRO: bases inválidas",IF(E863&gt;D863,"ERRO: presenças acima do previsto",IF(COUNTIFS($A$5:$A$1200,A863,$B$5:$B$1200,B863,$C$5:$C$1200,C863)&gt;1,"ERRO: chave duplicada",IF(COUNTIFS(DISCIPLINAS!$A$5:$A$101,B863,DISCIPLINAS!$B$5:$B$101,C863)=0,"ERRO: disciplina não pertence ao curso","OK")))))</f>
        <v/>
      </c>
    </row>
    <row r="864" ht="15" customHeight="1" s="131">
      <c r="A864" s="220" t="n"/>
      <c r="B864" s="222" t="n"/>
      <c r="C864" s="222" t="n"/>
      <c r="D864" s="220" t="n"/>
      <c r="E864" s="220" t="n"/>
      <c r="F864" s="181">
        <f>IFERROR(E864/D864,"")</f>
        <v/>
      </c>
      <c r="G864" s="219" t="n"/>
      <c r="H864" s="220" t="n"/>
      <c r="I864" s="221">
        <f>IF(COUNTA(A864:E864)=0,"",IF(OR(D864&lt;=0,E864&lt;0),"ERRO: bases inválidas",IF(E864&gt;D864,"ERRO: presenças acima do previsto",IF(COUNTIFS($A$5:$A$1200,A864,$B$5:$B$1200,B864,$C$5:$C$1200,C864)&gt;1,"ERRO: chave duplicada",IF(COUNTIFS(DISCIPLINAS!$A$5:$A$101,B864,DISCIPLINAS!$B$5:$B$101,C864)=0,"ERRO: disciplina não pertence ao curso","OK")))))</f>
        <v/>
      </c>
    </row>
    <row r="865" ht="15" customHeight="1" s="131">
      <c r="A865" s="220" t="n"/>
      <c r="B865" s="222" t="n"/>
      <c r="C865" s="222" t="n"/>
      <c r="D865" s="220" t="n"/>
      <c r="E865" s="220" t="n"/>
      <c r="F865" s="181">
        <f>IFERROR(E865/D865,"")</f>
        <v/>
      </c>
      <c r="G865" s="219" t="n"/>
      <c r="H865" s="220" t="n"/>
      <c r="I865" s="221">
        <f>IF(COUNTA(A865:E865)=0,"",IF(OR(D865&lt;=0,E865&lt;0),"ERRO: bases inválidas",IF(E865&gt;D865,"ERRO: presenças acima do previsto",IF(COUNTIFS($A$5:$A$1200,A865,$B$5:$B$1200,B865,$C$5:$C$1200,C865)&gt;1,"ERRO: chave duplicada",IF(COUNTIFS(DISCIPLINAS!$A$5:$A$101,B865,DISCIPLINAS!$B$5:$B$101,C865)=0,"ERRO: disciplina não pertence ao curso","OK")))))</f>
        <v/>
      </c>
    </row>
    <row r="866" ht="15" customHeight="1" s="131">
      <c r="A866" s="220" t="n"/>
      <c r="B866" s="222" t="n"/>
      <c r="C866" s="222" t="n"/>
      <c r="D866" s="220" t="n"/>
      <c r="E866" s="220" t="n"/>
      <c r="F866" s="181">
        <f>IFERROR(E866/D866,"")</f>
        <v/>
      </c>
      <c r="G866" s="219" t="n"/>
      <c r="H866" s="220" t="n"/>
      <c r="I866" s="221">
        <f>IF(COUNTA(A866:E866)=0,"",IF(OR(D866&lt;=0,E866&lt;0),"ERRO: bases inválidas",IF(E866&gt;D866,"ERRO: presenças acima do previsto",IF(COUNTIFS($A$5:$A$1200,A866,$B$5:$B$1200,B866,$C$5:$C$1200,C866)&gt;1,"ERRO: chave duplicada",IF(COUNTIFS(DISCIPLINAS!$A$5:$A$101,B866,DISCIPLINAS!$B$5:$B$101,C866)=0,"ERRO: disciplina não pertence ao curso","OK")))))</f>
        <v/>
      </c>
    </row>
    <row r="867" ht="15" customHeight="1" s="131">
      <c r="A867" s="220" t="n"/>
      <c r="B867" s="222" t="n"/>
      <c r="C867" s="222" t="n"/>
      <c r="D867" s="220" t="n"/>
      <c r="E867" s="220" t="n"/>
      <c r="F867" s="181">
        <f>IFERROR(E867/D867,"")</f>
        <v/>
      </c>
      <c r="G867" s="219" t="n"/>
      <c r="H867" s="220" t="n"/>
      <c r="I867" s="221">
        <f>IF(COUNTA(A867:E867)=0,"",IF(OR(D867&lt;=0,E867&lt;0),"ERRO: bases inválidas",IF(E867&gt;D867,"ERRO: presenças acima do previsto",IF(COUNTIFS($A$5:$A$1200,A867,$B$5:$B$1200,B867,$C$5:$C$1200,C867)&gt;1,"ERRO: chave duplicada",IF(COUNTIFS(DISCIPLINAS!$A$5:$A$101,B867,DISCIPLINAS!$B$5:$B$101,C867)=0,"ERRO: disciplina não pertence ao curso","OK")))))</f>
        <v/>
      </c>
    </row>
    <row r="868" ht="15" customHeight="1" s="131">
      <c r="A868" s="220" t="n"/>
      <c r="B868" s="222" t="n"/>
      <c r="C868" s="222" t="n"/>
      <c r="D868" s="220" t="n"/>
      <c r="E868" s="220" t="n"/>
      <c r="F868" s="181">
        <f>IFERROR(E868/D868,"")</f>
        <v/>
      </c>
      <c r="G868" s="219" t="n"/>
      <c r="H868" s="220" t="n"/>
      <c r="I868" s="221">
        <f>IF(COUNTA(A868:E868)=0,"",IF(OR(D868&lt;=0,E868&lt;0),"ERRO: bases inválidas",IF(E868&gt;D868,"ERRO: presenças acima do previsto",IF(COUNTIFS($A$5:$A$1200,A868,$B$5:$B$1200,B868,$C$5:$C$1200,C868)&gt;1,"ERRO: chave duplicada",IF(COUNTIFS(DISCIPLINAS!$A$5:$A$101,B868,DISCIPLINAS!$B$5:$B$101,C868)=0,"ERRO: disciplina não pertence ao curso","OK")))))</f>
        <v/>
      </c>
    </row>
    <row r="869" ht="15" customHeight="1" s="131">
      <c r="A869" s="220" t="n"/>
      <c r="B869" s="222" t="n"/>
      <c r="C869" s="222" t="n"/>
      <c r="D869" s="220" t="n"/>
      <c r="E869" s="220" t="n"/>
      <c r="F869" s="181">
        <f>IFERROR(E869/D869,"")</f>
        <v/>
      </c>
      <c r="G869" s="219" t="n"/>
      <c r="H869" s="220" t="n"/>
      <c r="I869" s="221">
        <f>IF(COUNTA(A869:E869)=0,"",IF(OR(D869&lt;=0,E869&lt;0),"ERRO: bases inválidas",IF(E869&gt;D869,"ERRO: presenças acima do previsto",IF(COUNTIFS($A$5:$A$1200,A869,$B$5:$B$1200,B869,$C$5:$C$1200,C869)&gt;1,"ERRO: chave duplicada",IF(COUNTIFS(DISCIPLINAS!$A$5:$A$101,B869,DISCIPLINAS!$B$5:$B$101,C869)=0,"ERRO: disciplina não pertence ao curso","OK")))))</f>
        <v/>
      </c>
    </row>
    <row r="870" ht="15" customHeight="1" s="131">
      <c r="A870" s="220" t="n"/>
      <c r="B870" s="222" t="n"/>
      <c r="C870" s="222" t="n"/>
      <c r="D870" s="220" t="n"/>
      <c r="E870" s="220" t="n"/>
      <c r="F870" s="181">
        <f>IFERROR(E870/D870,"")</f>
        <v/>
      </c>
      <c r="G870" s="219" t="n"/>
      <c r="H870" s="220" t="n"/>
      <c r="I870" s="221">
        <f>IF(COUNTA(A870:E870)=0,"",IF(OR(D870&lt;=0,E870&lt;0),"ERRO: bases inválidas",IF(E870&gt;D870,"ERRO: presenças acima do previsto",IF(COUNTIFS($A$5:$A$1200,A870,$B$5:$B$1200,B870,$C$5:$C$1200,C870)&gt;1,"ERRO: chave duplicada",IF(COUNTIFS(DISCIPLINAS!$A$5:$A$101,B870,DISCIPLINAS!$B$5:$B$101,C870)=0,"ERRO: disciplina não pertence ao curso","OK")))))</f>
        <v/>
      </c>
    </row>
    <row r="871" ht="15" customHeight="1" s="131">
      <c r="A871" s="220" t="n"/>
      <c r="B871" s="222" t="n"/>
      <c r="C871" s="222" t="n"/>
      <c r="D871" s="220" t="n"/>
      <c r="E871" s="220" t="n"/>
      <c r="F871" s="181">
        <f>IFERROR(E871/D871,"")</f>
        <v/>
      </c>
      <c r="G871" s="219" t="n"/>
      <c r="H871" s="220" t="n"/>
      <c r="I871" s="221">
        <f>IF(COUNTA(A871:E871)=0,"",IF(OR(D871&lt;=0,E871&lt;0),"ERRO: bases inválidas",IF(E871&gt;D871,"ERRO: presenças acima do previsto",IF(COUNTIFS($A$5:$A$1200,A871,$B$5:$B$1200,B871,$C$5:$C$1200,C871)&gt;1,"ERRO: chave duplicada",IF(COUNTIFS(DISCIPLINAS!$A$5:$A$101,B871,DISCIPLINAS!$B$5:$B$101,C871)=0,"ERRO: disciplina não pertence ao curso","OK")))))</f>
        <v/>
      </c>
    </row>
    <row r="872" ht="15" customHeight="1" s="131">
      <c r="A872" s="220" t="n"/>
      <c r="B872" s="222" t="n"/>
      <c r="C872" s="222" t="n"/>
      <c r="D872" s="220" t="n"/>
      <c r="E872" s="220" t="n"/>
      <c r="F872" s="181">
        <f>IFERROR(E872/D872,"")</f>
        <v/>
      </c>
      <c r="G872" s="219" t="n"/>
      <c r="H872" s="220" t="n"/>
      <c r="I872" s="221">
        <f>IF(COUNTA(A872:E872)=0,"",IF(OR(D872&lt;=0,E872&lt;0),"ERRO: bases inválidas",IF(E872&gt;D872,"ERRO: presenças acima do previsto",IF(COUNTIFS($A$5:$A$1200,A872,$B$5:$B$1200,B872,$C$5:$C$1200,C872)&gt;1,"ERRO: chave duplicada",IF(COUNTIFS(DISCIPLINAS!$A$5:$A$101,B872,DISCIPLINAS!$B$5:$B$101,C872)=0,"ERRO: disciplina não pertence ao curso","OK")))))</f>
        <v/>
      </c>
    </row>
    <row r="873" ht="15" customHeight="1" s="131">
      <c r="A873" s="220" t="n"/>
      <c r="B873" s="222" t="n"/>
      <c r="C873" s="222" t="n"/>
      <c r="D873" s="220" t="n"/>
      <c r="E873" s="220" t="n"/>
      <c r="F873" s="181">
        <f>IFERROR(E873/D873,"")</f>
        <v/>
      </c>
      <c r="G873" s="219" t="n"/>
      <c r="H873" s="220" t="n"/>
      <c r="I873" s="221">
        <f>IF(COUNTA(A873:E873)=0,"",IF(OR(D873&lt;=0,E873&lt;0),"ERRO: bases inválidas",IF(E873&gt;D873,"ERRO: presenças acima do previsto",IF(COUNTIFS($A$5:$A$1200,A873,$B$5:$B$1200,B873,$C$5:$C$1200,C873)&gt;1,"ERRO: chave duplicada",IF(COUNTIFS(DISCIPLINAS!$A$5:$A$101,B873,DISCIPLINAS!$B$5:$B$101,C873)=0,"ERRO: disciplina não pertence ao curso","OK")))))</f>
        <v/>
      </c>
    </row>
    <row r="874" ht="15" customHeight="1" s="131">
      <c r="A874" s="220" t="n"/>
      <c r="B874" s="222" t="n"/>
      <c r="C874" s="222" t="n"/>
      <c r="D874" s="220" t="n"/>
      <c r="E874" s="220" t="n"/>
      <c r="F874" s="181">
        <f>IFERROR(E874/D874,"")</f>
        <v/>
      </c>
      <c r="G874" s="219" t="n"/>
      <c r="H874" s="220" t="n"/>
      <c r="I874" s="221">
        <f>IF(COUNTA(A874:E874)=0,"",IF(OR(D874&lt;=0,E874&lt;0),"ERRO: bases inválidas",IF(E874&gt;D874,"ERRO: presenças acima do previsto",IF(COUNTIFS($A$5:$A$1200,A874,$B$5:$B$1200,B874,$C$5:$C$1200,C874)&gt;1,"ERRO: chave duplicada",IF(COUNTIFS(DISCIPLINAS!$A$5:$A$101,B874,DISCIPLINAS!$B$5:$B$101,C874)=0,"ERRO: disciplina não pertence ao curso","OK")))))</f>
        <v/>
      </c>
    </row>
    <row r="875" ht="15" customHeight="1" s="131">
      <c r="A875" s="220" t="n"/>
      <c r="B875" s="222" t="n"/>
      <c r="C875" s="222" t="n"/>
      <c r="D875" s="220" t="n"/>
      <c r="E875" s="220" t="n"/>
      <c r="F875" s="181">
        <f>IFERROR(E875/D875,"")</f>
        <v/>
      </c>
      <c r="G875" s="219" t="n"/>
      <c r="H875" s="220" t="n"/>
      <c r="I875" s="221">
        <f>IF(COUNTA(A875:E875)=0,"",IF(OR(D875&lt;=0,E875&lt;0),"ERRO: bases inválidas",IF(E875&gt;D875,"ERRO: presenças acima do previsto",IF(COUNTIFS($A$5:$A$1200,A875,$B$5:$B$1200,B875,$C$5:$C$1200,C875)&gt;1,"ERRO: chave duplicada",IF(COUNTIFS(DISCIPLINAS!$A$5:$A$101,B875,DISCIPLINAS!$B$5:$B$101,C875)=0,"ERRO: disciplina não pertence ao curso","OK")))))</f>
        <v/>
      </c>
    </row>
    <row r="876" ht="15" customHeight="1" s="131">
      <c r="A876" s="220" t="n"/>
      <c r="B876" s="222" t="n"/>
      <c r="C876" s="222" t="n"/>
      <c r="D876" s="220" t="n"/>
      <c r="E876" s="220" t="n"/>
      <c r="F876" s="181">
        <f>IFERROR(E876/D876,"")</f>
        <v/>
      </c>
      <c r="G876" s="219" t="n"/>
      <c r="H876" s="220" t="n"/>
      <c r="I876" s="221">
        <f>IF(COUNTA(A876:E876)=0,"",IF(OR(D876&lt;=0,E876&lt;0),"ERRO: bases inválidas",IF(E876&gt;D876,"ERRO: presenças acima do previsto",IF(COUNTIFS($A$5:$A$1200,A876,$B$5:$B$1200,B876,$C$5:$C$1200,C876)&gt;1,"ERRO: chave duplicada",IF(COUNTIFS(DISCIPLINAS!$A$5:$A$101,B876,DISCIPLINAS!$B$5:$B$101,C876)=0,"ERRO: disciplina não pertence ao curso","OK")))))</f>
        <v/>
      </c>
    </row>
    <row r="877" ht="15" customHeight="1" s="131">
      <c r="A877" s="220" t="n"/>
      <c r="B877" s="222" t="n"/>
      <c r="C877" s="222" t="n"/>
      <c r="D877" s="220" t="n"/>
      <c r="E877" s="220" t="n"/>
      <c r="F877" s="181">
        <f>IFERROR(E877/D877,"")</f>
        <v/>
      </c>
      <c r="G877" s="219" t="n"/>
      <c r="H877" s="220" t="n"/>
      <c r="I877" s="221">
        <f>IF(COUNTA(A877:E877)=0,"",IF(OR(D877&lt;=0,E877&lt;0),"ERRO: bases inválidas",IF(E877&gt;D877,"ERRO: presenças acima do previsto",IF(COUNTIFS($A$5:$A$1200,A877,$B$5:$B$1200,B877,$C$5:$C$1200,C877)&gt;1,"ERRO: chave duplicada",IF(COUNTIFS(DISCIPLINAS!$A$5:$A$101,B877,DISCIPLINAS!$B$5:$B$101,C877)=0,"ERRO: disciplina não pertence ao curso","OK")))))</f>
        <v/>
      </c>
    </row>
    <row r="878" ht="15" customHeight="1" s="131">
      <c r="A878" s="220" t="n"/>
      <c r="B878" s="222" t="n"/>
      <c r="C878" s="222" t="n"/>
      <c r="D878" s="220" t="n"/>
      <c r="E878" s="220" t="n"/>
      <c r="F878" s="181">
        <f>IFERROR(E878/D878,"")</f>
        <v/>
      </c>
      <c r="G878" s="219" t="n"/>
      <c r="H878" s="220" t="n"/>
      <c r="I878" s="221">
        <f>IF(COUNTA(A878:E878)=0,"",IF(OR(D878&lt;=0,E878&lt;0),"ERRO: bases inválidas",IF(E878&gt;D878,"ERRO: presenças acima do previsto",IF(COUNTIFS($A$5:$A$1200,A878,$B$5:$B$1200,B878,$C$5:$C$1200,C878)&gt;1,"ERRO: chave duplicada",IF(COUNTIFS(DISCIPLINAS!$A$5:$A$101,B878,DISCIPLINAS!$B$5:$B$101,C878)=0,"ERRO: disciplina não pertence ao curso","OK")))))</f>
        <v/>
      </c>
    </row>
    <row r="879" ht="15" customHeight="1" s="131">
      <c r="A879" s="220" t="n"/>
      <c r="B879" s="222" t="n"/>
      <c r="C879" s="222" t="n"/>
      <c r="D879" s="220" t="n"/>
      <c r="E879" s="220" t="n"/>
      <c r="F879" s="181">
        <f>IFERROR(E879/D879,"")</f>
        <v/>
      </c>
      <c r="G879" s="219" t="n"/>
      <c r="H879" s="220" t="n"/>
      <c r="I879" s="221">
        <f>IF(COUNTA(A879:E879)=0,"",IF(OR(D879&lt;=0,E879&lt;0),"ERRO: bases inválidas",IF(E879&gt;D879,"ERRO: presenças acima do previsto",IF(COUNTIFS($A$5:$A$1200,A879,$B$5:$B$1200,B879,$C$5:$C$1200,C879)&gt;1,"ERRO: chave duplicada",IF(COUNTIFS(DISCIPLINAS!$A$5:$A$101,B879,DISCIPLINAS!$B$5:$B$101,C879)=0,"ERRO: disciplina não pertence ao curso","OK")))))</f>
        <v/>
      </c>
    </row>
    <row r="880" ht="15" customHeight="1" s="131">
      <c r="A880" s="220" t="n"/>
      <c r="B880" s="222" t="n"/>
      <c r="C880" s="222" t="n"/>
      <c r="D880" s="220" t="n"/>
      <c r="E880" s="220" t="n"/>
      <c r="F880" s="181">
        <f>IFERROR(E880/D880,"")</f>
        <v/>
      </c>
      <c r="G880" s="219" t="n"/>
      <c r="H880" s="220" t="n"/>
      <c r="I880" s="221">
        <f>IF(COUNTA(A880:E880)=0,"",IF(OR(D880&lt;=0,E880&lt;0),"ERRO: bases inválidas",IF(E880&gt;D880,"ERRO: presenças acima do previsto",IF(COUNTIFS($A$5:$A$1200,A880,$B$5:$B$1200,B880,$C$5:$C$1200,C880)&gt;1,"ERRO: chave duplicada",IF(COUNTIFS(DISCIPLINAS!$A$5:$A$101,B880,DISCIPLINAS!$B$5:$B$101,C880)=0,"ERRO: disciplina não pertence ao curso","OK")))))</f>
        <v/>
      </c>
    </row>
    <row r="881" ht="15" customHeight="1" s="131">
      <c r="A881" s="220" t="n"/>
      <c r="B881" s="222" t="n"/>
      <c r="C881" s="222" t="n"/>
      <c r="D881" s="220" t="n"/>
      <c r="E881" s="220" t="n"/>
      <c r="F881" s="181">
        <f>IFERROR(E881/D881,"")</f>
        <v/>
      </c>
      <c r="G881" s="219" t="n"/>
      <c r="H881" s="220" t="n"/>
      <c r="I881" s="221">
        <f>IF(COUNTA(A881:E881)=0,"",IF(OR(D881&lt;=0,E881&lt;0),"ERRO: bases inválidas",IF(E881&gt;D881,"ERRO: presenças acima do previsto",IF(COUNTIFS($A$5:$A$1200,A881,$B$5:$B$1200,B881,$C$5:$C$1200,C881)&gt;1,"ERRO: chave duplicada",IF(COUNTIFS(DISCIPLINAS!$A$5:$A$101,B881,DISCIPLINAS!$B$5:$B$101,C881)=0,"ERRO: disciplina não pertence ao curso","OK")))))</f>
        <v/>
      </c>
    </row>
    <row r="882" ht="15" customHeight="1" s="131">
      <c r="A882" s="220" t="n"/>
      <c r="B882" s="222" t="n"/>
      <c r="C882" s="222" t="n"/>
      <c r="D882" s="220" t="n"/>
      <c r="E882" s="220" t="n"/>
      <c r="F882" s="181">
        <f>IFERROR(E882/D882,"")</f>
        <v/>
      </c>
      <c r="G882" s="219" t="n"/>
      <c r="H882" s="220" t="n"/>
      <c r="I882" s="221">
        <f>IF(COUNTA(A882:E882)=0,"",IF(OR(D882&lt;=0,E882&lt;0),"ERRO: bases inválidas",IF(E882&gt;D882,"ERRO: presenças acima do previsto",IF(COUNTIFS($A$5:$A$1200,A882,$B$5:$B$1200,B882,$C$5:$C$1200,C882)&gt;1,"ERRO: chave duplicada",IF(COUNTIFS(DISCIPLINAS!$A$5:$A$101,B882,DISCIPLINAS!$B$5:$B$101,C882)=0,"ERRO: disciplina não pertence ao curso","OK")))))</f>
        <v/>
      </c>
    </row>
    <row r="883" ht="15" customHeight="1" s="131">
      <c r="A883" s="220" t="n"/>
      <c r="B883" s="222" t="n"/>
      <c r="C883" s="222" t="n"/>
      <c r="D883" s="220" t="n"/>
      <c r="E883" s="220" t="n"/>
      <c r="F883" s="181">
        <f>IFERROR(E883/D883,"")</f>
        <v/>
      </c>
      <c r="G883" s="219" t="n"/>
      <c r="H883" s="220" t="n"/>
      <c r="I883" s="221">
        <f>IF(COUNTA(A883:E883)=0,"",IF(OR(D883&lt;=0,E883&lt;0),"ERRO: bases inválidas",IF(E883&gt;D883,"ERRO: presenças acima do previsto",IF(COUNTIFS($A$5:$A$1200,A883,$B$5:$B$1200,B883,$C$5:$C$1200,C883)&gt;1,"ERRO: chave duplicada",IF(COUNTIFS(DISCIPLINAS!$A$5:$A$101,B883,DISCIPLINAS!$B$5:$B$101,C883)=0,"ERRO: disciplina não pertence ao curso","OK")))))</f>
        <v/>
      </c>
    </row>
    <row r="884" ht="15" customHeight="1" s="131">
      <c r="A884" s="220" t="n"/>
      <c r="B884" s="222" t="n"/>
      <c r="C884" s="222" t="n"/>
      <c r="D884" s="220" t="n"/>
      <c r="E884" s="220" t="n"/>
      <c r="F884" s="181">
        <f>IFERROR(E884/D884,"")</f>
        <v/>
      </c>
      <c r="G884" s="219" t="n"/>
      <c r="H884" s="220" t="n"/>
      <c r="I884" s="221">
        <f>IF(COUNTA(A884:E884)=0,"",IF(OR(D884&lt;=0,E884&lt;0),"ERRO: bases inválidas",IF(E884&gt;D884,"ERRO: presenças acima do previsto",IF(COUNTIFS($A$5:$A$1200,A884,$B$5:$B$1200,B884,$C$5:$C$1200,C884)&gt;1,"ERRO: chave duplicada",IF(COUNTIFS(DISCIPLINAS!$A$5:$A$101,B884,DISCIPLINAS!$B$5:$B$101,C884)=0,"ERRO: disciplina não pertence ao curso","OK")))))</f>
        <v/>
      </c>
    </row>
    <row r="885" ht="15" customHeight="1" s="131">
      <c r="A885" s="220" t="n"/>
      <c r="B885" s="222" t="n"/>
      <c r="C885" s="222" t="n"/>
      <c r="D885" s="220" t="n"/>
      <c r="E885" s="220" t="n"/>
      <c r="F885" s="181">
        <f>IFERROR(E885/D885,"")</f>
        <v/>
      </c>
      <c r="G885" s="219" t="n"/>
      <c r="H885" s="220" t="n"/>
      <c r="I885" s="221">
        <f>IF(COUNTA(A885:E885)=0,"",IF(OR(D885&lt;=0,E885&lt;0),"ERRO: bases inválidas",IF(E885&gt;D885,"ERRO: presenças acima do previsto",IF(COUNTIFS($A$5:$A$1200,A885,$B$5:$B$1200,B885,$C$5:$C$1200,C885)&gt;1,"ERRO: chave duplicada",IF(COUNTIFS(DISCIPLINAS!$A$5:$A$101,B885,DISCIPLINAS!$B$5:$B$101,C885)=0,"ERRO: disciplina não pertence ao curso","OK")))))</f>
        <v/>
      </c>
    </row>
    <row r="886" ht="15" customHeight="1" s="131">
      <c r="A886" s="220" t="n"/>
      <c r="B886" s="222" t="n"/>
      <c r="C886" s="222" t="n"/>
      <c r="D886" s="220" t="n"/>
      <c r="E886" s="220" t="n"/>
      <c r="F886" s="181">
        <f>IFERROR(E886/D886,"")</f>
        <v/>
      </c>
      <c r="G886" s="219" t="n"/>
      <c r="H886" s="220" t="n"/>
      <c r="I886" s="221">
        <f>IF(COUNTA(A886:E886)=0,"",IF(OR(D886&lt;=0,E886&lt;0),"ERRO: bases inválidas",IF(E886&gt;D886,"ERRO: presenças acima do previsto",IF(COUNTIFS($A$5:$A$1200,A886,$B$5:$B$1200,B886,$C$5:$C$1200,C886)&gt;1,"ERRO: chave duplicada",IF(COUNTIFS(DISCIPLINAS!$A$5:$A$101,B886,DISCIPLINAS!$B$5:$B$101,C886)=0,"ERRO: disciplina não pertence ao curso","OK")))))</f>
        <v/>
      </c>
    </row>
    <row r="887" ht="15" customHeight="1" s="131">
      <c r="A887" s="220" t="n"/>
      <c r="B887" s="222" t="n"/>
      <c r="C887" s="222" t="n"/>
      <c r="D887" s="220" t="n"/>
      <c r="E887" s="220" t="n"/>
      <c r="F887" s="181">
        <f>IFERROR(E887/D887,"")</f>
        <v/>
      </c>
      <c r="G887" s="219" t="n"/>
      <c r="H887" s="220" t="n"/>
      <c r="I887" s="221">
        <f>IF(COUNTA(A887:E887)=0,"",IF(OR(D887&lt;=0,E887&lt;0),"ERRO: bases inválidas",IF(E887&gt;D887,"ERRO: presenças acima do previsto",IF(COUNTIFS($A$5:$A$1200,A887,$B$5:$B$1200,B887,$C$5:$C$1200,C887)&gt;1,"ERRO: chave duplicada",IF(COUNTIFS(DISCIPLINAS!$A$5:$A$101,B887,DISCIPLINAS!$B$5:$B$101,C887)=0,"ERRO: disciplina não pertence ao curso","OK")))))</f>
        <v/>
      </c>
    </row>
    <row r="888" ht="15" customHeight="1" s="131">
      <c r="A888" s="220" t="n"/>
      <c r="B888" s="222" t="n"/>
      <c r="C888" s="222" t="n"/>
      <c r="D888" s="220" t="n"/>
      <c r="E888" s="220" t="n"/>
      <c r="F888" s="181">
        <f>IFERROR(E888/D888,"")</f>
        <v/>
      </c>
      <c r="G888" s="219" t="n"/>
      <c r="H888" s="220" t="n"/>
      <c r="I888" s="221">
        <f>IF(COUNTA(A888:E888)=0,"",IF(OR(D888&lt;=0,E888&lt;0),"ERRO: bases inválidas",IF(E888&gt;D888,"ERRO: presenças acima do previsto",IF(COUNTIFS($A$5:$A$1200,A888,$B$5:$B$1200,B888,$C$5:$C$1200,C888)&gt;1,"ERRO: chave duplicada",IF(COUNTIFS(DISCIPLINAS!$A$5:$A$101,B888,DISCIPLINAS!$B$5:$B$101,C888)=0,"ERRO: disciplina não pertence ao curso","OK")))))</f>
        <v/>
      </c>
    </row>
    <row r="889" ht="15" customHeight="1" s="131">
      <c r="A889" s="220" t="n"/>
      <c r="B889" s="222" t="n"/>
      <c r="C889" s="222" t="n"/>
      <c r="D889" s="220" t="n"/>
      <c r="E889" s="220" t="n"/>
      <c r="F889" s="181">
        <f>IFERROR(E889/D889,"")</f>
        <v/>
      </c>
      <c r="G889" s="219" t="n"/>
      <c r="H889" s="220" t="n"/>
      <c r="I889" s="221">
        <f>IF(COUNTA(A889:E889)=0,"",IF(OR(D889&lt;=0,E889&lt;0),"ERRO: bases inválidas",IF(E889&gt;D889,"ERRO: presenças acima do previsto",IF(COUNTIFS($A$5:$A$1200,A889,$B$5:$B$1200,B889,$C$5:$C$1200,C889)&gt;1,"ERRO: chave duplicada",IF(COUNTIFS(DISCIPLINAS!$A$5:$A$101,B889,DISCIPLINAS!$B$5:$B$101,C889)=0,"ERRO: disciplina não pertence ao curso","OK")))))</f>
        <v/>
      </c>
    </row>
    <row r="890" ht="15" customHeight="1" s="131">
      <c r="A890" s="220" t="n"/>
      <c r="B890" s="222" t="n"/>
      <c r="C890" s="222" t="n"/>
      <c r="D890" s="220" t="n"/>
      <c r="E890" s="220" t="n"/>
      <c r="F890" s="181">
        <f>IFERROR(E890/D890,"")</f>
        <v/>
      </c>
      <c r="G890" s="219" t="n"/>
      <c r="H890" s="220" t="n"/>
      <c r="I890" s="221">
        <f>IF(COUNTA(A890:E890)=0,"",IF(OR(D890&lt;=0,E890&lt;0),"ERRO: bases inválidas",IF(E890&gt;D890,"ERRO: presenças acima do previsto",IF(COUNTIFS($A$5:$A$1200,A890,$B$5:$B$1200,B890,$C$5:$C$1200,C890)&gt;1,"ERRO: chave duplicada",IF(COUNTIFS(DISCIPLINAS!$A$5:$A$101,B890,DISCIPLINAS!$B$5:$B$101,C890)=0,"ERRO: disciplina não pertence ao curso","OK")))))</f>
        <v/>
      </c>
    </row>
    <row r="891" ht="15" customHeight="1" s="131">
      <c r="A891" s="220" t="n"/>
      <c r="B891" s="222" t="n"/>
      <c r="C891" s="222" t="n"/>
      <c r="D891" s="220" t="n"/>
      <c r="E891" s="220" t="n"/>
      <c r="F891" s="181">
        <f>IFERROR(E891/D891,"")</f>
        <v/>
      </c>
      <c r="G891" s="219" t="n"/>
      <c r="H891" s="220" t="n"/>
      <c r="I891" s="221">
        <f>IF(COUNTA(A891:E891)=0,"",IF(OR(D891&lt;=0,E891&lt;0),"ERRO: bases inválidas",IF(E891&gt;D891,"ERRO: presenças acima do previsto",IF(COUNTIFS($A$5:$A$1200,A891,$B$5:$B$1200,B891,$C$5:$C$1200,C891)&gt;1,"ERRO: chave duplicada",IF(COUNTIFS(DISCIPLINAS!$A$5:$A$101,B891,DISCIPLINAS!$B$5:$B$101,C891)=0,"ERRO: disciplina não pertence ao curso","OK")))))</f>
        <v/>
      </c>
    </row>
    <row r="892" ht="15" customHeight="1" s="131">
      <c r="A892" s="220" t="n"/>
      <c r="B892" s="222" t="n"/>
      <c r="C892" s="222" t="n"/>
      <c r="D892" s="220" t="n"/>
      <c r="E892" s="220" t="n"/>
      <c r="F892" s="181">
        <f>IFERROR(E892/D892,"")</f>
        <v/>
      </c>
      <c r="G892" s="219" t="n"/>
      <c r="H892" s="220" t="n"/>
      <c r="I892" s="221">
        <f>IF(COUNTA(A892:E892)=0,"",IF(OR(D892&lt;=0,E892&lt;0),"ERRO: bases inválidas",IF(E892&gt;D892,"ERRO: presenças acima do previsto",IF(COUNTIFS($A$5:$A$1200,A892,$B$5:$B$1200,B892,$C$5:$C$1200,C892)&gt;1,"ERRO: chave duplicada",IF(COUNTIFS(DISCIPLINAS!$A$5:$A$101,B892,DISCIPLINAS!$B$5:$B$101,C892)=0,"ERRO: disciplina não pertence ao curso","OK")))))</f>
        <v/>
      </c>
    </row>
    <row r="893" ht="15" customHeight="1" s="131">
      <c r="A893" s="220" t="n"/>
      <c r="B893" s="222" t="n"/>
      <c r="C893" s="222" t="n"/>
      <c r="D893" s="220" t="n"/>
      <c r="E893" s="220" t="n"/>
      <c r="F893" s="181">
        <f>IFERROR(E893/D893,"")</f>
        <v/>
      </c>
      <c r="G893" s="219" t="n"/>
      <c r="H893" s="220" t="n"/>
      <c r="I893" s="221">
        <f>IF(COUNTA(A893:E893)=0,"",IF(OR(D893&lt;=0,E893&lt;0),"ERRO: bases inválidas",IF(E893&gt;D893,"ERRO: presenças acima do previsto",IF(COUNTIFS($A$5:$A$1200,A893,$B$5:$B$1200,B893,$C$5:$C$1200,C893)&gt;1,"ERRO: chave duplicada",IF(COUNTIFS(DISCIPLINAS!$A$5:$A$101,B893,DISCIPLINAS!$B$5:$B$101,C893)=0,"ERRO: disciplina não pertence ao curso","OK")))))</f>
        <v/>
      </c>
    </row>
    <row r="894" ht="15" customHeight="1" s="131">
      <c r="A894" s="220" t="n"/>
      <c r="B894" s="222" t="n"/>
      <c r="C894" s="222" t="n"/>
      <c r="D894" s="220" t="n"/>
      <c r="E894" s="220" t="n"/>
      <c r="F894" s="181">
        <f>IFERROR(E894/D894,"")</f>
        <v/>
      </c>
      <c r="G894" s="219" t="n"/>
      <c r="H894" s="220" t="n"/>
      <c r="I894" s="221">
        <f>IF(COUNTA(A894:E894)=0,"",IF(OR(D894&lt;=0,E894&lt;0),"ERRO: bases inválidas",IF(E894&gt;D894,"ERRO: presenças acima do previsto",IF(COUNTIFS($A$5:$A$1200,A894,$B$5:$B$1200,B894,$C$5:$C$1200,C894)&gt;1,"ERRO: chave duplicada",IF(COUNTIFS(DISCIPLINAS!$A$5:$A$101,B894,DISCIPLINAS!$B$5:$B$101,C894)=0,"ERRO: disciplina não pertence ao curso","OK")))))</f>
        <v/>
      </c>
    </row>
    <row r="895" ht="15" customHeight="1" s="131">
      <c r="A895" s="220" t="n"/>
      <c r="B895" s="222" t="n"/>
      <c r="C895" s="222" t="n"/>
      <c r="D895" s="220" t="n"/>
      <c r="E895" s="220" t="n"/>
      <c r="F895" s="181">
        <f>IFERROR(E895/D895,"")</f>
        <v/>
      </c>
      <c r="G895" s="219" t="n"/>
      <c r="H895" s="220" t="n"/>
      <c r="I895" s="221">
        <f>IF(COUNTA(A895:E895)=0,"",IF(OR(D895&lt;=0,E895&lt;0),"ERRO: bases inválidas",IF(E895&gt;D895,"ERRO: presenças acima do previsto",IF(COUNTIFS($A$5:$A$1200,A895,$B$5:$B$1200,B895,$C$5:$C$1200,C895)&gt;1,"ERRO: chave duplicada",IF(COUNTIFS(DISCIPLINAS!$A$5:$A$101,B895,DISCIPLINAS!$B$5:$B$101,C895)=0,"ERRO: disciplina não pertence ao curso","OK")))))</f>
        <v/>
      </c>
    </row>
    <row r="896" ht="15" customHeight="1" s="131">
      <c r="A896" s="220" t="n"/>
      <c r="B896" s="222" t="n"/>
      <c r="C896" s="222" t="n"/>
      <c r="D896" s="220" t="n"/>
      <c r="E896" s="220" t="n"/>
      <c r="F896" s="181">
        <f>IFERROR(E896/D896,"")</f>
        <v/>
      </c>
      <c r="G896" s="219" t="n"/>
      <c r="H896" s="220" t="n"/>
      <c r="I896" s="221">
        <f>IF(COUNTA(A896:E896)=0,"",IF(OR(D896&lt;=0,E896&lt;0),"ERRO: bases inválidas",IF(E896&gt;D896,"ERRO: presenças acima do previsto",IF(COUNTIFS($A$5:$A$1200,A896,$B$5:$B$1200,B896,$C$5:$C$1200,C896)&gt;1,"ERRO: chave duplicada",IF(COUNTIFS(DISCIPLINAS!$A$5:$A$101,B896,DISCIPLINAS!$B$5:$B$101,C896)=0,"ERRO: disciplina não pertence ao curso","OK")))))</f>
        <v/>
      </c>
    </row>
    <row r="897" ht="15" customHeight="1" s="131">
      <c r="A897" s="220" t="n"/>
      <c r="B897" s="222" t="n"/>
      <c r="C897" s="222" t="n"/>
      <c r="D897" s="220" t="n"/>
      <c r="E897" s="220" t="n"/>
      <c r="F897" s="181">
        <f>IFERROR(E897/D897,"")</f>
        <v/>
      </c>
      <c r="G897" s="219" t="n"/>
      <c r="H897" s="220" t="n"/>
      <c r="I897" s="221">
        <f>IF(COUNTA(A897:E897)=0,"",IF(OR(D897&lt;=0,E897&lt;0),"ERRO: bases inválidas",IF(E897&gt;D897,"ERRO: presenças acima do previsto",IF(COUNTIFS($A$5:$A$1200,A897,$B$5:$B$1200,B897,$C$5:$C$1200,C897)&gt;1,"ERRO: chave duplicada",IF(COUNTIFS(DISCIPLINAS!$A$5:$A$101,B897,DISCIPLINAS!$B$5:$B$101,C897)=0,"ERRO: disciplina não pertence ao curso","OK")))))</f>
        <v/>
      </c>
    </row>
    <row r="898" ht="15" customHeight="1" s="131">
      <c r="A898" s="220" t="n"/>
      <c r="B898" s="222" t="n"/>
      <c r="C898" s="222" t="n"/>
      <c r="D898" s="220" t="n"/>
      <c r="E898" s="220" t="n"/>
      <c r="F898" s="181">
        <f>IFERROR(E898/D898,"")</f>
        <v/>
      </c>
      <c r="G898" s="219" t="n"/>
      <c r="H898" s="220" t="n"/>
      <c r="I898" s="221">
        <f>IF(COUNTA(A898:E898)=0,"",IF(OR(D898&lt;=0,E898&lt;0),"ERRO: bases inválidas",IF(E898&gt;D898,"ERRO: presenças acima do previsto",IF(COUNTIFS($A$5:$A$1200,A898,$B$5:$B$1200,B898,$C$5:$C$1200,C898)&gt;1,"ERRO: chave duplicada",IF(COUNTIFS(DISCIPLINAS!$A$5:$A$101,B898,DISCIPLINAS!$B$5:$B$101,C898)=0,"ERRO: disciplina não pertence ao curso","OK")))))</f>
        <v/>
      </c>
    </row>
    <row r="899" ht="15" customHeight="1" s="131">
      <c r="A899" s="220" t="n"/>
      <c r="B899" s="222" t="n"/>
      <c r="C899" s="222" t="n"/>
      <c r="D899" s="220" t="n"/>
      <c r="E899" s="220" t="n"/>
      <c r="F899" s="181">
        <f>IFERROR(E899/D899,"")</f>
        <v/>
      </c>
      <c r="G899" s="219" t="n"/>
      <c r="H899" s="220" t="n"/>
      <c r="I899" s="221">
        <f>IF(COUNTA(A899:E899)=0,"",IF(OR(D899&lt;=0,E899&lt;0),"ERRO: bases inválidas",IF(E899&gt;D899,"ERRO: presenças acima do previsto",IF(COUNTIFS($A$5:$A$1200,A899,$B$5:$B$1200,B899,$C$5:$C$1200,C899)&gt;1,"ERRO: chave duplicada",IF(COUNTIFS(DISCIPLINAS!$A$5:$A$101,B899,DISCIPLINAS!$B$5:$B$101,C899)=0,"ERRO: disciplina não pertence ao curso","OK")))))</f>
        <v/>
      </c>
    </row>
    <row r="900" ht="15" customHeight="1" s="131">
      <c r="A900" s="220" t="n"/>
      <c r="B900" s="222" t="n"/>
      <c r="C900" s="222" t="n"/>
      <c r="D900" s="220" t="n"/>
      <c r="E900" s="220" t="n"/>
      <c r="F900" s="181">
        <f>IFERROR(E900/D900,"")</f>
        <v/>
      </c>
      <c r="G900" s="219" t="n"/>
      <c r="H900" s="220" t="n"/>
      <c r="I900" s="221">
        <f>IF(COUNTA(A900:E900)=0,"",IF(OR(D900&lt;=0,E900&lt;0),"ERRO: bases inválidas",IF(E900&gt;D900,"ERRO: presenças acima do previsto",IF(COUNTIFS($A$5:$A$1200,A900,$B$5:$B$1200,B900,$C$5:$C$1200,C900)&gt;1,"ERRO: chave duplicada",IF(COUNTIFS(DISCIPLINAS!$A$5:$A$101,B900,DISCIPLINAS!$B$5:$B$101,C900)=0,"ERRO: disciplina não pertence ao curso","OK")))))</f>
        <v/>
      </c>
    </row>
    <row r="901" ht="15" customHeight="1" s="131">
      <c r="A901" s="220" t="n"/>
      <c r="B901" s="222" t="n"/>
      <c r="C901" s="222" t="n"/>
      <c r="D901" s="220" t="n"/>
      <c r="E901" s="220" t="n"/>
      <c r="F901" s="181">
        <f>IFERROR(E901/D901,"")</f>
        <v/>
      </c>
      <c r="G901" s="219" t="n"/>
      <c r="H901" s="220" t="n"/>
      <c r="I901" s="221">
        <f>IF(COUNTA(A901:E901)=0,"",IF(OR(D901&lt;=0,E901&lt;0),"ERRO: bases inválidas",IF(E901&gt;D901,"ERRO: presenças acima do previsto",IF(COUNTIFS($A$5:$A$1200,A901,$B$5:$B$1200,B901,$C$5:$C$1200,C901)&gt;1,"ERRO: chave duplicada",IF(COUNTIFS(DISCIPLINAS!$A$5:$A$101,B901,DISCIPLINAS!$B$5:$B$101,C901)=0,"ERRO: disciplina não pertence ao curso","OK")))))</f>
        <v/>
      </c>
    </row>
    <row r="902" ht="15" customHeight="1" s="131">
      <c r="A902" s="220" t="n"/>
      <c r="B902" s="222" t="n"/>
      <c r="C902" s="222" t="n"/>
      <c r="D902" s="220" t="n"/>
      <c r="E902" s="220" t="n"/>
      <c r="F902" s="181">
        <f>IFERROR(E902/D902,"")</f>
        <v/>
      </c>
      <c r="G902" s="219" t="n"/>
      <c r="H902" s="220" t="n"/>
      <c r="I902" s="221">
        <f>IF(COUNTA(A902:E902)=0,"",IF(OR(D902&lt;=0,E902&lt;0),"ERRO: bases inválidas",IF(E902&gt;D902,"ERRO: presenças acima do previsto",IF(COUNTIFS($A$5:$A$1200,A902,$B$5:$B$1200,B902,$C$5:$C$1200,C902)&gt;1,"ERRO: chave duplicada",IF(COUNTIFS(DISCIPLINAS!$A$5:$A$101,B902,DISCIPLINAS!$B$5:$B$101,C902)=0,"ERRO: disciplina não pertence ao curso","OK")))))</f>
        <v/>
      </c>
    </row>
    <row r="903" ht="15" customHeight="1" s="131">
      <c r="A903" s="220" t="n"/>
      <c r="B903" s="222" t="n"/>
      <c r="C903" s="222" t="n"/>
      <c r="D903" s="220" t="n"/>
      <c r="E903" s="220" t="n"/>
      <c r="F903" s="181">
        <f>IFERROR(E903/D903,"")</f>
        <v/>
      </c>
      <c r="G903" s="219" t="n"/>
      <c r="H903" s="220" t="n"/>
      <c r="I903" s="221">
        <f>IF(COUNTA(A903:E903)=0,"",IF(OR(D903&lt;=0,E903&lt;0),"ERRO: bases inválidas",IF(E903&gt;D903,"ERRO: presenças acima do previsto",IF(COUNTIFS($A$5:$A$1200,A903,$B$5:$B$1200,B903,$C$5:$C$1200,C903)&gt;1,"ERRO: chave duplicada",IF(COUNTIFS(DISCIPLINAS!$A$5:$A$101,B903,DISCIPLINAS!$B$5:$B$101,C903)=0,"ERRO: disciplina não pertence ao curso","OK")))))</f>
        <v/>
      </c>
    </row>
    <row r="904" ht="15" customHeight="1" s="131">
      <c r="A904" s="220" t="n"/>
      <c r="B904" s="222" t="n"/>
      <c r="C904" s="222" t="n"/>
      <c r="D904" s="220" t="n"/>
      <c r="E904" s="220" t="n"/>
      <c r="F904" s="181">
        <f>IFERROR(E904/D904,"")</f>
        <v/>
      </c>
      <c r="G904" s="219" t="n"/>
      <c r="H904" s="220" t="n"/>
      <c r="I904" s="221">
        <f>IF(COUNTA(A904:E904)=0,"",IF(OR(D904&lt;=0,E904&lt;0),"ERRO: bases inválidas",IF(E904&gt;D904,"ERRO: presenças acima do previsto",IF(COUNTIFS($A$5:$A$1200,A904,$B$5:$B$1200,B904,$C$5:$C$1200,C904)&gt;1,"ERRO: chave duplicada",IF(COUNTIFS(DISCIPLINAS!$A$5:$A$101,B904,DISCIPLINAS!$B$5:$B$101,C904)=0,"ERRO: disciplina não pertence ao curso","OK")))))</f>
        <v/>
      </c>
    </row>
    <row r="905" ht="15" customHeight="1" s="131">
      <c r="A905" s="220" t="n"/>
      <c r="B905" s="222" t="n"/>
      <c r="C905" s="222" t="n"/>
      <c r="D905" s="220" t="n"/>
      <c r="E905" s="220" t="n"/>
      <c r="F905" s="181">
        <f>IFERROR(E905/D905,"")</f>
        <v/>
      </c>
      <c r="G905" s="219" t="n"/>
      <c r="H905" s="220" t="n"/>
      <c r="I905" s="221">
        <f>IF(COUNTA(A905:E905)=0,"",IF(OR(D905&lt;=0,E905&lt;0),"ERRO: bases inválidas",IF(E905&gt;D905,"ERRO: presenças acima do previsto",IF(COUNTIFS($A$5:$A$1200,A905,$B$5:$B$1200,B905,$C$5:$C$1200,C905)&gt;1,"ERRO: chave duplicada",IF(COUNTIFS(DISCIPLINAS!$A$5:$A$101,B905,DISCIPLINAS!$B$5:$B$101,C905)=0,"ERRO: disciplina não pertence ao curso","OK")))))</f>
        <v/>
      </c>
    </row>
    <row r="906" ht="15" customHeight="1" s="131">
      <c r="A906" s="220" t="n"/>
      <c r="B906" s="222" t="n"/>
      <c r="C906" s="222" t="n"/>
      <c r="D906" s="220" t="n"/>
      <c r="E906" s="220" t="n"/>
      <c r="F906" s="181">
        <f>IFERROR(E906/D906,"")</f>
        <v/>
      </c>
      <c r="G906" s="219" t="n"/>
      <c r="H906" s="220" t="n"/>
      <c r="I906" s="221">
        <f>IF(COUNTA(A906:E906)=0,"",IF(OR(D906&lt;=0,E906&lt;0),"ERRO: bases inválidas",IF(E906&gt;D906,"ERRO: presenças acima do previsto",IF(COUNTIFS($A$5:$A$1200,A906,$B$5:$B$1200,B906,$C$5:$C$1200,C906)&gt;1,"ERRO: chave duplicada",IF(COUNTIFS(DISCIPLINAS!$A$5:$A$101,B906,DISCIPLINAS!$B$5:$B$101,C906)=0,"ERRO: disciplina não pertence ao curso","OK")))))</f>
        <v/>
      </c>
    </row>
    <row r="907" ht="15" customHeight="1" s="131">
      <c r="A907" s="220" t="n"/>
      <c r="B907" s="222" t="n"/>
      <c r="C907" s="222" t="n"/>
      <c r="D907" s="220" t="n"/>
      <c r="E907" s="220" t="n"/>
      <c r="F907" s="181">
        <f>IFERROR(E907/D907,"")</f>
        <v/>
      </c>
      <c r="G907" s="219" t="n"/>
      <c r="H907" s="220" t="n"/>
      <c r="I907" s="221">
        <f>IF(COUNTA(A907:E907)=0,"",IF(OR(D907&lt;=0,E907&lt;0),"ERRO: bases inválidas",IF(E907&gt;D907,"ERRO: presenças acima do previsto",IF(COUNTIFS($A$5:$A$1200,A907,$B$5:$B$1200,B907,$C$5:$C$1200,C907)&gt;1,"ERRO: chave duplicada",IF(COUNTIFS(DISCIPLINAS!$A$5:$A$101,B907,DISCIPLINAS!$B$5:$B$101,C907)=0,"ERRO: disciplina não pertence ao curso","OK")))))</f>
        <v/>
      </c>
    </row>
    <row r="908" ht="15" customHeight="1" s="131">
      <c r="A908" s="220" t="n"/>
      <c r="B908" s="222" t="n"/>
      <c r="C908" s="222" t="n"/>
      <c r="D908" s="220" t="n"/>
      <c r="E908" s="220" t="n"/>
      <c r="F908" s="181">
        <f>IFERROR(E908/D908,"")</f>
        <v/>
      </c>
      <c r="G908" s="219" t="n"/>
      <c r="H908" s="220" t="n"/>
      <c r="I908" s="221">
        <f>IF(COUNTA(A908:E908)=0,"",IF(OR(D908&lt;=0,E908&lt;0),"ERRO: bases inválidas",IF(E908&gt;D908,"ERRO: presenças acima do previsto",IF(COUNTIFS($A$5:$A$1200,A908,$B$5:$B$1200,B908,$C$5:$C$1200,C908)&gt;1,"ERRO: chave duplicada",IF(COUNTIFS(DISCIPLINAS!$A$5:$A$101,B908,DISCIPLINAS!$B$5:$B$101,C908)=0,"ERRO: disciplina não pertence ao curso","OK")))))</f>
        <v/>
      </c>
    </row>
    <row r="909" ht="15" customHeight="1" s="131">
      <c r="A909" s="220" t="n"/>
      <c r="B909" s="222" t="n"/>
      <c r="C909" s="222" t="n"/>
      <c r="D909" s="220" t="n"/>
      <c r="E909" s="220" t="n"/>
      <c r="F909" s="181">
        <f>IFERROR(E909/D909,"")</f>
        <v/>
      </c>
      <c r="G909" s="219" t="n"/>
      <c r="H909" s="220" t="n"/>
      <c r="I909" s="221">
        <f>IF(COUNTA(A909:E909)=0,"",IF(OR(D909&lt;=0,E909&lt;0),"ERRO: bases inválidas",IF(E909&gt;D909,"ERRO: presenças acima do previsto",IF(COUNTIFS($A$5:$A$1200,A909,$B$5:$B$1200,B909,$C$5:$C$1200,C909)&gt;1,"ERRO: chave duplicada",IF(COUNTIFS(DISCIPLINAS!$A$5:$A$101,B909,DISCIPLINAS!$B$5:$B$101,C909)=0,"ERRO: disciplina não pertence ao curso","OK")))))</f>
        <v/>
      </c>
    </row>
    <row r="910" ht="15" customHeight="1" s="131">
      <c r="A910" s="220" t="n"/>
      <c r="B910" s="222" t="n"/>
      <c r="C910" s="222" t="n"/>
      <c r="D910" s="220" t="n"/>
      <c r="E910" s="220" t="n"/>
      <c r="F910" s="181">
        <f>IFERROR(E910/D910,"")</f>
        <v/>
      </c>
      <c r="G910" s="219" t="n"/>
      <c r="H910" s="220" t="n"/>
      <c r="I910" s="221">
        <f>IF(COUNTA(A910:E910)=0,"",IF(OR(D910&lt;=0,E910&lt;0),"ERRO: bases inválidas",IF(E910&gt;D910,"ERRO: presenças acima do previsto",IF(COUNTIFS($A$5:$A$1200,A910,$B$5:$B$1200,B910,$C$5:$C$1200,C910)&gt;1,"ERRO: chave duplicada",IF(COUNTIFS(DISCIPLINAS!$A$5:$A$101,B910,DISCIPLINAS!$B$5:$B$101,C910)=0,"ERRO: disciplina não pertence ao curso","OK")))))</f>
        <v/>
      </c>
    </row>
    <row r="911" ht="15" customHeight="1" s="131">
      <c r="A911" s="220" t="n"/>
      <c r="B911" s="222" t="n"/>
      <c r="C911" s="222" t="n"/>
      <c r="D911" s="220" t="n"/>
      <c r="E911" s="220" t="n"/>
      <c r="F911" s="181">
        <f>IFERROR(E911/D911,"")</f>
        <v/>
      </c>
      <c r="G911" s="219" t="n"/>
      <c r="H911" s="220" t="n"/>
      <c r="I911" s="221">
        <f>IF(COUNTA(A911:E911)=0,"",IF(OR(D911&lt;=0,E911&lt;0),"ERRO: bases inválidas",IF(E911&gt;D911,"ERRO: presenças acima do previsto",IF(COUNTIFS($A$5:$A$1200,A911,$B$5:$B$1200,B911,$C$5:$C$1200,C911)&gt;1,"ERRO: chave duplicada",IF(COUNTIFS(DISCIPLINAS!$A$5:$A$101,B911,DISCIPLINAS!$B$5:$B$101,C911)=0,"ERRO: disciplina não pertence ao curso","OK")))))</f>
        <v/>
      </c>
    </row>
    <row r="912" ht="15" customHeight="1" s="131">
      <c r="A912" s="220" t="n"/>
      <c r="B912" s="222" t="n"/>
      <c r="C912" s="222" t="n"/>
      <c r="D912" s="220" t="n"/>
      <c r="E912" s="220" t="n"/>
      <c r="F912" s="181">
        <f>IFERROR(E912/D912,"")</f>
        <v/>
      </c>
      <c r="G912" s="219" t="n"/>
      <c r="H912" s="220" t="n"/>
      <c r="I912" s="221">
        <f>IF(COUNTA(A912:E912)=0,"",IF(OR(D912&lt;=0,E912&lt;0),"ERRO: bases inválidas",IF(E912&gt;D912,"ERRO: presenças acima do previsto",IF(COUNTIFS($A$5:$A$1200,A912,$B$5:$B$1200,B912,$C$5:$C$1200,C912)&gt;1,"ERRO: chave duplicada",IF(COUNTIFS(DISCIPLINAS!$A$5:$A$101,B912,DISCIPLINAS!$B$5:$B$101,C912)=0,"ERRO: disciplina não pertence ao curso","OK")))))</f>
        <v/>
      </c>
    </row>
    <row r="913" ht="15" customHeight="1" s="131">
      <c r="A913" s="220" t="n"/>
      <c r="B913" s="222" t="n"/>
      <c r="C913" s="222" t="n"/>
      <c r="D913" s="220" t="n"/>
      <c r="E913" s="220" t="n"/>
      <c r="F913" s="181">
        <f>IFERROR(E913/D913,"")</f>
        <v/>
      </c>
      <c r="G913" s="219" t="n"/>
      <c r="H913" s="220" t="n"/>
      <c r="I913" s="221">
        <f>IF(COUNTA(A913:E913)=0,"",IF(OR(D913&lt;=0,E913&lt;0),"ERRO: bases inválidas",IF(E913&gt;D913,"ERRO: presenças acima do previsto",IF(COUNTIFS($A$5:$A$1200,A913,$B$5:$B$1200,B913,$C$5:$C$1200,C913)&gt;1,"ERRO: chave duplicada",IF(COUNTIFS(DISCIPLINAS!$A$5:$A$101,B913,DISCIPLINAS!$B$5:$B$101,C913)=0,"ERRO: disciplina não pertence ao curso","OK")))))</f>
        <v/>
      </c>
    </row>
    <row r="914" ht="15" customHeight="1" s="131">
      <c r="A914" s="220" t="n"/>
      <c r="B914" s="222" t="n"/>
      <c r="C914" s="222" t="n"/>
      <c r="D914" s="220" t="n"/>
      <c r="E914" s="220" t="n"/>
      <c r="F914" s="181">
        <f>IFERROR(E914/D914,"")</f>
        <v/>
      </c>
      <c r="G914" s="219" t="n"/>
      <c r="H914" s="220" t="n"/>
      <c r="I914" s="221">
        <f>IF(COUNTA(A914:E914)=0,"",IF(OR(D914&lt;=0,E914&lt;0),"ERRO: bases inválidas",IF(E914&gt;D914,"ERRO: presenças acima do previsto",IF(COUNTIFS($A$5:$A$1200,A914,$B$5:$B$1200,B914,$C$5:$C$1200,C914)&gt;1,"ERRO: chave duplicada",IF(COUNTIFS(DISCIPLINAS!$A$5:$A$101,B914,DISCIPLINAS!$B$5:$B$101,C914)=0,"ERRO: disciplina não pertence ao curso","OK")))))</f>
        <v/>
      </c>
    </row>
    <row r="915" ht="15" customHeight="1" s="131">
      <c r="A915" s="220" t="n"/>
      <c r="B915" s="222" t="n"/>
      <c r="C915" s="222" t="n"/>
      <c r="D915" s="220" t="n"/>
      <c r="E915" s="220" t="n"/>
      <c r="F915" s="181">
        <f>IFERROR(E915/D915,"")</f>
        <v/>
      </c>
      <c r="G915" s="219" t="n"/>
      <c r="H915" s="220" t="n"/>
      <c r="I915" s="221">
        <f>IF(COUNTA(A915:E915)=0,"",IF(OR(D915&lt;=0,E915&lt;0),"ERRO: bases inválidas",IF(E915&gt;D915,"ERRO: presenças acima do previsto",IF(COUNTIFS($A$5:$A$1200,A915,$B$5:$B$1200,B915,$C$5:$C$1200,C915)&gt;1,"ERRO: chave duplicada",IF(COUNTIFS(DISCIPLINAS!$A$5:$A$101,B915,DISCIPLINAS!$B$5:$B$101,C915)=0,"ERRO: disciplina não pertence ao curso","OK")))))</f>
        <v/>
      </c>
    </row>
    <row r="916" ht="15" customHeight="1" s="131">
      <c r="A916" s="220" t="n"/>
      <c r="B916" s="222" t="n"/>
      <c r="C916" s="222" t="n"/>
      <c r="D916" s="220" t="n"/>
      <c r="E916" s="220" t="n"/>
      <c r="F916" s="181">
        <f>IFERROR(E916/D916,"")</f>
        <v/>
      </c>
      <c r="G916" s="219" t="n"/>
      <c r="H916" s="220" t="n"/>
      <c r="I916" s="221">
        <f>IF(COUNTA(A916:E916)=0,"",IF(OR(D916&lt;=0,E916&lt;0),"ERRO: bases inválidas",IF(E916&gt;D916,"ERRO: presenças acima do previsto",IF(COUNTIFS($A$5:$A$1200,A916,$B$5:$B$1200,B916,$C$5:$C$1200,C916)&gt;1,"ERRO: chave duplicada",IF(COUNTIFS(DISCIPLINAS!$A$5:$A$101,B916,DISCIPLINAS!$B$5:$B$101,C916)=0,"ERRO: disciplina não pertence ao curso","OK")))))</f>
        <v/>
      </c>
    </row>
    <row r="917" ht="15" customHeight="1" s="131">
      <c r="A917" s="220" t="n"/>
      <c r="B917" s="222" t="n"/>
      <c r="C917" s="222" t="n"/>
      <c r="D917" s="220" t="n"/>
      <c r="E917" s="220" t="n"/>
      <c r="F917" s="181">
        <f>IFERROR(E917/D917,"")</f>
        <v/>
      </c>
      <c r="G917" s="219" t="n"/>
      <c r="H917" s="220" t="n"/>
      <c r="I917" s="221">
        <f>IF(COUNTA(A917:E917)=0,"",IF(OR(D917&lt;=0,E917&lt;0),"ERRO: bases inválidas",IF(E917&gt;D917,"ERRO: presenças acima do previsto",IF(COUNTIFS($A$5:$A$1200,A917,$B$5:$B$1200,B917,$C$5:$C$1200,C917)&gt;1,"ERRO: chave duplicada",IF(COUNTIFS(DISCIPLINAS!$A$5:$A$101,B917,DISCIPLINAS!$B$5:$B$101,C917)=0,"ERRO: disciplina não pertence ao curso","OK")))))</f>
        <v/>
      </c>
    </row>
    <row r="918" ht="15" customHeight="1" s="131">
      <c r="A918" s="220" t="n"/>
      <c r="B918" s="222" t="n"/>
      <c r="C918" s="222" t="n"/>
      <c r="D918" s="220" t="n"/>
      <c r="E918" s="220" t="n"/>
      <c r="F918" s="181">
        <f>IFERROR(E918/D918,"")</f>
        <v/>
      </c>
      <c r="G918" s="219" t="n"/>
      <c r="H918" s="220" t="n"/>
      <c r="I918" s="221">
        <f>IF(COUNTA(A918:E918)=0,"",IF(OR(D918&lt;=0,E918&lt;0),"ERRO: bases inválidas",IF(E918&gt;D918,"ERRO: presenças acima do previsto",IF(COUNTIFS($A$5:$A$1200,A918,$B$5:$B$1200,B918,$C$5:$C$1200,C918)&gt;1,"ERRO: chave duplicada",IF(COUNTIFS(DISCIPLINAS!$A$5:$A$101,B918,DISCIPLINAS!$B$5:$B$101,C918)=0,"ERRO: disciplina não pertence ao curso","OK")))))</f>
        <v/>
      </c>
    </row>
    <row r="919" ht="15" customHeight="1" s="131">
      <c r="A919" s="220" t="n"/>
      <c r="B919" s="222" t="n"/>
      <c r="C919" s="222" t="n"/>
      <c r="D919" s="220" t="n"/>
      <c r="E919" s="220" t="n"/>
      <c r="F919" s="181">
        <f>IFERROR(E919/D919,"")</f>
        <v/>
      </c>
      <c r="G919" s="219" t="n"/>
      <c r="H919" s="220" t="n"/>
      <c r="I919" s="221">
        <f>IF(COUNTA(A919:E919)=0,"",IF(OR(D919&lt;=0,E919&lt;0),"ERRO: bases inválidas",IF(E919&gt;D919,"ERRO: presenças acima do previsto",IF(COUNTIFS($A$5:$A$1200,A919,$B$5:$B$1200,B919,$C$5:$C$1200,C919)&gt;1,"ERRO: chave duplicada",IF(COUNTIFS(DISCIPLINAS!$A$5:$A$101,B919,DISCIPLINAS!$B$5:$B$101,C919)=0,"ERRO: disciplina não pertence ao curso","OK")))))</f>
        <v/>
      </c>
    </row>
    <row r="920" ht="15" customHeight="1" s="131">
      <c r="A920" s="220" t="n"/>
      <c r="B920" s="222" t="n"/>
      <c r="C920" s="222" t="n"/>
      <c r="D920" s="220" t="n"/>
      <c r="E920" s="220" t="n"/>
      <c r="F920" s="181">
        <f>IFERROR(E920/D920,"")</f>
        <v/>
      </c>
      <c r="G920" s="219" t="n"/>
      <c r="H920" s="220" t="n"/>
      <c r="I920" s="221">
        <f>IF(COUNTA(A920:E920)=0,"",IF(OR(D920&lt;=0,E920&lt;0),"ERRO: bases inválidas",IF(E920&gt;D920,"ERRO: presenças acima do previsto",IF(COUNTIFS($A$5:$A$1200,A920,$B$5:$B$1200,B920,$C$5:$C$1200,C920)&gt;1,"ERRO: chave duplicada",IF(COUNTIFS(DISCIPLINAS!$A$5:$A$101,B920,DISCIPLINAS!$B$5:$B$101,C920)=0,"ERRO: disciplina não pertence ao curso","OK")))))</f>
        <v/>
      </c>
    </row>
    <row r="921" ht="15" customHeight="1" s="131">
      <c r="A921" s="220" t="n"/>
      <c r="B921" s="222" t="n"/>
      <c r="C921" s="222" t="n"/>
      <c r="D921" s="220" t="n"/>
      <c r="E921" s="220" t="n"/>
      <c r="F921" s="181">
        <f>IFERROR(E921/D921,"")</f>
        <v/>
      </c>
      <c r="G921" s="219" t="n"/>
      <c r="H921" s="220" t="n"/>
      <c r="I921" s="221">
        <f>IF(COUNTA(A921:E921)=0,"",IF(OR(D921&lt;=0,E921&lt;0),"ERRO: bases inválidas",IF(E921&gt;D921,"ERRO: presenças acima do previsto",IF(COUNTIFS($A$5:$A$1200,A921,$B$5:$B$1200,B921,$C$5:$C$1200,C921)&gt;1,"ERRO: chave duplicada",IF(COUNTIFS(DISCIPLINAS!$A$5:$A$101,B921,DISCIPLINAS!$B$5:$B$101,C921)=0,"ERRO: disciplina não pertence ao curso","OK")))))</f>
        <v/>
      </c>
    </row>
    <row r="922" ht="15" customHeight="1" s="131">
      <c r="A922" s="220" t="n"/>
      <c r="B922" s="222" t="n"/>
      <c r="C922" s="222" t="n"/>
      <c r="D922" s="220" t="n"/>
      <c r="E922" s="220" t="n"/>
      <c r="F922" s="181">
        <f>IFERROR(E922/D922,"")</f>
        <v/>
      </c>
      <c r="G922" s="219" t="n"/>
      <c r="H922" s="220" t="n"/>
      <c r="I922" s="221">
        <f>IF(COUNTA(A922:E922)=0,"",IF(OR(D922&lt;=0,E922&lt;0),"ERRO: bases inválidas",IF(E922&gt;D922,"ERRO: presenças acima do previsto",IF(COUNTIFS($A$5:$A$1200,A922,$B$5:$B$1200,B922,$C$5:$C$1200,C922)&gt;1,"ERRO: chave duplicada",IF(COUNTIFS(DISCIPLINAS!$A$5:$A$101,B922,DISCIPLINAS!$B$5:$B$101,C922)=0,"ERRO: disciplina não pertence ao curso","OK")))))</f>
        <v/>
      </c>
    </row>
    <row r="923" ht="15" customHeight="1" s="131">
      <c r="A923" s="220" t="n"/>
      <c r="B923" s="222" t="n"/>
      <c r="C923" s="222" t="n"/>
      <c r="D923" s="220" t="n"/>
      <c r="E923" s="220" t="n"/>
      <c r="F923" s="181">
        <f>IFERROR(E923/D923,"")</f>
        <v/>
      </c>
      <c r="G923" s="219" t="n"/>
      <c r="H923" s="220" t="n"/>
      <c r="I923" s="221">
        <f>IF(COUNTA(A923:E923)=0,"",IF(OR(D923&lt;=0,E923&lt;0),"ERRO: bases inválidas",IF(E923&gt;D923,"ERRO: presenças acima do previsto",IF(COUNTIFS($A$5:$A$1200,A923,$B$5:$B$1200,B923,$C$5:$C$1200,C923)&gt;1,"ERRO: chave duplicada",IF(COUNTIFS(DISCIPLINAS!$A$5:$A$101,B923,DISCIPLINAS!$B$5:$B$101,C923)=0,"ERRO: disciplina não pertence ao curso","OK")))))</f>
        <v/>
      </c>
    </row>
    <row r="924" ht="15" customHeight="1" s="131">
      <c r="A924" s="220" t="n"/>
      <c r="B924" s="222" t="n"/>
      <c r="C924" s="222" t="n"/>
      <c r="D924" s="220" t="n"/>
      <c r="E924" s="220" t="n"/>
      <c r="F924" s="181">
        <f>IFERROR(E924/D924,"")</f>
        <v/>
      </c>
      <c r="G924" s="219" t="n"/>
      <c r="H924" s="220" t="n"/>
      <c r="I924" s="221">
        <f>IF(COUNTA(A924:E924)=0,"",IF(OR(D924&lt;=0,E924&lt;0),"ERRO: bases inválidas",IF(E924&gt;D924,"ERRO: presenças acima do previsto",IF(COUNTIFS($A$5:$A$1200,A924,$B$5:$B$1200,B924,$C$5:$C$1200,C924)&gt;1,"ERRO: chave duplicada",IF(COUNTIFS(DISCIPLINAS!$A$5:$A$101,B924,DISCIPLINAS!$B$5:$B$101,C924)=0,"ERRO: disciplina não pertence ao curso","OK")))))</f>
        <v/>
      </c>
    </row>
    <row r="925" ht="15" customHeight="1" s="131">
      <c r="A925" s="220" t="n"/>
      <c r="B925" s="222" t="n"/>
      <c r="C925" s="222" t="n"/>
      <c r="D925" s="220" t="n"/>
      <c r="E925" s="220" t="n"/>
      <c r="F925" s="181">
        <f>IFERROR(E925/D925,"")</f>
        <v/>
      </c>
      <c r="G925" s="219" t="n"/>
      <c r="H925" s="220" t="n"/>
      <c r="I925" s="221">
        <f>IF(COUNTA(A925:E925)=0,"",IF(OR(D925&lt;=0,E925&lt;0),"ERRO: bases inválidas",IF(E925&gt;D925,"ERRO: presenças acima do previsto",IF(COUNTIFS($A$5:$A$1200,A925,$B$5:$B$1200,B925,$C$5:$C$1200,C925)&gt;1,"ERRO: chave duplicada",IF(COUNTIFS(DISCIPLINAS!$A$5:$A$101,B925,DISCIPLINAS!$B$5:$B$101,C925)=0,"ERRO: disciplina não pertence ao curso","OK")))))</f>
        <v/>
      </c>
    </row>
    <row r="926" ht="15" customHeight="1" s="131">
      <c r="A926" s="220" t="n"/>
      <c r="B926" s="222" t="n"/>
      <c r="C926" s="222" t="n"/>
      <c r="D926" s="220" t="n"/>
      <c r="E926" s="220" t="n"/>
      <c r="F926" s="181">
        <f>IFERROR(E926/D926,"")</f>
        <v/>
      </c>
      <c r="G926" s="219" t="n"/>
      <c r="H926" s="220" t="n"/>
      <c r="I926" s="221">
        <f>IF(COUNTA(A926:E926)=0,"",IF(OR(D926&lt;=0,E926&lt;0),"ERRO: bases inválidas",IF(E926&gt;D926,"ERRO: presenças acima do previsto",IF(COUNTIFS($A$5:$A$1200,A926,$B$5:$B$1200,B926,$C$5:$C$1200,C926)&gt;1,"ERRO: chave duplicada",IF(COUNTIFS(DISCIPLINAS!$A$5:$A$101,B926,DISCIPLINAS!$B$5:$B$101,C926)=0,"ERRO: disciplina não pertence ao curso","OK")))))</f>
        <v/>
      </c>
    </row>
    <row r="927" ht="15" customHeight="1" s="131">
      <c r="A927" s="220" t="n"/>
      <c r="B927" s="222" t="n"/>
      <c r="C927" s="222" t="n"/>
      <c r="D927" s="220" t="n"/>
      <c r="E927" s="220" t="n"/>
      <c r="F927" s="181">
        <f>IFERROR(E927/D927,"")</f>
        <v/>
      </c>
      <c r="G927" s="219" t="n"/>
      <c r="H927" s="220" t="n"/>
      <c r="I927" s="221">
        <f>IF(COUNTA(A927:E927)=0,"",IF(OR(D927&lt;=0,E927&lt;0),"ERRO: bases inválidas",IF(E927&gt;D927,"ERRO: presenças acima do previsto",IF(COUNTIFS($A$5:$A$1200,A927,$B$5:$B$1200,B927,$C$5:$C$1200,C927)&gt;1,"ERRO: chave duplicada",IF(COUNTIFS(DISCIPLINAS!$A$5:$A$101,B927,DISCIPLINAS!$B$5:$B$101,C927)=0,"ERRO: disciplina não pertence ao curso","OK")))))</f>
        <v/>
      </c>
    </row>
    <row r="928" ht="15" customHeight="1" s="131">
      <c r="A928" s="220" t="n"/>
      <c r="B928" s="222" t="n"/>
      <c r="C928" s="222" t="n"/>
      <c r="D928" s="220" t="n"/>
      <c r="E928" s="220" t="n"/>
      <c r="F928" s="181">
        <f>IFERROR(E928/D928,"")</f>
        <v/>
      </c>
      <c r="G928" s="219" t="n"/>
      <c r="H928" s="220" t="n"/>
      <c r="I928" s="221">
        <f>IF(COUNTA(A928:E928)=0,"",IF(OR(D928&lt;=0,E928&lt;0),"ERRO: bases inválidas",IF(E928&gt;D928,"ERRO: presenças acima do previsto",IF(COUNTIFS($A$5:$A$1200,A928,$B$5:$B$1200,B928,$C$5:$C$1200,C928)&gt;1,"ERRO: chave duplicada",IF(COUNTIFS(DISCIPLINAS!$A$5:$A$101,B928,DISCIPLINAS!$B$5:$B$101,C928)=0,"ERRO: disciplina não pertence ao curso","OK")))))</f>
        <v/>
      </c>
    </row>
    <row r="929" ht="15" customHeight="1" s="131">
      <c r="A929" s="220" t="n"/>
      <c r="B929" s="222" t="n"/>
      <c r="C929" s="222" t="n"/>
      <c r="D929" s="220" t="n"/>
      <c r="E929" s="220" t="n"/>
      <c r="F929" s="181">
        <f>IFERROR(E929/D929,"")</f>
        <v/>
      </c>
      <c r="G929" s="219" t="n"/>
      <c r="H929" s="220" t="n"/>
      <c r="I929" s="221">
        <f>IF(COUNTA(A929:E929)=0,"",IF(OR(D929&lt;=0,E929&lt;0),"ERRO: bases inválidas",IF(E929&gt;D929,"ERRO: presenças acima do previsto",IF(COUNTIFS($A$5:$A$1200,A929,$B$5:$B$1200,B929,$C$5:$C$1200,C929)&gt;1,"ERRO: chave duplicada",IF(COUNTIFS(DISCIPLINAS!$A$5:$A$101,B929,DISCIPLINAS!$B$5:$B$101,C929)=0,"ERRO: disciplina não pertence ao curso","OK")))))</f>
        <v/>
      </c>
    </row>
    <row r="930" ht="15" customHeight="1" s="131">
      <c r="A930" s="220" t="n"/>
      <c r="B930" s="222" t="n"/>
      <c r="C930" s="222" t="n"/>
      <c r="D930" s="220" t="n"/>
      <c r="E930" s="220" t="n"/>
      <c r="F930" s="181">
        <f>IFERROR(E930/D930,"")</f>
        <v/>
      </c>
      <c r="G930" s="219" t="n"/>
      <c r="H930" s="220" t="n"/>
      <c r="I930" s="221">
        <f>IF(COUNTA(A930:E930)=0,"",IF(OR(D930&lt;=0,E930&lt;0),"ERRO: bases inválidas",IF(E930&gt;D930,"ERRO: presenças acima do previsto",IF(COUNTIFS($A$5:$A$1200,A930,$B$5:$B$1200,B930,$C$5:$C$1200,C930)&gt;1,"ERRO: chave duplicada",IF(COUNTIFS(DISCIPLINAS!$A$5:$A$101,B930,DISCIPLINAS!$B$5:$B$101,C930)=0,"ERRO: disciplina não pertence ao curso","OK")))))</f>
        <v/>
      </c>
    </row>
    <row r="931" ht="15" customHeight="1" s="131">
      <c r="A931" s="220" t="n"/>
      <c r="B931" s="222" t="n"/>
      <c r="C931" s="222" t="n"/>
      <c r="D931" s="220" t="n"/>
      <c r="E931" s="220" t="n"/>
      <c r="F931" s="181">
        <f>IFERROR(E931/D931,"")</f>
        <v/>
      </c>
      <c r="G931" s="219" t="n"/>
      <c r="H931" s="220" t="n"/>
      <c r="I931" s="221">
        <f>IF(COUNTA(A931:E931)=0,"",IF(OR(D931&lt;=0,E931&lt;0),"ERRO: bases inválidas",IF(E931&gt;D931,"ERRO: presenças acima do previsto",IF(COUNTIFS($A$5:$A$1200,A931,$B$5:$B$1200,B931,$C$5:$C$1200,C931)&gt;1,"ERRO: chave duplicada",IF(COUNTIFS(DISCIPLINAS!$A$5:$A$101,B931,DISCIPLINAS!$B$5:$B$101,C931)=0,"ERRO: disciplina não pertence ao curso","OK")))))</f>
        <v/>
      </c>
    </row>
    <row r="932" ht="15" customHeight="1" s="131">
      <c r="A932" s="220" t="n"/>
      <c r="B932" s="222" t="n"/>
      <c r="C932" s="222" t="n"/>
      <c r="D932" s="220" t="n"/>
      <c r="E932" s="220" t="n"/>
      <c r="F932" s="181">
        <f>IFERROR(E932/D932,"")</f>
        <v/>
      </c>
      <c r="G932" s="219" t="n"/>
      <c r="H932" s="220" t="n"/>
      <c r="I932" s="221">
        <f>IF(COUNTA(A932:E932)=0,"",IF(OR(D932&lt;=0,E932&lt;0),"ERRO: bases inválidas",IF(E932&gt;D932,"ERRO: presenças acima do previsto",IF(COUNTIFS($A$5:$A$1200,A932,$B$5:$B$1200,B932,$C$5:$C$1200,C932)&gt;1,"ERRO: chave duplicada",IF(COUNTIFS(DISCIPLINAS!$A$5:$A$101,B932,DISCIPLINAS!$B$5:$B$101,C932)=0,"ERRO: disciplina não pertence ao curso","OK")))))</f>
        <v/>
      </c>
    </row>
    <row r="933" ht="15" customHeight="1" s="131">
      <c r="A933" s="220" t="n"/>
      <c r="B933" s="222" t="n"/>
      <c r="C933" s="222" t="n"/>
      <c r="D933" s="220" t="n"/>
      <c r="E933" s="220" t="n"/>
      <c r="F933" s="181">
        <f>IFERROR(E933/D933,"")</f>
        <v/>
      </c>
      <c r="G933" s="219" t="n"/>
      <c r="H933" s="220" t="n"/>
      <c r="I933" s="221">
        <f>IF(COUNTA(A933:E933)=0,"",IF(OR(D933&lt;=0,E933&lt;0),"ERRO: bases inválidas",IF(E933&gt;D933,"ERRO: presenças acima do previsto",IF(COUNTIFS($A$5:$A$1200,A933,$B$5:$B$1200,B933,$C$5:$C$1200,C933)&gt;1,"ERRO: chave duplicada",IF(COUNTIFS(DISCIPLINAS!$A$5:$A$101,B933,DISCIPLINAS!$B$5:$B$101,C933)=0,"ERRO: disciplina não pertence ao curso","OK")))))</f>
        <v/>
      </c>
    </row>
    <row r="934" ht="15" customHeight="1" s="131">
      <c r="A934" s="220" t="n"/>
      <c r="B934" s="222" t="n"/>
      <c r="C934" s="222" t="n"/>
      <c r="D934" s="220" t="n"/>
      <c r="E934" s="220" t="n"/>
      <c r="F934" s="181">
        <f>IFERROR(E934/D934,"")</f>
        <v/>
      </c>
      <c r="G934" s="219" t="n"/>
      <c r="H934" s="220" t="n"/>
      <c r="I934" s="221">
        <f>IF(COUNTA(A934:E934)=0,"",IF(OR(D934&lt;=0,E934&lt;0),"ERRO: bases inválidas",IF(E934&gt;D934,"ERRO: presenças acima do previsto",IF(COUNTIFS($A$5:$A$1200,A934,$B$5:$B$1200,B934,$C$5:$C$1200,C934)&gt;1,"ERRO: chave duplicada",IF(COUNTIFS(DISCIPLINAS!$A$5:$A$101,B934,DISCIPLINAS!$B$5:$B$101,C934)=0,"ERRO: disciplina não pertence ao curso","OK")))))</f>
        <v/>
      </c>
    </row>
    <row r="935" ht="15" customHeight="1" s="131">
      <c r="A935" s="220" t="n"/>
      <c r="B935" s="222" t="n"/>
      <c r="C935" s="222" t="n"/>
      <c r="D935" s="220" t="n"/>
      <c r="E935" s="220" t="n"/>
      <c r="F935" s="181">
        <f>IFERROR(E935/D935,"")</f>
        <v/>
      </c>
      <c r="G935" s="219" t="n"/>
      <c r="H935" s="220" t="n"/>
      <c r="I935" s="221">
        <f>IF(COUNTA(A935:E935)=0,"",IF(OR(D935&lt;=0,E935&lt;0),"ERRO: bases inválidas",IF(E935&gt;D935,"ERRO: presenças acima do previsto",IF(COUNTIFS($A$5:$A$1200,A935,$B$5:$B$1200,B935,$C$5:$C$1200,C935)&gt;1,"ERRO: chave duplicada",IF(COUNTIFS(DISCIPLINAS!$A$5:$A$101,B935,DISCIPLINAS!$B$5:$B$101,C935)=0,"ERRO: disciplina não pertence ao curso","OK")))))</f>
        <v/>
      </c>
    </row>
    <row r="936" ht="15" customHeight="1" s="131">
      <c r="A936" s="220" t="n"/>
      <c r="B936" s="222" t="n"/>
      <c r="C936" s="222" t="n"/>
      <c r="D936" s="220" t="n"/>
      <c r="E936" s="220" t="n"/>
      <c r="F936" s="181">
        <f>IFERROR(E936/D936,"")</f>
        <v/>
      </c>
      <c r="G936" s="219" t="n"/>
      <c r="H936" s="220" t="n"/>
      <c r="I936" s="221">
        <f>IF(COUNTA(A936:E936)=0,"",IF(OR(D936&lt;=0,E936&lt;0),"ERRO: bases inválidas",IF(E936&gt;D936,"ERRO: presenças acima do previsto",IF(COUNTIFS($A$5:$A$1200,A936,$B$5:$B$1200,B936,$C$5:$C$1200,C936)&gt;1,"ERRO: chave duplicada",IF(COUNTIFS(DISCIPLINAS!$A$5:$A$101,B936,DISCIPLINAS!$B$5:$B$101,C936)=0,"ERRO: disciplina não pertence ao curso","OK")))))</f>
        <v/>
      </c>
    </row>
    <row r="937" ht="15" customHeight="1" s="131">
      <c r="A937" s="220" t="n"/>
      <c r="B937" s="222" t="n"/>
      <c r="C937" s="222" t="n"/>
      <c r="D937" s="220" t="n"/>
      <c r="E937" s="220" t="n"/>
      <c r="F937" s="181">
        <f>IFERROR(E937/D937,"")</f>
        <v/>
      </c>
      <c r="G937" s="219" t="n"/>
      <c r="H937" s="220" t="n"/>
      <c r="I937" s="221">
        <f>IF(COUNTA(A937:E937)=0,"",IF(OR(D937&lt;=0,E937&lt;0),"ERRO: bases inválidas",IF(E937&gt;D937,"ERRO: presenças acima do previsto",IF(COUNTIFS($A$5:$A$1200,A937,$B$5:$B$1200,B937,$C$5:$C$1200,C937)&gt;1,"ERRO: chave duplicada",IF(COUNTIFS(DISCIPLINAS!$A$5:$A$101,B937,DISCIPLINAS!$B$5:$B$101,C937)=0,"ERRO: disciplina não pertence ao curso","OK")))))</f>
        <v/>
      </c>
    </row>
    <row r="938" ht="15" customHeight="1" s="131">
      <c r="A938" s="220" t="n"/>
      <c r="B938" s="222" t="n"/>
      <c r="C938" s="222" t="n"/>
      <c r="D938" s="220" t="n"/>
      <c r="E938" s="220" t="n"/>
      <c r="F938" s="181">
        <f>IFERROR(E938/D938,"")</f>
        <v/>
      </c>
      <c r="G938" s="219" t="n"/>
      <c r="H938" s="220" t="n"/>
      <c r="I938" s="221">
        <f>IF(COUNTA(A938:E938)=0,"",IF(OR(D938&lt;=0,E938&lt;0),"ERRO: bases inválidas",IF(E938&gt;D938,"ERRO: presenças acima do previsto",IF(COUNTIFS($A$5:$A$1200,A938,$B$5:$B$1200,B938,$C$5:$C$1200,C938)&gt;1,"ERRO: chave duplicada",IF(COUNTIFS(DISCIPLINAS!$A$5:$A$101,B938,DISCIPLINAS!$B$5:$B$101,C938)=0,"ERRO: disciplina não pertence ao curso","OK")))))</f>
        <v/>
      </c>
    </row>
    <row r="939" ht="15" customHeight="1" s="131">
      <c r="A939" s="220" t="n"/>
      <c r="B939" s="222" t="n"/>
      <c r="C939" s="222" t="n"/>
      <c r="D939" s="220" t="n"/>
      <c r="E939" s="220" t="n"/>
      <c r="F939" s="181">
        <f>IFERROR(E939/D939,"")</f>
        <v/>
      </c>
      <c r="G939" s="219" t="n"/>
      <c r="H939" s="220" t="n"/>
      <c r="I939" s="221">
        <f>IF(COUNTA(A939:E939)=0,"",IF(OR(D939&lt;=0,E939&lt;0),"ERRO: bases inválidas",IF(E939&gt;D939,"ERRO: presenças acima do previsto",IF(COUNTIFS($A$5:$A$1200,A939,$B$5:$B$1200,B939,$C$5:$C$1200,C939)&gt;1,"ERRO: chave duplicada",IF(COUNTIFS(DISCIPLINAS!$A$5:$A$101,B939,DISCIPLINAS!$B$5:$B$101,C939)=0,"ERRO: disciplina não pertence ao curso","OK")))))</f>
        <v/>
      </c>
    </row>
    <row r="940" ht="15" customHeight="1" s="131">
      <c r="A940" s="220" t="n"/>
      <c r="B940" s="222" t="n"/>
      <c r="C940" s="222" t="n"/>
      <c r="D940" s="220" t="n"/>
      <c r="E940" s="220" t="n"/>
      <c r="F940" s="181">
        <f>IFERROR(E940/D940,"")</f>
        <v/>
      </c>
      <c r="G940" s="219" t="n"/>
      <c r="H940" s="220" t="n"/>
      <c r="I940" s="221">
        <f>IF(COUNTA(A940:E940)=0,"",IF(OR(D940&lt;=0,E940&lt;0),"ERRO: bases inválidas",IF(E940&gt;D940,"ERRO: presenças acima do previsto",IF(COUNTIFS($A$5:$A$1200,A940,$B$5:$B$1200,B940,$C$5:$C$1200,C940)&gt;1,"ERRO: chave duplicada",IF(COUNTIFS(DISCIPLINAS!$A$5:$A$101,B940,DISCIPLINAS!$B$5:$B$101,C940)=0,"ERRO: disciplina não pertence ao curso","OK")))))</f>
        <v/>
      </c>
    </row>
    <row r="941" ht="15" customHeight="1" s="131">
      <c r="A941" s="220" t="n"/>
      <c r="B941" s="222" t="n"/>
      <c r="C941" s="222" t="n"/>
      <c r="D941" s="220" t="n"/>
      <c r="E941" s="220" t="n"/>
      <c r="F941" s="181">
        <f>IFERROR(E941/D941,"")</f>
        <v/>
      </c>
      <c r="G941" s="219" t="n"/>
      <c r="H941" s="220" t="n"/>
      <c r="I941" s="221">
        <f>IF(COUNTA(A941:E941)=0,"",IF(OR(D941&lt;=0,E941&lt;0),"ERRO: bases inválidas",IF(E941&gt;D941,"ERRO: presenças acima do previsto",IF(COUNTIFS($A$5:$A$1200,A941,$B$5:$B$1200,B941,$C$5:$C$1200,C941)&gt;1,"ERRO: chave duplicada",IF(COUNTIFS(DISCIPLINAS!$A$5:$A$101,B941,DISCIPLINAS!$B$5:$B$101,C941)=0,"ERRO: disciplina não pertence ao curso","OK")))))</f>
        <v/>
      </c>
    </row>
    <row r="942" ht="15" customHeight="1" s="131">
      <c r="A942" s="220" t="n"/>
      <c r="B942" s="222" t="n"/>
      <c r="C942" s="222" t="n"/>
      <c r="D942" s="220" t="n"/>
      <c r="E942" s="220" t="n"/>
      <c r="F942" s="181">
        <f>IFERROR(E942/D942,"")</f>
        <v/>
      </c>
      <c r="G942" s="219" t="n"/>
      <c r="H942" s="220" t="n"/>
      <c r="I942" s="221">
        <f>IF(COUNTA(A942:E942)=0,"",IF(OR(D942&lt;=0,E942&lt;0),"ERRO: bases inválidas",IF(E942&gt;D942,"ERRO: presenças acima do previsto",IF(COUNTIFS($A$5:$A$1200,A942,$B$5:$B$1200,B942,$C$5:$C$1200,C942)&gt;1,"ERRO: chave duplicada",IF(COUNTIFS(DISCIPLINAS!$A$5:$A$101,B942,DISCIPLINAS!$B$5:$B$101,C942)=0,"ERRO: disciplina não pertence ao curso","OK")))))</f>
        <v/>
      </c>
    </row>
    <row r="943" ht="15" customHeight="1" s="131">
      <c r="A943" s="220" t="n"/>
      <c r="B943" s="222" t="n"/>
      <c r="C943" s="222" t="n"/>
      <c r="D943" s="220" t="n"/>
      <c r="E943" s="220" t="n"/>
      <c r="F943" s="181">
        <f>IFERROR(E943/D943,"")</f>
        <v/>
      </c>
      <c r="G943" s="219" t="n"/>
      <c r="H943" s="220" t="n"/>
      <c r="I943" s="221">
        <f>IF(COUNTA(A943:E943)=0,"",IF(OR(D943&lt;=0,E943&lt;0),"ERRO: bases inválidas",IF(E943&gt;D943,"ERRO: presenças acima do previsto",IF(COUNTIFS($A$5:$A$1200,A943,$B$5:$B$1200,B943,$C$5:$C$1200,C943)&gt;1,"ERRO: chave duplicada",IF(COUNTIFS(DISCIPLINAS!$A$5:$A$101,B943,DISCIPLINAS!$B$5:$B$101,C943)=0,"ERRO: disciplina não pertence ao curso","OK")))))</f>
        <v/>
      </c>
    </row>
    <row r="944" ht="15" customHeight="1" s="131">
      <c r="A944" s="220" t="n"/>
      <c r="B944" s="222" t="n"/>
      <c r="C944" s="222" t="n"/>
      <c r="D944" s="220" t="n"/>
      <c r="E944" s="220" t="n"/>
      <c r="F944" s="181">
        <f>IFERROR(E944/D944,"")</f>
        <v/>
      </c>
      <c r="G944" s="219" t="n"/>
      <c r="H944" s="220" t="n"/>
      <c r="I944" s="221">
        <f>IF(COUNTA(A944:E944)=0,"",IF(OR(D944&lt;=0,E944&lt;0),"ERRO: bases inválidas",IF(E944&gt;D944,"ERRO: presenças acima do previsto",IF(COUNTIFS($A$5:$A$1200,A944,$B$5:$B$1200,B944,$C$5:$C$1200,C944)&gt;1,"ERRO: chave duplicada",IF(COUNTIFS(DISCIPLINAS!$A$5:$A$101,B944,DISCIPLINAS!$B$5:$B$101,C944)=0,"ERRO: disciplina não pertence ao curso","OK")))))</f>
        <v/>
      </c>
    </row>
    <row r="945" ht="15" customHeight="1" s="131">
      <c r="A945" s="220" t="n"/>
      <c r="B945" s="222" t="n"/>
      <c r="C945" s="222" t="n"/>
      <c r="D945" s="220" t="n"/>
      <c r="E945" s="220" t="n"/>
      <c r="F945" s="181">
        <f>IFERROR(E945/D945,"")</f>
        <v/>
      </c>
      <c r="G945" s="219" t="n"/>
      <c r="H945" s="220" t="n"/>
      <c r="I945" s="221">
        <f>IF(COUNTA(A945:E945)=0,"",IF(OR(D945&lt;=0,E945&lt;0),"ERRO: bases inválidas",IF(E945&gt;D945,"ERRO: presenças acima do previsto",IF(COUNTIFS($A$5:$A$1200,A945,$B$5:$B$1200,B945,$C$5:$C$1200,C945)&gt;1,"ERRO: chave duplicada",IF(COUNTIFS(DISCIPLINAS!$A$5:$A$101,B945,DISCIPLINAS!$B$5:$B$101,C945)=0,"ERRO: disciplina não pertence ao curso","OK")))))</f>
        <v/>
      </c>
    </row>
    <row r="946" ht="15" customHeight="1" s="131">
      <c r="A946" s="220" t="n"/>
      <c r="B946" s="222" t="n"/>
      <c r="C946" s="222" t="n"/>
      <c r="D946" s="220" t="n"/>
      <c r="E946" s="220" t="n"/>
      <c r="F946" s="181">
        <f>IFERROR(E946/D946,"")</f>
        <v/>
      </c>
      <c r="G946" s="219" t="n"/>
      <c r="H946" s="220" t="n"/>
      <c r="I946" s="221">
        <f>IF(COUNTA(A946:E946)=0,"",IF(OR(D946&lt;=0,E946&lt;0),"ERRO: bases inválidas",IF(E946&gt;D946,"ERRO: presenças acima do previsto",IF(COUNTIFS($A$5:$A$1200,A946,$B$5:$B$1200,B946,$C$5:$C$1200,C946)&gt;1,"ERRO: chave duplicada",IF(COUNTIFS(DISCIPLINAS!$A$5:$A$101,B946,DISCIPLINAS!$B$5:$B$101,C946)=0,"ERRO: disciplina não pertence ao curso","OK")))))</f>
        <v/>
      </c>
    </row>
    <row r="947" ht="15" customHeight="1" s="131">
      <c r="A947" s="220" t="n"/>
      <c r="B947" s="222" t="n"/>
      <c r="C947" s="222" t="n"/>
      <c r="D947" s="220" t="n"/>
      <c r="E947" s="220" t="n"/>
      <c r="F947" s="181">
        <f>IFERROR(E947/D947,"")</f>
        <v/>
      </c>
      <c r="G947" s="219" t="n"/>
      <c r="H947" s="220" t="n"/>
      <c r="I947" s="221">
        <f>IF(COUNTA(A947:E947)=0,"",IF(OR(D947&lt;=0,E947&lt;0),"ERRO: bases inválidas",IF(E947&gt;D947,"ERRO: presenças acima do previsto",IF(COUNTIFS($A$5:$A$1200,A947,$B$5:$B$1200,B947,$C$5:$C$1200,C947)&gt;1,"ERRO: chave duplicada",IF(COUNTIFS(DISCIPLINAS!$A$5:$A$101,B947,DISCIPLINAS!$B$5:$B$101,C947)=0,"ERRO: disciplina não pertence ao curso","OK")))))</f>
        <v/>
      </c>
    </row>
    <row r="948" ht="15" customHeight="1" s="131">
      <c r="A948" s="220" t="n"/>
      <c r="B948" s="222" t="n"/>
      <c r="C948" s="222" t="n"/>
      <c r="D948" s="220" t="n"/>
      <c r="E948" s="220" t="n"/>
      <c r="F948" s="181">
        <f>IFERROR(E948/D948,"")</f>
        <v/>
      </c>
      <c r="G948" s="219" t="n"/>
      <c r="H948" s="220" t="n"/>
      <c r="I948" s="221">
        <f>IF(COUNTA(A948:E948)=0,"",IF(OR(D948&lt;=0,E948&lt;0),"ERRO: bases inválidas",IF(E948&gt;D948,"ERRO: presenças acima do previsto",IF(COUNTIFS($A$5:$A$1200,A948,$B$5:$B$1200,B948,$C$5:$C$1200,C948)&gt;1,"ERRO: chave duplicada",IF(COUNTIFS(DISCIPLINAS!$A$5:$A$101,B948,DISCIPLINAS!$B$5:$B$101,C948)=0,"ERRO: disciplina não pertence ao curso","OK")))))</f>
        <v/>
      </c>
    </row>
    <row r="949" ht="15" customHeight="1" s="131">
      <c r="A949" s="220" t="n"/>
      <c r="B949" s="222" t="n"/>
      <c r="C949" s="222" t="n"/>
      <c r="D949" s="220" t="n"/>
      <c r="E949" s="220" t="n"/>
      <c r="F949" s="181">
        <f>IFERROR(E949/D949,"")</f>
        <v/>
      </c>
      <c r="G949" s="219" t="n"/>
      <c r="H949" s="220" t="n"/>
      <c r="I949" s="221">
        <f>IF(COUNTA(A949:E949)=0,"",IF(OR(D949&lt;=0,E949&lt;0),"ERRO: bases inválidas",IF(E949&gt;D949,"ERRO: presenças acima do previsto",IF(COUNTIFS($A$5:$A$1200,A949,$B$5:$B$1200,B949,$C$5:$C$1200,C949)&gt;1,"ERRO: chave duplicada",IF(COUNTIFS(DISCIPLINAS!$A$5:$A$101,B949,DISCIPLINAS!$B$5:$B$101,C949)=0,"ERRO: disciplina não pertence ao curso","OK")))))</f>
        <v/>
      </c>
    </row>
    <row r="950" ht="15" customHeight="1" s="131">
      <c r="A950" s="220" t="n"/>
      <c r="B950" s="222" t="n"/>
      <c r="C950" s="222" t="n"/>
      <c r="D950" s="220" t="n"/>
      <c r="E950" s="220" t="n"/>
      <c r="F950" s="181">
        <f>IFERROR(E950/D950,"")</f>
        <v/>
      </c>
      <c r="G950" s="219" t="n"/>
      <c r="H950" s="220" t="n"/>
      <c r="I950" s="221">
        <f>IF(COUNTA(A950:E950)=0,"",IF(OR(D950&lt;=0,E950&lt;0),"ERRO: bases inválidas",IF(E950&gt;D950,"ERRO: presenças acima do previsto",IF(COUNTIFS($A$5:$A$1200,A950,$B$5:$B$1200,B950,$C$5:$C$1200,C950)&gt;1,"ERRO: chave duplicada",IF(COUNTIFS(DISCIPLINAS!$A$5:$A$101,B950,DISCIPLINAS!$B$5:$B$101,C950)=0,"ERRO: disciplina não pertence ao curso","OK")))))</f>
        <v/>
      </c>
    </row>
    <row r="951" ht="15" customHeight="1" s="131">
      <c r="A951" s="220" t="n"/>
      <c r="B951" s="222" t="n"/>
      <c r="C951" s="222" t="n"/>
      <c r="D951" s="220" t="n"/>
      <c r="E951" s="220" t="n"/>
      <c r="F951" s="181">
        <f>IFERROR(E951/D951,"")</f>
        <v/>
      </c>
      <c r="G951" s="219" t="n"/>
      <c r="H951" s="220" t="n"/>
      <c r="I951" s="221">
        <f>IF(COUNTA(A951:E951)=0,"",IF(OR(D951&lt;=0,E951&lt;0),"ERRO: bases inválidas",IF(E951&gt;D951,"ERRO: presenças acima do previsto",IF(COUNTIFS($A$5:$A$1200,A951,$B$5:$B$1200,B951,$C$5:$C$1200,C951)&gt;1,"ERRO: chave duplicada",IF(COUNTIFS(DISCIPLINAS!$A$5:$A$101,B951,DISCIPLINAS!$B$5:$B$101,C951)=0,"ERRO: disciplina não pertence ao curso","OK")))))</f>
        <v/>
      </c>
    </row>
    <row r="952" ht="15" customHeight="1" s="131">
      <c r="A952" s="220" t="n"/>
      <c r="B952" s="222" t="n"/>
      <c r="C952" s="222" t="n"/>
      <c r="D952" s="220" t="n"/>
      <c r="E952" s="220" t="n"/>
      <c r="F952" s="181">
        <f>IFERROR(E952/D952,"")</f>
        <v/>
      </c>
      <c r="G952" s="219" t="n"/>
      <c r="H952" s="220" t="n"/>
      <c r="I952" s="221">
        <f>IF(COUNTA(A952:E952)=0,"",IF(OR(D952&lt;=0,E952&lt;0),"ERRO: bases inválidas",IF(E952&gt;D952,"ERRO: presenças acima do previsto",IF(COUNTIFS($A$5:$A$1200,A952,$B$5:$B$1200,B952,$C$5:$C$1200,C952)&gt;1,"ERRO: chave duplicada",IF(COUNTIFS(DISCIPLINAS!$A$5:$A$101,B952,DISCIPLINAS!$B$5:$B$101,C952)=0,"ERRO: disciplina não pertence ao curso","OK")))))</f>
        <v/>
      </c>
    </row>
    <row r="953" ht="15" customHeight="1" s="131">
      <c r="A953" s="220" t="n"/>
      <c r="B953" s="222" t="n"/>
      <c r="C953" s="222" t="n"/>
      <c r="D953" s="220" t="n"/>
      <c r="E953" s="220" t="n"/>
      <c r="F953" s="181">
        <f>IFERROR(E953/D953,"")</f>
        <v/>
      </c>
      <c r="G953" s="219" t="n"/>
      <c r="H953" s="220" t="n"/>
      <c r="I953" s="221">
        <f>IF(COUNTA(A953:E953)=0,"",IF(OR(D953&lt;=0,E953&lt;0),"ERRO: bases inválidas",IF(E953&gt;D953,"ERRO: presenças acima do previsto",IF(COUNTIFS($A$5:$A$1200,A953,$B$5:$B$1200,B953,$C$5:$C$1200,C953)&gt;1,"ERRO: chave duplicada",IF(COUNTIFS(DISCIPLINAS!$A$5:$A$101,B953,DISCIPLINAS!$B$5:$B$101,C953)=0,"ERRO: disciplina não pertence ao curso","OK")))))</f>
        <v/>
      </c>
    </row>
    <row r="954" ht="15" customHeight="1" s="131">
      <c r="A954" s="220" t="n"/>
      <c r="B954" s="222" t="n"/>
      <c r="C954" s="222" t="n"/>
      <c r="D954" s="220" t="n"/>
      <c r="E954" s="220" t="n"/>
      <c r="F954" s="181">
        <f>IFERROR(E954/D954,"")</f>
        <v/>
      </c>
      <c r="G954" s="219" t="n"/>
      <c r="H954" s="220" t="n"/>
      <c r="I954" s="221">
        <f>IF(COUNTA(A954:E954)=0,"",IF(OR(D954&lt;=0,E954&lt;0),"ERRO: bases inválidas",IF(E954&gt;D954,"ERRO: presenças acima do previsto",IF(COUNTIFS($A$5:$A$1200,A954,$B$5:$B$1200,B954,$C$5:$C$1200,C954)&gt;1,"ERRO: chave duplicada",IF(COUNTIFS(DISCIPLINAS!$A$5:$A$101,B954,DISCIPLINAS!$B$5:$B$101,C954)=0,"ERRO: disciplina não pertence ao curso","OK")))))</f>
        <v/>
      </c>
    </row>
    <row r="955" ht="15" customHeight="1" s="131">
      <c r="A955" s="220" t="n"/>
      <c r="B955" s="222" t="n"/>
      <c r="C955" s="222" t="n"/>
      <c r="D955" s="220" t="n"/>
      <c r="E955" s="220" t="n"/>
      <c r="F955" s="181">
        <f>IFERROR(E955/D955,"")</f>
        <v/>
      </c>
      <c r="G955" s="219" t="n"/>
      <c r="H955" s="220" t="n"/>
      <c r="I955" s="221">
        <f>IF(COUNTA(A955:E955)=0,"",IF(OR(D955&lt;=0,E955&lt;0),"ERRO: bases inválidas",IF(E955&gt;D955,"ERRO: presenças acima do previsto",IF(COUNTIFS($A$5:$A$1200,A955,$B$5:$B$1200,B955,$C$5:$C$1200,C955)&gt;1,"ERRO: chave duplicada",IF(COUNTIFS(DISCIPLINAS!$A$5:$A$101,B955,DISCIPLINAS!$B$5:$B$101,C955)=0,"ERRO: disciplina não pertence ao curso","OK")))))</f>
        <v/>
      </c>
    </row>
    <row r="956" ht="15" customHeight="1" s="131">
      <c r="A956" s="220" t="n"/>
      <c r="B956" s="222" t="n"/>
      <c r="C956" s="222" t="n"/>
      <c r="D956" s="220" t="n"/>
      <c r="E956" s="220" t="n"/>
      <c r="F956" s="181">
        <f>IFERROR(E956/D956,"")</f>
        <v/>
      </c>
      <c r="G956" s="219" t="n"/>
      <c r="H956" s="220" t="n"/>
      <c r="I956" s="221">
        <f>IF(COUNTA(A956:E956)=0,"",IF(OR(D956&lt;=0,E956&lt;0),"ERRO: bases inválidas",IF(E956&gt;D956,"ERRO: presenças acima do previsto",IF(COUNTIFS($A$5:$A$1200,A956,$B$5:$B$1200,B956,$C$5:$C$1200,C956)&gt;1,"ERRO: chave duplicada",IF(COUNTIFS(DISCIPLINAS!$A$5:$A$101,B956,DISCIPLINAS!$B$5:$B$101,C956)=0,"ERRO: disciplina não pertence ao curso","OK")))))</f>
        <v/>
      </c>
    </row>
    <row r="957" ht="15" customHeight="1" s="131">
      <c r="A957" s="220" t="n"/>
      <c r="B957" s="222" t="n"/>
      <c r="C957" s="222" t="n"/>
      <c r="D957" s="220" t="n"/>
      <c r="E957" s="220" t="n"/>
      <c r="F957" s="181">
        <f>IFERROR(E957/D957,"")</f>
        <v/>
      </c>
      <c r="G957" s="219" t="n"/>
      <c r="H957" s="220" t="n"/>
      <c r="I957" s="221">
        <f>IF(COUNTA(A957:E957)=0,"",IF(OR(D957&lt;=0,E957&lt;0),"ERRO: bases inválidas",IF(E957&gt;D957,"ERRO: presenças acima do previsto",IF(COUNTIFS($A$5:$A$1200,A957,$B$5:$B$1200,B957,$C$5:$C$1200,C957)&gt;1,"ERRO: chave duplicada",IF(COUNTIFS(DISCIPLINAS!$A$5:$A$101,B957,DISCIPLINAS!$B$5:$B$101,C957)=0,"ERRO: disciplina não pertence ao curso","OK")))))</f>
        <v/>
      </c>
    </row>
    <row r="958" ht="15" customHeight="1" s="131">
      <c r="A958" s="220" t="n"/>
      <c r="B958" s="222" t="n"/>
      <c r="C958" s="222" t="n"/>
      <c r="D958" s="220" t="n"/>
      <c r="E958" s="220" t="n"/>
      <c r="F958" s="181">
        <f>IFERROR(E958/D958,"")</f>
        <v/>
      </c>
      <c r="G958" s="219" t="n"/>
      <c r="H958" s="220" t="n"/>
      <c r="I958" s="221">
        <f>IF(COUNTA(A958:E958)=0,"",IF(OR(D958&lt;=0,E958&lt;0),"ERRO: bases inválidas",IF(E958&gt;D958,"ERRO: presenças acima do previsto",IF(COUNTIFS($A$5:$A$1200,A958,$B$5:$B$1200,B958,$C$5:$C$1200,C958)&gt;1,"ERRO: chave duplicada",IF(COUNTIFS(DISCIPLINAS!$A$5:$A$101,B958,DISCIPLINAS!$B$5:$B$101,C958)=0,"ERRO: disciplina não pertence ao curso","OK")))))</f>
        <v/>
      </c>
    </row>
    <row r="959" ht="15" customHeight="1" s="131">
      <c r="A959" s="220" t="n"/>
      <c r="B959" s="222" t="n"/>
      <c r="C959" s="222" t="n"/>
      <c r="D959" s="220" t="n"/>
      <c r="E959" s="220" t="n"/>
      <c r="F959" s="181">
        <f>IFERROR(E959/D959,"")</f>
        <v/>
      </c>
      <c r="G959" s="219" t="n"/>
      <c r="H959" s="220" t="n"/>
      <c r="I959" s="221">
        <f>IF(COUNTA(A959:E959)=0,"",IF(OR(D959&lt;=0,E959&lt;0),"ERRO: bases inválidas",IF(E959&gt;D959,"ERRO: presenças acima do previsto",IF(COUNTIFS($A$5:$A$1200,A959,$B$5:$B$1200,B959,$C$5:$C$1200,C959)&gt;1,"ERRO: chave duplicada",IF(COUNTIFS(DISCIPLINAS!$A$5:$A$101,B959,DISCIPLINAS!$B$5:$B$101,C959)=0,"ERRO: disciplina não pertence ao curso","OK")))))</f>
        <v/>
      </c>
    </row>
    <row r="960" ht="15" customHeight="1" s="131">
      <c r="A960" s="220" t="n"/>
      <c r="B960" s="222" t="n"/>
      <c r="C960" s="222" t="n"/>
      <c r="D960" s="220" t="n"/>
      <c r="E960" s="220" t="n"/>
      <c r="F960" s="181">
        <f>IFERROR(E960/D960,"")</f>
        <v/>
      </c>
      <c r="G960" s="219" t="n"/>
      <c r="H960" s="220" t="n"/>
      <c r="I960" s="221">
        <f>IF(COUNTA(A960:E960)=0,"",IF(OR(D960&lt;=0,E960&lt;0),"ERRO: bases inválidas",IF(E960&gt;D960,"ERRO: presenças acima do previsto",IF(COUNTIFS($A$5:$A$1200,A960,$B$5:$B$1200,B960,$C$5:$C$1200,C960)&gt;1,"ERRO: chave duplicada",IF(COUNTIFS(DISCIPLINAS!$A$5:$A$101,B960,DISCIPLINAS!$B$5:$B$101,C960)=0,"ERRO: disciplina não pertence ao curso","OK")))))</f>
        <v/>
      </c>
    </row>
    <row r="961" ht="15" customHeight="1" s="131">
      <c r="A961" s="220" t="n"/>
      <c r="B961" s="222" t="n"/>
      <c r="C961" s="222" t="n"/>
      <c r="D961" s="220" t="n"/>
      <c r="E961" s="220" t="n"/>
      <c r="F961" s="181">
        <f>IFERROR(E961/D961,"")</f>
        <v/>
      </c>
      <c r="G961" s="219" t="n"/>
      <c r="H961" s="220" t="n"/>
      <c r="I961" s="221">
        <f>IF(COUNTA(A961:E961)=0,"",IF(OR(D961&lt;=0,E961&lt;0),"ERRO: bases inválidas",IF(E961&gt;D961,"ERRO: presenças acima do previsto",IF(COUNTIFS($A$5:$A$1200,A961,$B$5:$B$1200,B961,$C$5:$C$1200,C961)&gt;1,"ERRO: chave duplicada",IF(COUNTIFS(DISCIPLINAS!$A$5:$A$101,B961,DISCIPLINAS!$B$5:$B$101,C961)=0,"ERRO: disciplina não pertence ao curso","OK")))))</f>
        <v/>
      </c>
    </row>
    <row r="962" ht="15" customHeight="1" s="131">
      <c r="A962" s="220" t="n"/>
      <c r="B962" s="222" t="n"/>
      <c r="C962" s="222" t="n"/>
      <c r="D962" s="220" t="n"/>
      <c r="E962" s="220" t="n"/>
      <c r="F962" s="181">
        <f>IFERROR(E962/D962,"")</f>
        <v/>
      </c>
      <c r="G962" s="219" t="n"/>
      <c r="H962" s="220" t="n"/>
      <c r="I962" s="221">
        <f>IF(COUNTA(A962:E962)=0,"",IF(OR(D962&lt;=0,E962&lt;0),"ERRO: bases inválidas",IF(E962&gt;D962,"ERRO: presenças acima do previsto",IF(COUNTIFS($A$5:$A$1200,A962,$B$5:$B$1200,B962,$C$5:$C$1200,C962)&gt;1,"ERRO: chave duplicada",IF(COUNTIFS(DISCIPLINAS!$A$5:$A$101,B962,DISCIPLINAS!$B$5:$B$101,C962)=0,"ERRO: disciplina não pertence ao curso","OK")))))</f>
        <v/>
      </c>
    </row>
    <row r="963" ht="15" customHeight="1" s="131">
      <c r="A963" s="220" t="n"/>
      <c r="B963" s="222" t="n"/>
      <c r="C963" s="222" t="n"/>
      <c r="D963" s="220" t="n"/>
      <c r="E963" s="220" t="n"/>
      <c r="F963" s="181">
        <f>IFERROR(E963/D963,"")</f>
        <v/>
      </c>
      <c r="G963" s="219" t="n"/>
      <c r="H963" s="220" t="n"/>
      <c r="I963" s="221">
        <f>IF(COUNTA(A963:E963)=0,"",IF(OR(D963&lt;=0,E963&lt;0),"ERRO: bases inválidas",IF(E963&gt;D963,"ERRO: presenças acima do previsto",IF(COUNTIFS($A$5:$A$1200,A963,$B$5:$B$1200,B963,$C$5:$C$1200,C963)&gt;1,"ERRO: chave duplicada",IF(COUNTIFS(DISCIPLINAS!$A$5:$A$101,B963,DISCIPLINAS!$B$5:$B$101,C963)=0,"ERRO: disciplina não pertence ao curso","OK")))))</f>
        <v/>
      </c>
    </row>
    <row r="964" ht="15" customHeight="1" s="131">
      <c r="A964" s="220" t="n"/>
      <c r="B964" s="222" t="n"/>
      <c r="C964" s="222" t="n"/>
      <c r="D964" s="220" t="n"/>
      <c r="E964" s="220" t="n"/>
      <c r="F964" s="181">
        <f>IFERROR(E964/D964,"")</f>
        <v/>
      </c>
      <c r="G964" s="219" t="n"/>
      <c r="H964" s="220" t="n"/>
      <c r="I964" s="221">
        <f>IF(COUNTA(A964:E964)=0,"",IF(OR(D964&lt;=0,E964&lt;0),"ERRO: bases inválidas",IF(E964&gt;D964,"ERRO: presenças acima do previsto",IF(COUNTIFS($A$5:$A$1200,A964,$B$5:$B$1200,B964,$C$5:$C$1200,C964)&gt;1,"ERRO: chave duplicada",IF(COUNTIFS(DISCIPLINAS!$A$5:$A$101,B964,DISCIPLINAS!$B$5:$B$101,C964)=0,"ERRO: disciplina não pertence ao curso","OK")))))</f>
        <v/>
      </c>
    </row>
    <row r="965" ht="15" customHeight="1" s="131">
      <c r="A965" s="220" t="n"/>
      <c r="B965" s="222" t="n"/>
      <c r="C965" s="222" t="n"/>
      <c r="D965" s="220" t="n"/>
      <c r="E965" s="220" t="n"/>
      <c r="F965" s="181">
        <f>IFERROR(E965/D965,"")</f>
        <v/>
      </c>
      <c r="G965" s="219" t="n"/>
      <c r="H965" s="220" t="n"/>
      <c r="I965" s="221">
        <f>IF(COUNTA(A965:E965)=0,"",IF(OR(D965&lt;=0,E965&lt;0),"ERRO: bases inválidas",IF(E965&gt;D965,"ERRO: presenças acima do previsto",IF(COUNTIFS($A$5:$A$1200,A965,$B$5:$B$1200,B965,$C$5:$C$1200,C965)&gt;1,"ERRO: chave duplicada",IF(COUNTIFS(DISCIPLINAS!$A$5:$A$101,B965,DISCIPLINAS!$B$5:$B$101,C965)=0,"ERRO: disciplina não pertence ao curso","OK")))))</f>
        <v/>
      </c>
    </row>
    <row r="966" ht="15" customHeight="1" s="131">
      <c r="A966" s="220" t="n"/>
      <c r="B966" s="222" t="n"/>
      <c r="C966" s="222" t="n"/>
      <c r="D966" s="220" t="n"/>
      <c r="E966" s="220" t="n"/>
      <c r="F966" s="181">
        <f>IFERROR(E966/D966,"")</f>
        <v/>
      </c>
      <c r="G966" s="219" t="n"/>
      <c r="H966" s="220" t="n"/>
      <c r="I966" s="221">
        <f>IF(COUNTA(A966:E966)=0,"",IF(OR(D966&lt;=0,E966&lt;0),"ERRO: bases inválidas",IF(E966&gt;D966,"ERRO: presenças acima do previsto",IF(COUNTIFS($A$5:$A$1200,A966,$B$5:$B$1200,B966,$C$5:$C$1200,C966)&gt;1,"ERRO: chave duplicada",IF(COUNTIFS(DISCIPLINAS!$A$5:$A$101,B966,DISCIPLINAS!$B$5:$B$101,C966)=0,"ERRO: disciplina não pertence ao curso","OK")))))</f>
        <v/>
      </c>
    </row>
    <row r="967" ht="15" customHeight="1" s="131">
      <c r="A967" s="220" t="n"/>
      <c r="B967" s="222" t="n"/>
      <c r="C967" s="222" t="n"/>
      <c r="D967" s="220" t="n"/>
      <c r="E967" s="220" t="n"/>
      <c r="F967" s="181">
        <f>IFERROR(E967/D967,"")</f>
        <v/>
      </c>
      <c r="G967" s="219" t="n"/>
      <c r="H967" s="220" t="n"/>
      <c r="I967" s="221">
        <f>IF(COUNTA(A967:E967)=0,"",IF(OR(D967&lt;=0,E967&lt;0),"ERRO: bases inválidas",IF(E967&gt;D967,"ERRO: presenças acima do previsto",IF(COUNTIFS($A$5:$A$1200,A967,$B$5:$B$1200,B967,$C$5:$C$1200,C967)&gt;1,"ERRO: chave duplicada",IF(COUNTIFS(DISCIPLINAS!$A$5:$A$101,B967,DISCIPLINAS!$B$5:$B$101,C967)=0,"ERRO: disciplina não pertence ao curso","OK")))))</f>
        <v/>
      </c>
    </row>
    <row r="968" ht="15" customHeight="1" s="131">
      <c r="A968" s="220" t="n"/>
      <c r="B968" s="222" t="n"/>
      <c r="C968" s="222" t="n"/>
      <c r="D968" s="220" t="n"/>
      <c r="E968" s="220" t="n"/>
      <c r="F968" s="181">
        <f>IFERROR(E968/D968,"")</f>
        <v/>
      </c>
      <c r="G968" s="219" t="n"/>
      <c r="H968" s="220" t="n"/>
      <c r="I968" s="221">
        <f>IF(COUNTA(A968:E968)=0,"",IF(OR(D968&lt;=0,E968&lt;0),"ERRO: bases inválidas",IF(E968&gt;D968,"ERRO: presenças acima do previsto",IF(COUNTIFS($A$5:$A$1200,A968,$B$5:$B$1200,B968,$C$5:$C$1200,C968)&gt;1,"ERRO: chave duplicada",IF(COUNTIFS(DISCIPLINAS!$A$5:$A$101,B968,DISCIPLINAS!$B$5:$B$101,C968)=0,"ERRO: disciplina não pertence ao curso","OK")))))</f>
        <v/>
      </c>
    </row>
    <row r="969" ht="15" customHeight="1" s="131">
      <c r="A969" s="220" t="n"/>
      <c r="B969" s="222" t="n"/>
      <c r="C969" s="222" t="n"/>
      <c r="D969" s="220" t="n"/>
      <c r="E969" s="220" t="n"/>
      <c r="F969" s="181">
        <f>IFERROR(E969/D969,"")</f>
        <v/>
      </c>
      <c r="G969" s="219" t="n"/>
      <c r="H969" s="220" t="n"/>
      <c r="I969" s="221">
        <f>IF(COUNTA(A969:E969)=0,"",IF(OR(D969&lt;=0,E969&lt;0),"ERRO: bases inválidas",IF(E969&gt;D969,"ERRO: presenças acima do previsto",IF(COUNTIFS($A$5:$A$1200,A969,$B$5:$B$1200,B969,$C$5:$C$1200,C969)&gt;1,"ERRO: chave duplicada",IF(COUNTIFS(DISCIPLINAS!$A$5:$A$101,B969,DISCIPLINAS!$B$5:$B$101,C969)=0,"ERRO: disciplina não pertence ao curso","OK")))))</f>
        <v/>
      </c>
    </row>
    <row r="970" ht="15" customHeight="1" s="131">
      <c r="A970" s="220" t="n"/>
      <c r="B970" s="222" t="n"/>
      <c r="C970" s="222" t="n"/>
      <c r="D970" s="220" t="n"/>
      <c r="E970" s="220" t="n"/>
      <c r="F970" s="181">
        <f>IFERROR(E970/D970,"")</f>
        <v/>
      </c>
      <c r="G970" s="219" t="n"/>
      <c r="H970" s="220" t="n"/>
      <c r="I970" s="221">
        <f>IF(COUNTA(A970:E970)=0,"",IF(OR(D970&lt;=0,E970&lt;0),"ERRO: bases inválidas",IF(E970&gt;D970,"ERRO: presenças acima do previsto",IF(COUNTIFS($A$5:$A$1200,A970,$B$5:$B$1200,B970,$C$5:$C$1200,C970)&gt;1,"ERRO: chave duplicada",IF(COUNTIFS(DISCIPLINAS!$A$5:$A$101,B970,DISCIPLINAS!$B$5:$B$101,C970)=0,"ERRO: disciplina não pertence ao curso","OK")))))</f>
        <v/>
      </c>
    </row>
    <row r="971" ht="15" customHeight="1" s="131">
      <c r="A971" s="220" t="n"/>
      <c r="B971" s="222" t="n"/>
      <c r="C971" s="222" t="n"/>
      <c r="D971" s="220" t="n"/>
      <c r="E971" s="220" t="n"/>
      <c r="F971" s="181">
        <f>IFERROR(E971/D971,"")</f>
        <v/>
      </c>
      <c r="G971" s="219" t="n"/>
      <c r="H971" s="220" t="n"/>
      <c r="I971" s="221">
        <f>IF(COUNTA(A971:E971)=0,"",IF(OR(D971&lt;=0,E971&lt;0),"ERRO: bases inválidas",IF(E971&gt;D971,"ERRO: presenças acima do previsto",IF(COUNTIFS($A$5:$A$1200,A971,$B$5:$B$1200,B971,$C$5:$C$1200,C971)&gt;1,"ERRO: chave duplicada",IF(COUNTIFS(DISCIPLINAS!$A$5:$A$101,B971,DISCIPLINAS!$B$5:$B$101,C971)=0,"ERRO: disciplina não pertence ao curso","OK")))))</f>
        <v/>
      </c>
    </row>
    <row r="972" ht="15" customHeight="1" s="131">
      <c r="A972" s="220" t="n"/>
      <c r="B972" s="222" t="n"/>
      <c r="C972" s="222" t="n"/>
      <c r="D972" s="220" t="n"/>
      <c r="E972" s="220" t="n"/>
      <c r="F972" s="181">
        <f>IFERROR(E972/D972,"")</f>
        <v/>
      </c>
      <c r="G972" s="219" t="n"/>
      <c r="H972" s="220" t="n"/>
      <c r="I972" s="221">
        <f>IF(COUNTA(A972:E972)=0,"",IF(OR(D972&lt;=0,E972&lt;0),"ERRO: bases inválidas",IF(E972&gt;D972,"ERRO: presenças acima do previsto",IF(COUNTIFS($A$5:$A$1200,A972,$B$5:$B$1200,B972,$C$5:$C$1200,C972)&gt;1,"ERRO: chave duplicada",IF(COUNTIFS(DISCIPLINAS!$A$5:$A$101,B972,DISCIPLINAS!$B$5:$B$101,C972)=0,"ERRO: disciplina não pertence ao curso","OK")))))</f>
        <v/>
      </c>
    </row>
    <row r="973" ht="15" customHeight="1" s="131">
      <c r="A973" s="220" t="n"/>
      <c r="B973" s="222" t="n"/>
      <c r="C973" s="222" t="n"/>
      <c r="D973" s="220" t="n"/>
      <c r="E973" s="220" t="n"/>
      <c r="F973" s="181">
        <f>IFERROR(E973/D973,"")</f>
        <v/>
      </c>
      <c r="G973" s="219" t="n"/>
      <c r="H973" s="220" t="n"/>
      <c r="I973" s="221">
        <f>IF(COUNTA(A973:E973)=0,"",IF(OR(D973&lt;=0,E973&lt;0),"ERRO: bases inválidas",IF(E973&gt;D973,"ERRO: presenças acima do previsto",IF(COUNTIFS($A$5:$A$1200,A973,$B$5:$B$1200,B973,$C$5:$C$1200,C973)&gt;1,"ERRO: chave duplicada",IF(COUNTIFS(DISCIPLINAS!$A$5:$A$101,B973,DISCIPLINAS!$B$5:$B$101,C973)=0,"ERRO: disciplina não pertence ao curso","OK")))))</f>
        <v/>
      </c>
    </row>
    <row r="974" ht="15" customHeight="1" s="131">
      <c r="A974" s="220" t="n"/>
      <c r="B974" s="222" t="n"/>
      <c r="C974" s="222" t="n"/>
      <c r="D974" s="220" t="n"/>
      <c r="E974" s="220" t="n"/>
      <c r="F974" s="181">
        <f>IFERROR(E974/D974,"")</f>
        <v/>
      </c>
      <c r="G974" s="219" t="n"/>
      <c r="H974" s="220" t="n"/>
      <c r="I974" s="221">
        <f>IF(COUNTA(A974:E974)=0,"",IF(OR(D974&lt;=0,E974&lt;0),"ERRO: bases inválidas",IF(E974&gt;D974,"ERRO: presenças acima do previsto",IF(COUNTIFS($A$5:$A$1200,A974,$B$5:$B$1200,B974,$C$5:$C$1200,C974)&gt;1,"ERRO: chave duplicada",IF(COUNTIFS(DISCIPLINAS!$A$5:$A$101,B974,DISCIPLINAS!$B$5:$B$101,C974)=0,"ERRO: disciplina não pertence ao curso","OK")))))</f>
        <v/>
      </c>
    </row>
    <row r="975" ht="15" customHeight="1" s="131">
      <c r="A975" s="220" t="n"/>
      <c r="B975" s="222" t="n"/>
      <c r="C975" s="222" t="n"/>
      <c r="D975" s="220" t="n"/>
      <c r="E975" s="220" t="n"/>
      <c r="F975" s="181">
        <f>IFERROR(E975/D975,"")</f>
        <v/>
      </c>
      <c r="G975" s="219" t="n"/>
      <c r="H975" s="220" t="n"/>
      <c r="I975" s="221">
        <f>IF(COUNTA(A975:E975)=0,"",IF(OR(D975&lt;=0,E975&lt;0),"ERRO: bases inválidas",IF(E975&gt;D975,"ERRO: presenças acima do previsto",IF(COUNTIFS($A$5:$A$1200,A975,$B$5:$B$1200,B975,$C$5:$C$1200,C975)&gt;1,"ERRO: chave duplicada",IF(COUNTIFS(DISCIPLINAS!$A$5:$A$101,B975,DISCIPLINAS!$B$5:$B$101,C975)=0,"ERRO: disciplina não pertence ao curso","OK")))))</f>
        <v/>
      </c>
    </row>
    <row r="976" ht="15" customHeight="1" s="131">
      <c r="A976" s="220" t="n"/>
      <c r="B976" s="222" t="n"/>
      <c r="C976" s="222" t="n"/>
      <c r="D976" s="220" t="n"/>
      <c r="E976" s="220" t="n"/>
      <c r="F976" s="181">
        <f>IFERROR(E976/D976,"")</f>
        <v/>
      </c>
      <c r="G976" s="219" t="n"/>
      <c r="H976" s="220" t="n"/>
      <c r="I976" s="221">
        <f>IF(COUNTA(A976:E976)=0,"",IF(OR(D976&lt;=0,E976&lt;0),"ERRO: bases inválidas",IF(E976&gt;D976,"ERRO: presenças acima do previsto",IF(COUNTIFS($A$5:$A$1200,A976,$B$5:$B$1200,B976,$C$5:$C$1200,C976)&gt;1,"ERRO: chave duplicada",IF(COUNTIFS(DISCIPLINAS!$A$5:$A$101,B976,DISCIPLINAS!$B$5:$B$101,C976)=0,"ERRO: disciplina não pertence ao curso","OK")))))</f>
        <v/>
      </c>
    </row>
    <row r="977" ht="15" customHeight="1" s="131">
      <c r="A977" s="220" t="n"/>
      <c r="B977" s="222" t="n"/>
      <c r="C977" s="222" t="n"/>
      <c r="D977" s="220" t="n"/>
      <c r="E977" s="220" t="n"/>
      <c r="F977" s="181">
        <f>IFERROR(E977/D977,"")</f>
        <v/>
      </c>
      <c r="G977" s="219" t="n"/>
      <c r="H977" s="220" t="n"/>
      <c r="I977" s="221">
        <f>IF(COUNTA(A977:E977)=0,"",IF(OR(D977&lt;=0,E977&lt;0),"ERRO: bases inválidas",IF(E977&gt;D977,"ERRO: presenças acima do previsto",IF(COUNTIFS($A$5:$A$1200,A977,$B$5:$B$1200,B977,$C$5:$C$1200,C977)&gt;1,"ERRO: chave duplicada",IF(COUNTIFS(DISCIPLINAS!$A$5:$A$101,B977,DISCIPLINAS!$B$5:$B$101,C977)=0,"ERRO: disciplina não pertence ao curso","OK")))))</f>
        <v/>
      </c>
    </row>
    <row r="978" ht="15" customHeight="1" s="131">
      <c r="A978" s="220" t="n"/>
      <c r="B978" s="222" t="n"/>
      <c r="C978" s="222" t="n"/>
      <c r="D978" s="220" t="n"/>
      <c r="E978" s="220" t="n"/>
      <c r="F978" s="181">
        <f>IFERROR(E978/D978,"")</f>
        <v/>
      </c>
      <c r="G978" s="219" t="n"/>
      <c r="H978" s="220" t="n"/>
      <c r="I978" s="221">
        <f>IF(COUNTA(A978:E978)=0,"",IF(OR(D978&lt;=0,E978&lt;0),"ERRO: bases inválidas",IF(E978&gt;D978,"ERRO: presenças acima do previsto",IF(COUNTIFS($A$5:$A$1200,A978,$B$5:$B$1200,B978,$C$5:$C$1200,C978)&gt;1,"ERRO: chave duplicada",IF(COUNTIFS(DISCIPLINAS!$A$5:$A$101,B978,DISCIPLINAS!$B$5:$B$101,C978)=0,"ERRO: disciplina não pertence ao curso","OK")))))</f>
        <v/>
      </c>
    </row>
    <row r="979" ht="15" customHeight="1" s="131">
      <c r="A979" s="220" t="n"/>
      <c r="B979" s="222" t="n"/>
      <c r="C979" s="222" t="n"/>
      <c r="D979" s="220" t="n"/>
      <c r="E979" s="220" t="n"/>
      <c r="F979" s="181">
        <f>IFERROR(E979/D979,"")</f>
        <v/>
      </c>
      <c r="G979" s="219" t="n"/>
      <c r="H979" s="220" t="n"/>
      <c r="I979" s="221">
        <f>IF(COUNTA(A979:E979)=0,"",IF(OR(D979&lt;=0,E979&lt;0),"ERRO: bases inválidas",IF(E979&gt;D979,"ERRO: presenças acima do previsto",IF(COUNTIFS($A$5:$A$1200,A979,$B$5:$B$1200,B979,$C$5:$C$1200,C979)&gt;1,"ERRO: chave duplicada",IF(COUNTIFS(DISCIPLINAS!$A$5:$A$101,B979,DISCIPLINAS!$B$5:$B$101,C979)=0,"ERRO: disciplina não pertence ao curso","OK")))))</f>
        <v/>
      </c>
    </row>
    <row r="980" ht="15" customHeight="1" s="131">
      <c r="A980" s="220" t="n"/>
      <c r="B980" s="222" t="n"/>
      <c r="C980" s="222" t="n"/>
      <c r="D980" s="220" t="n"/>
      <c r="E980" s="220" t="n"/>
      <c r="F980" s="181">
        <f>IFERROR(E980/D980,"")</f>
        <v/>
      </c>
      <c r="G980" s="219" t="n"/>
      <c r="H980" s="220" t="n"/>
      <c r="I980" s="221">
        <f>IF(COUNTA(A980:E980)=0,"",IF(OR(D980&lt;=0,E980&lt;0),"ERRO: bases inválidas",IF(E980&gt;D980,"ERRO: presenças acima do previsto",IF(COUNTIFS($A$5:$A$1200,A980,$B$5:$B$1200,B980,$C$5:$C$1200,C980)&gt;1,"ERRO: chave duplicada",IF(COUNTIFS(DISCIPLINAS!$A$5:$A$101,B980,DISCIPLINAS!$B$5:$B$101,C980)=0,"ERRO: disciplina não pertence ao curso","OK")))))</f>
        <v/>
      </c>
    </row>
    <row r="981" ht="15" customHeight="1" s="131">
      <c r="A981" s="220" t="n"/>
      <c r="B981" s="222" t="n"/>
      <c r="C981" s="222" t="n"/>
      <c r="D981" s="220" t="n"/>
      <c r="E981" s="220" t="n"/>
      <c r="F981" s="181">
        <f>IFERROR(E981/D981,"")</f>
        <v/>
      </c>
      <c r="G981" s="219" t="n"/>
      <c r="H981" s="220" t="n"/>
      <c r="I981" s="221">
        <f>IF(COUNTA(A981:E981)=0,"",IF(OR(D981&lt;=0,E981&lt;0),"ERRO: bases inválidas",IF(E981&gt;D981,"ERRO: presenças acima do previsto",IF(COUNTIFS($A$5:$A$1200,A981,$B$5:$B$1200,B981,$C$5:$C$1200,C981)&gt;1,"ERRO: chave duplicada",IF(COUNTIFS(DISCIPLINAS!$A$5:$A$101,B981,DISCIPLINAS!$B$5:$B$101,C981)=0,"ERRO: disciplina não pertence ao curso","OK")))))</f>
        <v/>
      </c>
    </row>
    <row r="982" ht="15" customHeight="1" s="131">
      <c r="A982" s="220" t="n"/>
      <c r="B982" s="222" t="n"/>
      <c r="C982" s="222" t="n"/>
      <c r="D982" s="220" t="n"/>
      <c r="E982" s="220" t="n"/>
      <c r="F982" s="181">
        <f>IFERROR(E982/D982,"")</f>
        <v/>
      </c>
      <c r="G982" s="219" t="n"/>
      <c r="H982" s="220" t="n"/>
      <c r="I982" s="221">
        <f>IF(COUNTA(A982:E982)=0,"",IF(OR(D982&lt;=0,E982&lt;0),"ERRO: bases inválidas",IF(E982&gt;D982,"ERRO: presenças acima do previsto",IF(COUNTIFS($A$5:$A$1200,A982,$B$5:$B$1200,B982,$C$5:$C$1200,C982)&gt;1,"ERRO: chave duplicada",IF(COUNTIFS(DISCIPLINAS!$A$5:$A$101,B982,DISCIPLINAS!$B$5:$B$101,C982)=0,"ERRO: disciplina não pertence ao curso","OK")))))</f>
        <v/>
      </c>
    </row>
    <row r="983" ht="15" customHeight="1" s="131">
      <c r="A983" s="220" t="n"/>
      <c r="B983" s="222" t="n"/>
      <c r="C983" s="222" t="n"/>
      <c r="D983" s="220" t="n"/>
      <c r="E983" s="220" t="n"/>
      <c r="F983" s="181">
        <f>IFERROR(E983/D983,"")</f>
        <v/>
      </c>
      <c r="G983" s="219" t="n"/>
      <c r="H983" s="220" t="n"/>
      <c r="I983" s="221">
        <f>IF(COUNTA(A983:E983)=0,"",IF(OR(D983&lt;=0,E983&lt;0),"ERRO: bases inválidas",IF(E983&gt;D983,"ERRO: presenças acima do previsto",IF(COUNTIFS($A$5:$A$1200,A983,$B$5:$B$1200,B983,$C$5:$C$1200,C983)&gt;1,"ERRO: chave duplicada",IF(COUNTIFS(DISCIPLINAS!$A$5:$A$101,B983,DISCIPLINAS!$B$5:$B$101,C983)=0,"ERRO: disciplina não pertence ao curso","OK")))))</f>
        <v/>
      </c>
    </row>
    <row r="984" ht="15" customHeight="1" s="131">
      <c r="A984" s="220" t="n"/>
      <c r="B984" s="222" t="n"/>
      <c r="C984" s="222" t="n"/>
      <c r="D984" s="220" t="n"/>
      <c r="E984" s="220" t="n"/>
      <c r="F984" s="181">
        <f>IFERROR(E984/D984,"")</f>
        <v/>
      </c>
      <c r="G984" s="219" t="n"/>
      <c r="H984" s="220" t="n"/>
      <c r="I984" s="221">
        <f>IF(COUNTA(A984:E984)=0,"",IF(OR(D984&lt;=0,E984&lt;0),"ERRO: bases inválidas",IF(E984&gt;D984,"ERRO: presenças acima do previsto",IF(COUNTIFS($A$5:$A$1200,A984,$B$5:$B$1200,B984,$C$5:$C$1200,C984)&gt;1,"ERRO: chave duplicada",IF(COUNTIFS(DISCIPLINAS!$A$5:$A$101,B984,DISCIPLINAS!$B$5:$B$101,C984)=0,"ERRO: disciplina não pertence ao curso","OK")))))</f>
        <v/>
      </c>
    </row>
    <row r="985" ht="15" customHeight="1" s="131">
      <c r="A985" s="220" t="n"/>
      <c r="B985" s="222" t="n"/>
      <c r="C985" s="222" t="n"/>
      <c r="D985" s="220" t="n"/>
      <c r="E985" s="220" t="n"/>
      <c r="F985" s="181">
        <f>IFERROR(E985/D985,"")</f>
        <v/>
      </c>
      <c r="G985" s="219" t="n"/>
      <c r="H985" s="220" t="n"/>
      <c r="I985" s="221">
        <f>IF(COUNTA(A985:E985)=0,"",IF(OR(D985&lt;=0,E985&lt;0),"ERRO: bases inválidas",IF(E985&gt;D985,"ERRO: presenças acima do previsto",IF(COUNTIFS($A$5:$A$1200,A985,$B$5:$B$1200,B985,$C$5:$C$1200,C985)&gt;1,"ERRO: chave duplicada",IF(COUNTIFS(DISCIPLINAS!$A$5:$A$101,B985,DISCIPLINAS!$B$5:$B$101,C985)=0,"ERRO: disciplina não pertence ao curso","OK")))))</f>
        <v/>
      </c>
    </row>
    <row r="986" ht="15" customHeight="1" s="131">
      <c r="A986" s="220" t="n"/>
      <c r="B986" s="222" t="n"/>
      <c r="C986" s="222" t="n"/>
      <c r="D986" s="220" t="n"/>
      <c r="E986" s="220" t="n"/>
      <c r="F986" s="181">
        <f>IFERROR(E986/D986,"")</f>
        <v/>
      </c>
      <c r="G986" s="219" t="n"/>
      <c r="H986" s="220" t="n"/>
      <c r="I986" s="221">
        <f>IF(COUNTA(A986:E986)=0,"",IF(OR(D986&lt;=0,E986&lt;0),"ERRO: bases inválidas",IF(E986&gt;D986,"ERRO: presenças acima do previsto",IF(COUNTIFS($A$5:$A$1200,A986,$B$5:$B$1200,B986,$C$5:$C$1200,C986)&gt;1,"ERRO: chave duplicada",IF(COUNTIFS(DISCIPLINAS!$A$5:$A$101,B986,DISCIPLINAS!$B$5:$B$101,C986)=0,"ERRO: disciplina não pertence ao curso","OK")))))</f>
        <v/>
      </c>
    </row>
    <row r="987" ht="15" customHeight="1" s="131">
      <c r="A987" s="220" t="n"/>
      <c r="B987" s="222" t="n"/>
      <c r="C987" s="222" t="n"/>
      <c r="D987" s="220" t="n"/>
      <c r="E987" s="220" t="n"/>
      <c r="F987" s="181">
        <f>IFERROR(E987/D987,"")</f>
        <v/>
      </c>
      <c r="G987" s="219" t="n"/>
      <c r="H987" s="220" t="n"/>
      <c r="I987" s="221">
        <f>IF(COUNTA(A987:E987)=0,"",IF(OR(D987&lt;=0,E987&lt;0),"ERRO: bases inválidas",IF(E987&gt;D987,"ERRO: presenças acima do previsto",IF(COUNTIFS($A$5:$A$1200,A987,$B$5:$B$1200,B987,$C$5:$C$1200,C987)&gt;1,"ERRO: chave duplicada",IF(COUNTIFS(DISCIPLINAS!$A$5:$A$101,B987,DISCIPLINAS!$B$5:$B$101,C987)=0,"ERRO: disciplina não pertence ao curso","OK")))))</f>
        <v/>
      </c>
    </row>
    <row r="988" ht="15" customHeight="1" s="131">
      <c r="A988" s="220" t="n"/>
      <c r="B988" s="222" t="n"/>
      <c r="C988" s="222" t="n"/>
      <c r="D988" s="220" t="n"/>
      <c r="E988" s="220" t="n"/>
      <c r="F988" s="181">
        <f>IFERROR(E988/D988,"")</f>
        <v/>
      </c>
      <c r="G988" s="219" t="n"/>
      <c r="H988" s="220" t="n"/>
      <c r="I988" s="221">
        <f>IF(COUNTA(A988:E988)=0,"",IF(OR(D988&lt;=0,E988&lt;0),"ERRO: bases inválidas",IF(E988&gt;D988,"ERRO: presenças acima do previsto",IF(COUNTIFS($A$5:$A$1200,A988,$B$5:$B$1200,B988,$C$5:$C$1200,C988)&gt;1,"ERRO: chave duplicada",IF(COUNTIFS(DISCIPLINAS!$A$5:$A$101,B988,DISCIPLINAS!$B$5:$B$101,C988)=0,"ERRO: disciplina não pertence ao curso","OK")))))</f>
        <v/>
      </c>
    </row>
    <row r="989" ht="15" customHeight="1" s="131">
      <c r="A989" s="220" t="n"/>
      <c r="B989" s="222" t="n"/>
      <c r="C989" s="222" t="n"/>
      <c r="D989" s="220" t="n"/>
      <c r="E989" s="220" t="n"/>
      <c r="F989" s="181">
        <f>IFERROR(E989/D989,"")</f>
        <v/>
      </c>
      <c r="G989" s="219" t="n"/>
      <c r="H989" s="220" t="n"/>
      <c r="I989" s="221">
        <f>IF(COUNTA(A989:E989)=0,"",IF(OR(D989&lt;=0,E989&lt;0),"ERRO: bases inválidas",IF(E989&gt;D989,"ERRO: presenças acima do previsto",IF(COUNTIFS($A$5:$A$1200,A989,$B$5:$B$1200,B989,$C$5:$C$1200,C989)&gt;1,"ERRO: chave duplicada",IF(COUNTIFS(DISCIPLINAS!$A$5:$A$101,B989,DISCIPLINAS!$B$5:$B$101,C989)=0,"ERRO: disciplina não pertence ao curso","OK")))))</f>
        <v/>
      </c>
    </row>
    <row r="990" ht="15" customHeight="1" s="131">
      <c r="A990" s="220" t="n"/>
      <c r="B990" s="222" t="n"/>
      <c r="C990" s="222" t="n"/>
      <c r="D990" s="220" t="n"/>
      <c r="E990" s="220" t="n"/>
      <c r="F990" s="181">
        <f>IFERROR(E990/D990,"")</f>
        <v/>
      </c>
      <c r="G990" s="219" t="n"/>
      <c r="H990" s="220" t="n"/>
      <c r="I990" s="221">
        <f>IF(COUNTA(A990:E990)=0,"",IF(OR(D990&lt;=0,E990&lt;0),"ERRO: bases inválidas",IF(E990&gt;D990,"ERRO: presenças acima do previsto",IF(COUNTIFS($A$5:$A$1200,A990,$B$5:$B$1200,B990,$C$5:$C$1200,C990)&gt;1,"ERRO: chave duplicada",IF(COUNTIFS(DISCIPLINAS!$A$5:$A$101,B990,DISCIPLINAS!$B$5:$B$101,C990)=0,"ERRO: disciplina não pertence ao curso","OK")))))</f>
        <v/>
      </c>
    </row>
    <row r="991" ht="15" customHeight="1" s="131">
      <c r="A991" s="220" t="n"/>
      <c r="B991" s="222" t="n"/>
      <c r="C991" s="222" t="n"/>
      <c r="D991" s="220" t="n"/>
      <c r="E991" s="220" t="n"/>
      <c r="F991" s="181">
        <f>IFERROR(E991/D991,"")</f>
        <v/>
      </c>
      <c r="G991" s="219" t="n"/>
      <c r="H991" s="220" t="n"/>
      <c r="I991" s="221">
        <f>IF(COUNTA(A991:E991)=0,"",IF(OR(D991&lt;=0,E991&lt;0),"ERRO: bases inválidas",IF(E991&gt;D991,"ERRO: presenças acima do previsto",IF(COUNTIFS($A$5:$A$1200,A991,$B$5:$B$1200,B991,$C$5:$C$1200,C991)&gt;1,"ERRO: chave duplicada",IF(COUNTIFS(DISCIPLINAS!$A$5:$A$101,B991,DISCIPLINAS!$B$5:$B$101,C991)=0,"ERRO: disciplina não pertence ao curso","OK")))))</f>
        <v/>
      </c>
    </row>
    <row r="992" ht="15" customHeight="1" s="131">
      <c r="A992" s="220" t="n"/>
      <c r="B992" s="222" t="n"/>
      <c r="C992" s="222" t="n"/>
      <c r="D992" s="220" t="n"/>
      <c r="E992" s="220" t="n"/>
      <c r="F992" s="181">
        <f>IFERROR(E992/D992,"")</f>
        <v/>
      </c>
      <c r="G992" s="219" t="n"/>
      <c r="H992" s="220" t="n"/>
      <c r="I992" s="221">
        <f>IF(COUNTA(A992:E992)=0,"",IF(OR(D992&lt;=0,E992&lt;0),"ERRO: bases inválidas",IF(E992&gt;D992,"ERRO: presenças acima do previsto",IF(COUNTIFS($A$5:$A$1200,A992,$B$5:$B$1200,B992,$C$5:$C$1200,C992)&gt;1,"ERRO: chave duplicada",IF(COUNTIFS(DISCIPLINAS!$A$5:$A$101,B992,DISCIPLINAS!$B$5:$B$101,C992)=0,"ERRO: disciplina não pertence ao curso","OK")))))</f>
        <v/>
      </c>
    </row>
    <row r="993" ht="15" customHeight="1" s="131">
      <c r="A993" s="220" t="n"/>
      <c r="B993" s="222" t="n"/>
      <c r="C993" s="222" t="n"/>
      <c r="D993" s="220" t="n"/>
      <c r="E993" s="220" t="n"/>
      <c r="F993" s="181">
        <f>IFERROR(E993/D993,"")</f>
        <v/>
      </c>
      <c r="G993" s="219" t="n"/>
      <c r="H993" s="220" t="n"/>
      <c r="I993" s="221">
        <f>IF(COUNTA(A993:E993)=0,"",IF(OR(D993&lt;=0,E993&lt;0),"ERRO: bases inválidas",IF(E993&gt;D993,"ERRO: presenças acima do previsto",IF(COUNTIFS($A$5:$A$1200,A993,$B$5:$B$1200,B993,$C$5:$C$1200,C993)&gt;1,"ERRO: chave duplicada",IF(COUNTIFS(DISCIPLINAS!$A$5:$A$101,B993,DISCIPLINAS!$B$5:$B$101,C993)=0,"ERRO: disciplina não pertence ao curso","OK")))))</f>
        <v/>
      </c>
    </row>
    <row r="994" ht="15" customHeight="1" s="131">
      <c r="A994" s="220" t="n"/>
      <c r="B994" s="222" t="n"/>
      <c r="C994" s="222" t="n"/>
      <c r="D994" s="220" t="n"/>
      <c r="E994" s="220" t="n"/>
      <c r="F994" s="181">
        <f>IFERROR(E994/D994,"")</f>
        <v/>
      </c>
      <c r="G994" s="219" t="n"/>
      <c r="H994" s="220" t="n"/>
      <c r="I994" s="221">
        <f>IF(COUNTA(A994:E994)=0,"",IF(OR(D994&lt;=0,E994&lt;0),"ERRO: bases inválidas",IF(E994&gt;D994,"ERRO: presenças acima do previsto",IF(COUNTIFS($A$5:$A$1200,A994,$B$5:$B$1200,B994,$C$5:$C$1200,C994)&gt;1,"ERRO: chave duplicada",IF(COUNTIFS(DISCIPLINAS!$A$5:$A$101,B994,DISCIPLINAS!$B$5:$B$101,C994)=0,"ERRO: disciplina não pertence ao curso","OK")))))</f>
        <v/>
      </c>
    </row>
    <row r="995" ht="15" customHeight="1" s="131">
      <c r="A995" s="220" t="n"/>
      <c r="B995" s="222" t="n"/>
      <c r="C995" s="222" t="n"/>
      <c r="D995" s="220" t="n"/>
      <c r="E995" s="220" t="n"/>
      <c r="F995" s="181">
        <f>IFERROR(E995/D995,"")</f>
        <v/>
      </c>
      <c r="G995" s="219" t="n"/>
      <c r="H995" s="220" t="n"/>
      <c r="I995" s="221">
        <f>IF(COUNTA(A995:E995)=0,"",IF(OR(D995&lt;=0,E995&lt;0),"ERRO: bases inválidas",IF(E995&gt;D995,"ERRO: presenças acima do previsto",IF(COUNTIFS($A$5:$A$1200,A995,$B$5:$B$1200,B995,$C$5:$C$1200,C995)&gt;1,"ERRO: chave duplicada",IF(COUNTIFS(DISCIPLINAS!$A$5:$A$101,B995,DISCIPLINAS!$B$5:$B$101,C995)=0,"ERRO: disciplina não pertence ao curso","OK")))))</f>
        <v/>
      </c>
    </row>
    <row r="996" ht="15" customHeight="1" s="131">
      <c r="A996" s="220" t="n"/>
      <c r="B996" s="222" t="n"/>
      <c r="C996" s="222" t="n"/>
      <c r="D996" s="220" t="n"/>
      <c r="E996" s="220" t="n"/>
      <c r="F996" s="181">
        <f>IFERROR(E996/D996,"")</f>
        <v/>
      </c>
      <c r="G996" s="219" t="n"/>
      <c r="H996" s="220" t="n"/>
      <c r="I996" s="221">
        <f>IF(COUNTA(A996:E996)=0,"",IF(OR(D996&lt;=0,E996&lt;0),"ERRO: bases inválidas",IF(E996&gt;D996,"ERRO: presenças acima do previsto",IF(COUNTIFS($A$5:$A$1200,A996,$B$5:$B$1200,B996,$C$5:$C$1200,C996)&gt;1,"ERRO: chave duplicada",IF(COUNTIFS(DISCIPLINAS!$A$5:$A$101,B996,DISCIPLINAS!$B$5:$B$101,C996)=0,"ERRO: disciplina não pertence ao curso","OK")))))</f>
        <v/>
      </c>
    </row>
    <row r="997" ht="15" customHeight="1" s="131">
      <c r="A997" s="220" t="n"/>
      <c r="B997" s="222" t="n"/>
      <c r="C997" s="222" t="n"/>
      <c r="D997" s="220" t="n"/>
      <c r="E997" s="220" t="n"/>
      <c r="F997" s="181">
        <f>IFERROR(E997/D997,"")</f>
        <v/>
      </c>
      <c r="G997" s="219" t="n"/>
      <c r="H997" s="220" t="n"/>
      <c r="I997" s="221">
        <f>IF(COUNTA(A997:E997)=0,"",IF(OR(D997&lt;=0,E997&lt;0),"ERRO: bases inválidas",IF(E997&gt;D997,"ERRO: presenças acima do previsto",IF(COUNTIFS($A$5:$A$1200,A997,$B$5:$B$1200,B997,$C$5:$C$1200,C997)&gt;1,"ERRO: chave duplicada",IF(COUNTIFS(DISCIPLINAS!$A$5:$A$101,B997,DISCIPLINAS!$B$5:$B$101,C997)=0,"ERRO: disciplina não pertence ao curso","OK")))))</f>
        <v/>
      </c>
    </row>
    <row r="998" ht="15" customHeight="1" s="131">
      <c r="A998" s="220" t="n"/>
      <c r="B998" s="222" t="n"/>
      <c r="C998" s="222" t="n"/>
      <c r="D998" s="220" t="n"/>
      <c r="E998" s="220" t="n"/>
      <c r="F998" s="181">
        <f>IFERROR(E998/D998,"")</f>
        <v/>
      </c>
      <c r="G998" s="219" t="n"/>
      <c r="H998" s="220" t="n"/>
      <c r="I998" s="221">
        <f>IF(COUNTA(A998:E998)=0,"",IF(OR(D998&lt;=0,E998&lt;0),"ERRO: bases inválidas",IF(E998&gt;D998,"ERRO: presenças acima do previsto",IF(COUNTIFS($A$5:$A$1200,A998,$B$5:$B$1200,B998,$C$5:$C$1200,C998)&gt;1,"ERRO: chave duplicada",IF(COUNTIFS(DISCIPLINAS!$A$5:$A$101,B998,DISCIPLINAS!$B$5:$B$101,C998)=0,"ERRO: disciplina não pertence ao curso","OK")))))</f>
        <v/>
      </c>
    </row>
    <row r="999" ht="15" customHeight="1" s="131">
      <c r="A999" s="220" t="n"/>
      <c r="B999" s="222" t="n"/>
      <c r="C999" s="222" t="n"/>
      <c r="D999" s="220" t="n"/>
      <c r="E999" s="220" t="n"/>
      <c r="F999" s="181">
        <f>IFERROR(E999/D999,"")</f>
        <v/>
      </c>
      <c r="G999" s="219" t="n"/>
      <c r="H999" s="220" t="n"/>
      <c r="I999" s="221">
        <f>IF(COUNTA(A999:E999)=0,"",IF(OR(D999&lt;=0,E999&lt;0),"ERRO: bases inválidas",IF(E999&gt;D999,"ERRO: presenças acima do previsto",IF(COUNTIFS($A$5:$A$1200,A999,$B$5:$B$1200,B999,$C$5:$C$1200,C999)&gt;1,"ERRO: chave duplicada",IF(COUNTIFS(DISCIPLINAS!$A$5:$A$101,B999,DISCIPLINAS!$B$5:$B$101,C999)=0,"ERRO: disciplina não pertence ao curso","OK")))))</f>
        <v/>
      </c>
    </row>
    <row r="1000" ht="15" customHeight="1" s="131">
      <c r="A1000" s="220" t="n"/>
      <c r="B1000" s="222" t="n"/>
      <c r="C1000" s="222" t="n"/>
      <c r="D1000" s="220" t="n"/>
      <c r="E1000" s="220" t="n"/>
      <c r="F1000" s="181">
        <f>IFERROR(E1000/D1000,"")</f>
        <v/>
      </c>
      <c r="G1000" s="219" t="n"/>
      <c r="H1000" s="220" t="n"/>
      <c r="I1000" s="221">
        <f>IF(COUNTA(A1000:E1000)=0,"",IF(OR(D1000&lt;=0,E1000&lt;0),"ERRO: bases inválidas",IF(E1000&gt;D1000,"ERRO: presenças acima do previsto",IF(COUNTIFS($A$5:$A$1200,A1000,$B$5:$B$1200,B1000,$C$5:$C$1200,C1000)&gt;1,"ERRO: chave duplicada",IF(COUNTIFS(DISCIPLINAS!$A$5:$A$101,B1000,DISCIPLINAS!$B$5:$B$101,C1000)=0,"ERRO: disciplina não pertence ao curso","OK")))))</f>
        <v/>
      </c>
    </row>
    <row r="1001" ht="15" customHeight="1" s="131">
      <c r="A1001" s="220" t="n"/>
      <c r="B1001" s="222" t="n"/>
      <c r="C1001" s="222" t="n"/>
      <c r="D1001" s="220" t="n"/>
      <c r="E1001" s="220" t="n"/>
      <c r="F1001" s="181">
        <f>IFERROR(E1001/D1001,"")</f>
        <v/>
      </c>
      <c r="G1001" s="219" t="n"/>
      <c r="H1001" s="220" t="n"/>
      <c r="I1001" s="221">
        <f>IF(COUNTA(A1001:E1001)=0,"",IF(OR(D1001&lt;=0,E1001&lt;0),"ERRO: bases inválidas",IF(E1001&gt;D1001,"ERRO: presenças acima do previsto",IF(COUNTIFS($A$5:$A$1200,A1001,$B$5:$B$1200,B1001,$C$5:$C$1200,C1001)&gt;1,"ERRO: chave duplicada",IF(COUNTIFS(DISCIPLINAS!$A$5:$A$101,B1001,DISCIPLINAS!$B$5:$B$101,C1001)=0,"ERRO: disciplina não pertence ao curso","OK")))))</f>
        <v/>
      </c>
    </row>
    <row r="1002" ht="15" customHeight="1" s="131">
      <c r="A1002" s="220" t="n"/>
      <c r="B1002" s="222" t="n"/>
      <c r="C1002" s="222" t="n"/>
      <c r="D1002" s="220" t="n"/>
      <c r="E1002" s="220" t="n"/>
      <c r="F1002" s="181">
        <f>IFERROR(E1002/D1002,"")</f>
        <v/>
      </c>
      <c r="G1002" s="219" t="n"/>
      <c r="H1002" s="220" t="n"/>
      <c r="I1002" s="221">
        <f>IF(COUNTA(A1002:E1002)=0,"",IF(OR(D1002&lt;=0,E1002&lt;0),"ERRO: bases inválidas",IF(E1002&gt;D1002,"ERRO: presenças acima do previsto",IF(COUNTIFS($A$5:$A$1200,A1002,$B$5:$B$1200,B1002,$C$5:$C$1200,C1002)&gt;1,"ERRO: chave duplicada",IF(COUNTIFS(DISCIPLINAS!$A$5:$A$101,B1002,DISCIPLINAS!$B$5:$B$101,C1002)=0,"ERRO: disciplina não pertence ao curso","OK")))))</f>
        <v/>
      </c>
    </row>
    <row r="1003" ht="15" customHeight="1" s="131">
      <c r="A1003" s="220" t="n"/>
      <c r="B1003" s="222" t="n"/>
      <c r="C1003" s="222" t="n"/>
      <c r="D1003" s="220" t="n"/>
      <c r="E1003" s="220" t="n"/>
      <c r="F1003" s="181">
        <f>IFERROR(E1003/D1003,"")</f>
        <v/>
      </c>
      <c r="G1003" s="219" t="n"/>
      <c r="H1003" s="220" t="n"/>
      <c r="I1003" s="221">
        <f>IF(COUNTA(A1003:E1003)=0,"",IF(OR(D1003&lt;=0,E1003&lt;0),"ERRO: bases inválidas",IF(E1003&gt;D1003,"ERRO: presenças acima do previsto",IF(COUNTIFS($A$5:$A$1200,A1003,$B$5:$B$1200,B1003,$C$5:$C$1200,C1003)&gt;1,"ERRO: chave duplicada",IF(COUNTIFS(DISCIPLINAS!$A$5:$A$101,B1003,DISCIPLINAS!$B$5:$B$101,C1003)=0,"ERRO: disciplina não pertence ao curso","OK")))))</f>
        <v/>
      </c>
    </row>
    <row r="1004" ht="15" customHeight="1" s="131">
      <c r="A1004" s="220" t="n"/>
      <c r="B1004" s="222" t="n"/>
      <c r="C1004" s="222" t="n"/>
      <c r="D1004" s="220" t="n"/>
      <c r="E1004" s="220" t="n"/>
      <c r="F1004" s="181">
        <f>IFERROR(E1004/D1004,"")</f>
        <v/>
      </c>
      <c r="G1004" s="219" t="n"/>
      <c r="H1004" s="220" t="n"/>
      <c r="I1004" s="221">
        <f>IF(COUNTA(A1004:E1004)=0,"",IF(OR(D1004&lt;=0,E1004&lt;0),"ERRO: bases inválidas",IF(E1004&gt;D1004,"ERRO: presenças acima do previsto",IF(COUNTIFS($A$5:$A$1200,A1004,$B$5:$B$1200,B1004,$C$5:$C$1200,C1004)&gt;1,"ERRO: chave duplicada",IF(COUNTIFS(DISCIPLINAS!$A$5:$A$101,B1004,DISCIPLINAS!$B$5:$B$101,C1004)=0,"ERRO: disciplina não pertence ao curso","OK")))))</f>
        <v/>
      </c>
    </row>
    <row r="1005" ht="15" customHeight="1" s="131">
      <c r="A1005" s="220" t="n"/>
      <c r="B1005" s="222" t="n"/>
      <c r="C1005" s="222" t="n"/>
      <c r="D1005" s="220" t="n"/>
      <c r="E1005" s="220" t="n"/>
      <c r="F1005" s="181">
        <f>IFERROR(E1005/D1005,"")</f>
        <v/>
      </c>
      <c r="G1005" s="219" t="n"/>
      <c r="H1005" s="220" t="n"/>
      <c r="I1005" s="221">
        <f>IF(COUNTA(A1005:E1005)=0,"",IF(OR(D1005&lt;=0,E1005&lt;0),"ERRO: bases inválidas",IF(E1005&gt;D1005,"ERRO: presenças acima do previsto",IF(COUNTIFS($A$5:$A$1200,A1005,$B$5:$B$1200,B1005,$C$5:$C$1200,C1005)&gt;1,"ERRO: chave duplicada",IF(COUNTIFS(DISCIPLINAS!$A$5:$A$101,B1005,DISCIPLINAS!$B$5:$B$101,C1005)=0,"ERRO: disciplina não pertence ao curso","OK")))))</f>
        <v/>
      </c>
    </row>
    <row r="1006" ht="15" customHeight="1" s="131">
      <c r="A1006" s="220" t="n"/>
      <c r="B1006" s="222" t="n"/>
      <c r="C1006" s="222" t="n"/>
      <c r="D1006" s="220" t="n"/>
      <c r="E1006" s="220" t="n"/>
      <c r="F1006" s="181">
        <f>IFERROR(E1006/D1006,"")</f>
        <v/>
      </c>
      <c r="G1006" s="219" t="n"/>
      <c r="H1006" s="220" t="n"/>
      <c r="I1006" s="221">
        <f>IF(COUNTA(A1006:E1006)=0,"",IF(OR(D1006&lt;=0,E1006&lt;0),"ERRO: bases inválidas",IF(E1006&gt;D1006,"ERRO: presenças acima do previsto",IF(COUNTIFS($A$5:$A$1200,A1006,$B$5:$B$1200,B1006,$C$5:$C$1200,C1006)&gt;1,"ERRO: chave duplicada",IF(COUNTIFS(DISCIPLINAS!$A$5:$A$101,B1006,DISCIPLINAS!$B$5:$B$101,C1006)=0,"ERRO: disciplina não pertence ao curso","OK")))))</f>
        <v/>
      </c>
    </row>
    <row r="1007" ht="15" customHeight="1" s="131">
      <c r="A1007" s="220" t="n"/>
      <c r="B1007" s="222" t="n"/>
      <c r="C1007" s="222" t="n"/>
      <c r="D1007" s="220" t="n"/>
      <c r="E1007" s="220" t="n"/>
      <c r="F1007" s="181">
        <f>IFERROR(E1007/D1007,"")</f>
        <v/>
      </c>
      <c r="G1007" s="219" t="n"/>
      <c r="H1007" s="220" t="n"/>
      <c r="I1007" s="221">
        <f>IF(COUNTA(A1007:E1007)=0,"",IF(OR(D1007&lt;=0,E1007&lt;0),"ERRO: bases inválidas",IF(E1007&gt;D1007,"ERRO: presenças acima do previsto",IF(COUNTIFS($A$5:$A$1200,A1007,$B$5:$B$1200,B1007,$C$5:$C$1200,C1007)&gt;1,"ERRO: chave duplicada",IF(COUNTIFS(DISCIPLINAS!$A$5:$A$101,B1007,DISCIPLINAS!$B$5:$B$101,C1007)=0,"ERRO: disciplina não pertence ao curso","OK")))))</f>
        <v/>
      </c>
    </row>
    <row r="1008" ht="15" customHeight="1" s="131">
      <c r="A1008" s="220" t="n"/>
      <c r="B1008" s="222" t="n"/>
      <c r="C1008" s="222" t="n"/>
      <c r="D1008" s="220" t="n"/>
      <c r="E1008" s="220" t="n"/>
      <c r="F1008" s="181">
        <f>IFERROR(E1008/D1008,"")</f>
        <v/>
      </c>
      <c r="G1008" s="219" t="n"/>
      <c r="H1008" s="220" t="n"/>
      <c r="I1008" s="221">
        <f>IF(COUNTA(A1008:E1008)=0,"",IF(OR(D1008&lt;=0,E1008&lt;0),"ERRO: bases inválidas",IF(E1008&gt;D1008,"ERRO: presenças acima do previsto",IF(COUNTIFS($A$5:$A$1200,A1008,$B$5:$B$1200,B1008,$C$5:$C$1200,C1008)&gt;1,"ERRO: chave duplicada",IF(COUNTIFS(DISCIPLINAS!$A$5:$A$101,B1008,DISCIPLINAS!$B$5:$B$101,C1008)=0,"ERRO: disciplina não pertence ao curso","OK")))))</f>
        <v/>
      </c>
    </row>
    <row r="1009" ht="15" customHeight="1" s="131">
      <c r="A1009" s="220" t="n"/>
      <c r="B1009" s="222" t="n"/>
      <c r="C1009" s="222" t="n"/>
      <c r="D1009" s="220" t="n"/>
      <c r="E1009" s="220" t="n"/>
      <c r="F1009" s="181">
        <f>IFERROR(E1009/D1009,"")</f>
        <v/>
      </c>
      <c r="G1009" s="219" t="n"/>
      <c r="H1009" s="220" t="n"/>
      <c r="I1009" s="221">
        <f>IF(COUNTA(A1009:E1009)=0,"",IF(OR(D1009&lt;=0,E1009&lt;0),"ERRO: bases inválidas",IF(E1009&gt;D1009,"ERRO: presenças acima do previsto",IF(COUNTIFS($A$5:$A$1200,A1009,$B$5:$B$1200,B1009,$C$5:$C$1200,C1009)&gt;1,"ERRO: chave duplicada",IF(COUNTIFS(DISCIPLINAS!$A$5:$A$101,B1009,DISCIPLINAS!$B$5:$B$101,C1009)=0,"ERRO: disciplina não pertence ao curso","OK")))))</f>
        <v/>
      </c>
    </row>
    <row r="1010" ht="15" customHeight="1" s="131">
      <c r="A1010" s="220" t="n"/>
      <c r="B1010" s="222" t="n"/>
      <c r="C1010" s="222" t="n"/>
      <c r="D1010" s="220" t="n"/>
      <c r="E1010" s="220" t="n"/>
      <c r="F1010" s="181">
        <f>IFERROR(E1010/D1010,"")</f>
        <v/>
      </c>
      <c r="G1010" s="219" t="n"/>
      <c r="H1010" s="220" t="n"/>
      <c r="I1010" s="221">
        <f>IF(COUNTA(A1010:E1010)=0,"",IF(OR(D1010&lt;=0,E1010&lt;0),"ERRO: bases inválidas",IF(E1010&gt;D1010,"ERRO: presenças acima do previsto",IF(COUNTIFS($A$5:$A$1200,A1010,$B$5:$B$1200,B1010,$C$5:$C$1200,C1010)&gt;1,"ERRO: chave duplicada",IF(COUNTIFS(DISCIPLINAS!$A$5:$A$101,B1010,DISCIPLINAS!$B$5:$B$101,C1010)=0,"ERRO: disciplina não pertence ao curso","OK")))))</f>
        <v/>
      </c>
    </row>
    <row r="1011" ht="15" customHeight="1" s="131">
      <c r="A1011" s="220" t="n"/>
      <c r="B1011" s="222" t="n"/>
      <c r="C1011" s="222" t="n"/>
      <c r="D1011" s="220" t="n"/>
      <c r="E1011" s="220" t="n"/>
      <c r="F1011" s="181">
        <f>IFERROR(E1011/D1011,"")</f>
        <v/>
      </c>
      <c r="G1011" s="219" t="n"/>
      <c r="H1011" s="220" t="n"/>
      <c r="I1011" s="221">
        <f>IF(COUNTA(A1011:E1011)=0,"",IF(OR(D1011&lt;=0,E1011&lt;0),"ERRO: bases inválidas",IF(E1011&gt;D1011,"ERRO: presenças acima do previsto",IF(COUNTIFS($A$5:$A$1200,A1011,$B$5:$B$1200,B1011,$C$5:$C$1200,C1011)&gt;1,"ERRO: chave duplicada",IF(COUNTIFS(DISCIPLINAS!$A$5:$A$101,B1011,DISCIPLINAS!$B$5:$B$101,C1011)=0,"ERRO: disciplina não pertence ao curso","OK")))))</f>
        <v/>
      </c>
    </row>
    <row r="1012" ht="15" customHeight="1" s="131">
      <c r="A1012" s="220" t="n"/>
      <c r="B1012" s="222" t="n"/>
      <c r="C1012" s="222" t="n"/>
      <c r="D1012" s="220" t="n"/>
      <c r="E1012" s="220" t="n"/>
      <c r="F1012" s="181">
        <f>IFERROR(E1012/D1012,"")</f>
        <v/>
      </c>
      <c r="G1012" s="219" t="n"/>
      <c r="H1012" s="220" t="n"/>
      <c r="I1012" s="221">
        <f>IF(COUNTA(A1012:E1012)=0,"",IF(OR(D1012&lt;=0,E1012&lt;0),"ERRO: bases inválidas",IF(E1012&gt;D1012,"ERRO: presenças acima do previsto",IF(COUNTIFS($A$5:$A$1200,A1012,$B$5:$B$1200,B1012,$C$5:$C$1200,C1012)&gt;1,"ERRO: chave duplicada",IF(COUNTIFS(DISCIPLINAS!$A$5:$A$101,B1012,DISCIPLINAS!$B$5:$B$101,C1012)=0,"ERRO: disciplina não pertence ao curso","OK")))))</f>
        <v/>
      </c>
    </row>
    <row r="1013" ht="15" customHeight="1" s="131">
      <c r="A1013" s="220" t="n"/>
      <c r="B1013" s="222" t="n"/>
      <c r="C1013" s="222" t="n"/>
      <c r="D1013" s="220" t="n"/>
      <c r="E1013" s="220" t="n"/>
      <c r="F1013" s="181">
        <f>IFERROR(E1013/D1013,"")</f>
        <v/>
      </c>
      <c r="G1013" s="219" t="n"/>
      <c r="H1013" s="220" t="n"/>
      <c r="I1013" s="221">
        <f>IF(COUNTA(A1013:E1013)=0,"",IF(OR(D1013&lt;=0,E1013&lt;0),"ERRO: bases inválidas",IF(E1013&gt;D1013,"ERRO: presenças acima do previsto",IF(COUNTIFS($A$5:$A$1200,A1013,$B$5:$B$1200,B1013,$C$5:$C$1200,C1013)&gt;1,"ERRO: chave duplicada",IF(COUNTIFS(DISCIPLINAS!$A$5:$A$101,B1013,DISCIPLINAS!$B$5:$B$101,C1013)=0,"ERRO: disciplina não pertence ao curso","OK")))))</f>
        <v/>
      </c>
    </row>
    <row r="1014" ht="15" customHeight="1" s="131">
      <c r="A1014" s="220" t="n"/>
      <c r="B1014" s="222" t="n"/>
      <c r="C1014" s="222" t="n"/>
      <c r="D1014" s="220" t="n"/>
      <c r="E1014" s="220" t="n"/>
      <c r="F1014" s="181">
        <f>IFERROR(E1014/D1014,"")</f>
        <v/>
      </c>
      <c r="G1014" s="219" t="n"/>
      <c r="H1014" s="220" t="n"/>
      <c r="I1014" s="221">
        <f>IF(COUNTA(A1014:E1014)=0,"",IF(OR(D1014&lt;=0,E1014&lt;0),"ERRO: bases inválidas",IF(E1014&gt;D1014,"ERRO: presenças acima do previsto",IF(COUNTIFS($A$5:$A$1200,A1014,$B$5:$B$1200,B1014,$C$5:$C$1200,C1014)&gt;1,"ERRO: chave duplicada",IF(COUNTIFS(DISCIPLINAS!$A$5:$A$101,B1014,DISCIPLINAS!$B$5:$B$101,C1014)=0,"ERRO: disciplina não pertence ao curso","OK")))))</f>
        <v/>
      </c>
    </row>
    <row r="1015" ht="15" customHeight="1" s="131">
      <c r="A1015" s="220" t="n"/>
      <c r="B1015" s="222" t="n"/>
      <c r="C1015" s="222" t="n"/>
      <c r="D1015" s="220" t="n"/>
      <c r="E1015" s="220" t="n"/>
      <c r="F1015" s="181">
        <f>IFERROR(E1015/D1015,"")</f>
        <v/>
      </c>
      <c r="G1015" s="219" t="n"/>
      <c r="H1015" s="220" t="n"/>
      <c r="I1015" s="221">
        <f>IF(COUNTA(A1015:E1015)=0,"",IF(OR(D1015&lt;=0,E1015&lt;0),"ERRO: bases inválidas",IF(E1015&gt;D1015,"ERRO: presenças acima do previsto",IF(COUNTIFS($A$5:$A$1200,A1015,$B$5:$B$1200,B1015,$C$5:$C$1200,C1015)&gt;1,"ERRO: chave duplicada",IF(COUNTIFS(DISCIPLINAS!$A$5:$A$101,B1015,DISCIPLINAS!$B$5:$B$101,C1015)=0,"ERRO: disciplina não pertence ao curso","OK")))))</f>
        <v/>
      </c>
    </row>
    <row r="1016" ht="15" customHeight="1" s="131">
      <c r="A1016" s="220" t="n"/>
      <c r="B1016" s="222" t="n"/>
      <c r="C1016" s="222" t="n"/>
      <c r="D1016" s="220" t="n"/>
      <c r="E1016" s="220" t="n"/>
      <c r="F1016" s="181">
        <f>IFERROR(E1016/D1016,"")</f>
        <v/>
      </c>
      <c r="G1016" s="219" t="n"/>
      <c r="H1016" s="220" t="n"/>
      <c r="I1016" s="221">
        <f>IF(COUNTA(A1016:E1016)=0,"",IF(OR(D1016&lt;=0,E1016&lt;0),"ERRO: bases inválidas",IF(E1016&gt;D1016,"ERRO: presenças acima do previsto",IF(COUNTIFS($A$5:$A$1200,A1016,$B$5:$B$1200,B1016,$C$5:$C$1200,C1016)&gt;1,"ERRO: chave duplicada",IF(COUNTIFS(DISCIPLINAS!$A$5:$A$101,B1016,DISCIPLINAS!$B$5:$B$101,C1016)=0,"ERRO: disciplina não pertence ao curso","OK")))))</f>
        <v/>
      </c>
    </row>
    <row r="1017" ht="15" customHeight="1" s="131">
      <c r="A1017" s="220" t="n"/>
      <c r="B1017" s="222" t="n"/>
      <c r="C1017" s="222" t="n"/>
      <c r="D1017" s="220" t="n"/>
      <c r="E1017" s="220" t="n"/>
      <c r="F1017" s="181">
        <f>IFERROR(E1017/D1017,"")</f>
        <v/>
      </c>
      <c r="G1017" s="219" t="n"/>
      <c r="H1017" s="220" t="n"/>
      <c r="I1017" s="221">
        <f>IF(COUNTA(A1017:E1017)=0,"",IF(OR(D1017&lt;=0,E1017&lt;0),"ERRO: bases inválidas",IF(E1017&gt;D1017,"ERRO: presenças acima do previsto",IF(COUNTIFS($A$5:$A$1200,A1017,$B$5:$B$1200,B1017,$C$5:$C$1200,C1017)&gt;1,"ERRO: chave duplicada",IF(COUNTIFS(DISCIPLINAS!$A$5:$A$101,B1017,DISCIPLINAS!$B$5:$B$101,C1017)=0,"ERRO: disciplina não pertence ao curso","OK")))))</f>
        <v/>
      </c>
    </row>
    <row r="1018" ht="15" customHeight="1" s="131">
      <c r="A1018" s="220" t="n"/>
      <c r="B1018" s="222" t="n"/>
      <c r="C1018" s="222" t="n"/>
      <c r="D1018" s="220" t="n"/>
      <c r="E1018" s="220" t="n"/>
      <c r="F1018" s="181">
        <f>IFERROR(E1018/D1018,"")</f>
        <v/>
      </c>
      <c r="G1018" s="219" t="n"/>
      <c r="H1018" s="220" t="n"/>
      <c r="I1018" s="221">
        <f>IF(COUNTA(A1018:E1018)=0,"",IF(OR(D1018&lt;=0,E1018&lt;0),"ERRO: bases inválidas",IF(E1018&gt;D1018,"ERRO: presenças acima do previsto",IF(COUNTIFS($A$5:$A$1200,A1018,$B$5:$B$1200,B1018,$C$5:$C$1200,C1018)&gt;1,"ERRO: chave duplicada",IF(COUNTIFS(DISCIPLINAS!$A$5:$A$101,B1018,DISCIPLINAS!$B$5:$B$101,C1018)=0,"ERRO: disciplina não pertence ao curso","OK")))))</f>
        <v/>
      </c>
    </row>
    <row r="1019" ht="15" customHeight="1" s="131">
      <c r="A1019" s="220" t="n"/>
      <c r="B1019" s="222" t="n"/>
      <c r="C1019" s="222" t="n"/>
      <c r="D1019" s="220" t="n"/>
      <c r="E1019" s="220" t="n"/>
      <c r="F1019" s="181">
        <f>IFERROR(E1019/D1019,"")</f>
        <v/>
      </c>
      <c r="G1019" s="219" t="n"/>
      <c r="H1019" s="220" t="n"/>
      <c r="I1019" s="221">
        <f>IF(COUNTA(A1019:E1019)=0,"",IF(OR(D1019&lt;=0,E1019&lt;0),"ERRO: bases inválidas",IF(E1019&gt;D1019,"ERRO: presenças acima do previsto",IF(COUNTIFS($A$5:$A$1200,A1019,$B$5:$B$1200,B1019,$C$5:$C$1200,C1019)&gt;1,"ERRO: chave duplicada",IF(COUNTIFS(DISCIPLINAS!$A$5:$A$101,B1019,DISCIPLINAS!$B$5:$B$101,C1019)=0,"ERRO: disciplina não pertence ao curso","OK")))))</f>
        <v/>
      </c>
    </row>
    <row r="1020" ht="15" customHeight="1" s="131">
      <c r="A1020" s="220" t="n"/>
      <c r="B1020" s="222" t="n"/>
      <c r="C1020" s="222" t="n"/>
      <c r="D1020" s="220" t="n"/>
      <c r="E1020" s="220" t="n"/>
      <c r="F1020" s="181">
        <f>IFERROR(E1020/D1020,"")</f>
        <v/>
      </c>
      <c r="G1020" s="219" t="n"/>
      <c r="H1020" s="220" t="n"/>
      <c r="I1020" s="221">
        <f>IF(COUNTA(A1020:E1020)=0,"",IF(OR(D1020&lt;=0,E1020&lt;0),"ERRO: bases inválidas",IF(E1020&gt;D1020,"ERRO: presenças acima do previsto",IF(COUNTIFS($A$5:$A$1200,A1020,$B$5:$B$1200,B1020,$C$5:$C$1200,C1020)&gt;1,"ERRO: chave duplicada",IF(COUNTIFS(DISCIPLINAS!$A$5:$A$101,B1020,DISCIPLINAS!$B$5:$B$101,C1020)=0,"ERRO: disciplina não pertence ao curso","OK")))))</f>
        <v/>
      </c>
    </row>
    <row r="1021" ht="15" customHeight="1" s="131">
      <c r="A1021" s="220" t="n"/>
      <c r="B1021" s="222" t="n"/>
      <c r="C1021" s="222" t="n"/>
      <c r="D1021" s="220" t="n"/>
      <c r="E1021" s="220" t="n"/>
      <c r="F1021" s="181">
        <f>IFERROR(E1021/D1021,"")</f>
        <v/>
      </c>
      <c r="G1021" s="219" t="n"/>
      <c r="H1021" s="220" t="n"/>
      <c r="I1021" s="221">
        <f>IF(COUNTA(A1021:E1021)=0,"",IF(OR(D1021&lt;=0,E1021&lt;0),"ERRO: bases inválidas",IF(E1021&gt;D1021,"ERRO: presenças acima do previsto",IF(COUNTIFS($A$5:$A$1200,A1021,$B$5:$B$1200,B1021,$C$5:$C$1200,C1021)&gt;1,"ERRO: chave duplicada",IF(COUNTIFS(DISCIPLINAS!$A$5:$A$101,B1021,DISCIPLINAS!$B$5:$B$101,C1021)=0,"ERRO: disciplina não pertence ao curso","OK")))))</f>
        <v/>
      </c>
    </row>
    <row r="1022" ht="15" customHeight="1" s="131">
      <c r="A1022" s="220" t="n"/>
      <c r="B1022" s="222" t="n"/>
      <c r="C1022" s="222" t="n"/>
      <c r="D1022" s="220" t="n"/>
      <c r="E1022" s="220" t="n"/>
      <c r="F1022" s="181">
        <f>IFERROR(E1022/D1022,"")</f>
        <v/>
      </c>
      <c r="G1022" s="219" t="n"/>
      <c r="H1022" s="220" t="n"/>
      <c r="I1022" s="221">
        <f>IF(COUNTA(A1022:E1022)=0,"",IF(OR(D1022&lt;=0,E1022&lt;0),"ERRO: bases inválidas",IF(E1022&gt;D1022,"ERRO: presenças acima do previsto",IF(COUNTIFS($A$5:$A$1200,A1022,$B$5:$B$1200,B1022,$C$5:$C$1200,C1022)&gt;1,"ERRO: chave duplicada",IF(COUNTIFS(DISCIPLINAS!$A$5:$A$101,B1022,DISCIPLINAS!$B$5:$B$101,C1022)=0,"ERRO: disciplina não pertence ao curso","OK")))))</f>
        <v/>
      </c>
    </row>
    <row r="1023" ht="15" customHeight="1" s="131">
      <c r="A1023" s="220" t="n"/>
      <c r="B1023" s="222" t="n"/>
      <c r="C1023" s="222" t="n"/>
      <c r="D1023" s="220" t="n"/>
      <c r="E1023" s="220" t="n"/>
      <c r="F1023" s="181">
        <f>IFERROR(E1023/D1023,"")</f>
        <v/>
      </c>
      <c r="G1023" s="219" t="n"/>
      <c r="H1023" s="220" t="n"/>
      <c r="I1023" s="221">
        <f>IF(COUNTA(A1023:E1023)=0,"",IF(OR(D1023&lt;=0,E1023&lt;0),"ERRO: bases inválidas",IF(E1023&gt;D1023,"ERRO: presenças acima do previsto",IF(COUNTIFS($A$5:$A$1200,A1023,$B$5:$B$1200,B1023,$C$5:$C$1200,C1023)&gt;1,"ERRO: chave duplicada",IF(COUNTIFS(DISCIPLINAS!$A$5:$A$101,B1023,DISCIPLINAS!$B$5:$B$101,C1023)=0,"ERRO: disciplina não pertence ao curso","OK")))))</f>
        <v/>
      </c>
    </row>
    <row r="1024" ht="15" customHeight="1" s="131">
      <c r="A1024" s="220" t="n"/>
      <c r="B1024" s="222" t="n"/>
      <c r="C1024" s="222" t="n"/>
      <c r="D1024" s="220" t="n"/>
      <c r="E1024" s="220" t="n"/>
      <c r="F1024" s="181">
        <f>IFERROR(E1024/D1024,"")</f>
        <v/>
      </c>
      <c r="G1024" s="219" t="n"/>
      <c r="H1024" s="220" t="n"/>
      <c r="I1024" s="221">
        <f>IF(COUNTA(A1024:E1024)=0,"",IF(OR(D1024&lt;=0,E1024&lt;0),"ERRO: bases inválidas",IF(E1024&gt;D1024,"ERRO: presenças acima do previsto",IF(COUNTIFS($A$5:$A$1200,A1024,$B$5:$B$1200,B1024,$C$5:$C$1200,C1024)&gt;1,"ERRO: chave duplicada",IF(COUNTIFS(DISCIPLINAS!$A$5:$A$101,B1024,DISCIPLINAS!$B$5:$B$101,C1024)=0,"ERRO: disciplina não pertence ao curso","OK")))))</f>
        <v/>
      </c>
    </row>
    <row r="1025" ht="15" customHeight="1" s="131">
      <c r="A1025" s="220" t="n"/>
      <c r="B1025" s="222" t="n"/>
      <c r="C1025" s="222" t="n"/>
      <c r="D1025" s="220" t="n"/>
      <c r="E1025" s="220" t="n"/>
      <c r="F1025" s="181">
        <f>IFERROR(E1025/D1025,"")</f>
        <v/>
      </c>
      <c r="G1025" s="219" t="n"/>
      <c r="H1025" s="220" t="n"/>
      <c r="I1025" s="221">
        <f>IF(COUNTA(A1025:E1025)=0,"",IF(OR(D1025&lt;=0,E1025&lt;0),"ERRO: bases inválidas",IF(E1025&gt;D1025,"ERRO: presenças acima do previsto",IF(COUNTIFS($A$5:$A$1200,A1025,$B$5:$B$1200,B1025,$C$5:$C$1200,C1025)&gt;1,"ERRO: chave duplicada",IF(COUNTIFS(DISCIPLINAS!$A$5:$A$101,B1025,DISCIPLINAS!$B$5:$B$101,C1025)=0,"ERRO: disciplina não pertence ao curso","OK")))))</f>
        <v/>
      </c>
    </row>
    <row r="1026" ht="15" customHeight="1" s="131">
      <c r="A1026" s="220" t="n"/>
      <c r="B1026" s="222" t="n"/>
      <c r="C1026" s="222" t="n"/>
      <c r="D1026" s="220" t="n"/>
      <c r="E1026" s="220" t="n"/>
      <c r="F1026" s="181">
        <f>IFERROR(E1026/D1026,"")</f>
        <v/>
      </c>
      <c r="G1026" s="219" t="n"/>
      <c r="H1026" s="220" t="n"/>
      <c r="I1026" s="221">
        <f>IF(COUNTA(A1026:E1026)=0,"",IF(OR(D1026&lt;=0,E1026&lt;0),"ERRO: bases inválidas",IF(E1026&gt;D1026,"ERRO: presenças acima do previsto",IF(COUNTIFS($A$5:$A$1200,A1026,$B$5:$B$1200,B1026,$C$5:$C$1200,C1026)&gt;1,"ERRO: chave duplicada",IF(COUNTIFS(DISCIPLINAS!$A$5:$A$101,B1026,DISCIPLINAS!$B$5:$B$101,C1026)=0,"ERRO: disciplina não pertence ao curso","OK")))))</f>
        <v/>
      </c>
    </row>
    <row r="1027" ht="15" customHeight="1" s="131">
      <c r="A1027" s="220" t="n"/>
      <c r="B1027" s="222" t="n"/>
      <c r="C1027" s="222" t="n"/>
      <c r="D1027" s="220" t="n"/>
      <c r="E1027" s="220" t="n"/>
      <c r="F1027" s="181">
        <f>IFERROR(E1027/D1027,"")</f>
        <v/>
      </c>
      <c r="G1027" s="219" t="n"/>
      <c r="H1027" s="220" t="n"/>
      <c r="I1027" s="221">
        <f>IF(COUNTA(A1027:E1027)=0,"",IF(OR(D1027&lt;=0,E1027&lt;0),"ERRO: bases inválidas",IF(E1027&gt;D1027,"ERRO: presenças acima do previsto",IF(COUNTIFS($A$5:$A$1200,A1027,$B$5:$B$1200,B1027,$C$5:$C$1200,C1027)&gt;1,"ERRO: chave duplicada",IF(COUNTIFS(DISCIPLINAS!$A$5:$A$101,B1027,DISCIPLINAS!$B$5:$B$101,C1027)=0,"ERRO: disciplina não pertence ao curso","OK")))))</f>
        <v/>
      </c>
    </row>
    <row r="1028" ht="15" customHeight="1" s="131">
      <c r="A1028" s="220" t="n"/>
      <c r="B1028" s="222" t="n"/>
      <c r="C1028" s="222" t="n"/>
      <c r="D1028" s="220" t="n"/>
      <c r="E1028" s="220" t="n"/>
      <c r="F1028" s="181">
        <f>IFERROR(E1028/D1028,"")</f>
        <v/>
      </c>
      <c r="G1028" s="219" t="n"/>
      <c r="H1028" s="220" t="n"/>
      <c r="I1028" s="221">
        <f>IF(COUNTA(A1028:E1028)=0,"",IF(OR(D1028&lt;=0,E1028&lt;0),"ERRO: bases inválidas",IF(E1028&gt;D1028,"ERRO: presenças acima do previsto",IF(COUNTIFS($A$5:$A$1200,A1028,$B$5:$B$1200,B1028,$C$5:$C$1200,C1028)&gt;1,"ERRO: chave duplicada",IF(COUNTIFS(DISCIPLINAS!$A$5:$A$101,B1028,DISCIPLINAS!$B$5:$B$101,C1028)=0,"ERRO: disciplina não pertence ao curso","OK")))))</f>
        <v/>
      </c>
    </row>
    <row r="1029" ht="15" customHeight="1" s="131">
      <c r="A1029" s="220" t="n"/>
      <c r="B1029" s="222" t="n"/>
      <c r="C1029" s="222" t="n"/>
      <c r="D1029" s="220" t="n"/>
      <c r="E1029" s="220" t="n"/>
      <c r="F1029" s="181">
        <f>IFERROR(E1029/D1029,"")</f>
        <v/>
      </c>
      <c r="G1029" s="219" t="n"/>
      <c r="H1029" s="220" t="n"/>
      <c r="I1029" s="221">
        <f>IF(COUNTA(A1029:E1029)=0,"",IF(OR(D1029&lt;=0,E1029&lt;0),"ERRO: bases inválidas",IF(E1029&gt;D1029,"ERRO: presenças acima do previsto",IF(COUNTIFS($A$5:$A$1200,A1029,$B$5:$B$1200,B1029,$C$5:$C$1200,C1029)&gt;1,"ERRO: chave duplicada",IF(COUNTIFS(DISCIPLINAS!$A$5:$A$101,B1029,DISCIPLINAS!$B$5:$B$101,C1029)=0,"ERRO: disciplina não pertence ao curso","OK")))))</f>
        <v/>
      </c>
    </row>
    <row r="1030" ht="15" customHeight="1" s="131">
      <c r="A1030" s="220" t="n"/>
      <c r="B1030" s="222" t="n"/>
      <c r="C1030" s="222" t="n"/>
      <c r="D1030" s="220" t="n"/>
      <c r="E1030" s="220" t="n"/>
      <c r="F1030" s="181">
        <f>IFERROR(E1030/D1030,"")</f>
        <v/>
      </c>
      <c r="G1030" s="219" t="n"/>
      <c r="H1030" s="220" t="n"/>
      <c r="I1030" s="221">
        <f>IF(COUNTA(A1030:E1030)=0,"",IF(OR(D1030&lt;=0,E1030&lt;0),"ERRO: bases inválidas",IF(E1030&gt;D1030,"ERRO: presenças acima do previsto",IF(COUNTIFS($A$5:$A$1200,A1030,$B$5:$B$1200,B1030,$C$5:$C$1200,C1030)&gt;1,"ERRO: chave duplicada",IF(COUNTIFS(DISCIPLINAS!$A$5:$A$101,B1030,DISCIPLINAS!$B$5:$B$101,C1030)=0,"ERRO: disciplina não pertence ao curso","OK")))))</f>
        <v/>
      </c>
    </row>
    <row r="1031" ht="15" customHeight="1" s="131">
      <c r="A1031" s="220" t="n"/>
      <c r="B1031" s="222" t="n"/>
      <c r="C1031" s="222" t="n"/>
      <c r="D1031" s="220" t="n"/>
      <c r="E1031" s="220" t="n"/>
      <c r="F1031" s="181">
        <f>IFERROR(E1031/D1031,"")</f>
        <v/>
      </c>
      <c r="G1031" s="219" t="n"/>
      <c r="H1031" s="220" t="n"/>
      <c r="I1031" s="221">
        <f>IF(COUNTA(A1031:E1031)=0,"",IF(OR(D1031&lt;=0,E1031&lt;0),"ERRO: bases inválidas",IF(E1031&gt;D1031,"ERRO: presenças acima do previsto",IF(COUNTIFS($A$5:$A$1200,A1031,$B$5:$B$1200,B1031,$C$5:$C$1200,C1031)&gt;1,"ERRO: chave duplicada",IF(COUNTIFS(DISCIPLINAS!$A$5:$A$101,B1031,DISCIPLINAS!$B$5:$B$101,C1031)=0,"ERRO: disciplina não pertence ao curso","OK")))))</f>
        <v/>
      </c>
    </row>
    <row r="1032" ht="15" customHeight="1" s="131">
      <c r="A1032" s="220" t="n"/>
      <c r="B1032" s="222" t="n"/>
      <c r="C1032" s="222" t="n"/>
      <c r="D1032" s="220" t="n"/>
      <c r="E1032" s="220" t="n"/>
      <c r="F1032" s="181">
        <f>IFERROR(E1032/D1032,"")</f>
        <v/>
      </c>
      <c r="G1032" s="219" t="n"/>
      <c r="H1032" s="220" t="n"/>
      <c r="I1032" s="221">
        <f>IF(COUNTA(A1032:E1032)=0,"",IF(OR(D1032&lt;=0,E1032&lt;0),"ERRO: bases inválidas",IF(E1032&gt;D1032,"ERRO: presenças acima do previsto",IF(COUNTIFS($A$5:$A$1200,A1032,$B$5:$B$1200,B1032,$C$5:$C$1200,C1032)&gt;1,"ERRO: chave duplicada",IF(COUNTIFS(DISCIPLINAS!$A$5:$A$101,B1032,DISCIPLINAS!$B$5:$B$101,C1032)=0,"ERRO: disciplina não pertence ao curso","OK")))))</f>
        <v/>
      </c>
    </row>
    <row r="1033" ht="15" customHeight="1" s="131">
      <c r="A1033" s="220" t="n"/>
      <c r="B1033" s="222" t="n"/>
      <c r="C1033" s="222" t="n"/>
      <c r="D1033" s="220" t="n"/>
      <c r="E1033" s="220" t="n"/>
      <c r="F1033" s="181">
        <f>IFERROR(E1033/D1033,"")</f>
        <v/>
      </c>
      <c r="G1033" s="219" t="n"/>
      <c r="H1033" s="220" t="n"/>
      <c r="I1033" s="221">
        <f>IF(COUNTA(A1033:E1033)=0,"",IF(OR(D1033&lt;=0,E1033&lt;0),"ERRO: bases inválidas",IF(E1033&gt;D1033,"ERRO: presenças acima do previsto",IF(COUNTIFS($A$5:$A$1200,A1033,$B$5:$B$1200,B1033,$C$5:$C$1200,C1033)&gt;1,"ERRO: chave duplicada",IF(COUNTIFS(DISCIPLINAS!$A$5:$A$101,B1033,DISCIPLINAS!$B$5:$B$101,C1033)=0,"ERRO: disciplina não pertence ao curso","OK")))))</f>
        <v/>
      </c>
    </row>
    <row r="1034" ht="15" customHeight="1" s="131">
      <c r="A1034" s="220" t="n"/>
      <c r="B1034" s="222" t="n"/>
      <c r="C1034" s="222" t="n"/>
      <c r="D1034" s="220" t="n"/>
      <c r="E1034" s="220" t="n"/>
      <c r="F1034" s="181">
        <f>IFERROR(E1034/D1034,"")</f>
        <v/>
      </c>
      <c r="G1034" s="219" t="n"/>
      <c r="H1034" s="220" t="n"/>
      <c r="I1034" s="221">
        <f>IF(COUNTA(A1034:E1034)=0,"",IF(OR(D1034&lt;=0,E1034&lt;0),"ERRO: bases inválidas",IF(E1034&gt;D1034,"ERRO: presenças acima do previsto",IF(COUNTIFS($A$5:$A$1200,A1034,$B$5:$B$1200,B1034,$C$5:$C$1200,C1034)&gt;1,"ERRO: chave duplicada",IF(COUNTIFS(DISCIPLINAS!$A$5:$A$101,B1034,DISCIPLINAS!$B$5:$B$101,C1034)=0,"ERRO: disciplina não pertence ao curso","OK")))))</f>
        <v/>
      </c>
    </row>
    <row r="1035" ht="15" customHeight="1" s="131">
      <c r="A1035" s="220" t="n"/>
      <c r="B1035" s="222" t="n"/>
      <c r="C1035" s="222" t="n"/>
      <c r="D1035" s="220" t="n"/>
      <c r="E1035" s="220" t="n"/>
      <c r="F1035" s="181">
        <f>IFERROR(E1035/D1035,"")</f>
        <v/>
      </c>
      <c r="G1035" s="219" t="n"/>
      <c r="H1035" s="220" t="n"/>
      <c r="I1035" s="221">
        <f>IF(COUNTA(A1035:E1035)=0,"",IF(OR(D1035&lt;=0,E1035&lt;0),"ERRO: bases inválidas",IF(E1035&gt;D1035,"ERRO: presenças acima do previsto",IF(COUNTIFS($A$5:$A$1200,A1035,$B$5:$B$1200,B1035,$C$5:$C$1200,C1035)&gt;1,"ERRO: chave duplicada",IF(COUNTIFS(DISCIPLINAS!$A$5:$A$101,B1035,DISCIPLINAS!$B$5:$B$101,C1035)=0,"ERRO: disciplina não pertence ao curso","OK")))))</f>
        <v/>
      </c>
    </row>
    <row r="1036" ht="15" customHeight="1" s="131">
      <c r="A1036" s="220" t="n"/>
      <c r="B1036" s="222" t="n"/>
      <c r="C1036" s="222" t="n"/>
      <c r="D1036" s="220" t="n"/>
      <c r="E1036" s="220" t="n"/>
      <c r="F1036" s="181">
        <f>IFERROR(E1036/D1036,"")</f>
        <v/>
      </c>
      <c r="G1036" s="219" t="n"/>
      <c r="H1036" s="220" t="n"/>
      <c r="I1036" s="221">
        <f>IF(COUNTA(A1036:E1036)=0,"",IF(OR(D1036&lt;=0,E1036&lt;0),"ERRO: bases inválidas",IF(E1036&gt;D1036,"ERRO: presenças acima do previsto",IF(COUNTIFS($A$5:$A$1200,A1036,$B$5:$B$1200,B1036,$C$5:$C$1200,C1036)&gt;1,"ERRO: chave duplicada",IF(COUNTIFS(DISCIPLINAS!$A$5:$A$101,B1036,DISCIPLINAS!$B$5:$B$101,C1036)=0,"ERRO: disciplina não pertence ao curso","OK")))))</f>
        <v/>
      </c>
    </row>
    <row r="1037" ht="15" customHeight="1" s="131">
      <c r="A1037" s="220" t="n"/>
      <c r="B1037" s="222" t="n"/>
      <c r="C1037" s="222" t="n"/>
      <c r="D1037" s="220" t="n"/>
      <c r="E1037" s="220" t="n"/>
      <c r="F1037" s="181">
        <f>IFERROR(E1037/D1037,"")</f>
        <v/>
      </c>
      <c r="G1037" s="219" t="n"/>
      <c r="H1037" s="220" t="n"/>
      <c r="I1037" s="221">
        <f>IF(COUNTA(A1037:E1037)=0,"",IF(OR(D1037&lt;=0,E1037&lt;0),"ERRO: bases inválidas",IF(E1037&gt;D1037,"ERRO: presenças acima do previsto",IF(COUNTIFS($A$5:$A$1200,A1037,$B$5:$B$1200,B1037,$C$5:$C$1200,C1037)&gt;1,"ERRO: chave duplicada",IF(COUNTIFS(DISCIPLINAS!$A$5:$A$101,B1037,DISCIPLINAS!$B$5:$B$101,C1037)=0,"ERRO: disciplina não pertence ao curso","OK")))))</f>
        <v/>
      </c>
    </row>
    <row r="1038" ht="15" customHeight="1" s="131">
      <c r="A1038" s="220" t="n"/>
      <c r="B1038" s="222" t="n"/>
      <c r="C1038" s="222" t="n"/>
      <c r="D1038" s="220" t="n"/>
      <c r="E1038" s="220" t="n"/>
      <c r="F1038" s="181">
        <f>IFERROR(E1038/D1038,"")</f>
        <v/>
      </c>
      <c r="G1038" s="219" t="n"/>
      <c r="H1038" s="220" t="n"/>
      <c r="I1038" s="221">
        <f>IF(COUNTA(A1038:E1038)=0,"",IF(OR(D1038&lt;=0,E1038&lt;0),"ERRO: bases inválidas",IF(E1038&gt;D1038,"ERRO: presenças acima do previsto",IF(COUNTIFS($A$5:$A$1200,A1038,$B$5:$B$1200,B1038,$C$5:$C$1200,C1038)&gt;1,"ERRO: chave duplicada",IF(COUNTIFS(DISCIPLINAS!$A$5:$A$101,B1038,DISCIPLINAS!$B$5:$B$101,C1038)=0,"ERRO: disciplina não pertence ao curso","OK")))))</f>
        <v/>
      </c>
    </row>
    <row r="1039" ht="15" customHeight="1" s="131">
      <c r="A1039" s="220" t="n"/>
      <c r="B1039" s="222" t="n"/>
      <c r="C1039" s="222" t="n"/>
      <c r="D1039" s="220" t="n"/>
      <c r="E1039" s="220" t="n"/>
      <c r="F1039" s="181">
        <f>IFERROR(E1039/D1039,"")</f>
        <v/>
      </c>
      <c r="G1039" s="219" t="n"/>
      <c r="H1039" s="220" t="n"/>
      <c r="I1039" s="221">
        <f>IF(COUNTA(A1039:E1039)=0,"",IF(OR(D1039&lt;=0,E1039&lt;0),"ERRO: bases inválidas",IF(E1039&gt;D1039,"ERRO: presenças acima do previsto",IF(COUNTIFS($A$5:$A$1200,A1039,$B$5:$B$1200,B1039,$C$5:$C$1200,C1039)&gt;1,"ERRO: chave duplicada",IF(COUNTIFS(DISCIPLINAS!$A$5:$A$101,B1039,DISCIPLINAS!$B$5:$B$101,C1039)=0,"ERRO: disciplina não pertence ao curso","OK")))))</f>
        <v/>
      </c>
    </row>
    <row r="1040" ht="15" customHeight="1" s="131">
      <c r="A1040" s="220" t="n"/>
      <c r="B1040" s="222" t="n"/>
      <c r="C1040" s="222" t="n"/>
      <c r="D1040" s="220" t="n"/>
      <c r="E1040" s="220" t="n"/>
      <c r="F1040" s="181">
        <f>IFERROR(E1040/D1040,"")</f>
        <v/>
      </c>
      <c r="G1040" s="219" t="n"/>
      <c r="H1040" s="220" t="n"/>
      <c r="I1040" s="221">
        <f>IF(COUNTA(A1040:E1040)=0,"",IF(OR(D1040&lt;=0,E1040&lt;0),"ERRO: bases inválidas",IF(E1040&gt;D1040,"ERRO: presenças acima do previsto",IF(COUNTIFS($A$5:$A$1200,A1040,$B$5:$B$1200,B1040,$C$5:$C$1200,C1040)&gt;1,"ERRO: chave duplicada",IF(COUNTIFS(DISCIPLINAS!$A$5:$A$101,B1040,DISCIPLINAS!$B$5:$B$101,C1040)=0,"ERRO: disciplina não pertence ao curso","OK")))))</f>
        <v/>
      </c>
    </row>
    <row r="1041" ht="15" customHeight="1" s="131">
      <c r="A1041" s="220" t="n"/>
      <c r="B1041" s="222" t="n"/>
      <c r="C1041" s="222" t="n"/>
      <c r="D1041" s="220" t="n"/>
      <c r="E1041" s="220" t="n"/>
      <c r="F1041" s="181">
        <f>IFERROR(E1041/D1041,"")</f>
        <v/>
      </c>
      <c r="G1041" s="219" t="n"/>
      <c r="H1041" s="220" t="n"/>
      <c r="I1041" s="221">
        <f>IF(COUNTA(A1041:E1041)=0,"",IF(OR(D1041&lt;=0,E1041&lt;0),"ERRO: bases inválidas",IF(E1041&gt;D1041,"ERRO: presenças acima do previsto",IF(COUNTIFS($A$5:$A$1200,A1041,$B$5:$B$1200,B1041,$C$5:$C$1200,C1041)&gt;1,"ERRO: chave duplicada",IF(COUNTIFS(DISCIPLINAS!$A$5:$A$101,B1041,DISCIPLINAS!$B$5:$B$101,C1041)=0,"ERRO: disciplina não pertence ao curso","OK")))))</f>
        <v/>
      </c>
    </row>
    <row r="1042" ht="15" customHeight="1" s="131">
      <c r="A1042" s="220" t="n"/>
      <c r="B1042" s="222" t="n"/>
      <c r="C1042" s="222" t="n"/>
      <c r="D1042" s="220" t="n"/>
      <c r="E1042" s="220" t="n"/>
      <c r="F1042" s="181">
        <f>IFERROR(E1042/D1042,"")</f>
        <v/>
      </c>
      <c r="G1042" s="219" t="n"/>
      <c r="H1042" s="220" t="n"/>
      <c r="I1042" s="221">
        <f>IF(COUNTA(A1042:E1042)=0,"",IF(OR(D1042&lt;=0,E1042&lt;0),"ERRO: bases inválidas",IF(E1042&gt;D1042,"ERRO: presenças acima do previsto",IF(COUNTIFS($A$5:$A$1200,A1042,$B$5:$B$1200,B1042,$C$5:$C$1200,C1042)&gt;1,"ERRO: chave duplicada",IF(COUNTIFS(DISCIPLINAS!$A$5:$A$101,B1042,DISCIPLINAS!$B$5:$B$101,C1042)=0,"ERRO: disciplina não pertence ao curso","OK")))))</f>
        <v/>
      </c>
    </row>
    <row r="1043" ht="15" customHeight="1" s="131">
      <c r="A1043" s="220" t="n"/>
      <c r="B1043" s="222" t="n"/>
      <c r="C1043" s="222" t="n"/>
      <c r="D1043" s="220" t="n"/>
      <c r="E1043" s="220" t="n"/>
      <c r="F1043" s="181">
        <f>IFERROR(E1043/D1043,"")</f>
        <v/>
      </c>
      <c r="G1043" s="219" t="n"/>
      <c r="H1043" s="220" t="n"/>
      <c r="I1043" s="221">
        <f>IF(COUNTA(A1043:E1043)=0,"",IF(OR(D1043&lt;=0,E1043&lt;0),"ERRO: bases inválidas",IF(E1043&gt;D1043,"ERRO: presenças acima do previsto",IF(COUNTIFS($A$5:$A$1200,A1043,$B$5:$B$1200,B1043,$C$5:$C$1200,C1043)&gt;1,"ERRO: chave duplicada",IF(COUNTIFS(DISCIPLINAS!$A$5:$A$101,B1043,DISCIPLINAS!$B$5:$B$101,C1043)=0,"ERRO: disciplina não pertence ao curso","OK")))))</f>
        <v/>
      </c>
    </row>
    <row r="1044" ht="15" customHeight="1" s="131">
      <c r="A1044" s="220" t="n"/>
      <c r="B1044" s="222" t="n"/>
      <c r="C1044" s="222" t="n"/>
      <c r="D1044" s="220" t="n"/>
      <c r="E1044" s="220" t="n"/>
      <c r="F1044" s="181">
        <f>IFERROR(E1044/D1044,"")</f>
        <v/>
      </c>
      <c r="G1044" s="219" t="n"/>
      <c r="H1044" s="220" t="n"/>
      <c r="I1044" s="221">
        <f>IF(COUNTA(A1044:E1044)=0,"",IF(OR(D1044&lt;=0,E1044&lt;0),"ERRO: bases inválidas",IF(E1044&gt;D1044,"ERRO: presenças acima do previsto",IF(COUNTIFS($A$5:$A$1200,A1044,$B$5:$B$1200,B1044,$C$5:$C$1200,C1044)&gt;1,"ERRO: chave duplicada",IF(COUNTIFS(DISCIPLINAS!$A$5:$A$101,B1044,DISCIPLINAS!$B$5:$B$101,C1044)=0,"ERRO: disciplina não pertence ao curso","OK")))))</f>
        <v/>
      </c>
    </row>
    <row r="1045" ht="15" customHeight="1" s="131">
      <c r="A1045" s="220" t="n"/>
      <c r="B1045" s="222" t="n"/>
      <c r="C1045" s="222" t="n"/>
      <c r="D1045" s="220" t="n"/>
      <c r="E1045" s="220" t="n"/>
      <c r="F1045" s="181">
        <f>IFERROR(E1045/D1045,"")</f>
        <v/>
      </c>
      <c r="G1045" s="219" t="n"/>
      <c r="H1045" s="220" t="n"/>
      <c r="I1045" s="221">
        <f>IF(COUNTA(A1045:E1045)=0,"",IF(OR(D1045&lt;=0,E1045&lt;0),"ERRO: bases inválidas",IF(E1045&gt;D1045,"ERRO: presenças acima do previsto",IF(COUNTIFS($A$5:$A$1200,A1045,$B$5:$B$1200,B1045,$C$5:$C$1200,C1045)&gt;1,"ERRO: chave duplicada",IF(COUNTIFS(DISCIPLINAS!$A$5:$A$101,B1045,DISCIPLINAS!$B$5:$B$101,C1045)=0,"ERRO: disciplina não pertence ao curso","OK")))))</f>
        <v/>
      </c>
    </row>
    <row r="1046" ht="15" customHeight="1" s="131">
      <c r="A1046" s="220" t="n"/>
      <c r="B1046" s="222" t="n"/>
      <c r="C1046" s="222" t="n"/>
      <c r="D1046" s="220" t="n"/>
      <c r="E1046" s="220" t="n"/>
      <c r="F1046" s="181">
        <f>IFERROR(E1046/D1046,"")</f>
        <v/>
      </c>
      <c r="G1046" s="219" t="n"/>
      <c r="H1046" s="220" t="n"/>
      <c r="I1046" s="221">
        <f>IF(COUNTA(A1046:E1046)=0,"",IF(OR(D1046&lt;=0,E1046&lt;0),"ERRO: bases inválidas",IF(E1046&gt;D1046,"ERRO: presenças acima do previsto",IF(COUNTIFS($A$5:$A$1200,A1046,$B$5:$B$1200,B1046,$C$5:$C$1200,C1046)&gt;1,"ERRO: chave duplicada",IF(COUNTIFS(DISCIPLINAS!$A$5:$A$101,B1046,DISCIPLINAS!$B$5:$B$101,C1046)=0,"ERRO: disciplina não pertence ao curso","OK")))))</f>
        <v/>
      </c>
    </row>
    <row r="1047" ht="15" customHeight="1" s="131">
      <c r="A1047" s="220" t="n"/>
      <c r="B1047" s="222" t="n"/>
      <c r="C1047" s="222" t="n"/>
      <c r="D1047" s="220" t="n"/>
      <c r="E1047" s="220" t="n"/>
      <c r="F1047" s="181">
        <f>IFERROR(E1047/D1047,"")</f>
        <v/>
      </c>
      <c r="G1047" s="219" t="n"/>
      <c r="H1047" s="220" t="n"/>
      <c r="I1047" s="221">
        <f>IF(COUNTA(A1047:E1047)=0,"",IF(OR(D1047&lt;=0,E1047&lt;0),"ERRO: bases inválidas",IF(E1047&gt;D1047,"ERRO: presenças acima do previsto",IF(COUNTIFS($A$5:$A$1200,A1047,$B$5:$B$1200,B1047,$C$5:$C$1200,C1047)&gt;1,"ERRO: chave duplicada",IF(COUNTIFS(DISCIPLINAS!$A$5:$A$101,B1047,DISCIPLINAS!$B$5:$B$101,C1047)=0,"ERRO: disciplina não pertence ao curso","OK")))))</f>
        <v/>
      </c>
    </row>
    <row r="1048" ht="15" customHeight="1" s="131">
      <c r="A1048" s="220" t="n"/>
      <c r="B1048" s="222" t="n"/>
      <c r="C1048" s="222" t="n"/>
      <c r="D1048" s="220" t="n"/>
      <c r="E1048" s="220" t="n"/>
      <c r="F1048" s="181">
        <f>IFERROR(E1048/D1048,"")</f>
        <v/>
      </c>
      <c r="G1048" s="219" t="n"/>
      <c r="H1048" s="220" t="n"/>
      <c r="I1048" s="221">
        <f>IF(COUNTA(A1048:E1048)=0,"",IF(OR(D1048&lt;=0,E1048&lt;0),"ERRO: bases inválidas",IF(E1048&gt;D1048,"ERRO: presenças acima do previsto",IF(COUNTIFS($A$5:$A$1200,A1048,$B$5:$B$1200,B1048,$C$5:$C$1200,C1048)&gt;1,"ERRO: chave duplicada",IF(COUNTIFS(DISCIPLINAS!$A$5:$A$101,B1048,DISCIPLINAS!$B$5:$B$101,C1048)=0,"ERRO: disciplina não pertence ao curso","OK")))))</f>
        <v/>
      </c>
    </row>
    <row r="1049" ht="15" customHeight="1" s="131">
      <c r="A1049" s="220" t="n"/>
      <c r="B1049" s="222" t="n"/>
      <c r="C1049" s="222" t="n"/>
      <c r="D1049" s="220" t="n"/>
      <c r="E1049" s="220" t="n"/>
      <c r="F1049" s="181">
        <f>IFERROR(E1049/D1049,"")</f>
        <v/>
      </c>
      <c r="G1049" s="219" t="n"/>
      <c r="H1049" s="220" t="n"/>
      <c r="I1049" s="221">
        <f>IF(COUNTA(A1049:E1049)=0,"",IF(OR(D1049&lt;=0,E1049&lt;0),"ERRO: bases inválidas",IF(E1049&gt;D1049,"ERRO: presenças acima do previsto",IF(COUNTIFS($A$5:$A$1200,A1049,$B$5:$B$1200,B1049,$C$5:$C$1200,C1049)&gt;1,"ERRO: chave duplicada",IF(COUNTIFS(DISCIPLINAS!$A$5:$A$101,B1049,DISCIPLINAS!$B$5:$B$101,C1049)=0,"ERRO: disciplina não pertence ao curso","OK")))))</f>
        <v/>
      </c>
    </row>
    <row r="1050" ht="15" customHeight="1" s="131">
      <c r="A1050" s="220" t="n"/>
      <c r="B1050" s="222" t="n"/>
      <c r="C1050" s="222" t="n"/>
      <c r="D1050" s="220" t="n"/>
      <c r="E1050" s="220" t="n"/>
      <c r="F1050" s="181">
        <f>IFERROR(E1050/D1050,"")</f>
        <v/>
      </c>
      <c r="G1050" s="219" t="n"/>
      <c r="H1050" s="220" t="n"/>
      <c r="I1050" s="221">
        <f>IF(COUNTA(A1050:E1050)=0,"",IF(OR(D1050&lt;=0,E1050&lt;0),"ERRO: bases inválidas",IF(E1050&gt;D1050,"ERRO: presenças acima do previsto",IF(COUNTIFS($A$5:$A$1200,A1050,$B$5:$B$1200,B1050,$C$5:$C$1200,C1050)&gt;1,"ERRO: chave duplicada",IF(COUNTIFS(DISCIPLINAS!$A$5:$A$101,B1050,DISCIPLINAS!$B$5:$B$101,C1050)=0,"ERRO: disciplina não pertence ao curso","OK")))))</f>
        <v/>
      </c>
    </row>
    <row r="1051" ht="15" customHeight="1" s="131">
      <c r="A1051" s="220" t="n"/>
      <c r="B1051" s="222" t="n"/>
      <c r="C1051" s="222" t="n"/>
      <c r="D1051" s="220" t="n"/>
      <c r="E1051" s="220" t="n"/>
      <c r="F1051" s="181">
        <f>IFERROR(E1051/D1051,"")</f>
        <v/>
      </c>
      <c r="G1051" s="219" t="n"/>
      <c r="H1051" s="220" t="n"/>
      <c r="I1051" s="221">
        <f>IF(COUNTA(A1051:E1051)=0,"",IF(OR(D1051&lt;=0,E1051&lt;0),"ERRO: bases inválidas",IF(E1051&gt;D1051,"ERRO: presenças acima do previsto",IF(COUNTIFS($A$5:$A$1200,A1051,$B$5:$B$1200,B1051,$C$5:$C$1200,C1051)&gt;1,"ERRO: chave duplicada",IF(COUNTIFS(DISCIPLINAS!$A$5:$A$101,B1051,DISCIPLINAS!$B$5:$B$101,C1051)=0,"ERRO: disciplina não pertence ao curso","OK")))))</f>
        <v/>
      </c>
    </row>
    <row r="1052" ht="15" customHeight="1" s="131">
      <c r="A1052" s="220" t="n"/>
      <c r="B1052" s="222" t="n"/>
      <c r="C1052" s="222" t="n"/>
      <c r="D1052" s="220" t="n"/>
      <c r="E1052" s="220" t="n"/>
      <c r="F1052" s="181">
        <f>IFERROR(E1052/D1052,"")</f>
        <v/>
      </c>
      <c r="G1052" s="219" t="n"/>
      <c r="H1052" s="220" t="n"/>
      <c r="I1052" s="221">
        <f>IF(COUNTA(A1052:E1052)=0,"",IF(OR(D1052&lt;=0,E1052&lt;0),"ERRO: bases inválidas",IF(E1052&gt;D1052,"ERRO: presenças acima do previsto",IF(COUNTIFS($A$5:$A$1200,A1052,$B$5:$B$1200,B1052,$C$5:$C$1200,C1052)&gt;1,"ERRO: chave duplicada",IF(COUNTIFS(DISCIPLINAS!$A$5:$A$101,B1052,DISCIPLINAS!$B$5:$B$101,C1052)=0,"ERRO: disciplina não pertence ao curso","OK")))))</f>
        <v/>
      </c>
    </row>
    <row r="1053" ht="15" customHeight="1" s="131">
      <c r="A1053" s="220" t="n"/>
      <c r="B1053" s="222" t="n"/>
      <c r="C1053" s="222" t="n"/>
      <c r="D1053" s="220" t="n"/>
      <c r="E1053" s="220" t="n"/>
      <c r="F1053" s="181">
        <f>IFERROR(E1053/D1053,"")</f>
        <v/>
      </c>
      <c r="G1053" s="219" t="n"/>
      <c r="H1053" s="220" t="n"/>
      <c r="I1053" s="221">
        <f>IF(COUNTA(A1053:E1053)=0,"",IF(OR(D1053&lt;=0,E1053&lt;0),"ERRO: bases inválidas",IF(E1053&gt;D1053,"ERRO: presenças acima do previsto",IF(COUNTIFS($A$5:$A$1200,A1053,$B$5:$B$1200,B1053,$C$5:$C$1200,C1053)&gt;1,"ERRO: chave duplicada",IF(COUNTIFS(DISCIPLINAS!$A$5:$A$101,B1053,DISCIPLINAS!$B$5:$B$101,C1053)=0,"ERRO: disciplina não pertence ao curso","OK")))))</f>
        <v/>
      </c>
    </row>
    <row r="1054" ht="15" customHeight="1" s="131">
      <c r="A1054" s="220" t="n"/>
      <c r="B1054" s="222" t="n"/>
      <c r="C1054" s="222" t="n"/>
      <c r="D1054" s="220" t="n"/>
      <c r="E1054" s="220" t="n"/>
      <c r="F1054" s="181">
        <f>IFERROR(E1054/D1054,"")</f>
        <v/>
      </c>
      <c r="G1054" s="219" t="n"/>
      <c r="H1054" s="220" t="n"/>
      <c r="I1054" s="221">
        <f>IF(COUNTA(A1054:E1054)=0,"",IF(OR(D1054&lt;=0,E1054&lt;0),"ERRO: bases inválidas",IF(E1054&gt;D1054,"ERRO: presenças acima do previsto",IF(COUNTIFS($A$5:$A$1200,A1054,$B$5:$B$1200,B1054,$C$5:$C$1200,C1054)&gt;1,"ERRO: chave duplicada",IF(COUNTIFS(DISCIPLINAS!$A$5:$A$101,B1054,DISCIPLINAS!$B$5:$B$101,C1054)=0,"ERRO: disciplina não pertence ao curso","OK")))))</f>
        <v/>
      </c>
    </row>
    <row r="1055" ht="15" customHeight="1" s="131">
      <c r="A1055" s="220" t="n"/>
      <c r="B1055" s="222" t="n"/>
      <c r="C1055" s="222" t="n"/>
      <c r="D1055" s="220" t="n"/>
      <c r="E1055" s="220" t="n"/>
      <c r="F1055" s="181">
        <f>IFERROR(E1055/D1055,"")</f>
        <v/>
      </c>
      <c r="G1055" s="219" t="n"/>
      <c r="H1055" s="220" t="n"/>
      <c r="I1055" s="221">
        <f>IF(COUNTA(A1055:E1055)=0,"",IF(OR(D1055&lt;=0,E1055&lt;0),"ERRO: bases inválidas",IF(E1055&gt;D1055,"ERRO: presenças acima do previsto",IF(COUNTIFS($A$5:$A$1200,A1055,$B$5:$B$1200,B1055,$C$5:$C$1200,C1055)&gt;1,"ERRO: chave duplicada",IF(COUNTIFS(DISCIPLINAS!$A$5:$A$101,B1055,DISCIPLINAS!$B$5:$B$101,C1055)=0,"ERRO: disciplina não pertence ao curso","OK")))))</f>
        <v/>
      </c>
    </row>
    <row r="1056" ht="15" customHeight="1" s="131">
      <c r="A1056" s="220" t="n"/>
      <c r="B1056" s="222" t="n"/>
      <c r="C1056" s="222" t="n"/>
      <c r="D1056" s="220" t="n"/>
      <c r="E1056" s="220" t="n"/>
      <c r="F1056" s="181">
        <f>IFERROR(E1056/D1056,"")</f>
        <v/>
      </c>
      <c r="G1056" s="219" t="n"/>
      <c r="H1056" s="220" t="n"/>
      <c r="I1056" s="221">
        <f>IF(COUNTA(A1056:E1056)=0,"",IF(OR(D1056&lt;=0,E1056&lt;0),"ERRO: bases inválidas",IF(E1056&gt;D1056,"ERRO: presenças acima do previsto",IF(COUNTIFS($A$5:$A$1200,A1056,$B$5:$B$1200,B1056,$C$5:$C$1200,C1056)&gt;1,"ERRO: chave duplicada",IF(COUNTIFS(DISCIPLINAS!$A$5:$A$101,B1056,DISCIPLINAS!$B$5:$B$101,C1056)=0,"ERRO: disciplina não pertence ao curso","OK")))))</f>
        <v/>
      </c>
    </row>
    <row r="1057" ht="15" customHeight="1" s="131">
      <c r="A1057" s="220" t="n"/>
      <c r="B1057" s="222" t="n"/>
      <c r="C1057" s="222" t="n"/>
      <c r="D1057" s="220" t="n"/>
      <c r="E1057" s="220" t="n"/>
      <c r="F1057" s="181">
        <f>IFERROR(E1057/D1057,"")</f>
        <v/>
      </c>
      <c r="G1057" s="219" t="n"/>
      <c r="H1057" s="220" t="n"/>
      <c r="I1057" s="221">
        <f>IF(COUNTA(A1057:E1057)=0,"",IF(OR(D1057&lt;=0,E1057&lt;0),"ERRO: bases inválidas",IF(E1057&gt;D1057,"ERRO: presenças acima do previsto",IF(COUNTIFS($A$5:$A$1200,A1057,$B$5:$B$1200,B1057,$C$5:$C$1200,C1057)&gt;1,"ERRO: chave duplicada",IF(COUNTIFS(DISCIPLINAS!$A$5:$A$101,B1057,DISCIPLINAS!$B$5:$B$101,C1057)=0,"ERRO: disciplina não pertence ao curso","OK")))))</f>
        <v/>
      </c>
    </row>
    <row r="1058" ht="15" customHeight="1" s="131">
      <c r="A1058" s="220" t="n"/>
      <c r="B1058" s="222" t="n"/>
      <c r="C1058" s="222" t="n"/>
      <c r="D1058" s="220" t="n"/>
      <c r="E1058" s="220" t="n"/>
      <c r="F1058" s="181">
        <f>IFERROR(E1058/D1058,"")</f>
        <v/>
      </c>
      <c r="G1058" s="219" t="n"/>
      <c r="H1058" s="220" t="n"/>
      <c r="I1058" s="221">
        <f>IF(COUNTA(A1058:E1058)=0,"",IF(OR(D1058&lt;=0,E1058&lt;0),"ERRO: bases inválidas",IF(E1058&gt;D1058,"ERRO: presenças acima do previsto",IF(COUNTIFS($A$5:$A$1200,A1058,$B$5:$B$1200,B1058,$C$5:$C$1200,C1058)&gt;1,"ERRO: chave duplicada",IF(COUNTIFS(DISCIPLINAS!$A$5:$A$101,B1058,DISCIPLINAS!$B$5:$B$101,C1058)=0,"ERRO: disciplina não pertence ao curso","OK")))))</f>
        <v/>
      </c>
    </row>
    <row r="1059" ht="15" customHeight="1" s="131">
      <c r="A1059" s="220" t="n"/>
      <c r="B1059" s="222" t="n"/>
      <c r="C1059" s="222" t="n"/>
      <c r="D1059" s="220" t="n"/>
      <c r="E1059" s="220" t="n"/>
      <c r="F1059" s="181">
        <f>IFERROR(E1059/D1059,"")</f>
        <v/>
      </c>
      <c r="G1059" s="219" t="n"/>
      <c r="H1059" s="220" t="n"/>
      <c r="I1059" s="221">
        <f>IF(COUNTA(A1059:E1059)=0,"",IF(OR(D1059&lt;=0,E1059&lt;0),"ERRO: bases inválidas",IF(E1059&gt;D1059,"ERRO: presenças acima do previsto",IF(COUNTIFS($A$5:$A$1200,A1059,$B$5:$B$1200,B1059,$C$5:$C$1200,C1059)&gt;1,"ERRO: chave duplicada",IF(COUNTIFS(DISCIPLINAS!$A$5:$A$101,B1059,DISCIPLINAS!$B$5:$B$101,C1059)=0,"ERRO: disciplina não pertence ao curso","OK")))))</f>
        <v/>
      </c>
    </row>
    <row r="1060" ht="15" customHeight="1" s="131">
      <c r="A1060" s="220" t="n"/>
      <c r="B1060" s="222" t="n"/>
      <c r="C1060" s="222" t="n"/>
      <c r="D1060" s="220" t="n"/>
      <c r="E1060" s="220" t="n"/>
      <c r="F1060" s="181">
        <f>IFERROR(E1060/D1060,"")</f>
        <v/>
      </c>
      <c r="G1060" s="219" t="n"/>
      <c r="H1060" s="220" t="n"/>
      <c r="I1060" s="221">
        <f>IF(COUNTA(A1060:E1060)=0,"",IF(OR(D1060&lt;=0,E1060&lt;0),"ERRO: bases inválidas",IF(E1060&gt;D1060,"ERRO: presenças acima do previsto",IF(COUNTIFS($A$5:$A$1200,A1060,$B$5:$B$1200,B1060,$C$5:$C$1200,C1060)&gt;1,"ERRO: chave duplicada",IF(COUNTIFS(DISCIPLINAS!$A$5:$A$101,B1060,DISCIPLINAS!$B$5:$B$101,C1060)=0,"ERRO: disciplina não pertence ao curso","OK")))))</f>
        <v/>
      </c>
    </row>
    <row r="1061" ht="15" customHeight="1" s="131">
      <c r="A1061" s="220" t="n"/>
      <c r="B1061" s="222" t="n"/>
      <c r="C1061" s="222" t="n"/>
      <c r="D1061" s="220" t="n"/>
      <c r="E1061" s="220" t="n"/>
      <c r="F1061" s="181">
        <f>IFERROR(E1061/D1061,"")</f>
        <v/>
      </c>
      <c r="G1061" s="219" t="n"/>
      <c r="H1061" s="220" t="n"/>
      <c r="I1061" s="221">
        <f>IF(COUNTA(A1061:E1061)=0,"",IF(OR(D1061&lt;=0,E1061&lt;0),"ERRO: bases inválidas",IF(E1061&gt;D1061,"ERRO: presenças acima do previsto",IF(COUNTIFS($A$5:$A$1200,A1061,$B$5:$B$1200,B1061,$C$5:$C$1200,C1061)&gt;1,"ERRO: chave duplicada",IF(COUNTIFS(DISCIPLINAS!$A$5:$A$101,B1061,DISCIPLINAS!$B$5:$B$101,C1061)=0,"ERRO: disciplina não pertence ao curso","OK")))))</f>
        <v/>
      </c>
    </row>
    <row r="1062" ht="15" customHeight="1" s="131">
      <c r="A1062" s="220" t="n"/>
      <c r="B1062" s="222" t="n"/>
      <c r="C1062" s="222" t="n"/>
      <c r="D1062" s="220" t="n"/>
      <c r="E1062" s="220" t="n"/>
      <c r="F1062" s="181">
        <f>IFERROR(E1062/D1062,"")</f>
        <v/>
      </c>
      <c r="G1062" s="219" t="n"/>
      <c r="H1062" s="220" t="n"/>
      <c r="I1062" s="221">
        <f>IF(COUNTA(A1062:E1062)=0,"",IF(OR(D1062&lt;=0,E1062&lt;0),"ERRO: bases inválidas",IF(E1062&gt;D1062,"ERRO: presenças acima do previsto",IF(COUNTIFS($A$5:$A$1200,A1062,$B$5:$B$1200,B1062,$C$5:$C$1200,C1062)&gt;1,"ERRO: chave duplicada",IF(COUNTIFS(DISCIPLINAS!$A$5:$A$101,B1062,DISCIPLINAS!$B$5:$B$101,C1062)=0,"ERRO: disciplina não pertence ao curso","OK")))))</f>
        <v/>
      </c>
    </row>
    <row r="1063" ht="15" customHeight="1" s="131">
      <c r="A1063" s="220" t="n"/>
      <c r="B1063" s="222" t="n"/>
      <c r="C1063" s="222" t="n"/>
      <c r="D1063" s="220" t="n"/>
      <c r="E1063" s="220" t="n"/>
      <c r="F1063" s="181">
        <f>IFERROR(E1063/D1063,"")</f>
        <v/>
      </c>
      <c r="G1063" s="219" t="n"/>
      <c r="H1063" s="220" t="n"/>
      <c r="I1063" s="221">
        <f>IF(COUNTA(A1063:E1063)=0,"",IF(OR(D1063&lt;=0,E1063&lt;0),"ERRO: bases inválidas",IF(E1063&gt;D1063,"ERRO: presenças acima do previsto",IF(COUNTIFS($A$5:$A$1200,A1063,$B$5:$B$1200,B1063,$C$5:$C$1200,C1063)&gt;1,"ERRO: chave duplicada",IF(COUNTIFS(DISCIPLINAS!$A$5:$A$101,B1063,DISCIPLINAS!$B$5:$B$101,C1063)=0,"ERRO: disciplina não pertence ao curso","OK")))))</f>
        <v/>
      </c>
    </row>
    <row r="1064" ht="15" customHeight="1" s="131">
      <c r="A1064" s="220" t="n"/>
      <c r="B1064" s="222" t="n"/>
      <c r="C1064" s="222" t="n"/>
      <c r="D1064" s="220" t="n"/>
      <c r="E1064" s="220" t="n"/>
      <c r="F1064" s="181">
        <f>IFERROR(E1064/D1064,"")</f>
        <v/>
      </c>
      <c r="G1064" s="219" t="n"/>
      <c r="H1064" s="220" t="n"/>
      <c r="I1064" s="221">
        <f>IF(COUNTA(A1064:E1064)=0,"",IF(OR(D1064&lt;=0,E1064&lt;0),"ERRO: bases inválidas",IF(E1064&gt;D1064,"ERRO: presenças acima do previsto",IF(COUNTIFS($A$5:$A$1200,A1064,$B$5:$B$1200,B1064,$C$5:$C$1200,C1064)&gt;1,"ERRO: chave duplicada",IF(COUNTIFS(DISCIPLINAS!$A$5:$A$101,B1064,DISCIPLINAS!$B$5:$B$101,C1064)=0,"ERRO: disciplina não pertence ao curso","OK")))))</f>
        <v/>
      </c>
    </row>
    <row r="1065" ht="15" customHeight="1" s="131">
      <c r="A1065" s="220" t="n"/>
      <c r="B1065" s="222" t="n"/>
      <c r="C1065" s="222" t="n"/>
      <c r="D1065" s="220" t="n"/>
      <c r="E1065" s="220" t="n"/>
      <c r="F1065" s="181">
        <f>IFERROR(E1065/D1065,"")</f>
        <v/>
      </c>
      <c r="G1065" s="219" t="n"/>
      <c r="H1065" s="220" t="n"/>
      <c r="I1065" s="221">
        <f>IF(COUNTA(A1065:E1065)=0,"",IF(OR(D1065&lt;=0,E1065&lt;0),"ERRO: bases inválidas",IF(E1065&gt;D1065,"ERRO: presenças acima do previsto",IF(COUNTIFS($A$5:$A$1200,A1065,$B$5:$B$1200,B1065,$C$5:$C$1200,C1065)&gt;1,"ERRO: chave duplicada",IF(COUNTIFS(DISCIPLINAS!$A$5:$A$101,B1065,DISCIPLINAS!$B$5:$B$101,C1065)=0,"ERRO: disciplina não pertence ao curso","OK")))))</f>
        <v/>
      </c>
    </row>
    <row r="1066" ht="15" customHeight="1" s="131">
      <c r="A1066" s="220" t="n"/>
      <c r="B1066" s="222" t="n"/>
      <c r="C1066" s="222" t="n"/>
      <c r="D1066" s="220" t="n"/>
      <c r="E1066" s="220" t="n"/>
      <c r="F1066" s="181">
        <f>IFERROR(E1066/D1066,"")</f>
        <v/>
      </c>
      <c r="G1066" s="219" t="n"/>
      <c r="H1066" s="220" t="n"/>
      <c r="I1066" s="221">
        <f>IF(COUNTA(A1066:E1066)=0,"",IF(OR(D1066&lt;=0,E1066&lt;0),"ERRO: bases inválidas",IF(E1066&gt;D1066,"ERRO: presenças acima do previsto",IF(COUNTIFS($A$5:$A$1200,A1066,$B$5:$B$1200,B1066,$C$5:$C$1200,C1066)&gt;1,"ERRO: chave duplicada",IF(COUNTIFS(DISCIPLINAS!$A$5:$A$101,B1066,DISCIPLINAS!$B$5:$B$101,C1066)=0,"ERRO: disciplina não pertence ao curso","OK")))))</f>
        <v/>
      </c>
    </row>
    <row r="1067" ht="15" customHeight="1" s="131">
      <c r="A1067" s="220" t="n"/>
      <c r="B1067" s="222" t="n"/>
      <c r="C1067" s="222" t="n"/>
      <c r="D1067" s="220" t="n"/>
      <c r="E1067" s="220" t="n"/>
      <c r="F1067" s="181">
        <f>IFERROR(E1067/D1067,"")</f>
        <v/>
      </c>
      <c r="G1067" s="219" t="n"/>
      <c r="H1067" s="220" t="n"/>
      <c r="I1067" s="221">
        <f>IF(COUNTA(A1067:E1067)=0,"",IF(OR(D1067&lt;=0,E1067&lt;0),"ERRO: bases inválidas",IF(E1067&gt;D1067,"ERRO: presenças acima do previsto",IF(COUNTIFS($A$5:$A$1200,A1067,$B$5:$B$1200,B1067,$C$5:$C$1200,C1067)&gt;1,"ERRO: chave duplicada",IF(COUNTIFS(DISCIPLINAS!$A$5:$A$101,B1067,DISCIPLINAS!$B$5:$B$101,C1067)=0,"ERRO: disciplina não pertence ao curso","OK")))))</f>
        <v/>
      </c>
    </row>
    <row r="1068" ht="15" customHeight="1" s="131">
      <c r="A1068" s="220" t="n"/>
      <c r="B1068" s="222" t="n"/>
      <c r="C1068" s="222" t="n"/>
      <c r="D1068" s="220" t="n"/>
      <c r="E1068" s="220" t="n"/>
      <c r="F1068" s="181">
        <f>IFERROR(E1068/D1068,"")</f>
        <v/>
      </c>
      <c r="G1068" s="219" t="n"/>
      <c r="H1068" s="220" t="n"/>
      <c r="I1068" s="221">
        <f>IF(COUNTA(A1068:E1068)=0,"",IF(OR(D1068&lt;=0,E1068&lt;0),"ERRO: bases inválidas",IF(E1068&gt;D1068,"ERRO: presenças acima do previsto",IF(COUNTIFS($A$5:$A$1200,A1068,$B$5:$B$1200,B1068,$C$5:$C$1200,C1068)&gt;1,"ERRO: chave duplicada",IF(COUNTIFS(DISCIPLINAS!$A$5:$A$101,B1068,DISCIPLINAS!$B$5:$B$101,C1068)=0,"ERRO: disciplina não pertence ao curso","OK")))))</f>
        <v/>
      </c>
    </row>
    <row r="1069" ht="15" customHeight="1" s="131">
      <c r="A1069" s="220" t="n"/>
      <c r="B1069" s="222" t="n"/>
      <c r="C1069" s="222" t="n"/>
      <c r="D1069" s="220" t="n"/>
      <c r="E1069" s="220" t="n"/>
      <c r="F1069" s="181">
        <f>IFERROR(E1069/D1069,"")</f>
        <v/>
      </c>
      <c r="G1069" s="219" t="n"/>
      <c r="H1069" s="220" t="n"/>
      <c r="I1069" s="221">
        <f>IF(COUNTA(A1069:E1069)=0,"",IF(OR(D1069&lt;=0,E1069&lt;0),"ERRO: bases inválidas",IF(E1069&gt;D1069,"ERRO: presenças acima do previsto",IF(COUNTIFS($A$5:$A$1200,A1069,$B$5:$B$1200,B1069,$C$5:$C$1200,C1069)&gt;1,"ERRO: chave duplicada",IF(COUNTIFS(DISCIPLINAS!$A$5:$A$101,B1069,DISCIPLINAS!$B$5:$B$101,C1069)=0,"ERRO: disciplina não pertence ao curso","OK")))))</f>
        <v/>
      </c>
    </row>
    <row r="1070" ht="15" customHeight="1" s="131">
      <c r="A1070" s="220" t="n"/>
      <c r="B1070" s="222" t="n"/>
      <c r="C1070" s="222" t="n"/>
      <c r="D1070" s="220" t="n"/>
      <c r="E1070" s="220" t="n"/>
      <c r="F1070" s="181">
        <f>IFERROR(E1070/D1070,"")</f>
        <v/>
      </c>
      <c r="G1070" s="219" t="n"/>
      <c r="H1070" s="220" t="n"/>
      <c r="I1070" s="221">
        <f>IF(COUNTA(A1070:E1070)=0,"",IF(OR(D1070&lt;=0,E1070&lt;0),"ERRO: bases inválidas",IF(E1070&gt;D1070,"ERRO: presenças acima do previsto",IF(COUNTIFS($A$5:$A$1200,A1070,$B$5:$B$1200,B1070,$C$5:$C$1200,C1070)&gt;1,"ERRO: chave duplicada",IF(COUNTIFS(DISCIPLINAS!$A$5:$A$101,B1070,DISCIPLINAS!$B$5:$B$101,C1070)=0,"ERRO: disciplina não pertence ao curso","OK")))))</f>
        <v/>
      </c>
    </row>
    <row r="1071" ht="15" customHeight="1" s="131">
      <c r="A1071" s="220" t="n"/>
      <c r="B1071" s="222" t="n"/>
      <c r="C1071" s="222" t="n"/>
      <c r="D1071" s="220" t="n"/>
      <c r="E1071" s="220" t="n"/>
      <c r="F1071" s="181">
        <f>IFERROR(E1071/D1071,"")</f>
        <v/>
      </c>
      <c r="G1071" s="219" t="n"/>
      <c r="H1071" s="220" t="n"/>
      <c r="I1071" s="221">
        <f>IF(COUNTA(A1071:E1071)=0,"",IF(OR(D1071&lt;=0,E1071&lt;0),"ERRO: bases inválidas",IF(E1071&gt;D1071,"ERRO: presenças acima do previsto",IF(COUNTIFS($A$5:$A$1200,A1071,$B$5:$B$1200,B1071,$C$5:$C$1200,C1071)&gt;1,"ERRO: chave duplicada",IF(COUNTIFS(DISCIPLINAS!$A$5:$A$101,B1071,DISCIPLINAS!$B$5:$B$101,C1071)=0,"ERRO: disciplina não pertence ao curso","OK")))))</f>
        <v/>
      </c>
    </row>
    <row r="1072" ht="15" customHeight="1" s="131">
      <c r="A1072" s="220" t="n"/>
      <c r="B1072" s="222" t="n"/>
      <c r="C1072" s="222" t="n"/>
      <c r="D1072" s="220" t="n"/>
      <c r="E1072" s="220" t="n"/>
      <c r="F1072" s="181">
        <f>IFERROR(E1072/D1072,"")</f>
        <v/>
      </c>
      <c r="G1072" s="219" t="n"/>
      <c r="H1072" s="220" t="n"/>
      <c r="I1072" s="221">
        <f>IF(COUNTA(A1072:E1072)=0,"",IF(OR(D1072&lt;=0,E1072&lt;0),"ERRO: bases inválidas",IF(E1072&gt;D1072,"ERRO: presenças acima do previsto",IF(COUNTIFS($A$5:$A$1200,A1072,$B$5:$B$1200,B1072,$C$5:$C$1200,C1072)&gt;1,"ERRO: chave duplicada",IF(COUNTIFS(DISCIPLINAS!$A$5:$A$101,B1072,DISCIPLINAS!$B$5:$B$101,C1072)=0,"ERRO: disciplina não pertence ao curso","OK")))))</f>
        <v/>
      </c>
    </row>
    <row r="1073" ht="15" customHeight="1" s="131">
      <c r="A1073" s="220" t="n"/>
      <c r="B1073" s="222" t="n"/>
      <c r="C1073" s="222" t="n"/>
      <c r="D1073" s="220" t="n"/>
      <c r="E1073" s="220" t="n"/>
      <c r="F1073" s="181">
        <f>IFERROR(E1073/D1073,"")</f>
        <v/>
      </c>
      <c r="G1073" s="219" t="n"/>
      <c r="H1073" s="220" t="n"/>
      <c r="I1073" s="221">
        <f>IF(COUNTA(A1073:E1073)=0,"",IF(OR(D1073&lt;=0,E1073&lt;0),"ERRO: bases inválidas",IF(E1073&gt;D1073,"ERRO: presenças acima do previsto",IF(COUNTIFS($A$5:$A$1200,A1073,$B$5:$B$1200,B1073,$C$5:$C$1200,C1073)&gt;1,"ERRO: chave duplicada",IF(COUNTIFS(DISCIPLINAS!$A$5:$A$101,B1073,DISCIPLINAS!$B$5:$B$101,C1073)=0,"ERRO: disciplina não pertence ao curso","OK")))))</f>
        <v/>
      </c>
    </row>
    <row r="1074" ht="15" customHeight="1" s="131">
      <c r="A1074" s="220" t="n"/>
      <c r="B1074" s="222" t="n"/>
      <c r="C1074" s="222" t="n"/>
      <c r="D1074" s="220" t="n"/>
      <c r="E1074" s="220" t="n"/>
      <c r="F1074" s="181">
        <f>IFERROR(E1074/D1074,"")</f>
        <v/>
      </c>
      <c r="G1074" s="219" t="n"/>
      <c r="H1074" s="220" t="n"/>
      <c r="I1074" s="221">
        <f>IF(COUNTA(A1074:E1074)=0,"",IF(OR(D1074&lt;=0,E1074&lt;0),"ERRO: bases inválidas",IF(E1074&gt;D1074,"ERRO: presenças acima do previsto",IF(COUNTIFS($A$5:$A$1200,A1074,$B$5:$B$1200,B1074,$C$5:$C$1200,C1074)&gt;1,"ERRO: chave duplicada",IF(COUNTIFS(DISCIPLINAS!$A$5:$A$101,B1074,DISCIPLINAS!$B$5:$B$101,C1074)=0,"ERRO: disciplina não pertence ao curso","OK")))))</f>
        <v/>
      </c>
    </row>
    <row r="1075" ht="15" customHeight="1" s="131">
      <c r="A1075" s="220" t="n"/>
      <c r="B1075" s="222" t="n"/>
      <c r="C1075" s="222" t="n"/>
      <c r="D1075" s="220" t="n"/>
      <c r="E1075" s="220" t="n"/>
      <c r="F1075" s="181">
        <f>IFERROR(E1075/D1075,"")</f>
        <v/>
      </c>
      <c r="G1075" s="219" t="n"/>
      <c r="H1075" s="220" t="n"/>
      <c r="I1075" s="221">
        <f>IF(COUNTA(A1075:E1075)=0,"",IF(OR(D1075&lt;=0,E1075&lt;0),"ERRO: bases inválidas",IF(E1075&gt;D1075,"ERRO: presenças acima do previsto",IF(COUNTIFS($A$5:$A$1200,A1075,$B$5:$B$1200,B1075,$C$5:$C$1200,C1075)&gt;1,"ERRO: chave duplicada",IF(COUNTIFS(DISCIPLINAS!$A$5:$A$101,B1075,DISCIPLINAS!$B$5:$B$101,C1075)=0,"ERRO: disciplina não pertence ao curso","OK")))))</f>
        <v/>
      </c>
    </row>
    <row r="1076" ht="15" customHeight="1" s="131">
      <c r="A1076" s="220" t="n"/>
      <c r="B1076" s="222" t="n"/>
      <c r="C1076" s="222" t="n"/>
      <c r="D1076" s="220" t="n"/>
      <c r="E1076" s="220" t="n"/>
      <c r="F1076" s="181">
        <f>IFERROR(E1076/D1076,"")</f>
        <v/>
      </c>
      <c r="G1076" s="219" t="n"/>
      <c r="H1076" s="220" t="n"/>
      <c r="I1076" s="221">
        <f>IF(COUNTA(A1076:E1076)=0,"",IF(OR(D1076&lt;=0,E1076&lt;0),"ERRO: bases inválidas",IF(E1076&gt;D1076,"ERRO: presenças acima do previsto",IF(COUNTIFS($A$5:$A$1200,A1076,$B$5:$B$1200,B1076,$C$5:$C$1200,C1076)&gt;1,"ERRO: chave duplicada",IF(COUNTIFS(DISCIPLINAS!$A$5:$A$101,B1076,DISCIPLINAS!$B$5:$B$101,C1076)=0,"ERRO: disciplina não pertence ao curso","OK")))))</f>
        <v/>
      </c>
    </row>
    <row r="1077" ht="15" customHeight="1" s="131">
      <c r="A1077" s="220" t="n"/>
      <c r="B1077" s="222" t="n"/>
      <c r="C1077" s="222" t="n"/>
      <c r="D1077" s="220" t="n"/>
      <c r="E1077" s="220" t="n"/>
      <c r="F1077" s="181">
        <f>IFERROR(E1077/D1077,"")</f>
        <v/>
      </c>
      <c r="G1077" s="219" t="n"/>
      <c r="H1077" s="220" t="n"/>
      <c r="I1077" s="221">
        <f>IF(COUNTA(A1077:E1077)=0,"",IF(OR(D1077&lt;=0,E1077&lt;0),"ERRO: bases inválidas",IF(E1077&gt;D1077,"ERRO: presenças acima do previsto",IF(COUNTIFS($A$5:$A$1200,A1077,$B$5:$B$1200,B1077,$C$5:$C$1200,C1077)&gt;1,"ERRO: chave duplicada",IF(COUNTIFS(DISCIPLINAS!$A$5:$A$101,B1077,DISCIPLINAS!$B$5:$B$101,C1077)=0,"ERRO: disciplina não pertence ao curso","OK")))))</f>
        <v/>
      </c>
    </row>
    <row r="1078" ht="15" customHeight="1" s="131">
      <c r="A1078" s="220" t="n"/>
      <c r="B1078" s="222" t="n"/>
      <c r="C1078" s="222" t="n"/>
      <c r="D1078" s="220" t="n"/>
      <c r="E1078" s="220" t="n"/>
      <c r="F1078" s="181">
        <f>IFERROR(E1078/D1078,"")</f>
        <v/>
      </c>
      <c r="G1078" s="219" t="n"/>
      <c r="H1078" s="220" t="n"/>
      <c r="I1078" s="221">
        <f>IF(COUNTA(A1078:E1078)=0,"",IF(OR(D1078&lt;=0,E1078&lt;0),"ERRO: bases inválidas",IF(E1078&gt;D1078,"ERRO: presenças acima do previsto",IF(COUNTIFS($A$5:$A$1200,A1078,$B$5:$B$1200,B1078,$C$5:$C$1200,C1078)&gt;1,"ERRO: chave duplicada",IF(COUNTIFS(DISCIPLINAS!$A$5:$A$101,B1078,DISCIPLINAS!$B$5:$B$101,C1078)=0,"ERRO: disciplina não pertence ao curso","OK")))))</f>
        <v/>
      </c>
    </row>
    <row r="1079" ht="15" customHeight="1" s="131">
      <c r="A1079" s="220" t="n"/>
      <c r="B1079" s="222" t="n"/>
      <c r="C1079" s="222" t="n"/>
      <c r="D1079" s="220" t="n"/>
      <c r="E1079" s="220" t="n"/>
      <c r="F1079" s="181">
        <f>IFERROR(E1079/D1079,"")</f>
        <v/>
      </c>
      <c r="G1079" s="219" t="n"/>
      <c r="H1079" s="220" t="n"/>
      <c r="I1079" s="221">
        <f>IF(COUNTA(A1079:E1079)=0,"",IF(OR(D1079&lt;=0,E1079&lt;0),"ERRO: bases inválidas",IF(E1079&gt;D1079,"ERRO: presenças acima do previsto",IF(COUNTIFS($A$5:$A$1200,A1079,$B$5:$B$1200,B1079,$C$5:$C$1200,C1079)&gt;1,"ERRO: chave duplicada",IF(COUNTIFS(DISCIPLINAS!$A$5:$A$101,B1079,DISCIPLINAS!$B$5:$B$101,C1079)=0,"ERRO: disciplina não pertence ao curso","OK")))))</f>
        <v/>
      </c>
    </row>
    <row r="1080" ht="15" customHeight="1" s="131">
      <c r="A1080" s="220" t="n"/>
      <c r="B1080" s="222" t="n"/>
      <c r="C1080" s="222" t="n"/>
      <c r="D1080" s="220" t="n"/>
      <c r="E1080" s="220" t="n"/>
      <c r="F1080" s="181">
        <f>IFERROR(E1080/D1080,"")</f>
        <v/>
      </c>
      <c r="G1080" s="219" t="n"/>
      <c r="H1080" s="220" t="n"/>
      <c r="I1080" s="221">
        <f>IF(COUNTA(A1080:E1080)=0,"",IF(OR(D1080&lt;=0,E1080&lt;0),"ERRO: bases inválidas",IF(E1080&gt;D1080,"ERRO: presenças acima do previsto",IF(COUNTIFS($A$5:$A$1200,A1080,$B$5:$B$1200,B1080,$C$5:$C$1200,C1080)&gt;1,"ERRO: chave duplicada",IF(COUNTIFS(DISCIPLINAS!$A$5:$A$101,B1080,DISCIPLINAS!$B$5:$B$101,C1080)=0,"ERRO: disciplina não pertence ao curso","OK")))))</f>
        <v/>
      </c>
    </row>
    <row r="1081" ht="15" customHeight="1" s="131">
      <c r="A1081" s="220" t="n"/>
      <c r="B1081" s="222" t="n"/>
      <c r="C1081" s="222" t="n"/>
      <c r="D1081" s="220" t="n"/>
      <c r="E1081" s="220" t="n"/>
      <c r="F1081" s="181">
        <f>IFERROR(E1081/D1081,"")</f>
        <v/>
      </c>
      <c r="G1081" s="219" t="n"/>
      <c r="H1081" s="220" t="n"/>
      <c r="I1081" s="221">
        <f>IF(COUNTA(A1081:E1081)=0,"",IF(OR(D1081&lt;=0,E1081&lt;0),"ERRO: bases inválidas",IF(E1081&gt;D1081,"ERRO: presenças acima do previsto",IF(COUNTIFS($A$5:$A$1200,A1081,$B$5:$B$1200,B1081,$C$5:$C$1200,C1081)&gt;1,"ERRO: chave duplicada",IF(COUNTIFS(DISCIPLINAS!$A$5:$A$101,B1081,DISCIPLINAS!$B$5:$B$101,C1081)=0,"ERRO: disciplina não pertence ao curso","OK")))))</f>
        <v/>
      </c>
    </row>
    <row r="1082" ht="15" customHeight="1" s="131">
      <c r="A1082" s="220" t="n"/>
      <c r="B1082" s="222" t="n"/>
      <c r="C1082" s="222" t="n"/>
      <c r="D1082" s="220" t="n"/>
      <c r="E1082" s="220" t="n"/>
      <c r="F1082" s="181">
        <f>IFERROR(E1082/D1082,"")</f>
        <v/>
      </c>
      <c r="G1082" s="219" t="n"/>
      <c r="H1082" s="220" t="n"/>
      <c r="I1082" s="221">
        <f>IF(COUNTA(A1082:E1082)=0,"",IF(OR(D1082&lt;=0,E1082&lt;0),"ERRO: bases inválidas",IF(E1082&gt;D1082,"ERRO: presenças acima do previsto",IF(COUNTIFS($A$5:$A$1200,A1082,$B$5:$B$1200,B1082,$C$5:$C$1200,C1082)&gt;1,"ERRO: chave duplicada",IF(COUNTIFS(DISCIPLINAS!$A$5:$A$101,B1082,DISCIPLINAS!$B$5:$B$101,C1082)=0,"ERRO: disciplina não pertence ao curso","OK")))))</f>
        <v/>
      </c>
    </row>
    <row r="1083" ht="15" customHeight="1" s="131">
      <c r="A1083" s="220" t="n"/>
      <c r="B1083" s="222" t="n"/>
      <c r="C1083" s="222" t="n"/>
      <c r="D1083" s="220" t="n"/>
      <c r="E1083" s="220" t="n"/>
      <c r="F1083" s="181">
        <f>IFERROR(E1083/D1083,"")</f>
        <v/>
      </c>
      <c r="G1083" s="219" t="n"/>
      <c r="H1083" s="220" t="n"/>
      <c r="I1083" s="221">
        <f>IF(COUNTA(A1083:E1083)=0,"",IF(OR(D1083&lt;=0,E1083&lt;0),"ERRO: bases inválidas",IF(E1083&gt;D1083,"ERRO: presenças acima do previsto",IF(COUNTIFS($A$5:$A$1200,A1083,$B$5:$B$1200,B1083,$C$5:$C$1200,C1083)&gt;1,"ERRO: chave duplicada",IF(COUNTIFS(DISCIPLINAS!$A$5:$A$101,B1083,DISCIPLINAS!$B$5:$B$101,C1083)=0,"ERRO: disciplina não pertence ao curso","OK")))))</f>
        <v/>
      </c>
    </row>
    <row r="1084" ht="15" customHeight="1" s="131">
      <c r="A1084" s="220" t="n"/>
      <c r="B1084" s="222" t="n"/>
      <c r="C1084" s="222" t="n"/>
      <c r="D1084" s="220" t="n"/>
      <c r="E1084" s="220" t="n"/>
      <c r="F1084" s="181">
        <f>IFERROR(E1084/D1084,"")</f>
        <v/>
      </c>
      <c r="G1084" s="219" t="n"/>
      <c r="H1084" s="220" t="n"/>
      <c r="I1084" s="221">
        <f>IF(COUNTA(A1084:E1084)=0,"",IF(OR(D1084&lt;=0,E1084&lt;0),"ERRO: bases inválidas",IF(E1084&gt;D1084,"ERRO: presenças acima do previsto",IF(COUNTIFS($A$5:$A$1200,A1084,$B$5:$B$1200,B1084,$C$5:$C$1200,C1084)&gt;1,"ERRO: chave duplicada",IF(COUNTIFS(DISCIPLINAS!$A$5:$A$101,B1084,DISCIPLINAS!$B$5:$B$101,C1084)=0,"ERRO: disciplina não pertence ao curso","OK")))))</f>
        <v/>
      </c>
    </row>
    <row r="1085" ht="15" customHeight="1" s="131">
      <c r="A1085" s="220" t="n"/>
      <c r="B1085" s="222" t="n"/>
      <c r="C1085" s="222" t="n"/>
      <c r="D1085" s="220" t="n"/>
      <c r="E1085" s="220" t="n"/>
      <c r="F1085" s="181">
        <f>IFERROR(E1085/D1085,"")</f>
        <v/>
      </c>
      <c r="G1085" s="219" t="n"/>
      <c r="H1085" s="220" t="n"/>
      <c r="I1085" s="221">
        <f>IF(COUNTA(A1085:E1085)=0,"",IF(OR(D1085&lt;=0,E1085&lt;0),"ERRO: bases inválidas",IF(E1085&gt;D1085,"ERRO: presenças acima do previsto",IF(COUNTIFS($A$5:$A$1200,A1085,$B$5:$B$1200,B1085,$C$5:$C$1200,C1085)&gt;1,"ERRO: chave duplicada",IF(COUNTIFS(DISCIPLINAS!$A$5:$A$101,B1085,DISCIPLINAS!$B$5:$B$101,C1085)=0,"ERRO: disciplina não pertence ao curso","OK")))))</f>
        <v/>
      </c>
    </row>
    <row r="1086" ht="15" customHeight="1" s="131">
      <c r="A1086" s="220" t="n"/>
      <c r="B1086" s="222" t="n"/>
      <c r="C1086" s="222" t="n"/>
      <c r="D1086" s="220" t="n"/>
      <c r="E1086" s="220" t="n"/>
      <c r="F1086" s="181">
        <f>IFERROR(E1086/D1086,"")</f>
        <v/>
      </c>
      <c r="G1086" s="219" t="n"/>
      <c r="H1086" s="220" t="n"/>
      <c r="I1086" s="221">
        <f>IF(COUNTA(A1086:E1086)=0,"",IF(OR(D1086&lt;=0,E1086&lt;0),"ERRO: bases inválidas",IF(E1086&gt;D1086,"ERRO: presenças acima do previsto",IF(COUNTIFS($A$5:$A$1200,A1086,$B$5:$B$1200,B1086,$C$5:$C$1200,C1086)&gt;1,"ERRO: chave duplicada",IF(COUNTIFS(DISCIPLINAS!$A$5:$A$101,B1086,DISCIPLINAS!$B$5:$B$101,C1086)=0,"ERRO: disciplina não pertence ao curso","OK")))))</f>
        <v/>
      </c>
    </row>
    <row r="1087" ht="15" customHeight="1" s="131">
      <c r="A1087" s="220" t="n"/>
      <c r="B1087" s="222" t="n"/>
      <c r="C1087" s="222" t="n"/>
      <c r="D1087" s="220" t="n"/>
      <c r="E1087" s="220" t="n"/>
      <c r="F1087" s="181">
        <f>IFERROR(E1087/D1087,"")</f>
        <v/>
      </c>
      <c r="G1087" s="219" t="n"/>
      <c r="H1087" s="220" t="n"/>
      <c r="I1087" s="221">
        <f>IF(COUNTA(A1087:E1087)=0,"",IF(OR(D1087&lt;=0,E1087&lt;0),"ERRO: bases inválidas",IF(E1087&gt;D1087,"ERRO: presenças acima do previsto",IF(COUNTIFS($A$5:$A$1200,A1087,$B$5:$B$1200,B1087,$C$5:$C$1200,C1087)&gt;1,"ERRO: chave duplicada",IF(COUNTIFS(DISCIPLINAS!$A$5:$A$101,B1087,DISCIPLINAS!$B$5:$B$101,C1087)=0,"ERRO: disciplina não pertence ao curso","OK")))))</f>
        <v/>
      </c>
    </row>
    <row r="1088" ht="15" customHeight="1" s="131">
      <c r="A1088" s="220" t="n"/>
      <c r="B1088" s="222" t="n"/>
      <c r="C1088" s="222" t="n"/>
      <c r="D1088" s="220" t="n"/>
      <c r="E1088" s="220" t="n"/>
      <c r="F1088" s="181">
        <f>IFERROR(E1088/D1088,"")</f>
        <v/>
      </c>
      <c r="G1088" s="219" t="n"/>
      <c r="H1088" s="220" t="n"/>
      <c r="I1088" s="221">
        <f>IF(COUNTA(A1088:E1088)=0,"",IF(OR(D1088&lt;=0,E1088&lt;0),"ERRO: bases inválidas",IF(E1088&gt;D1088,"ERRO: presenças acima do previsto",IF(COUNTIFS($A$5:$A$1200,A1088,$B$5:$B$1200,B1088,$C$5:$C$1200,C1088)&gt;1,"ERRO: chave duplicada",IF(COUNTIFS(DISCIPLINAS!$A$5:$A$101,B1088,DISCIPLINAS!$B$5:$B$101,C1088)=0,"ERRO: disciplina não pertence ao curso","OK")))))</f>
        <v/>
      </c>
    </row>
    <row r="1089" ht="15" customHeight="1" s="131">
      <c r="A1089" s="220" t="n"/>
      <c r="B1089" s="222" t="n"/>
      <c r="C1089" s="222" t="n"/>
      <c r="D1089" s="220" t="n"/>
      <c r="E1089" s="220" t="n"/>
      <c r="F1089" s="181">
        <f>IFERROR(E1089/D1089,"")</f>
        <v/>
      </c>
      <c r="G1089" s="219" t="n"/>
      <c r="H1089" s="220" t="n"/>
      <c r="I1089" s="221">
        <f>IF(COUNTA(A1089:E1089)=0,"",IF(OR(D1089&lt;=0,E1089&lt;0),"ERRO: bases inválidas",IF(E1089&gt;D1089,"ERRO: presenças acima do previsto",IF(COUNTIFS($A$5:$A$1200,A1089,$B$5:$B$1200,B1089,$C$5:$C$1200,C1089)&gt;1,"ERRO: chave duplicada",IF(COUNTIFS(DISCIPLINAS!$A$5:$A$101,B1089,DISCIPLINAS!$B$5:$B$101,C1089)=0,"ERRO: disciplina não pertence ao curso","OK")))))</f>
        <v/>
      </c>
    </row>
    <row r="1090" ht="15" customHeight="1" s="131">
      <c r="A1090" s="220" t="n"/>
      <c r="B1090" s="222" t="n"/>
      <c r="C1090" s="222" t="n"/>
      <c r="D1090" s="220" t="n"/>
      <c r="E1090" s="220" t="n"/>
      <c r="F1090" s="181">
        <f>IFERROR(E1090/D1090,"")</f>
        <v/>
      </c>
      <c r="G1090" s="219" t="n"/>
      <c r="H1090" s="220" t="n"/>
      <c r="I1090" s="221">
        <f>IF(COUNTA(A1090:E1090)=0,"",IF(OR(D1090&lt;=0,E1090&lt;0),"ERRO: bases inválidas",IF(E1090&gt;D1090,"ERRO: presenças acima do previsto",IF(COUNTIFS($A$5:$A$1200,A1090,$B$5:$B$1200,B1090,$C$5:$C$1200,C1090)&gt;1,"ERRO: chave duplicada",IF(COUNTIFS(DISCIPLINAS!$A$5:$A$101,B1090,DISCIPLINAS!$B$5:$B$101,C1090)=0,"ERRO: disciplina não pertence ao curso","OK")))))</f>
        <v/>
      </c>
    </row>
    <row r="1091" ht="15" customHeight="1" s="131">
      <c r="A1091" s="220" t="n"/>
      <c r="B1091" s="222" t="n"/>
      <c r="C1091" s="222" t="n"/>
      <c r="D1091" s="220" t="n"/>
      <c r="E1091" s="220" t="n"/>
      <c r="F1091" s="181">
        <f>IFERROR(E1091/D1091,"")</f>
        <v/>
      </c>
      <c r="G1091" s="219" t="n"/>
      <c r="H1091" s="220" t="n"/>
      <c r="I1091" s="221">
        <f>IF(COUNTA(A1091:E1091)=0,"",IF(OR(D1091&lt;=0,E1091&lt;0),"ERRO: bases inválidas",IF(E1091&gt;D1091,"ERRO: presenças acima do previsto",IF(COUNTIFS($A$5:$A$1200,A1091,$B$5:$B$1200,B1091,$C$5:$C$1200,C1091)&gt;1,"ERRO: chave duplicada",IF(COUNTIFS(DISCIPLINAS!$A$5:$A$101,B1091,DISCIPLINAS!$B$5:$B$101,C1091)=0,"ERRO: disciplina não pertence ao curso","OK")))))</f>
        <v/>
      </c>
    </row>
    <row r="1092" ht="15" customHeight="1" s="131">
      <c r="A1092" s="220" t="n"/>
      <c r="B1092" s="222" t="n"/>
      <c r="C1092" s="222" t="n"/>
      <c r="D1092" s="220" t="n"/>
      <c r="E1092" s="220" t="n"/>
      <c r="F1092" s="181">
        <f>IFERROR(E1092/D1092,"")</f>
        <v/>
      </c>
      <c r="G1092" s="219" t="n"/>
      <c r="H1092" s="220" t="n"/>
      <c r="I1092" s="221">
        <f>IF(COUNTA(A1092:E1092)=0,"",IF(OR(D1092&lt;=0,E1092&lt;0),"ERRO: bases inválidas",IF(E1092&gt;D1092,"ERRO: presenças acima do previsto",IF(COUNTIFS($A$5:$A$1200,A1092,$B$5:$B$1200,B1092,$C$5:$C$1200,C1092)&gt;1,"ERRO: chave duplicada",IF(COUNTIFS(DISCIPLINAS!$A$5:$A$101,B1092,DISCIPLINAS!$B$5:$B$101,C1092)=0,"ERRO: disciplina não pertence ao curso","OK")))))</f>
        <v/>
      </c>
    </row>
    <row r="1093" ht="15" customHeight="1" s="131">
      <c r="A1093" s="220" t="n"/>
      <c r="B1093" s="222" t="n"/>
      <c r="C1093" s="222" t="n"/>
      <c r="D1093" s="220" t="n"/>
      <c r="E1093" s="220" t="n"/>
      <c r="F1093" s="181">
        <f>IFERROR(E1093/D1093,"")</f>
        <v/>
      </c>
      <c r="G1093" s="219" t="n"/>
      <c r="H1093" s="220" t="n"/>
      <c r="I1093" s="221">
        <f>IF(COUNTA(A1093:E1093)=0,"",IF(OR(D1093&lt;=0,E1093&lt;0),"ERRO: bases inválidas",IF(E1093&gt;D1093,"ERRO: presenças acima do previsto",IF(COUNTIFS($A$5:$A$1200,A1093,$B$5:$B$1200,B1093,$C$5:$C$1200,C1093)&gt;1,"ERRO: chave duplicada",IF(COUNTIFS(DISCIPLINAS!$A$5:$A$101,B1093,DISCIPLINAS!$B$5:$B$101,C1093)=0,"ERRO: disciplina não pertence ao curso","OK")))))</f>
        <v/>
      </c>
    </row>
    <row r="1094" ht="15" customHeight="1" s="131">
      <c r="A1094" s="220" t="n"/>
      <c r="B1094" s="222" t="n"/>
      <c r="C1094" s="222" t="n"/>
      <c r="D1094" s="220" t="n"/>
      <c r="E1094" s="220" t="n"/>
      <c r="F1094" s="181">
        <f>IFERROR(E1094/D1094,"")</f>
        <v/>
      </c>
      <c r="G1094" s="219" t="n"/>
      <c r="H1094" s="220" t="n"/>
      <c r="I1094" s="221">
        <f>IF(COUNTA(A1094:E1094)=0,"",IF(OR(D1094&lt;=0,E1094&lt;0),"ERRO: bases inválidas",IF(E1094&gt;D1094,"ERRO: presenças acima do previsto",IF(COUNTIFS($A$5:$A$1200,A1094,$B$5:$B$1200,B1094,$C$5:$C$1200,C1094)&gt;1,"ERRO: chave duplicada",IF(COUNTIFS(DISCIPLINAS!$A$5:$A$101,B1094,DISCIPLINAS!$B$5:$B$101,C1094)=0,"ERRO: disciplina não pertence ao curso","OK")))))</f>
        <v/>
      </c>
    </row>
    <row r="1095" ht="15" customHeight="1" s="131">
      <c r="A1095" s="220" t="n"/>
      <c r="B1095" s="222" t="n"/>
      <c r="C1095" s="222" t="n"/>
      <c r="D1095" s="220" t="n"/>
      <c r="E1095" s="220" t="n"/>
      <c r="F1095" s="181">
        <f>IFERROR(E1095/D1095,"")</f>
        <v/>
      </c>
      <c r="G1095" s="219" t="n"/>
      <c r="H1095" s="220" t="n"/>
      <c r="I1095" s="221">
        <f>IF(COUNTA(A1095:E1095)=0,"",IF(OR(D1095&lt;=0,E1095&lt;0),"ERRO: bases inválidas",IF(E1095&gt;D1095,"ERRO: presenças acima do previsto",IF(COUNTIFS($A$5:$A$1200,A1095,$B$5:$B$1200,B1095,$C$5:$C$1200,C1095)&gt;1,"ERRO: chave duplicada",IF(COUNTIFS(DISCIPLINAS!$A$5:$A$101,B1095,DISCIPLINAS!$B$5:$B$101,C1095)=0,"ERRO: disciplina não pertence ao curso","OK")))))</f>
        <v/>
      </c>
    </row>
    <row r="1096" ht="15" customHeight="1" s="131">
      <c r="A1096" s="220" t="n"/>
      <c r="B1096" s="222" t="n"/>
      <c r="C1096" s="222" t="n"/>
      <c r="D1096" s="220" t="n"/>
      <c r="E1096" s="220" t="n"/>
      <c r="F1096" s="181">
        <f>IFERROR(E1096/D1096,"")</f>
        <v/>
      </c>
      <c r="G1096" s="219" t="n"/>
      <c r="H1096" s="220" t="n"/>
      <c r="I1096" s="221">
        <f>IF(COUNTA(A1096:E1096)=0,"",IF(OR(D1096&lt;=0,E1096&lt;0),"ERRO: bases inválidas",IF(E1096&gt;D1096,"ERRO: presenças acima do previsto",IF(COUNTIFS($A$5:$A$1200,A1096,$B$5:$B$1200,B1096,$C$5:$C$1200,C1096)&gt;1,"ERRO: chave duplicada",IF(COUNTIFS(DISCIPLINAS!$A$5:$A$101,B1096,DISCIPLINAS!$B$5:$B$101,C1096)=0,"ERRO: disciplina não pertence ao curso","OK")))))</f>
        <v/>
      </c>
    </row>
    <row r="1097" ht="15" customHeight="1" s="131">
      <c r="A1097" s="220" t="n"/>
      <c r="B1097" s="222" t="n"/>
      <c r="C1097" s="222" t="n"/>
      <c r="D1097" s="220" t="n"/>
      <c r="E1097" s="220" t="n"/>
      <c r="F1097" s="181">
        <f>IFERROR(E1097/D1097,"")</f>
        <v/>
      </c>
      <c r="G1097" s="219" t="n"/>
      <c r="H1097" s="220" t="n"/>
      <c r="I1097" s="221">
        <f>IF(COUNTA(A1097:E1097)=0,"",IF(OR(D1097&lt;=0,E1097&lt;0),"ERRO: bases inválidas",IF(E1097&gt;D1097,"ERRO: presenças acima do previsto",IF(COUNTIFS($A$5:$A$1200,A1097,$B$5:$B$1200,B1097,$C$5:$C$1200,C1097)&gt;1,"ERRO: chave duplicada",IF(COUNTIFS(DISCIPLINAS!$A$5:$A$101,B1097,DISCIPLINAS!$B$5:$B$101,C1097)=0,"ERRO: disciplina não pertence ao curso","OK")))))</f>
        <v/>
      </c>
    </row>
    <row r="1098" ht="15" customHeight="1" s="131">
      <c r="A1098" s="220" t="n"/>
      <c r="B1098" s="222" t="n"/>
      <c r="C1098" s="222" t="n"/>
      <c r="D1098" s="220" t="n"/>
      <c r="E1098" s="220" t="n"/>
      <c r="F1098" s="181">
        <f>IFERROR(E1098/D1098,"")</f>
        <v/>
      </c>
      <c r="G1098" s="219" t="n"/>
      <c r="H1098" s="220" t="n"/>
      <c r="I1098" s="221">
        <f>IF(COUNTA(A1098:E1098)=0,"",IF(OR(D1098&lt;=0,E1098&lt;0),"ERRO: bases inválidas",IF(E1098&gt;D1098,"ERRO: presenças acima do previsto",IF(COUNTIFS($A$5:$A$1200,A1098,$B$5:$B$1200,B1098,$C$5:$C$1200,C1098)&gt;1,"ERRO: chave duplicada",IF(COUNTIFS(DISCIPLINAS!$A$5:$A$101,B1098,DISCIPLINAS!$B$5:$B$101,C1098)=0,"ERRO: disciplina não pertence ao curso","OK")))))</f>
        <v/>
      </c>
    </row>
    <row r="1099" ht="15" customHeight="1" s="131">
      <c r="A1099" s="220" t="n"/>
      <c r="B1099" s="222" t="n"/>
      <c r="C1099" s="222" t="n"/>
      <c r="D1099" s="220" t="n"/>
      <c r="E1099" s="220" t="n"/>
      <c r="F1099" s="181">
        <f>IFERROR(E1099/D1099,"")</f>
        <v/>
      </c>
      <c r="G1099" s="219" t="n"/>
      <c r="H1099" s="220" t="n"/>
      <c r="I1099" s="221">
        <f>IF(COUNTA(A1099:E1099)=0,"",IF(OR(D1099&lt;=0,E1099&lt;0),"ERRO: bases inválidas",IF(E1099&gt;D1099,"ERRO: presenças acima do previsto",IF(COUNTIFS($A$5:$A$1200,A1099,$B$5:$B$1200,B1099,$C$5:$C$1200,C1099)&gt;1,"ERRO: chave duplicada",IF(COUNTIFS(DISCIPLINAS!$A$5:$A$101,B1099,DISCIPLINAS!$B$5:$B$101,C1099)=0,"ERRO: disciplina não pertence ao curso","OK")))))</f>
        <v/>
      </c>
    </row>
    <row r="1100" ht="15" customHeight="1" s="131">
      <c r="A1100" s="220" t="n"/>
      <c r="B1100" s="222" t="n"/>
      <c r="C1100" s="222" t="n"/>
      <c r="D1100" s="220" t="n"/>
      <c r="E1100" s="220" t="n"/>
      <c r="F1100" s="181">
        <f>IFERROR(E1100/D1100,"")</f>
        <v/>
      </c>
      <c r="G1100" s="219" t="n"/>
      <c r="H1100" s="220" t="n"/>
      <c r="I1100" s="221">
        <f>IF(COUNTA(A1100:E1100)=0,"",IF(OR(D1100&lt;=0,E1100&lt;0),"ERRO: bases inválidas",IF(E1100&gt;D1100,"ERRO: presenças acima do previsto",IF(COUNTIFS($A$5:$A$1200,A1100,$B$5:$B$1200,B1100,$C$5:$C$1200,C1100)&gt;1,"ERRO: chave duplicada",IF(COUNTIFS(DISCIPLINAS!$A$5:$A$101,B1100,DISCIPLINAS!$B$5:$B$101,C1100)=0,"ERRO: disciplina não pertence ao curso","OK")))))</f>
        <v/>
      </c>
    </row>
    <row r="1101" ht="15" customHeight="1" s="131">
      <c r="A1101" s="220" t="n"/>
      <c r="B1101" s="222" t="n"/>
      <c r="C1101" s="222" t="n"/>
      <c r="D1101" s="220" t="n"/>
      <c r="E1101" s="220" t="n"/>
      <c r="F1101" s="181">
        <f>IFERROR(E1101/D1101,"")</f>
        <v/>
      </c>
      <c r="G1101" s="219" t="n"/>
      <c r="H1101" s="220" t="n"/>
      <c r="I1101" s="221">
        <f>IF(COUNTA(A1101:E1101)=0,"",IF(OR(D1101&lt;=0,E1101&lt;0),"ERRO: bases inválidas",IF(E1101&gt;D1101,"ERRO: presenças acima do previsto",IF(COUNTIFS($A$5:$A$1200,A1101,$B$5:$B$1200,B1101,$C$5:$C$1200,C1101)&gt;1,"ERRO: chave duplicada",IF(COUNTIFS(DISCIPLINAS!$A$5:$A$101,B1101,DISCIPLINAS!$B$5:$B$101,C1101)=0,"ERRO: disciplina não pertence ao curso","OK")))))</f>
        <v/>
      </c>
    </row>
    <row r="1102" ht="15" customHeight="1" s="131">
      <c r="A1102" s="220" t="n"/>
      <c r="B1102" s="222" t="n"/>
      <c r="C1102" s="222" t="n"/>
      <c r="D1102" s="220" t="n"/>
      <c r="E1102" s="220" t="n"/>
      <c r="F1102" s="181">
        <f>IFERROR(E1102/D1102,"")</f>
        <v/>
      </c>
      <c r="G1102" s="219" t="n"/>
      <c r="H1102" s="220" t="n"/>
      <c r="I1102" s="221">
        <f>IF(COUNTA(A1102:E1102)=0,"",IF(OR(D1102&lt;=0,E1102&lt;0),"ERRO: bases inválidas",IF(E1102&gt;D1102,"ERRO: presenças acima do previsto",IF(COUNTIFS($A$5:$A$1200,A1102,$B$5:$B$1200,B1102,$C$5:$C$1200,C1102)&gt;1,"ERRO: chave duplicada",IF(COUNTIFS(DISCIPLINAS!$A$5:$A$101,B1102,DISCIPLINAS!$B$5:$B$101,C1102)=0,"ERRO: disciplina não pertence ao curso","OK")))))</f>
        <v/>
      </c>
    </row>
    <row r="1103" ht="15" customHeight="1" s="131">
      <c r="A1103" s="220" t="n"/>
      <c r="B1103" s="222" t="n"/>
      <c r="C1103" s="222" t="n"/>
      <c r="D1103" s="220" t="n"/>
      <c r="E1103" s="220" t="n"/>
      <c r="F1103" s="181">
        <f>IFERROR(E1103/D1103,"")</f>
        <v/>
      </c>
      <c r="G1103" s="219" t="n"/>
      <c r="H1103" s="220" t="n"/>
      <c r="I1103" s="221">
        <f>IF(COUNTA(A1103:E1103)=0,"",IF(OR(D1103&lt;=0,E1103&lt;0),"ERRO: bases inválidas",IF(E1103&gt;D1103,"ERRO: presenças acima do previsto",IF(COUNTIFS($A$5:$A$1200,A1103,$B$5:$B$1200,B1103,$C$5:$C$1200,C1103)&gt;1,"ERRO: chave duplicada",IF(COUNTIFS(DISCIPLINAS!$A$5:$A$101,B1103,DISCIPLINAS!$B$5:$B$101,C1103)=0,"ERRO: disciplina não pertence ao curso","OK")))))</f>
        <v/>
      </c>
    </row>
    <row r="1104" ht="15" customHeight="1" s="131">
      <c r="A1104" s="220" t="n"/>
      <c r="B1104" s="222" t="n"/>
      <c r="C1104" s="222" t="n"/>
      <c r="D1104" s="220" t="n"/>
      <c r="E1104" s="220" t="n"/>
      <c r="F1104" s="181">
        <f>IFERROR(E1104/D1104,"")</f>
        <v/>
      </c>
      <c r="G1104" s="219" t="n"/>
      <c r="H1104" s="220" t="n"/>
      <c r="I1104" s="221">
        <f>IF(COUNTA(A1104:E1104)=0,"",IF(OR(D1104&lt;=0,E1104&lt;0),"ERRO: bases inválidas",IF(E1104&gt;D1104,"ERRO: presenças acima do previsto",IF(COUNTIFS($A$5:$A$1200,A1104,$B$5:$B$1200,B1104,$C$5:$C$1200,C1104)&gt;1,"ERRO: chave duplicada",IF(COUNTIFS(DISCIPLINAS!$A$5:$A$101,B1104,DISCIPLINAS!$B$5:$B$101,C1104)=0,"ERRO: disciplina não pertence ao curso","OK")))))</f>
        <v/>
      </c>
    </row>
    <row r="1105" ht="15" customHeight="1" s="131">
      <c r="A1105" s="220" t="n"/>
      <c r="B1105" s="222" t="n"/>
      <c r="C1105" s="222" t="n"/>
      <c r="D1105" s="220" t="n"/>
      <c r="E1105" s="220" t="n"/>
      <c r="F1105" s="181">
        <f>IFERROR(E1105/D1105,"")</f>
        <v/>
      </c>
      <c r="G1105" s="219" t="n"/>
      <c r="H1105" s="220" t="n"/>
      <c r="I1105" s="221">
        <f>IF(COUNTA(A1105:E1105)=0,"",IF(OR(D1105&lt;=0,E1105&lt;0),"ERRO: bases inválidas",IF(E1105&gt;D1105,"ERRO: presenças acima do previsto",IF(COUNTIFS($A$5:$A$1200,A1105,$B$5:$B$1200,B1105,$C$5:$C$1200,C1105)&gt;1,"ERRO: chave duplicada",IF(COUNTIFS(DISCIPLINAS!$A$5:$A$101,B1105,DISCIPLINAS!$B$5:$B$101,C1105)=0,"ERRO: disciplina não pertence ao curso","OK")))))</f>
        <v/>
      </c>
    </row>
    <row r="1106" ht="15" customHeight="1" s="131">
      <c r="A1106" s="220" t="n"/>
      <c r="B1106" s="222" t="n"/>
      <c r="C1106" s="222" t="n"/>
      <c r="D1106" s="220" t="n"/>
      <c r="E1106" s="220" t="n"/>
      <c r="F1106" s="181">
        <f>IFERROR(E1106/D1106,"")</f>
        <v/>
      </c>
      <c r="G1106" s="219" t="n"/>
      <c r="H1106" s="220" t="n"/>
      <c r="I1106" s="221">
        <f>IF(COUNTA(A1106:E1106)=0,"",IF(OR(D1106&lt;=0,E1106&lt;0),"ERRO: bases inválidas",IF(E1106&gt;D1106,"ERRO: presenças acima do previsto",IF(COUNTIFS($A$5:$A$1200,A1106,$B$5:$B$1200,B1106,$C$5:$C$1200,C1106)&gt;1,"ERRO: chave duplicada",IF(COUNTIFS(DISCIPLINAS!$A$5:$A$101,B1106,DISCIPLINAS!$B$5:$B$101,C1106)=0,"ERRO: disciplina não pertence ao curso","OK")))))</f>
        <v/>
      </c>
    </row>
    <row r="1107" ht="15" customHeight="1" s="131">
      <c r="A1107" s="220" t="n"/>
      <c r="B1107" s="222" t="n"/>
      <c r="C1107" s="222" t="n"/>
      <c r="D1107" s="220" t="n"/>
      <c r="E1107" s="220" t="n"/>
      <c r="F1107" s="181">
        <f>IFERROR(E1107/D1107,"")</f>
        <v/>
      </c>
      <c r="G1107" s="219" t="n"/>
      <c r="H1107" s="220" t="n"/>
      <c r="I1107" s="221">
        <f>IF(COUNTA(A1107:E1107)=0,"",IF(OR(D1107&lt;=0,E1107&lt;0),"ERRO: bases inválidas",IF(E1107&gt;D1107,"ERRO: presenças acima do previsto",IF(COUNTIFS($A$5:$A$1200,A1107,$B$5:$B$1200,B1107,$C$5:$C$1200,C1107)&gt;1,"ERRO: chave duplicada",IF(COUNTIFS(DISCIPLINAS!$A$5:$A$101,B1107,DISCIPLINAS!$B$5:$B$101,C1107)=0,"ERRO: disciplina não pertence ao curso","OK")))))</f>
        <v/>
      </c>
    </row>
    <row r="1108" ht="15" customHeight="1" s="131">
      <c r="A1108" s="220" t="n"/>
      <c r="B1108" s="222" t="n"/>
      <c r="C1108" s="222" t="n"/>
      <c r="D1108" s="220" t="n"/>
      <c r="E1108" s="220" t="n"/>
      <c r="F1108" s="181">
        <f>IFERROR(E1108/D1108,"")</f>
        <v/>
      </c>
      <c r="G1108" s="219" t="n"/>
      <c r="H1108" s="220" t="n"/>
      <c r="I1108" s="221">
        <f>IF(COUNTA(A1108:E1108)=0,"",IF(OR(D1108&lt;=0,E1108&lt;0),"ERRO: bases inválidas",IF(E1108&gt;D1108,"ERRO: presenças acima do previsto",IF(COUNTIFS($A$5:$A$1200,A1108,$B$5:$B$1200,B1108,$C$5:$C$1200,C1108)&gt;1,"ERRO: chave duplicada",IF(COUNTIFS(DISCIPLINAS!$A$5:$A$101,B1108,DISCIPLINAS!$B$5:$B$101,C1108)=0,"ERRO: disciplina não pertence ao curso","OK")))))</f>
        <v/>
      </c>
    </row>
    <row r="1109" ht="15" customHeight="1" s="131">
      <c r="A1109" s="220" t="n"/>
      <c r="B1109" s="222" t="n"/>
      <c r="C1109" s="222" t="n"/>
      <c r="D1109" s="220" t="n"/>
      <c r="E1109" s="220" t="n"/>
      <c r="F1109" s="181">
        <f>IFERROR(E1109/D1109,"")</f>
        <v/>
      </c>
      <c r="G1109" s="219" t="n"/>
      <c r="H1109" s="220" t="n"/>
      <c r="I1109" s="221">
        <f>IF(COUNTA(A1109:E1109)=0,"",IF(OR(D1109&lt;=0,E1109&lt;0),"ERRO: bases inválidas",IF(E1109&gt;D1109,"ERRO: presenças acima do previsto",IF(COUNTIFS($A$5:$A$1200,A1109,$B$5:$B$1200,B1109,$C$5:$C$1200,C1109)&gt;1,"ERRO: chave duplicada",IF(COUNTIFS(DISCIPLINAS!$A$5:$A$101,B1109,DISCIPLINAS!$B$5:$B$101,C1109)=0,"ERRO: disciplina não pertence ao curso","OK")))))</f>
        <v/>
      </c>
    </row>
    <row r="1110" ht="15" customHeight="1" s="131">
      <c r="A1110" s="220" t="n"/>
      <c r="B1110" s="222" t="n"/>
      <c r="C1110" s="222" t="n"/>
      <c r="D1110" s="220" t="n"/>
      <c r="E1110" s="220" t="n"/>
      <c r="F1110" s="181">
        <f>IFERROR(E1110/D1110,"")</f>
        <v/>
      </c>
      <c r="G1110" s="219" t="n"/>
      <c r="H1110" s="220" t="n"/>
      <c r="I1110" s="221">
        <f>IF(COUNTA(A1110:E1110)=0,"",IF(OR(D1110&lt;=0,E1110&lt;0),"ERRO: bases inválidas",IF(E1110&gt;D1110,"ERRO: presenças acima do previsto",IF(COUNTIFS($A$5:$A$1200,A1110,$B$5:$B$1200,B1110,$C$5:$C$1200,C1110)&gt;1,"ERRO: chave duplicada",IF(COUNTIFS(DISCIPLINAS!$A$5:$A$101,B1110,DISCIPLINAS!$B$5:$B$101,C1110)=0,"ERRO: disciplina não pertence ao curso","OK")))))</f>
        <v/>
      </c>
    </row>
    <row r="1111" ht="15" customHeight="1" s="131">
      <c r="A1111" s="220" t="n"/>
      <c r="B1111" s="222" t="n"/>
      <c r="C1111" s="222" t="n"/>
      <c r="D1111" s="220" t="n"/>
      <c r="E1111" s="220" t="n"/>
      <c r="F1111" s="181">
        <f>IFERROR(E1111/D1111,"")</f>
        <v/>
      </c>
      <c r="G1111" s="219" t="n"/>
      <c r="H1111" s="220" t="n"/>
      <c r="I1111" s="221">
        <f>IF(COUNTA(A1111:E1111)=0,"",IF(OR(D1111&lt;=0,E1111&lt;0),"ERRO: bases inválidas",IF(E1111&gt;D1111,"ERRO: presenças acima do previsto",IF(COUNTIFS($A$5:$A$1200,A1111,$B$5:$B$1200,B1111,$C$5:$C$1200,C1111)&gt;1,"ERRO: chave duplicada",IF(COUNTIFS(DISCIPLINAS!$A$5:$A$101,B1111,DISCIPLINAS!$B$5:$B$101,C1111)=0,"ERRO: disciplina não pertence ao curso","OK")))))</f>
        <v/>
      </c>
    </row>
    <row r="1112" ht="15" customHeight="1" s="131">
      <c r="A1112" s="220" t="n"/>
      <c r="B1112" s="222" t="n"/>
      <c r="C1112" s="222" t="n"/>
      <c r="D1112" s="220" t="n"/>
      <c r="E1112" s="220" t="n"/>
      <c r="F1112" s="181">
        <f>IFERROR(E1112/D1112,"")</f>
        <v/>
      </c>
      <c r="G1112" s="219" t="n"/>
      <c r="H1112" s="220" t="n"/>
      <c r="I1112" s="221">
        <f>IF(COUNTA(A1112:E1112)=0,"",IF(OR(D1112&lt;=0,E1112&lt;0),"ERRO: bases inválidas",IF(E1112&gt;D1112,"ERRO: presenças acima do previsto",IF(COUNTIFS($A$5:$A$1200,A1112,$B$5:$B$1200,B1112,$C$5:$C$1200,C1112)&gt;1,"ERRO: chave duplicada",IF(COUNTIFS(DISCIPLINAS!$A$5:$A$101,B1112,DISCIPLINAS!$B$5:$B$101,C1112)=0,"ERRO: disciplina não pertence ao curso","OK")))))</f>
        <v/>
      </c>
    </row>
    <row r="1113" ht="15" customHeight="1" s="131">
      <c r="A1113" s="220" t="n"/>
      <c r="B1113" s="222" t="n"/>
      <c r="C1113" s="222" t="n"/>
      <c r="D1113" s="220" t="n"/>
      <c r="E1113" s="220" t="n"/>
      <c r="F1113" s="181">
        <f>IFERROR(E1113/D1113,"")</f>
        <v/>
      </c>
      <c r="G1113" s="219" t="n"/>
      <c r="H1113" s="220" t="n"/>
      <c r="I1113" s="221">
        <f>IF(COUNTA(A1113:E1113)=0,"",IF(OR(D1113&lt;=0,E1113&lt;0),"ERRO: bases inválidas",IF(E1113&gt;D1113,"ERRO: presenças acima do previsto",IF(COUNTIFS($A$5:$A$1200,A1113,$B$5:$B$1200,B1113,$C$5:$C$1200,C1113)&gt;1,"ERRO: chave duplicada",IF(COUNTIFS(DISCIPLINAS!$A$5:$A$101,B1113,DISCIPLINAS!$B$5:$B$101,C1113)=0,"ERRO: disciplina não pertence ao curso","OK")))))</f>
        <v/>
      </c>
    </row>
    <row r="1114" ht="15" customHeight="1" s="131">
      <c r="A1114" s="220" t="n"/>
      <c r="B1114" s="222" t="n"/>
      <c r="C1114" s="222" t="n"/>
      <c r="D1114" s="220" t="n"/>
      <c r="E1114" s="220" t="n"/>
      <c r="F1114" s="181">
        <f>IFERROR(E1114/D1114,"")</f>
        <v/>
      </c>
      <c r="G1114" s="219" t="n"/>
      <c r="H1114" s="220" t="n"/>
      <c r="I1114" s="221">
        <f>IF(COUNTA(A1114:E1114)=0,"",IF(OR(D1114&lt;=0,E1114&lt;0),"ERRO: bases inválidas",IF(E1114&gt;D1114,"ERRO: presenças acima do previsto",IF(COUNTIFS($A$5:$A$1200,A1114,$B$5:$B$1200,B1114,$C$5:$C$1200,C1114)&gt;1,"ERRO: chave duplicada",IF(COUNTIFS(DISCIPLINAS!$A$5:$A$101,B1114,DISCIPLINAS!$B$5:$B$101,C1114)=0,"ERRO: disciplina não pertence ao curso","OK")))))</f>
        <v/>
      </c>
    </row>
    <row r="1115" ht="15" customHeight="1" s="131">
      <c r="A1115" s="220" t="n"/>
      <c r="B1115" s="222" t="n"/>
      <c r="C1115" s="222" t="n"/>
      <c r="D1115" s="220" t="n"/>
      <c r="E1115" s="220" t="n"/>
      <c r="F1115" s="181">
        <f>IFERROR(E1115/D1115,"")</f>
        <v/>
      </c>
      <c r="G1115" s="219" t="n"/>
      <c r="H1115" s="220" t="n"/>
      <c r="I1115" s="221">
        <f>IF(COUNTA(A1115:E1115)=0,"",IF(OR(D1115&lt;=0,E1115&lt;0),"ERRO: bases inválidas",IF(E1115&gt;D1115,"ERRO: presenças acima do previsto",IF(COUNTIFS($A$5:$A$1200,A1115,$B$5:$B$1200,B1115,$C$5:$C$1200,C1115)&gt;1,"ERRO: chave duplicada",IF(COUNTIFS(DISCIPLINAS!$A$5:$A$101,B1115,DISCIPLINAS!$B$5:$B$101,C1115)=0,"ERRO: disciplina não pertence ao curso","OK")))))</f>
        <v/>
      </c>
    </row>
    <row r="1116" ht="15" customHeight="1" s="131">
      <c r="A1116" s="220" t="n"/>
      <c r="B1116" s="222" t="n"/>
      <c r="C1116" s="222" t="n"/>
      <c r="D1116" s="220" t="n"/>
      <c r="E1116" s="220" t="n"/>
      <c r="F1116" s="181">
        <f>IFERROR(E1116/D1116,"")</f>
        <v/>
      </c>
      <c r="G1116" s="219" t="n"/>
      <c r="H1116" s="220" t="n"/>
      <c r="I1116" s="221">
        <f>IF(COUNTA(A1116:E1116)=0,"",IF(OR(D1116&lt;=0,E1116&lt;0),"ERRO: bases inválidas",IF(E1116&gt;D1116,"ERRO: presenças acima do previsto",IF(COUNTIFS($A$5:$A$1200,A1116,$B$5:$B$1200,B1116,$C$5:$C$1200,C1116)&gt;1,"ERRO: chave duplicada",IF(COUNTIFS(DISCIPLINAS!$A$5:$A$101,B1116,DISCIPLINAS!$B$5:$B$101,C1116)=0,"ERRO: disciplina não pertence ao curso","OK")))))</f>
        <v/>
      </c>
    </row>
    <row r="1117" ht="15" customHeight="1" s="131">
      <c r="A1117" s="220" t="n"/>
      <c r="B1117" s="222" t="n"/>
      <c r="C1117" s="222" t="n"/>
      <c r="D1117" s="220" t="n"/>
      <c r="E1117" s="220" t="n"/>
      <c r="F1117" s="181">
        <f>IFERROR(E1117/D1117,"")</f>
        <v/>
      </c>
      <c r="G1117" s="219" t="n"/>
      <c r="H1117" s="220" t="n"/>
      <c r="I1117" s="221">
        <f>IF(COUNTA(A1117:E1117)=0,"",IF(OR(D1117&lt;=0,E1117&lt;0),"ERRO: bases inválidas",IF(E1117&gt;D1117,"ERRO: presenças acima do previsto",IF(COUNTIFS($A$5:$A$1200,A1117,$B$5:$B$1200,B1117,$C$5:$C$1200,C1117)&gt;1,"ERRO: chave duplicada",IF(COUNTIFS(DISCIPLINAS!$A$5:$A$101,B1117,DISCIPLINAS!$B$5:$B$101,C1117)=0,"ERRO: disciplina não pertence ao curso","OK")))))</f>
        <v/>
      </c>
    </row>
    <row r="1118" ht="15" customHeight="1" s="131">
      <c r="A1118" s="220" t="n"/>
      <c r="B1118" s="222" t="n"/>
      <c r="C1118" s="222" t="n"/>
      <c r="D1118" s="220" t="n"/>
      <c r="E1118" s="220" t="n"/>
      <c r="F1118" s="181">
        <f>IFERROR(E1118/D1118,"")</f>
        <v/>
      </c>
      <c r="G1118" s="219" t="n"/>
      <c r="H1118" s="220" t="n"/>
      <c r="I1118" s="221">
        <f>IF(COUNTA(A1118:E1118)=0,"",IF(OR(D1118&lt;=0,E1118&lt;0),"ERRO: bases inválidas",IF(E1118&gt;D1118,"ERRO: presenças acima do previsto",IF(COUNTIFS($A$5:$A$1200,A1118,$B$5:$B$1200,B1118,$C$5:$C$1200,C1118)&gt;1,"ERRO: chave duplicada",IF(COUNTIFS(DISCIPLINAS!$A$5:$A$101,B1118,DISCIPLINAS!$B$5:$B$101,C1118)=0,"ERRO: disciplina não pertence ao curso","OK")))))</f>
        <v/>
      </c>
    </row>
    <row r="1119" ht="15" customHeight="1" s="131">
      <c r="A1119" s="220" t="n"/>
      <c r="B1119" s="222" t="n"/>
      <c r="C1119" s="222" t="n"/>
      <c r="D1119" s="220" t="n"/>
      <c r="E1119" s="220" t="n"/>
      <c r="F1119" s="181">
        <f>IFERROR(E1119/D1119,"")</f>
        <v/>
      </c>
      <c r="G1119" s="219" t="n"/>
      <c r="H1119" s="220" t="n"/>
      <c r="I1119" s="221">
        <f>IF(COUNTA(A1119:E1119)=0,"",IF(OR(D1119&lt;=0,E1119&lt;0),"ERRO: bases inválidas",IF(E1119&gt;D1119,"ERRO: presenças acima do previsto",IF(COUNTIFS($A$5:$A$1200,A1119,$B$5:$B$1200,B1119,$C$5:$C$1200,C1119)&gt;1,"ERRO: chave duplicada",IF(COUNTIFS(DISCIPLINAS!$A$5:$A$101,B1119,DISCIPLINAS!$B$5:$B$101,C1119)=0,"ERRO: disciplina não pertence ao curso","OK")))))</f>
        <v/>
      </c>
    </row>
    <row r="1120" ht="15" customHeight="1" s="131">
      <c r="A1120" s="220" t="n"/>
      <c r="B1120" s="222" t="n"/>
      <c r="C1120" s="222" t="n"/>
      <c r="D1120" s="220" t="n"/>
      <c r="E1120" s="220" t="n"/>
      <c r="F1120" s="181">
        <f>IFERROR(E1120/D1120,"")</f>
        <v/>
      </c>
      <c r="G1120" s="219" t="n"/>
      <c r="H1120" s="220" t="n"/>
      <c r="I1120" s="221">
        <f>IF(COUNTA(A1120:E1120)=0,"",IF(OR(D1120&lt;=0,E1120&lt;0),"ERRO: bases inválidas",IF(E1120&gt;D1120,"ERRO: presenças acima do previsto",IF(COUNTIFS($A$5:$A$1200,A1120,$B$5:$B$1200,B1120,$C$5:$C$1200,C1120)&gt;1,"ERRO: chave duplicada",IF(COUNTIFS(DISCIPLINAS!$A$5:$A$101,B1120,DISCIPLINAS!$B$5:$B$101,C1120)=0,"ERRO: disciplina não pertence ao curso","OK")))))</f>
        <v/>
      </c>
    </row>
    <row r="1121" ht="15" customHeight="1" s="131">
      <c r="A1121" s="220" t="n"/>
      <c r="B1121" s="222" t="n"/>
      <c r="C1121" s="222" t="n"/>
      <c r="D1121" s="220" t="n"/>
      <c r="E1121" s="220" t="n"/>
      <c r="F1121" s="181">
        <f>IFERROR(E1121/D1121,"")</f>
        <v/>
      </c>
      <c r="G1121" s="219" t="n"/>
      <c r="H1121" s="220" t="n"/>
      <c r="I1121" s="221">
        <f>IF(COUNTA(A1121:E1121)=0,"",IF(OR(D1121&lt;=0,E1121&lt;0),"ERRO: bases inválidas",IF(E1121&gt;D1121,"ERRO: presenças acima do previsto",IF(COUNTIFS($A$5:$A$1200,A1121,$B$5:$B$1200,B1121,$C$5:$C$1200,C1121)&gt;1,"ERRO: chave duplicada",IF(COUNTIFS(DISCIPLINAS!$A$5:$A$101,B1121,DISCIPLINAS!$B$5:$B$101,C1121)=0,"ERRO: disciplina não pertence ao curso","OK")))))</f>
        <v/>
      </c>
    </row>
    <row r="1122" ht="15" customHeight="1" s="131">
      <c r="A1122" s="220" t="n"/>
      <c r="B1122" s="222" t="n"/>
      <c r="C1122" s="222" t="n"/>
      <c r="D1122" s="220" t="n"/>
      <c r="E1122" s="220" t="n"/>
      <c r="F1122" s="181">
        <f>IFERROR(E1122/D1122,"")</f>
        <v/>
      </c>
      <c r="G1122" s="219" t="n"/>
      <c r="H1122" s="220" t="n"/>
      <c r="I1122" s="221">
        <f>IF(COUNTA(A1122:E1122)=0,"",IF(OR(D1122&lt;=0,E1122&lt;0),"ERRO: bases inválidas",IF(E1122&gt;D1122,"ERRO: presenças acima do previsto",IF(COUNTIFS($A$5:$A$1200,A1122,$B$5:$B$1200,B1122,$C$5:$C$1200,C1122)&gt;1,"ERRO: chave duplicada",IF(COUNTIFS(DISCIPLINAS!$A$5:$A$101,B1122,DISCIPLINAS!$B$5:$B$101,C1122)=0,"ERRO: disciplina não pertence ao curso","OK")))))</f>
        <v/>
      </c>
    </row>
    <row r="1123" ht="15" customHeight="1" s="131">
      <c r="A1123" s="220" t="n"/>
      <c r="B1123" s="222" t="n"/>
      <c r="C1123" s="222" t="n"/>
      <c r="D1123" s="220" t="n"/>
      <c r="E1123" s="220" t="n"/>
      <c r="F1123" s="181">
        <f>IFERROR(E1123/D1123,"")</f>
        <v/>
      </c>
      <c r="G1123" s="219" t="n"/>
      <c r="H1123" s="220" t="n"/>
      <c r="I1123" s="221">
        <f>IF(COUNTA(A1123:E1123)=0,"",IF(OR(D1123&lt;=0,E1123&lt;0),"ERRO: bases inválidas",IF(E1123&gt;D1123,"ERRO: presenças acima do previsto",IF(COUNTIFS($A$5:$A$1200,A1123,$B$5:$B$1200,B1123,$C$5:$C$1200,C1123)&gt;1,"ERRO: chave duplicada",IF(COUNTIFS(DISCIPLINAS!$A$5:$A$101,B1123,DISCIPLINAS!$B$5:$B$101,C1123)=0,"ERRO: disciplina não pertence ao curso","OK")))))</f>
        <v/>
      </c>
    </row>
    <row r="1124" ht="15" customHeight="1" s="131">
      <c r="A1124" s="220" t="n"/>
      <c r="B1124" s="222" t="n"/>
      <c r="C1124" s="222" t="n"/>
      <c r="D1124" s="220" t="n"/>
      <c r="E1124" s="220" t="n"/>
      <c r="F1124" s="181">
        <f>IFERROR(E1124/D1124,"")</f>
        <v/>
      </c>
      <c r="G1124" s="219" t="n"/>
      <c r="H1124" s="220" t="n"/>
      <c r="I1124" s="221">
        <f>IF(COUNTA(A1124:E1124)=0,"",IF(OR(D1124&lt;=0,E1124&lt;0),"ERRO: bases inválidas",IF(E1124&gt;D1124,"ERRO: presenças acima do previsto",IF(COUNTIFS($A$5:$A$1200,A1124,$B$5:$B$1200,B1124,$C$5:$C$1200,C1124)&gt;1,"ERRO: chave duplicada",IF(COUNTIFS(DISCIPLINAS!$A$5:$A$101,B1124,DISCIPLINAS!$B$5:$B$101,C1124)=0,"ERRO: disciplina não pertence ao curso","OK")))))</f>
        <v/>
      </c>
    </row>
    <row r="1125" ht="15" customHeight="1" s="131">
      <c r="A1125" s="220" t="n"/>
      <c r="B1125" s="222" t="n"/>
      <c r="C1125" s="222" t="n"/>
      <c r="D1125" s="220" t="n"/>
      <c r="E1125" s="220" t="n"/>
      <c r="F1125" s="181">
        <f>IFERROR(E1125/D1125,"")</f>
        <v/>
      </c>
      <c r="G1125" s="219" t="n"/>
      <c r="H1125" s="220" t="n"/>
      <c r="I1125" s="221">
        <f>IF(COUNTA(A1125:E1125)=0,"",IF(OR(D1125&lt;=0,E1125&lt;0),"ERRO: bases inválidas",IF(E1125&gt;D1125,"ERRO: presenças acima do previsto",IF(COUNTIFS($A$5:$A$1200,A1125,$B$5:$B$1200,B1125,$C$5:$C$1200,C1125)&gt;1,"ERRO: chave duplicada",IF(COUNTIFS(DISCIPLINAS!$A$5:$A$101,B1125,DISCIPLINAS!$B$5:$B$101,C1125)=0,"ERRO: disciplina não pertence ao curso","OK")))))</f>
        <v/>
      </c>
    </row>
    <row r="1126" ht="15" customHeight="1" s="131">
      <c r="A1126" s="220" t="n"/>
      <c r="B1126" s="222" t="n"/>
      <c r="C1126" s="222" t="n"/>
      <c r="D1126" s="220" t="n"/>
      <c r="E1126" s="220" t="n"/>
      <c r="F1126" s="181">
        <f>IFERROR(E1126/D1126,"")</f>
        <v/>
      </c>
      <c r="G1126" s="219" t="n"/>
      <c r="H1126" s="220" t="n"/>
      <c r="I1126" s="221">
        <f>IF(COUNTA(A1126:E1126)=0,"",IF(OR(D1126&lt;=0,E1126&lt;0),"ERRO: bases inválidas",IF(E1126&gt;D1126,"ERRO: presenças acima do previsto",IF(COUNTIFS($A$5:$A$1200,A1126,$B$5:$B$1200,B1126,$C$5:$C$1200,C1126)&gt;1,"ERRO: chave duplicada",IF(COUNTIFS(DISCIPLINAS!$A$5:$A$101,B1126,DISCIPLINAS!$B$5:$B$101,C1126)=0,"ERRO: disciplina não pertence ao curso","OK")))))</f>
        <v/>
      </c>
    </row>
    <row r="1127" ht="15" customHeight="1" s="131">
      <c r="A1127" s="220" t="n"/>
      <c r="B1127" s="222" t="n"/>
      <c r="C1127" s="222" t="n"/>
      <c r="D1127" s="220" t="n"/>
      <c r="E1127" s="220" t="n"/>
      <c r="F1127" s="181">
        <f>IFERROR(E1127/D1127,"")</f>
        <v/>
      </c>
      <c r="G1127" s="219" t="n"/>
      <c r="H1127" s="220" t="n"/>
      <c r="I1127" s="221">
        <f>IF(COUNTA(A1127:E1127)=0,"",IF(OR(D1127&lt;=0,E1127&lt;0),"ERRO: bases inválidas",IF(E1127&gt;D1127,"ERRO: presenças acima do previsto",IF(COUNTIFS($A$5:$A$1200,A1127,$B$5:$B$1200,B1127,$C$5:$C$1200,C1127)&gt;1,"ERRO: chave duplicada",IF(COUNTIFS(DISCIPLINAS!$A$5:$A$101,B1127,DISCIPLINAS!$B$5:$B$101,C1127)=0,"ERRO: disciplina não pertence ao curso","OK")))))</f>
        <v/>
      </c>
    </row>
    <row r="1128" ht="15" customHeight="1" s="131">
      <c r="A1128" s="220" t="n"/>
      <c r="B1128" s="222" t="n"/>
      <c r="C1128" s="222" t="n"/>
      <c r="D1128" s="220" t="n"/>
      <c r="E1128" s="220" t="n"/>
      <c r="F1128" s="181">
        <f>IFERROR(E1128/D1128,"")</f>
        <v/>
      </c>
      <c r="G1128" s="219" t="n"/>
      <c r="H1128" s="220" t="n"/>
      <c r="I1128" s="221">
        <f>IF(COUNTA(A1128:E1128)=0,"",IF(OR(D1128&lt;=0,E1128&lt;0),"ERRO: bases inválidas",IF(E1128&gt;D1128,"ERRO: presenças acima do previsto",IF(COUNTIFS($A$5:$A$1200,A1128,$B$5:$B$1200,B1128,$C$5:$C$1200,C1128)&gt;1,"ERRO: chave duplicada",IF(COUNTIFS(DISCIPLINAS!$A$5:$A$101,B1128,DISCIPLINAS!$B$5:$B$101,C1128)=0,"ERRO: disciplina não pertence ao curso","OK")))))</f>
        <v/>
      </c>
    </row>
    <row r="1129" ht="15" customHeight="1" s="131">
      <c r="A1129" s="220" t="n"/>
      <c r="B1129" s="222" t="n"/>
      <c r="C1129" s="222" t="n"/>
      <c r="D1129" s="220" t="n"/>
      <c r="E1129" s="220" t="n"/>
      <c r="F1129" s="181">
        <f>IFERROR(E1129/D1129,"")</f>
        <v/>
      </c>
      <c r="G1129" s="219" t="n"/>
      <c r="H1129" s="220" t="n"/>
      <c r="I1129" s="221">
        <f>IF(COUNTA(A1129:E1129)=0,"",IF(OR(D1129&lt;=0,E1129&lt;0),"ERRO: bases inválidas",IF(E1129&gt;D1129,"ERRO: presenças acima do previsto",IF(COUNTIFS($A$5:$A$1200,A1129,$B$5:$B$1200,B1129,$C$5:$C$1200,C1129)&gt;1,"ERRO: chave duplicada",IF(COUNTIFS(DISCIPLINAS!$A$5:$A$101,B1129,DISCIPLINAS!$B$5:$B$101,C1129)=0,"ERRO: disciplina não pertence ao curso","OK")))))</f>
        <v/>
      </c>
    </row>
    <row r="1130" ht="15" customHeight="1" s="131">
      <c r="A1130" s="220" t="n"/>
      <c r="B1130" s="222" t="n"/>
      <c r="C1130" s="222" t="n"/>
      <c r="D1130" s="220" t="n"/>
      <c r="E1130" s="220" t="n"/>
      <c r="F1130" s="181">
        <f>IFERROR(E1130/D1130,"")</f>
        <v/>
      </c>
      <c r="G1130" s="219" t="n"/>
      <c r="H1130" s="220" t="n"/>
      <c r="I1130" s="221">
        <f>IF(COUNTA(A1130:E1130)=0,"",IF(OR(D1130&lt;=0,E1130&lt;0),"ERRO: bases inválidas",IF(E1130&gt;D1130,"ERRO: presenças acima do previsto",IF(COUNTIFS($A$5:$A$1200,A1130,$B$5:$B$1200,B1130,$C$5:$C$1200,C1130)&gt;1,"ERRO: chave duplicada",IF(COUNTIFS(DISCIPLINAS!$A$5:$A$101,B1130,DISCIPLINAS!$B$5:$B$101,C1130)=0,"ERRO: disciplina não pertence ao curso","OK")))))</f>
        <v/>
      </c>
    </row>
    <row r="1131" ht="15" customHeight="1" s="131">
      <c r="A1131" s="220" t="n"/>
      <c r="B1131" s="222" t="n"/>
      <c r="C1131" s="222" t="n"/>
      <c r="D1131" s="220" t="n"/>
      <c r="E1131" s="220" t="n"/>
      <c r="F1131" s="181">
        <f>IFERROR(E1131/D1131,"")</f>
        <v/>
      </c>
      <c r="G1131" s="219" t="n"/>
      <c r="H1131" s="220" t="n"/>
      <c r="I1131" s="221">
        <f>IF(COUNTA(A1131:E1131)=0,"",IF(OR(D1131&lt;=0,E1131&lt;0),"ERRO: bases inválidas",IF(E1131&gt;D1131,"ERRO: presenças acima do previsto",IF(COUNTIFS($A$5:$A$1200,A1131,$B$5:$B$1200,B1131,$C$5:$C$1200,C1131)&gt;1,"ERRO: chave duplicada",IF(COUNTIFS(DISCIPLINAS!$A$5:$A$101,B1131,DISCIPLINAS!$B$5:$B$101,C1131)=0,"ERRO: disciplina não pertence ao curso","OK")))))</f>
        <v/>
      </c>
    </row>
    <row r="1132" ht="15" customHeight="1" s="131">
      <c r="A1132" s="220" t="n"/>
      <c r="B1132" s="222" t="n"/>
      <c r="C1132" s="222" t="n"/>
      <c r="D1132" s="220" t="n"/>
      <c r="E1132" s="220" t="n"/>
      <c r="F1132" s="181">
        <f>IFERROR(E1132/D1132,"")</f>
        <v/>
      </c>
      <c r="G1132" s="219" t="n"/>
      <c r="H1132" s="220" t="n"/>
      <c r="I1132" s="221">
        <f>IF(COUNTA(A1132:E1132)=0,"",IF(OR(D1132&lt;=0,E1132&lt;0),"ERRO: bases inválidas",IF(E1132&gt;D1132,"ERRO: presenças acima do previsto",IF(COUNTIFS($A$5:$A$1200,A1132,$B$5:$B$1200,B1132,$C$5:$C$1200,C1132)&gt;1,"ERRO: chave duplicada",IF(COUNTIFS(DISCIPLINAS!$A$5:$A$101,B1132,DISCIPLINAS!$B$5:$B$101,C1132)=0,"ERRO: disciplina não pertence ao curso","OK")))))</f>
        <v/>
      </c>
    </row>
    <row r="1133" ht="15" customHeight="1" s="131">
      <c r="A1133" s="220" t="n"/>
      <c r="B1133" s="222" t="n"/>
      <c r="C1133" s="222" t="n"/>
      <c r="D1133" s="220" t="n"/>
      <c r="E1133" s="220" t="n"/>
      <c r="F1133" s="181">
        <f>IFERROR(E1133/D1133,"")</f>
        <v/>
      </c>
      <c r="G1133" s="219" t="n"/>
      <c r="H1133" s="220" t="n"/>
      <c r="I1133" s="221">
        <f>IF(COUNTA(A1133:E1133)=0,"",IF(OR(D1133&lt;=0,E1133&lt;0),"ERRO: bases inválidas",IF(E1133&gt;D1133,"ERRO: presenças acima do previsto",IF(COUNTIFS($A$5:$A$1200,A1133,$B$5:$B$1200,B1133,$C$5:$C$1200,C1133)&gt;1,"ERRO: chave duplicada",IF(COUNTIFS(DISCIPLINAS!$A$5:$A$101,B1133,DISCIPLINAS!$B$5:$B$101,C1133)=0,"ERRO: disciplina não pertence ao curso","OK")))))</f>
        <v/>
      </c>
    </row>
    <row r="1134" ht="15" customHeight="1" s="131">
      <c r="A1134" s="220" t="n"/>
      <c r="B1134" s="222" t="n"/>
      <c r="C1134" s="222" t="n"/>
      <c r="D1134" s="220" t="n"/>
      <c r="E1134" s="220" t="n"/>
      <c r="F1134" s="181">
        <f>IFERROR(E1134/D1134,"")</f>
        <v/>
      </c>
      <c r="G1134" s="219" t="n"/>
      <c r="H1134" s="220" t="n"/>
      <c r="I1134" s="221">
        <f>IF(COUNTA(A1134:E1134)=0,"",IF(OR(D1134&lt;=0,E1134&lt;0),"ERRO: bases inválidas",IF(E1134&gt;D1134,"ERRO: presenças acima do previsto",IF(COUNTIFS($A$5:$A$1200,A1134,$B$5:$B$1200,B1134,$C$5:$C$1200,C1134)&gt;1,"ERRO: chave duplicada",IF(COUNTIFS(DISCIPLINAS!$A$5:$A$101,B1134,DISCIPLINAS!$B$5:$B$101,C1134)=0,"ERRO: disciplina não pertence ao curso","OK")))))</f>
        <v/>
      </c>
    </row>
    <row r="1135" ht="15" customHeight="1" s="131">
      <c r="A1135" s="220" t="n"/>
      <c r="B1135" s="222" t="n"/>
      <c r="C1135" s="222" t="n"/>
      <c r="D1135" s="220" t="n"/>
      <c r="E1135" s="220" t="n"/>
      <c r="F1135" s="181">
        <f>IFERROR(E1135/D1135,"")</f>
        <v/>
      </c>
      <c r="G1135" s="219" t="n"/>
      <c r="H1135" s="220" t="n"/>
      <c r="I1135" s="221">
        <f>IF(COUNTA(A1135:E1135)=0,"",IF(OR(D1135&lt;=0,E1135&lt;0),"ERRO: bases inválidas",IF(E1135&gt;D1135,"ERRO: presenças acima do previsto",IF(COUNTIFS($A$5:$A$1200,A1135,$B$5:$B$1200,B1135,$C$5:$C$1200,C1135)&gt;1,"ERRO: chave duplicada",IF(COUNTIFS(DISCIPLINAS!$A$5:$A$101,B1135,DISCIPLINAS!$B$5:$B$101,C1135)=0,"ERRO: disciplina não pertence ao curso","OK")))))</f>
        <v/>
      </c>
    </row>
    <row r="1136" ht="15" customHeight="1" s="131">
      <c r="A1136" s="220" t="n"/>
      <c r="B1136" s="222" t="n"/>
      <c r="C1136" s="222" t="n"/>
      <c r="D1136" s="220" t="n"/>
      <c r="E1136" s="220" t="n"/>
      <c r="F1136" s="181">
        <f>IFERROR(E1136/D1136,"")</f>
        <v/>
      </c>
      <c r="G1136" s="219" t="n"/>
      <c r="H1136" s="220" t="n"/>
      <c r="I1136" s="221">
        <f>IF(COUNTA(A1136:E1136)=0,"",IF(OR(D1136&lt;=0,E1136&lt;0),"ERRO: bases inválidas",IF(E1136&gt;D1136,"ERRO: presenças acima do previsto",IF(COUNTIFS($A$5:$A$1200,A1136,$B$5:$B$1200,B1136,$C$5:$C$1200,C1136)&gt;1,"ERRO: chave duplicada",IF(COUNTIFS(DISCIPLINAS!$A$5:$A$101,B1136,DISCIPLINAS!$B$5:$B$101,C1136)=0,"ERRO: disciplina não pertence ao curso","OK")))))</f>
        <v/>
      </c>
    </row>
    <row r="1137" ht="15" customHeight="1" s="131">
      <c r="A1137" s="220" t="n"/>
      <c r="B1137" s="222" t="n"/>
      <c r="C1137" s="222" t="n"/>
      <c r="D1137" s="220" t="n"/>
      <c r="E1137" s="220" t="n"/>
      <c r="F1137" s="181">
        <f>IFERROR(E1137/D1137,"")</f>
        <v/>
      </c>
      <c r="G1137" s="219" t="n"/>
      <c r="H1137" s="220" t="n"/>
      <c r="I1137" s="221">
        <f>IF(COUNTA(A1137:E1137)=0,"",IF(OR(D1137&lt;=0,E1137&lt;0),"ERRO: bases inválidas",IF(E1137&gt;D1137,"ERRO: presenças acima do previsto",IF(COUNTIFS($A$5:$A$1200,A1137,$B$5:$B$1200,B1137,$C$5:$C$1200,C1137)&gt;1,"ERRO: chave duplicada",IF(COUNTIFS(DISCIPLINAS!$A$5:$A$101,B1137,DISCIPLINAS!$B$5:$B$101,C1137)=0,"ERRO: disciplina não pertence ao curso","OK")))))</f>
        <v/>
      </c>
    </row>
    <row r="1138" ht="15" customHeight="1" s="131">
      <c r="A1138" s="220" t="n"/>
      <c r="B1138" s="222" t="n"/>
      <c r="C1138" s="222" t="n"/>
      <c r="D1138" s="220" t="n"/>
      <c r="E1138" s="220" t="n"/>
      <c r="F1138" s="181">
        <f>IFERROR(E1138/D1138,"")</f>
        <v/>
      </c>
      <c r="G1138" s="219" t="n"/>
      <c r="H1138" s="220" t="n"/>
      <c r="I1138" s="221">
        <f>IF(COUNTA(A1138:E1138)=0,"",IF(OR(D1138&lt;=0,E1138&lt;0),"ERRO: bases inválidas",IF(E1138&gt;D1138,"ERRO: presenças acima do previsto",IF(COUNTIFS($A$5:$A$1200,A1138,$B$5:$B$1200,B1138,$C$5:$C$1200,C1138)&gt;1,"ERRO: chave duplicada",IF(COUNTIFS(DISCIPLINAS!$A$5:$A$101,B1138,DISCIPLINAS!$B$5:$B$101,C1138)=0,"ERRO: disciplina não pertence ao curso","OK")))))</f>
        <v/>
      </c>
    </row>
    <row r="1139" ht="15" customHeight="1" s="131">
      <c r="A1139" s="220" t="n"/>
      <c r="B1139" s="222" t="n"/>
      <c r="C1139" s="222" t="n"/>
      <c r="D1139" s="220" t="n"/>
      <c r="E1139" s="220" t="n"/>
      <c r="F1139" s="181">
        <f>IFERROR(E1139/D1139,"")</f>
        <v/>
      </c>
      <c r="G1139" s="219" t="n"/>
      <c r="H1139" s="220" t="n"/>
      <c r="I1139" s="221">
        <f>IF(COUNTA(A1139:E1139)=0,"",IF(OR(D1139&lt;=0,E1139&lt;0),"ERRO: bases inválidas",IF(E1139&gt;D1139,"ERRO: presenças acima do previsto",IF(COUNTIFS($A$5:$A$1200,A1139,$B$5:$B$1200,B1139,$C$5:$C$1200,C1139)&gt;1,"ERRO: chave duplicada",IF(COUNTIFS(DISCIPLINAS!$A$5:$A$101,B1139,DISCIPLINAS!$B$5:$B$101,C1139)=0,"ERRO: disciplina não pertence ao curso","OK")))))</f>
        <v/>
      </c>
    </row>
    <row r="1140" ht="15" customHeight="1" s="131">
      <c r="A1140" s="220" t="n"/>
      <c r="B1140" s="222" t="n"/>
      <c r="C1140" s="222" t="n"/>
      <c r="D1140" s="220" t="n"/>
      <c r="E1140" s="220" t="n"/>
      <c r="F1140" s="181">
        <f>IFERROR(E1140/D1140,"")</f>
        <v/>
      </c>
      <c r="G1140" s="219" t="n"/>
      <c r="H1140" s="220" t="n"/>
      <c r="I1140" s="221">
        <f>IF(COUNTA(A1140:E1140)=0,"",IF(OR(D1140&lt;=0,E1140&lt;0),"ERRO: bases inválidas",IF(E1140&gt;D1140,"ERRO: presenças acima do previsto",IF(COUNTIFS($A$5:$A$1200,A1140,$B$5:$B$1200,B1140,$C$5:$C$1200,C1140)&gt;1,"ERRO: chave duplicada",IF(COUNTIFS(DISCIPLINAS!$A$5:$A$101,B1140,DISCIPLINAS!$B$5:$B$101,C1140)=0,"ERRO: disciplina não pertence ao curso","OK")))))</f>
        <v/>
      </c>
    </row>
    <row r="1141" ht="15" customHeight="1" s="131">
      <c r="A1141" s="220" t="n"/>
      <c r="B1141" s="222" t="n"/>
      <c r="C1141" s="222" t="n"/>
      <c r="D1141" s="220" t="n"/>
      <c r="E1141" s="220" t="n"/>
      <c r="F1141" s="181">
        <f>IFERROR(E1141/D1141,"")</f>
        <v/>
      </c>
      <c r="G1141" s="219" t="n"/>
      <c r="H1141" s="220" t="n"/>
      <c r="I1141" s="221">
        <f>IF(COUNTA(A1141:E1141)=0,"",IF(OR(D1141&lt;=0,E1141&lt;0),"ERRO: bases inválidas",IF(E1141&gt;D1141,"ERRO: presenças acima do previsto",IF(COUNTIFS($A$5:$A$1200,A1141,$B$5:$B$1200,B1141,$C$5:$C$1200,C1141)&gt;1,"ERRO: chave duplicada",IF(COUNTIFS(DISCIPLINAS!$A$5:$A$101,B1141,DISCIPLINAS!$B$5:$B$101,C1141)=0,"ERRO: disciplina não pertence ao curso","OK")))))</f>
        <v/>
      </c>
    </row>
    <row r="1142" ht="15" customHeight="1" s="131">
      <c r="A1142" s="220" t="n"/>
      <c r="B1142" s="222" t="n"/>
      <c r="C1142" s="222" t="n"/>
      <c r="D1142" s="220" t="n"/>
      <c r="E1142" s="220" t="n"/>
      <c r="F1142" s="181">
        <f>IFERROR(E1142/D1142,"")</f>
        <v/>
      </c>
      <c r="G1142" s="219" t="n"/>
      <c r="H1142" s="220" t="n"/>
      <c r="I1142" s="221">
        <f>IF(COUNTA(A1142:E1142)=0,"",IF(OR(D1142&lt;=0,E1142&lt;0),"ERRO: bases inválidas",IF(E1142&gt;D1142,"ERRO: presenças acima do previsto",IF(COUNTIFS($A$5:$A$1200,A1142,$B$5:$B$1200,B1142,$C$5:$C$1200,C1142)&gt;1,"ERRO: chave duplicada",IF(COUNTIFS(DISCIPLINAS!$A$5:$A$101,B1142,DISCIPLINAS!$B$5:$B$101,C1142)=0,"ERRO: disciplina não pertence ao curso","OK")))))</f>
        <v/>
      </c>
    </row>
    <row r="1143" ht="15" customHeight="1" s="131">
      <c r="A1143" s="220" t="n"/>
      <c r="B1143" s="222" t="n"/>
      <c r="C1143" s="222" t="n"/>
      <c r="D1143" s="220" t="n"/>
      <c r="E1143" s="220" t="n"/>
      <c r="F1143" s="181">
        <f>IFERROR(E1143/D1143,"")</f>
        <v/>
      </c>
      <c r="G1143" s="219" t="n"/>
      <c r="H1143" s="220" t="n"/>
      <c r="I1143" s="221">
        <f>IF(COUNTA(A1143:E1143)=0,"",IF(OR(D1143&lt;=0,E1143&lt;0),"ERRO: bases inválidas",IF(E1143&gt;D1143,"ERRO: presenças acima do previsto",IF(COUNTIFS($A$5:$A$1200,A1143,$B$5:$B$1200,B1143,$C$5:$C$1200,C1143)&gt;1,"ERRO: chave duplicada",IF(COUNTIFS(DISCIPLINAS!$A$5:$A$101,B1143,DISCIPLINAS!$B$5:$B$101,C1143)=0,"ERRO: disciplina não pertence ao curso","OK")))))</f>
        <v/>
      </c>
    </row>
    <row r="1144" ht="15" customHeight="1" s="131">
      <c r="A1144" s="220" t="n"/>
      <c r="B1144" s="222" t="n"/>
      <c r="C1144" s="222" t="n"/>
      <c r="D1144" s="220" t="n"/>
      <c r="E1144" s="220" t="n"/>
      <c r="F1144" s="181">
        <f>IFERROR(E1144/D1144,"")</f>
        <v/>
      </c>
      <c r="G1144" s="219" t="n"/>
      <c r="H1144" s="220" t="n"/>
      <c r="I1144" s="221">
        <f>IF(COUNTA(A1144:E1144)=0,"",IF(OR(D1144&lt;=0,E1144&lt;0),"ERRO: bases inválidas",IF(E1144&gt;D1144,"ERRO: presenças acima do previsto",IF(COUNTIFS($A$5:$A$1200,A1144,$B$5:$B$1200,B1144,$C$5:$C$1200,C1144)&gt;1,"ERRO: chave duplicada",IF(COUNTIFS(DISCIPLINAS!$A$5:$A$101,B1144,DISCIPLINAS!$B$5:$B$101,C1144)=0,"ERRO: disciplina não pertence ao curso","OK")))))</f>
        <v/>
      </c>
    </row>
    <row r="1145" ht="15" customHeight="1" s="131">
      <c r="A1145" s="220" t="n"/>
      <c r="B1145" s="222" t="n"/>
      <c r="C1145" s="222" t="n"/>
      <c r="D1145" s="220" t="n"/>
      <c r="E1145" s="220" t="n"/>
      <c r="F1145" s="181">
        <f>IFERROR(E1145/D1145,"")</f>
        <v/>
      </c>
      <c r="G1145" s="219" t="n"/>
      <c r="H1145" s="220" t="n"/>
      <c r="I1145" s="221">
        <f>IF(COUNTA(A1145:E1145)=0,"",IF(OR(D1145&lt;=0,E1145&lt;0),"ERRO: bases inválidas",IF(E1145&gt;D1145,"ERRO: presenças acima do previsto",IF(COUNTIFS($A$5:$A$1200,A1145,$B$5:$B$1200,B1145,$C$5:$C$1200,C1145)&gt;1,"ERRO: chave duplicada",IF(COUNTIFS(DISCIPLINAS!$A$5:$A$101,B1145,DISCIPLINAS!$B$5:$B$101,C1145)=0,"ERRO: disciplina não pertence ao curso","OK")))))</f>
        <v/>
      </c>
    </row>
    <row r="1146" ht="15" customHeight="1" s="131">
      <c r="A1146" s="220" t="n"/>
      <c r="B1146" s="222" t="n"/>
      <c r="C1146" s="222" t="n"/>
      <c r="D1146" s="220" t="n"/>
      <c r="E1146" s="220" t="n"/>
      <c r="F1146" s="181">
        <f>IFERROR(E1146/D1146,"")</f>
        <v/>
      </c>
      <c r="G1146" s="219" t="n"/>
      <c r="H1146" s="220" t="n"/>
      <c r="I1146" s="221">
        <f>IF(COUNTA(A1146:E1146)=0,"",IF(OR(D1146&lt;=0,E1146&lt;0),"ERRO: bases inválidas",IF(E1146&gt;D1146,"ERRO: presenças acima do previsto",IF(COUNTIFS($A$5:$A$1200,A1146,$B$5:$B$1200,B1146,$C$5:$C$1200,C1146)&gt;1,"ERRO: chave duplicada",IF(COUNTIFS(DISCIPLINAS!$A$5:$A$101,B1146,DISCIPLINAS!$B$5:$B$101,C1146)=0,"ERRO: disciplina não pertence ao curso","OK")))))</f>
        <v/>
      </c>
    </row>
    <row r="1147" ht="15" customHeight="1" s="131">
      <c r="A1147" s="220" t="n"/>
      <c r="B1147" s="222" t="n"/>
      <c r="C1147" s="222" t="n"/>
      <c r="D1147" s="220" t="n"/>
      <c r="E1147" s="220" t="n"/>
      <c r="F1147" s="181">
        <f>IFERROR(E1147/D1147,"")</f>
        <v/>
      </c>
      <c r="G1147" s="219" t="n"/>
      <c r="H1147" s="220" t="n"/>
      <c r="I1147" s="221">
        <f>IF(COUNTA(A1147:E1147)=0,"",IF(OR(D1147&lt;=0,E1147&lt;0),"ERRO: bases inválidas",IF(E1147&gt;D1147,"ERRO: presenças acima do previsto",IF(COUNTIFS($A$5:$A$1200,A1147,$B$5:$B$1200,B1147,$C$5:$C$1200,C1147)&gt;1,"ERRO: chave duplicada",IF(COUNTIFS(DISCIPLINAS!$A$5:$A$101,B1147,DISCIPLINAS!$B$5:$B$101,C1147)=0,"ERRO: disciplina não pertence ao curso","OK")))))</f>
        <v/>
      </c>
    </row>
    <row r="1148" ht="15" customHeight="1" s="131">
      <c r="A1148" s="220" t="n"/>
      <c r="B1148" s="222" t="n"/>
      <c r="C1148" s="222" t="n"/>
      <c r="D1148" s="220" t="n"/>
      <c r="E1148" s="220" t="n"/>
      <c r="F1148" s="181">
        <f>IFERROR(E1148/D1148,"")</f>
        <v/>
      </c>
      <c r="G1148" s="219" t="n"/>
      <c r="H1148" s="220" t="n"/>
      <c r="I1148" s="221">
        <f>IF(COUNTA(A1148:E1148)=0,"",IF(OR(D1148&lt;=0,E1148&lt;0),"ERRO: bases inválidas",IF(E1148&gt;D1148,"ERRO: presenças acima do previsto",IF(COUNTIFS($A$5:$A$1200,A1148,$B$5:$B$1200,B1148,$C$5:$C$1200,C1148)&gt;1,"ERRO: chave duplicada",IF(COUNTIFS(DISCIPLINAS!$A$5:$A$101,B1148,DISCIPLINAS!$B$5:$B$101,C1148)=0,"ERRO: disciplina não pertence ao curso","OK")))))</f>
        <v/>
      </c>
    </row>
    <row r="1149" ht="15" customHeight="1" s="131">
      <c r="A1149" s="220" t="n"/>
      <c r="B1149" s="222" t="n"/>
      <c r="C1149" s="222" t="n"/>
      <c r="D1149" s="220" t="n"/>
      <c r="E1149" s="220" t="n"/>
      <c r="F1149" s="181">
        <f>IFERROR(E1149/D1149,"")</f>
        <v/>
      </c>
      <c r="G1149" s="219" t="n"/>
      <c r="H1149" s="220" t="n"/>
      <c r="I1149" s="221">
        <f>IF(COUNTA(A1149:E1149)=0,"",IF(OR(D1149&lt;=0,E1149&lt;0),"ERRO: bases inválidas",IF(E1149&gt;D1149,"ERRO: presenças acima do previsto",IF(COUNTIFS($A$5:$A$1200,A1149,$B$5:$B$1200,B1149,$C$5:$C$1200,C1149)&gt;1,"ERRO: chave duplicada",IF(COUNTIFS(DISCIPLINAS!$A$5:$A$101,B1149,DISCIPLINAS!$B$5:$B$101,C1149)=0,"ERRO: disciplina não pertence ao curso","OK")))))</f>
        <v/>
      </c>
    </row>
    <row r="1150" ht="15" customHeight="1" s="131">
      <c r="A1150" s="220" t="n"/>
      <c r="B1150" s="222" t="n"/>
      <c r="C1150" s="222" t="n"/>
      <c r="D1150" s="220" t="n"/>
      <c r="E1150" s="220" t="n"/>
      <c r="F1150" s="181">
        <f>IFERROR(E1150/D1150,"")</f>
        <v/>
      </c>
      <c r="G1150" s="219" t="n"/>
      <c r="H1150" s="220" t="n"/>
      <c r="I1150" s="221">
        <f>IF(COUNTA(A1150:E1150)=0,"",IF(OR(D1150&lt;=0,E1150&lt;0),"ERRO: bases inválidas",IF(E1150&gt;D1150,"ERRO: presenças acima do previsto",IF(COUNTIFS($A$5:$A$1200,A1150,$B$5:$B$1200,B1150,$C$5:$C$1200,C1150)&gt;1,"ERRO: chave duplicada",IF(COUNTIFS(DISCIPLINAS!$A$5:$A$101,B1150,DISCIPLINAS!$B$5:$B$101,C1150)=0,"ERRO: disciplina não pertence ao curso","OK")))))</f>
        <v/>
      </c>
    </row>
    <row r="1151" ht="15" customHeight="1" s="131">
      <c r="A1151" s="220" t="n"/>
      <c r="B1151" s="222" t="n"/>
      <c r="C1151" s="222" t="n"/>
      <c r="D1151" s="220" t="n"/>
      <c r="E1151" s="220" t="n"/>
      <c r="F1151" s="181">
        <f>IFERROR(E1151/D1151,"")</f>
        <v/>
      </c>
      <c r="G1151" s="219" t="n"/>
      <c r="H1151" s="220" t="n"/>
      <c r="I1151" s="221">
        <f>IF(COUNTA(A1151:E1151)=0,"",IF(OR(D1151&lt;=0,E1151&lt;0),"ERRO: bases inválidas",IF(E1151&gt;D1151,"ERRO: presenças acima do previsto",IF(COUNTIFS($A$5:$A$1200,A1151,$B$5:$B$1200,B1151,$C$5:$C$1200,C1151)&gt;1,"ERRO: chave duplicada",IF(COUNTIFS(DISCIPLINAS!$A$5:$A$101,B1151,DISCIPLINAS!$B$5:$B$101,C1151)=0,"ERRO: disciplina não pertence ao curso","OK")))))</f>
        <v/>
      </c>
    </row>
    <row r="1152" ht="15" customHeight="1" s="131">
      <c r="A1152" s="220" t="n"/>
      <c r="B1152" s="222" t="n"/>
      <c r="C1152" s="222" t="n"/>
      <c r="D1152" s="220" t="n"/>
      <c r="E1152" s="220" t="n"/>
      <c r="F1152" s="181">
        <f>IFERROR(E1152/D1152,"")</f>
        <v/>
      </c>
      <c r="G1152" s="219" t="n"/>
      <c r="H1152" s="220" t="n"/>
      <c r="I1152" s="221">
        <f>IF(COUNTA(A1152:E1152)=0,"",IF(OR(D1152&lt;=0,E1152&lt;0),"ERRO: bases inválidas",IF(E1152&gt;D1152,"ERRO: presenças acima do previsto",IF(COUNTIFS($A$5:$A$1200,A1152,$B$5:$B$1200,B1152,$C$5:$C$1200,C1152)&gt;1,"ERRO: chave duplicada",IF(COUNTIFS(DISCIPLINAS!$A$5:$A$101,B1152,DISCIPLINAS!$B$5:$B$101,C1152)=0,"ERRO: disciplina não pertence ao curso","OK")))))</f>
        <v/>
      </c>
    </row>
    <row r="1153" ht="15" customHeight="1" s="131">
      <c r="A1153" s="220" t="n"/>
      <c r="B1153" s="222" t="n"/>
      <c r="C1153" s="222" t="n"/>
      <c r="D1153" s="220" t="n"/>
      <c r="E1153" s="220" t="n"/>
      <c r="F1153" s="181">
        <f>IFERROR(E1153/D1153,"")</f>
        <v/>
      </c>
      <c r="G1153" s="219" t="n"/>
      <c r="H1153" s="220" t="n"/>
      <c r="I1153" s="221">
        <f>IF(COUNTA(A1153:E1153)=0,"",IF(OR(D1153&lt;=0,E1153&lt;0),"ERRO: bases inválidas",IF(E1153&gt;D1153,"ERRO: presenças acima do previsto",IF(COUNTIFS($A$5:$A$1200,A1153,$B$5:$B$1200,B1153,$C$5:$C$1200,C1153)&gt;1,"ERRO: chave duplicada",IF(COUNTIFS(DISCIPLINAS!$A$5:$A$101,B1153,DISCIPLINAS!$B$5:$B$101,C1153)=0,"ERRO: disciplina não pertence ao curso","OK")))))</f>
        <v/>
      </c>
    </row>
    <row r="1154" ht="15" customHeight="1" s="131">
      <c r="A1154" s="220" t="n"/>
      <c r="B1154" s="222" t="n"/>
      <c r="C1154" s="222" t="n"/>
      <c r="D1154" s="220" t="n"/>
      <c r="E1154" s="220" t="n"/>
      <c r="F1154" s="181">
        <f>IFERROR(E1154/D1154,"")</f>
        <v/>
      </c>
      <c r="G1154" s="219" t="n"/>
      <c r="H1154" s="220" t="n"/>
      <c r="I1154" s="221">
        <f>IF(COUNTA(A1154:E1154)=0,"",IF(OR(D1154&lt;=0,E1154&lt;0),"ERRO: bases inválidas",IF(E1154&gt;D1154,"ERRO: presenças acima do previsto",IF(COUNTIFS($A$5:$A$1200,A1154,$B$5:$B$1200,B1154,$C$5:$C$1200,C1154)&gt;1,"ERRO: chave duplicada",IF(COUNTIFS(DISCIPLINAS!$A$5:$A$101,B1154,DISCIPLINAS!$B$5:$B$101,C1154)=0,"ERRO: disciplina não pertence ao curso","OK")))))</f>
        <v/>
      </c>
    </row>
    <row r="1155" ht="15" customHeight="1" s="131">
      <c r="A1155" s="220" t="n"/>
      <c r="B1155" s="222" t="n"/>
      <c r="C1155" s="222" t="n"/>
      <c r="D1155" s="220" t="n"/>
      <c r="E1155" s="220" t="n"/>
      <c r="F1155" s="181">
        <f>IFERROR(E1155/D1155,"")</f>
        <v/>
      </c>
      <c r="G1155" s="219" t="n"/>
      <c r="H1155" s="220" t="n"/>
      <c r="I1155" s="221">
        <f>IF(COUNTA(A1155:E1155)=0,"",IF(OR(D1155&lt;=0,E1155&lt;0),"ERRO: bases inválidas",IF(E1155&gt;D1155,"ERRO: presenças acima do previsto",IF(COUNTIFS($A$5:$A$1200,A1155,$B$5:$B$1200,B1155,$C$5:$C$1200,C1155)&gt;1,"ERRO: chave duplicada",IF(COUNTIFS(DISCIPLINAS!$A$5:$A$101,B1155,DISCIPLINAS!$B$5:$B$101,C1155)=0,"ERRO: disciplina não pertence ao curso","OK")))))</f>
        <v/>
      </c>
    </row>
    <row r="1156" ht="15" customHeight="1" s="131">
      <c r="A1156" s="220" t="n"/>
      <c r="B1156" s="222" t="n"/>
      <c r="C1156" s="222" t="n"/>
      <c r="D1156" s="220" t="n"/>
      <c r="E1156" s="220" t="n"/>
      <c r="F1156" s="181">
        <f>IFERROR(E1156/D1156,"")</f>
        <v/>
      </c>
      <c r="G1156" s="219" t="n"/>
      <c r="H1156" s="220" t="n"/>
      <c r="I1156" s="221">
        <f>IF(COUNTA(A1156:E1156)=0,"",IF(OR(D1156&lt;=0,E1156&lt;0),"ERRO: bases inválidas",IF(E1156&gt;D1156,"ERRO: presenças acima do previsto",IF(COUNTIFS($A$5:$A$1200,A1156,$B$5:$B$1200,B1156,$C$5:$C$1200,C1156)&gt;1,"ERRO: chave duplicada",IF(COUNTIFS(DISCIPLINAS!$A$5:$A$101,B1156,DISCIPLINAS!$B$5:$B$101,C1156)=0,"ERRO: disciplina não pertence ao curso","OK")))))</f>
        <v/>
      </c>
    </row>
    <row r="1157" ht="15" customHeight="1" s="131">
      <c r="A1157" s="220" t="n"/>
      <c r="B1157" s="222" t="n"/>
      <c r="C1157" s="222" t="n"/>
      <c r="D1157" s="220" t="n"/>
      <c r="E1157" s="220" t="n"/>
      <c r="F1157" s="181">
        <f>IFERROR(E1157/D1157,"")</f>
        <v/>
      </c>
      <c r="G1157" s="219" t="n"/>
      <c r="H1157" s="220" t="n"/>
      <c r="I1157" s="221">
        <f>IF(COUNTA(A1157:E1157)=0,"",IF(OR(D1157&lt;=0,E1157&lt;0),"ERRO: bases inválidas",IF(E1157&gt;D1157,"ERRO: presenças acima do previsto",IF(COUNTIFS($A$5:$A$1200,A1157,$B$5:$B$1200,B1157,$C$5:$C$1200,C1157)&gt;1,"ERRO: chave duplicada",IF(COUNTIFS(DISCIPLINAS!$A$5:$A$101,B1157,DISCIPLINAS!$B$5:$B$101,C1157)=0,"ERRO: disciplina não pertence ao curso","OK")))))</f>
        <v/>
      </c>
    </row>
    <row r="1158" ht="15" customHeight="1" s="131">
      <c r="A1158" s="220" t="n"/>
      <c r="B1158" s="222" t="n"/>
      <c r="C1158" s="222" t="n"/>
      <c r="D1158" s="220" t="n"/>
      <c r="E1158" s="220" t="n"/>
      <c r="F1158" s="181">
        <f>IFERROR(E1158/D1158,"")</f>
        <v/>
      </c>
      <c r="G1158" s="219" t="n"/>
      <c r="H1158" s="220" t="n"/>
      <c r="I1158" s="221">
        <f>IF(COUNTA(A1158:E1158)=0,"",IF(OR(D1158&lt;=0,E1158&lt;0),"ERRO: bases inválidas",IF(E1158&gt;D1158,"ERRO: presenças acima do previsto",IF(COUNTIFS($A$5:$A$1200,A1158,$B$5:$B$1200,B1158,$C$5:$C$1200,C1158)&gt;1,"ERRO: chave duplicada",IF(COUNTIFS(DISCIPLINAS!$A$5:$A$101,B1158,DISCIPLINAS!$B$5:$B$101,C1158)=0,"ERRO: disciplina não pertence ao curso","OK")))))</f>
        <v/>
      </c>
    </row>
    <row r="1159" ht="15" customHeight="1" s="131">
      <c r="A1159" s="220" t="n"/>
      <c r="B1159" s="222" t="n"/>
      <c r="C1159" s="222" t="n"/>
      <c r="D1159" s="220" t="n"/>
      <c r="E1159" s="220" t="n"/>
      <c r="F1159" s="181">
        <f>IFERROR(E1159/D1159,"")</f>
        <v/>
      </c>
      <c r="G1159" s="219" t="n"/>
      <c r="H1159" s="220" t="n"/>
      <c r="I1159" s="221">
        <f>IF(COUNTA(A1159:E1159)=0,"",IF(OR(D1159&lt;=0,E1159&lt;0),"ERRO: bases inválidas",IF(E1159&gt;D1159,"ERRO: presenças acima do previsto",IF(COUNTIFS($A$5:$A$1200,A1159,$B$5:$B$1200,B1159,$C$5:$C$1200,C1159)&gt;1,"ERRO: chave duplicada",IF(COUNTIFS(DISCIPLINAS!$A$5:$A$101,B1159,DISCIPLINAS!$B$5:$B$101,C1159)=0,"ERRO: disciplina não pertence ao curso","OK")))))</f>
        <v/>
      </c>
    </row>
    <row r="1160" ht="15" customHeight="1" s="131">
      <c r="A1160" s="220" t="n"/>
      <c r="B1160" s="222" t="n"/>
      <c r="C1160" s="222" t="n"/>
      <c r="D1160" s="220" t="n"/>
      <c r="E1160" s="220" t="n"/>
      <c r="F1160" s="181">
        <f>IFERROR(E1160/D1160,"")</f>
        <v/>
      </c>
      <c r="G1160" s="219" t="n"/>
      <c r="H1160" s="220" t="n"/>
      <c r="I1160" s="221">
        <f>IF(COUNTA(A1160:E1160)=0,"",IF(OR(D1160&lt;=0,E1160&lt;0),"ERRO: bases inválidas",IF(E1160&gt;D1160,"ERRO: presenças acima do previsto",IF(COUNTIFS($A$5:$A$1200,A1160,$B$5:$B$1200,B1160,$C$5:$C$1200,C1160)&gt;1,"ERRO: chave duplicada",IF(COUNTIFS(DISCIPLINAS!$A$5:$A$101,B1160,DISCIPLINAS!$B$5:$B$101,C1160)=0,"ERRO: disciplina não pertence ao curso","OK")))))</f>
        <v/>
      </c>
    </row>
    <row r="1161" ht="15" customHeight="1" s="131">
      <c r="A1161" s="220" t="n"/>
      <c r="B1161" s="222" t="n"/>
      <c r="C1161" s="222" t="n"/>
      <c r="D1161" s="220" t="n"/>
      <c r="E1161" s="220" t="n"/>
      <c r="F1161" s="181">
        <f>IFERROR(E1161/D1161,"")</f>
        <v/>
      </c>
      <c r="G1161" s="219" t="n"/>
      <c r="H1161" s="220" t="n"/>
      <c r="I1161" s="221">
        <f>IF(COUNTA(A1161:E1161)=0,"",IF(OR(D1161&lt;=0,E1161&lt;0),"ERRO: bases inválidas",IF(E1161&gt;D1161,"ERRO: presenças acima do previsto",IF(COUNTIFS($A$5:$A$1200,A1161,$B$5:$B$1200,B1161,$C$5:$C$1200,C1161)&gt;1,"ERRO: chave duplicada",IF(COUNTIFS(DISCIPLINAS!$A$5:$A$101,B1161,DISCIPLINAS!$B$5:$B$101,C1161)=0,"ERRO: disciplina não pertence ao curso","OK")))))</f>
        <v/>
      </c>
    </row>
    <row r="1162" ht="15" customHeight="1" s="131">
      <c r="A1162" s="220" t="n"/>
      <c r="B1162" s="222" t="n"/>
      <c r="C1162" s="222" t="n"/>
      <c r="D1162" s="220" t="n"/>
      <c r="E1162" s="220" t="n"/>
      <c r="F1162" s="181">
        <f>IFERROR(E1162/D1162,"")</f>
        <v/>
      </c>
      <c r="G1162" s="219" t="n"/>
      <c r="H1162" s="220" t="n"/>
      <c r="I1162" s="221">
        <f>IF(COUNTA(A1162:E1162)=0,"",IF(OR(D1162&lt;=0,E1162&lt;0),"ERRO: bases inválidas",IF(E1162&gt;D1162,"ERRO: presenças acima do previsto",IF(COUNTIFS($A$5:$A$1200,A1162,$B$5:$B$1200,B1162,$C$5:$C$1200,C1162)&gt;1,"ERRO: chave duplicada",IF(COUNTIFS(DISCIPLINAS!$A$5:$A$101,B1162,DISCIPLINAS!$B$5:$B$101,C1162)=0,"ERRO: disciplina não pertence ao curso","OK")))))</f>
        <v/>
      </c>
    </row>
    <row r="1163" ht="15" customHeight="1" s="131">
      <c r="A1163" s="220" t="n"/>
      <c r="B1163" s="222" t="n"/>
      <c r="C1163" s="222" t="n"/>
      <c r="D1163" s="220" t="n"/>
      <c r="E1163" s="220" t="n"/>
      <c r="F1163" s="181">
        <f>IFERROR(E1163/D1163,"")</f>
        <v/>
      </c>
      <c r="G1163" s="219" t="n"/>
      <c r="H1163" s="220" t="n"/>
      <c r="I1163" s="221">
        <f>IF(COUNTA(A1163:E1163)=0,"",IF(OR(D1163&lt;=0,E1163&lt;0),"ERRO: bases inválidas",IF(E1163&gt;D1163,"ERRO: presenças acima do previsto",IF(COUNTIFS($A$5:$A$1200,A1163,$B$5:$B$1200,B1163,$C$5:$C$1200,C1163)&gt;1,"ERRO: chave duplicada",IF(COUNTIFS(DISCIPLINAS!$A$5:$A$101,B1163,DISCIPLINAS!$B$5:$B$101,C1163)=0,"ERRO: disciplina não pertence ao curso","OK")))))</f>
        <v/>
      </c>
    </row>
    <row r="1164" ht="15" customHeight="1" s="131">
      <c r="A1164" s="220" t="n"/>
      <c r="B1164" s="222" t="n"/>
      <c r="C1164" s="222" t="n"/>
      <c r="D1164" s="220" t="n"/>
      <c r="E1164" s="220" t="n"/>
      <c r="F1164" s="181">
        <f>IFERROR(E1164/D1164,"")</f>
        <v/>
      </c>
      <c r="G1164" s="219" t="n"/>
      <c r="H1164" s="220" t="n"/>
      <c r="I1164" s="221">
        <f>IF(COUNTA(A1164:E1164)=0,"",IF(OR(D1164&lt;=0,E1164&lt;0),"ERRO: bases inválidas",IF(E1164&gt;D1164,"ERRO: presenças acima do previsto",IF(COUNTIFS($A$5:$A$1200,A1164,$B$5:$B$1200,B1164,$C$5:$C$1200,C1164)&gt;1,"ERRO: chave duplicada",IF(COUNTIFS(DISCIPLINAS!$A$5:$A$101,B1164,DISCIPLINAS!$B$5:$B$101,C1164)=0,"ERRO: disciplina não pertence ao curso","OK")))))</f>
        <v/>
      </c>
    </row>
    <row r="1165" ht="15" customHeight="1" s="131">
      <c r="A1165" s="220" t="n"/>
      <c r="B1165" s="222" t="n"/>
      <c r="C1165" s="222" t="n"/>
      <c r="D1165" s="220" t="n"/>
      <c r="E1165" s="220" t="n"/>
      <c r="F1165" s="181">
        <f>IFERROR(E1165/D1165,"")</f>
        <v/>
      </c>
      <c r="G1165" s="219" t="n"/>
      <c r="H1165" s="220" t="n"/>
      <c r="I1165" s="221">
        <f>IF(COUNTA(A1165:E1165)=0,"",IF(OR(D1165&lt;=0,E1165&lt;0),"ERRO: bases inválidas",IF(E1165&gt;D1165,"ERRO: presenças acima do previsto",IF(COUNTIFS($A$5:$A$1200,A1165,$B$5:$B$1200,B1165,$C$5:$C$1200,C1165)&gt;1,"ERRO: chave duplicada",IF(COUNTIFS(DISCIPLINAS!$A$5:$A$101,B1165,DISCIPLINAS!$B$5:$B$101,C1165)=0,"ERRO: disciplina não pertence ao curso","OK")))))</f>
        <v/>
      </c>
    </row>
    <row r="1166" ht="15" customHeight="1" s="131">
      <c r="A1166" s="220" t="n"/>
      <c r="B1166" s="222" t="n"/>
      <c r="C1166" s="222" t="n"/>
      <c r="D1166" s="220" t="n"/>
      <c r="E1166" s="220" t="n"/>
      <c r="F1166" s="181">
        <f>IFERROR(E1166/D1166,"")</f>
        <v/>
      </c>
      <c r="G1166" s="219" t="n"/>
      <c r="H1166" s="220" t="n"/>
      <c r="I1166" s="221">
        <f>IF(COUNTA(A1166:E1166)=0,"",IF(OR(D1166&lt;=0,E1166&lt;0),"ERRO: bases inválidas",IF(E1166&gt;D1166,"ERRO: presenças acima do previsto",IF(COUNTIFS($A$5:$A$1200,A1166,$B$5:$B$1200,B1166,$C$5:$C$1200,C1166)&gt;1,"ERRO: chave duplicada",IF(COUNTIFS(DISCIPLINAS!$A$5:$A$101,B1166,DISCIPLINAS!$B$5:$B$101,C1166)=0,"ERRO: disciplina não pertence ao curso","OK")))))</f>
        <v/>
      </c>
    </row>
    <row r="1167" ht="15" customHeight="1" s="131">
      <c r="A1167" s="220" t="n"/>
      <c r="B1167" s="222" t="n"/>
      <c r="C1167" s="222" t="n"/>
      <c r="D1167" s="220" t="n"/>
      <c r="E1167" s="220" t="n"/>
      <c r="F1167" s="181">
        <f>IFERROR(E1167/D1167,"")</f>
        <v/>
      </c>
      <c r="G1167" s="219" t="n"/>
      <c r="H1167" s="220" t="n"/>
      <c r="I1167" s="221">
        <f>IF(COUNTA(A1167:E1167)=0,"",IF(OR(D1167&lt;=0,E1167&lt;0),"ERRO: bases inválidas",IF(E1167&gt;D1167,"ERRO: presenças acima do previsto",IF(COUNTIFS($A$5:$A$1200,A1167,$B$5:$B$1200,B1167,$C$5:$C$1200,C1167)&gt;1,"ERRO: chave duplicada",IF(COUNTIFS(DISCIPLINAS!$A$5:$A$101,B1167,DISCIPLINAS!$B$5:$B$101,C1167)=0,"ERRO: disciplina não pertence ao curso","OK")))))</f>
        <v/>
      </c>
    </row>
    <row r="1168" ht="15" customHeight="1" s="131">
      <c r="A1168" s="220" t="n"/>
      <c r="B1168" s="222" t="n"/>
      <c r="C1168" s="222" t="n"/>
      <c r="D1168" s="220" t="n"/>
      <c r="E1168" s="220" t="n"/>
      <c r="F1168" s="181">
        <f>IFERROR(E1168/D1168,"")</f>
        <v/>
      </c>
      <c r="G1168" s="219" t="n"/>
      <c r="H1168" s="220" t="n"/>
      <c r="I1168" s="221">
        <f>IF(COUNTA(A1168:E1168)=0,"",IF(OR(D1168&lt;=0,E1168&lt;0),"ERRO: bases inválidas",IF(E1168&gt;D1168,"ERRO: presenças acima do previsto",IF(COUNTIFS($A$5:$A$1200,A1168,$B$5:$B$1200,B1168,$C$5:$C$1200,C1168)&gt;1,"ERRO: chave duplicada",IF(COUNTIFS(DISCIPLINAS!$A$5:$A$101,B1168,DISCIPLINAS!$B$5:$B$101,C1168)=0,"ERRO: disciplina não pertence ao curso","OK")))))</f>
        <v/>
      </c>
    </row>
    <row r="1169" ht="15" customHeight="1" s="131">
      <c r="A1169" s="220" t="n"/>
      <c r="B1169" s="222" t="n"/>
      <c r="C1169" s="222" t="n"/>
      <c r="D1169" s="220" t="n"/>
      <c r="E1169" s="220" t="n"/>
      <c r="F1169" s="181">
        <f>IFERROR(E1169/D1169,"")</f>
        <v/>
      </c>
      <c r="G1169" s="219" t="n"/>
      <c r="H1169" s="220" t="n"/>
      <c r="I1169" s="221">
        <f>IF(COUNTA(A1169:E1169)=0,"",IF(OR(D1169&lt;=0,E1169&lt;0),"ERRO: bases inválidas",IF(E1169&gt;D1169,"ERRO: presenças acima do previsto",IF(COUNTIFS($A$5:$A$1200,A1169,$B$5:$B$1200,B1169,$C$5:$C$1200,C1169)&gt;1,"ERRO: chave duplicada",IF(COUNTIFS(DISCIPLINAS!$A$5:$A$101,B1169,DISCIPLINAS!$B$5:$B$101,C1169)=0,"ERRO: disciplina não pertence ao curso","OK")))))</f>
        <v/>
      </c>
    </row>
    <row r="1170" ht="15" customHeight="1" s="131">
      <c r="A1170" s="220" t="n"/>
      <c r="B1170" s="222" t="n"/>
      <c r="C1170" s="222" t="n"/>
      <c r="D1170" s="220" t="n"/>
      <c r="E1170" s="220" t="n"/>
      <c r="F1170" s="181">
        <f>IFERROR(E1170/D1170,"")</f>
        <v/>
      </c>
      <c r="G1170" s="219" t="n"/>
      <c r="H1170" s="220" t="n"/>
      <c r="I1170" s="221">
        <f>IF(COUNTA(A1170:E1170)=0,"",IF(OR(D1170&lt;=0,E1170&lt;0),"ERRO: bases inválidas",IF(E1170&gt;D1170,"ERRO: presenças acima do previsto",IF(COUNTIFS($A$5:$A$1200,A1170,$B$5:$B$1200,B1170,$C$5:$C$1200,C1170)&gt;1,"ERRO: chave duplicada",IF(COUNTIFS(DISCIPLINAS!$A$5:$A$101,B1170,DISCIPLINAS!$B$5:$B$101,C1170)=0,"ERRO: disciplina não pertence ao curso","OK")))))</f>
        <v/>
      </c>
    </row>
    <row r="1171" ht="15" customHeight="1" s="131">
      <c r="A1171" s="220" t="n"/>
      <c r="B1171" s="222" t="n"/>
      <c r="C1171" s="222" t="n"/>
      <c r="D1171" s="220" t="n"/>
      <c r="E1171" s="220" t="n"/>
      <c r="F1171" s="181">
        <f>IFERROR(E1171/D1171,"")</f>
        <v/>
      </c>
      <c r="G1171" s="219" t="n"/>
      <c r="H1171" s="220" t="n"/>
      <c r="I1171" s="221">
        <f>IF(COUNTA(A1171:E1171)=0,"",IF(OR(D1171&lt;=0,E1171&lt;0),"ERRO: bases inválidas",IF(E1171&gt;D1171,"ERRO: presenças acima do previsto",IF(COUNTIFS($A$5:$A$1200,A1171,$B$5:$B$1200,B1171,$C$5:$C$1200,C1171)&gt;1,"ERRO: chave duplicada",IF(COUNTIFS(DISCIPLINAS!$A$5:$A$101,B1171,DISCIPLINAS!$B$5:$B$101,C1171)=0,"ERRO: disciplina não pertence ao curso","OK")))))</f>
        <v/>
      </c>
    </row>
    <row r="1172" ht="15" customHeight="1" s="131">
      <c r="A1172" s="220" t="n"/>
      <c r="B1172" s="222" t="n"/>
      <c r="C1172" s="222" t="n"/>
      <c r="D1172" s="220" t="n"/>
      <c r="E1172" s="220" t="n"/>
      <c r="F1172" s="181">
        <f>IFERROR(E1172/D1172,"")</f>
        <v/>
      </c>
      <c r="G1172" s="219" t="n"/>
      <c r="H1172" s="220" t="n"/>
      <c r="I1172" s="221">
        <f>IF(COUNTA(A1172:E1172)=0,"",IF(OR(D1172&lt;=0,E1172&lt;0),"ERRO: bases inválidas",IF(E1172&gt;D1172,"ERRO: presenças acima do previsto",IF(COUNTIFS($A$5:$A$1200,A1172,$B$5:$B$1200,B1172,$C$5:$C$1200,C1172)&gt;1,"ERRO: chave duplicada",IF(COUNTIFS(DISCIPLINAS!$A$5:$A$101,B1172,DISCIPLINAS!$B$5:$B$101,C1172)=0,"ERRO: disciplina não pertence ao curso","OK")))))</f>
        <v/>
      </c>
    </row>
    <row r="1173" ht="15" customHeight="1" s="131">
      <c r="A1173" s="220" t="n"/>
      <c r="B1173" s="222" t="n"/>
      <c r="C1173" s="222" t="n"/>
      <c r="D1173" s="220" t="n"/>
      <c r="E1173" s="220" t="n"/>
      <c r="F1173" s="181">
        <f>IFERROR(E1173/D1173,"")</f>
        <v/>
      </c>
      <c r="G1173" s="219" t="n"/>
      <c r="H1173" s="220" t="n"/>
      <c r="I1173" s="221">
        <f>IF(COUNTA(A1173:E1173)=0,"",IF(OR(D1173&lt;=0,E1173&lt;0),"ERRO: bases inválidas",IF(E1173&gt;D1173,"ERRO: presenças acima do previsto",IF(COUNTIFS($A$5:$A$1200,A1173,$B$5:$B$1200,B1173,$C$5:$C$1200,C1173)&gt;1,"ERRO: chave duplicada",IF(COUNTIFS(DISCIPLINAS!$A$5:$A$101,B1173,DISCIPLINAS!$B$5:$B$101,C1173)=0,"ERRO: disciplina não pertence ao curso","OK")))))</f>
        <v/>
      </c>
    </row>
    <row r="1174" ht="15" customHeight="1" s="131">
      <c r="A1174" s="220" t="n"/>
      <c r="B1174" s="222" t="n"/>
      <c r="C1174" s="222" t="n"/>
      <c r="D1174" s="220" t="n"/>
      <c r="E1174" s="220" t="n"/>
      <c r="F1174" s="181">
        <f>IFERROR(E1174/D1174,"")</f>
        <v/>
      </c>
      <c r="G1174" s="219" t="n"/>
      <c r="H1174" s="220" t="n"/>
      <c r="I1174" s="221">
        <f>IF(COUNTA(A1174:E1174)=0,"",IF(OR(D1174&lt;=0,E1174&lt;0),"ERRO: bases inválidas",IF(E1174&gt;D1174,"ERRO: presenças acima do previsto",IF(COUNTIFS($A$5:$A$1200,A1174,$B$5:$B$1200,B1174,$C$5:$C$1200,C1174)&gt;1,"ERRO: chave duplicada",IF(COUNTIFS(DISCIPLINAS!$A$5:$A$101,B1174,DISCIPLINAS!$B$5:$B$101,C1174)=0,"ERRO: disciplina não pertence ao curso","OK")))))</f>
        <v/>
      </c>
    </row>
    <row r="1175" ht="15" customHeight="1" s="131">
      <c r="A1175" s="220" t="n"/>
      <c r="B1175" s="222" t="n"/>
      <c r="C1175" s="222" t="n"/>
      <c r="D1175" s="220" t="n"/>
      <c r="E1175" s="220" t="n"/>
      <c r="F1175" s="181">
        <f>IFERROR(E1175/D1175,"")</f>
        <v/>
      </c>
      <c r="G1175" s="219" t="n"/>
      <c r="H1175" s="220" t="n"/>
      <c r="I1175" s="221">
        <f>IF(COUNTA(A1175:E1175)=0,"",IF(OR(D1175&lt;=0,E1175&lt;0),"ERRO: bases inválidas",IF(E1175&gt;D1175,"ERRO: presenças acima do previsto",IF(COUNTIFS($A$5:$A$1200,A1175,$B$5:$B$1200,B1175,$C$5:$C$1200,C1175)&gt;1,"ERRO: chave duplicada",IF(COUNTIFS(DISCIPLINAS!$A$5:$A$101,B1175,DISCIPLINAS!$B$5:$B$101,C1175)=0,"ERRO: disciplina não pertence ao curso","OK")))))</f>
        <v/>
      </c>
    </row>
    <row r="1176" ht="15" customHeight="1" s="131">
      <c r="A1176" s="220" t="n"/>
      <c r="B1176" s="222" t="n"/>
      <c r="C1176" s="222" t="n"/>
      <c r="D1176" s="220" t="n"/>
      <c r="E1176" s="220" t="n"/>
      <c r="F1176" s="181">
        <f>IFERROR(E1176/D1176,"")</f>
        <v/>
      </c>
      <c r="G1176" s="219" t="n"/>
      <c r="H1176" s="220" t="n"/>
      <c r="I1176" s="221">
        <f>IF(COUNTA(A1176:E1176)=0,"",IF(OR(D1176&lt;=0,E1176&lt;0),"ERRO: bases inválidas",IF(E1176&gt;D1176,"ERRO: presenças acima do previsto",IF(COUNTIFS($A$5:$A$1200,A1176,$B$5:$B$1200,B1176,$C$5:$C$1200,C1176)&gt;1,"ERRO: chave duplicada",IF(COUNTIFS(DISCIPLINAS!$A$5:$A$101,B1176,DISCIPLINAS!$B$5:$B$101,C1176)=0,"ERRO: disciplina não pertence ao curso","OK")))))</f>
        <v/>
      </c>
    </row>
    <row r="1177" ht="15" customHeight="1" s="131">
      <c r="A1177" s="220" t="n"/>
      <c r="B1177" s="222" t="n"/>
      <c r="C1177" s="222" t="n"/>
      <c r="D1177" s="220" t="n"/>
      <c r="E1177" s="220" t="n"/>
      <c r="F1177" s="181">
        <f>IFERROR(E1177/D1177,"")</f>
        <v/>
      </c>
      <c r="G1177" s="219" t="n"/>
      <c r="H1177" s="220" t="n"/>
      <c r="I1177" s="221">
        <f>IF(COUNTA(A1177:E1177)=0,"",IF(OR(D1177&lt;=0,E1177&lt;0),"ERRO: bases inválidas",IF(E1177&gt;D1177,"ERRO: presenças acima do previsto",IF(COUNTIFS($A$5:$A$1200,A1177,$B$5:$B$1200,B1177,$C$5:$C$1200,C1177)&gt;1,"ERRO: chave duplicada",IF(COUNTIFS(DISCIPLINAS!$A$5:$A$101,B1177,DISCIPLINAS!$B$5:$B$101,C1177)=0,"ERRO: disciplina não pertence ao curso","OK")))))</f>
        <v/>
      </c>
    </row>
    <row r="1178" ht="15" customHeight="1" s="131">
      <c r="A1178" s="220" t="n"/>
      <c r="B1178" s="222" t="n"/>
      <c r="C1178" s="222" t="n"/>
      <c r="D1178" s="220" t="n"/>
      <c r="E1178" s="220" t="n"/>
      <c r="F1178" s="181">
        <f>IFERROR(E1178/D1178,"")</f>
        <v/>
      </c>
      <c r="G1178" s="219" t="n"/>
      <c r="H1178" s="220" t="n"/>
      <c r="I1178" s="221">
        <f>IF(COUNTA(A1178:E1178)=0,"",IF(OR(D1178&lt;=0,E1178&lt;0),"ERRO: bases inválidas",IF(E1178&gt;D1178,"ERRO: presenças acima do previsto",IF(COUNTIFS($A$5:$A$1200,A1178,$B$5:$B$1200,B1178,$C$5:$C$1200,C1178)&gt;1,"ERRO: chave duplicada",IF(COUNTIFS(DISCIPLINAS!$A$5:$A$101,B1178,DISCIPLINAS!$B$5:$B$101,C1178)=0,"ERRO: disciplina não pertence ao curso","OK")))))</f>
        <v/>
      </c>
    </row>
    <row r="1179" ht="15" customHeight="1" s="131">
      <c r="A1179" s="220" t="n"/>
      <c r="B1179" s="222" t="n"/>
      <c r="C1179" s="222" t="n"/>
      <c r="D1179" s="220" t="n"/>
      <c r="E1179" s="220" t="n"/>
      <c r="F1179" s="181">
        <f>IFERROR(E1179/D1179,"")</f>
        <v/>
      </c>
      <c r="G1179" s="219" t="n"/>
      <c r="H1179" s="220" t="n"/>
      <c r="I1179" s="221">
        <f>IF(COUNTA(A1179:E1179)=0,"",IF(OR(D1179&lt;=0,E1179&lt;0),"ERRO: bases inválidas",IF(E1179&gt;D1179,"ERRO: presenças acima do previsto",IF(COUNTIFS($A$5:$A$1200,A1179,$B$5:$B$1200,B1179,$C$5:$C$1200,C1179)&gt;1,"ERRO: chave duplicada",IF(COUNTIFS(DISCIPLINAS!$A$5:$A$101,B1179,DISCIPLINAS!$B$5:$B$101,C1179)=0,"ERRO: disciplina não pertence ao curso","OK")))))</f>
        <v/>
      </c>
    </row>
    <row r="1180" ht="15" customHeight="1" s="131">
      <c r="A1180" s="220" t="n"/>
      <c r="B1180" s="222" t="n"/>
      <c r="C1180" s="222" t="n"/>
      <c r="D1180" s="220" t="n"/>
      <c r="E1180" s="220" t="n"/>
      <c r="F1180" s="181">
        <f>IFERROR(E1180/D1180,"")</f>
        <v/>
      </c>
      <c r="G1180" s="219" t="n"/>
      <c r="H1180" s="220" t="n"/>
      <c r="I1180" s="221">
        <f>IF(COUNTA(A1180:E1180)=0,"",IF(OR(D1180&lt;=0,E1180&lt;0),"ERRO: bases inválidas",IF(E1180&gt;D1180,"ERRO: presenças acima do previsto",IF(COUNTIFS($A$5:$A$1200,A1180,$B$5:$B$1200,B1180,$C$5:$C$1200,C1180)&gt;1,"ERRO: chave duplicada",IF(COUNTIFS(DISCIPLINAS!$A$5:$A$101,B1180,DISCIPLINAS!$B$5:$B$101,C1180)=0,"ERRO: disciplina não pertence ao curso","OK")))))</f>
        <v/>
      </c>
    </row>
    <row r="1181" ht="15" customHeight="1" s="131">
      <c r="A1181" s="220" t="n"/>
      <c r="B1181" s="222" t="n"/>
      <c r="C1181" s="222" t="n"/>
      <c r="D1181" s="220" t="n"/>
      <c r="E1181" s="220" t="n"/>
      <c r="F1181" s="181">
        <f>IFERROR(E1181/D1181,"")</f>
        <v/>
      </c>
      <c r="G1181" s="219" t="n"/>
      <c r="H1181" s="220" t="n"/>
      <c r="I1181" s="221">
        <f>IF(COUNTA(A1181:E1181)=0,"",IF(OR(D1181&lt;=0,E1181&lt;0),"ERRO: bases inválidas",IF(E1181&gt;D1181,"ERRO: presenças acima do previsto",IF(COUNTIFS($A$5:$A$1200,A1181,$B$5:$B$1200,B1181,$C$5:$C$1200,C1181)&gt;1,"ERRO: chave duplicada",IF(COUNTIFS(DISCIPLINAS!$A$5:$A$101,B1181,DISCIPLINAS!$B$5:$B$101,C1181)=0,"ERRO: disciplina não pertence ao curso","OK")))))</f>
        <v/>
      </c>
    </row>
    <row r="1182" ht="15" customHeight="1" s="131">
      <c r="A1182" s="220" t="n"/>
      <c r="B1182" s="222" t="n"/>
      <c r="C1182" s="222" t="n"/>
      <c r="D1182" s="220" t="n"/>
      <c r="E1182" s="220" t="n"/>
      <c r="F1182" s="181">
        <f>IFERROR(E1182/D1182,"")</f>
        <v/>
      </c>
      <c r="G1182" s="219" t="n"/>
      <c r="H1182" s="220" t="n"/>
      <c r="I1182" s="221">
        <f>IF(COUNTA(A1182:E1182)=0,"",IF(OR(D1182&lt;=0,E1182&lt;0),"ERRO: bases inválidas",IF(E1182&gt;D1182,"ERRO: presenças acima do previsto",IF(COUNTIFS($A$5:$A$1200,A1182,$B$5:$B$1200,B1182,$C$5:$C$1200,C1182)&gt;1,"ERRO: chave duplicada",IF(COUNTIFS(DISCIPLINAS!$A$5:$A$101,B1182,DISCIPLINAS!$B$5:$B$101,C1182)=0,"ERRO: disciplina não pertence ao curso","OK")))))</f>
        <v/>
      </c>
    </row>
    <row r="1183" ht="15" customHeight="1" s="131">
      <c r="A1183" s="220" t="n"/>
      <c r="B1183" s="222" t="n"/>
      <c r="C1183" s="222" t="n"/>
      <c r="D1183" s="220" t="n"/>
      <c r="E1183" s="220" t="n"/>
      <c r="F1183" s="181">
        <f>IFERROR(E1183/D1183,"")</f>
        <v/>
      </c>
      <c r="G1183" s="219" t="n"/>
      <c r="H1183" s="220" t="n"/>
      <c r="I1183" s="221">
        <f>IF(COUNTA(A1183:E1183)=0,"",IF(OR(D1183&lt;=0,E1183&lt;0),"ERRO: bases inválidas",IF(E1183&gt;D1183,"ERRO: presenças acima do previsto",IF(COUNTIFS($A$5:$A$1200,A1183,$B$5:$B$1200,B1183,$C$5:$C$1200,C1183)&gt;1,"ERRO: chave duplicada",IF(COUNTIFS(DISCIPLINAS!$A$5:$A$101,B1183,DISCIPLINAS!$B$5:$B$101,C1183)=0,"ERRO: disciplina não pertence ao curso","OK")))))</f>
        <v/>
      </c>
    </row>
    <row r="1184" ht="15" customHeight="1" s="131">
      <c r="A1184" s="220" t="n"/>
      <c r="B1184" s="222" t="n"/>
      <c r="C1184" s="222" t="n"/>
      <c r="D1184" s="220" t="n"/>
      <c r="E1184" s="220" t="n"/>
      <c r="F1184" s="181">
        <f>IFERROR(E1184/D1184,"")</f>
        <v/>
      </c>
      <c r="G1184" s="219" t="n"/>
      <c r="H1184" s="220" t="n"/>
      <c r="I1184" s="221">
        <f>IF(COUNTA(A1184:E1184)=0,"",IF(OR(D1184&lt;=0,E1184&lt;0),"ERRO: bases inválidas",IF(E1184&gt;D1184,"ERRO: presenças acima do previsto",IF(COUNTIFS($A$5:$A$1200,A1184,$B$5:$B$1200,B1184,$C$5:$C$1200,C1184)&gt;1,"ERRO: chave duplicada",IF(COUNTIFS(DISCIPLINAS!$A$5:$A$101,B1184,DISCIPLINAS!$B$5:$B$101,C1184)=0,"ERRO: disciplina não pertence ao curso","OK")))))</f>
        <v/>
      </c>
    </row>
    <row r="1185" ht="15" customHeight="1" s="131">
      <c r="A1185" s="220" t="n"/>
      <c r="B1185" s="222" t="n"/>
      <c r="C1185" s="222" t="n"/>
      <c r="D1185" s="220" t="n"/>
      <c r="E1185" s="220" t="n"/>
      <c r="F1185" s="181">
        <f>IFERROR(E1185/D1185,"")</f>
        <v/>
      </c>
      <c r="G1185" s="219" t="n"/>
      <c r="H1185" s="220" t="n"/>
      <c r="I1185" s="221">
        <f>IF(COUNTA(A1185:E1185)=0,"",IF(OR(D1185&lt;=0,E1185&lt;0),"ERRO: bases inválidas",IF(E1185&gt;D1185,"ERRO: presenças acima do previsto",IF(COUNTIFS($A$5:$A$1200,A1185,$B$5:$B$1200,B1185,$C$5:$C$1200,C1185)&gt;1,"ERRO: chave duplicada",IF(COUNTIFS(DISCIPLINAS!$A$5:$A$101,B1185,DISCIPLINAS!$B$5:$B$101,C1185)=0,"ERRO: disciplina não pertence ao curso","OK")))))</f>
        <v/>
      </c>
    </row>
    <row r="1186" ht="15" customHeight="1" s="131">
      <c r="A1186" s="220" t="n"/>
      <c r="B1186" s="222" t="n"/>
      <c r="C1186" s="222" t="n"/>
      <c r="D1186" s="220" t="n"/>
      <c r="E1186" s="220" t="n"/>
      <c r="F1186" s="181">
        <f>IFERROR(E1186/D1186,"")</f>
        <v/>
      </c>
      <c r="G1186" s="219" t="n"/>
      <c r="H1186" s="220" t="n"/>
      <c r="I1186" s="221">
        <f>IF(COUNTA(A1186:E1186)=0,"",IF(OR(D1186&lt;=0,E1186&lt;0),"ERRO: bases inválidas",IF(E1186&gt;D1186,"ERRO: presenças acima do previsto",IF(COUNTIFS($A$5:$A$1200,A1186,$B$5:$B$1200,B1186,$C$5:$C$1200,C1186)&gt;1,"ERRO: chave duplicada",IF(COUNTIFS(DISCIPLINAS!$A$5:$A$101,B1186,DISCIPLINAS!$B$5:$B$101,C1186)=0,"ERRO: disciplina não pertence ao curso","OK")))))</f>
        <v/>
      </c>
    </row>
    <row r="1187" ht="15" customHeight="1" s="131">
      <c r="A1187" s="220" t="n"/>
      <c r="B1187" s="222" t="n"/>
      <c r="C1187" s="222" t="n"/>
      <c r="D1187" s="220" t="n"/>
      <c r="E1187" s="220" t="n"/>
      <c r="F1187" s="181">
        <f>IFERROR(E1187/D1187,"")</f>
        <v/>
      </c>
      <c r="G1187" s="219" t="n"/>
      <c r="H1187" s="220" t="n"/>
      <c r="I1187" s="221">
        <f>IF(COUNTA(A1187:E1187)=0,"",IF(OR(D1187&lt;=0,E1187&lt;0),"ERRO: bases inválidas",IF(E1187&gt;D1187,"ERRO: presenças acima do previsto",IF(COUNTIFS($A$5:$A$1200,A1187,$B$5:$B$1200,B1187,$C$5:$C$1200,C1187)&gt;1,"ERRO: chave duplicada",IF(COUNTIFS(DISCIPLINAS!$A$5:$A$101,B1187,DISCIPLINAS!$B$5:$B$101,C1187)=0,"ERRO: disciplina não pertence ao curso","OK")))))</f>
        <v/>
      </c>
    </row>
    <row r="1188" ht="15" customHeight="1" s="131">
      <c r="A1188" s="220" t="n"/>
      <c r="B1188" s="222" t="n"/>
      <c r="C1188" s="222" t="n"/>
      <c r="D1188" s="220" t="n"/>
      <c r="E1188" s="220" t="n"/>
      <c r="F1188" s="181">
        <f>IFERROR(E1188/D1188,"")</f>
        <v/>
      </c>
      <c r="G1188" s="219" t="n"/>
      <c r="H1188" s="220" t="n"/>
      <c r="I1188" s="221">
        <f>IF(COUNTA(A1188:E1188)=0,"",IF(OR(D1188&lt;=0,E1188&lt;0),"ERRO: bases inválidas",IF(E1188&gt;D1188,"ERRO: presenças acima do previsto",IF(COUNTIFS($A$5:$A$1200,A1188,$B$5:$B$1200,B1188,$C$5:$C$1200,C1188)&gt;1,"ERRO: chave duplicada",IF(COUNTIFS(DISCIPLINAS!$A$5:$A$101,B1188,DISCIPLINAS!$B$5:$B$101,C1188)=0,"ERRO: disciplina não pertence ao curso","OK")))))</f>
        <v/>
      </c>
    </row>
    <row r="1189" ht="15" customHeight="1" s="131">
      <c r="A1189" s="220" t="n"/>
      <c r="B1189" s="222" t="n"/>
      <c r="C1189" s="222" t="n"/>
      <c r="D1189" s="220" t="n"/>
      <c r="E1189" s="220" t="n"/>
      <c r="F1189" s="181">
        <f>IFERROR(E1189/D1189,"")</f>
        <v/>
      </c>
      <c r="G1189" s="219" t="n"/>
      <c r="H1189" s="220" t="n"/>
      <c r="I1189" s="221">
        <f>IF(COUNTA(A1189:E1189)=0,"",IF(OR(D1189&lt;=0,E1189&lt;0),"ERRO: bases inválidas",IF(E1189&gt;D1189,"ERRO: presenças acima do previsto",IF(COUNTIFS($A$5:$A$1200,A1189,$B$5:$B$1200,B1189,$C$5:$C$1200,C1189)&gt;1,"ERRO: chave duplicada",IF(COUNTIFS(DISCIPLINAS!$A$5:$A$101,B1189,DISCIPLINAS!$B$5:$B$101,C1189)=0,"ERRO: disciplina não pertence ao curso","OK")))))</f>
        <v/>
      </c>
    </row>
    <row r="1190" ht="15" customHeight="1" s="131">
      <c r="A1190" s="220" t="n"/>
      <c r="B1190" s="222" t="n"/>
      <c r="C1190" s="222" t="n"/>
      <c r="D1190" s="220" t="n"/>
      <c r="E1190" s="220" t="n"/>
      <c r="F1190" s="181">
        <f>IFERROR(E1190/D1190,"")</f>
        <v/>
      </c>
      <c r="G1190" s="219" t="n"/>
      <c r="H1190" s="220" t="n"/>
      <c r="I1190" s="221">
        <f>IF(COUNTA(A1190:E1190)=0,"",IF(OR(D1190&lt;=0,E1190&lt;0),"ERRO: bases inválidas",IF(E1190&gt;D1190,"ERRO: presenças acima do previsto",IF(COUNTIFS($A$5:$A$1200,A1190,$B$5:$B$1200,B1190,$C$5:$C$1200,C1190)&gt;1,"ERRO: chave duplicada",IF(COUNTIFS(DISCIPLINAS!$A$5:$A$101,B1190,DISCIPLINAS!$B$5:$B$101,C1190)=0,"ERRO: disciplina não pertence ao curso","OK")))))</f>
        <v/>
      </c>
    </row>
    <row r="1191" ht="15" customHeight="1" s="131">
      <c r="A1191" s="220" t="n"/>
      <c r="B1191" s="222" t="n"/>
      <c r="C1191" s="222" t="n"/>
      <c r="D1191" s="220" t="n"/>
      <c r="E1191" s="220" t="n"/>
      <c r="F1191" s="181">
        <f>IFERROR(E1191/D1191,"")</f>
        <v/>
      </c>
      <c r="G1191" s="219" t="n"/>
      <c r="H1191" s="220" t="n"/>
      <c r="I1191" s="221">
        <f>IF(COUNTA(A1191:E1191)=0,"",IF(OR(D1191&lt;=0,E1191&lt;0),"ERRO: bases inválidas",IF(E1191&gt;D1191,"ERRO: presenças acima do previsto",IF(COUNTIFS($A$5:$A$1200,A1191,$B$5:$B$1200,B1191,$C$5:$C$1200,C1191)&gt;1,"ERRO: chave duplicada",IF(COUNTIFS(DISCIPLINAS!$A$5:$A$101,B1191,DISCIPLINAS!$B$5:$B$101,C1191)=0,"ERRO: disciplina não pertence ao curso","OK")))))</f>
        <v/>
      </c>
    </row>
    <row r="1192" ht="15" customHeight="1" s="131">
      <c r="A1192" s="220" t="n"/>
      <c r="B1192" s="222" t="n"/>
      <c r="C1192" s="222" t="n"/>
      <c r="D1192" s="220" t="n"/>
      <c r="E1192" s="220" t="n"/>
      <c r="F1192" s="181">
        <f>IFERROR(E1192/D1192,"")</f>
        <v/>
      </c>
      <c r="G1192" s="219" t="n"/>
      <c r="H1192" s="220" t="n"/>
      <c r="I1192" s="221">
        <f>IF(COUNTA(A1192:E1192)=0,"",IF(OR(D1192&lt;=0,E1192&lt;0),"ERRO: bases inválidas",IF(E1192&gt;D1192,"ERRO: presenças acima do previsto",IF(COUNTIFS($A$5:$A$1200,A1192,$B$5:$B$1200,B1192,$C$5:$C$1200,C1192)&gt;1,"ERRO: chave duplicada",IF(COUNTIFS(DISCIPLINAS!$A$5:$A$101,B1192,DISCIPLINAS!$B$5:$B$101,C1192)=0,"ERRO: disciplina não pertence ao curso","OK")))))</f>
        <v/>
      </c>
    </row>
    <row r="1193" ht="15" customHeight="1" s="131">
      <c r="A1193" s="220" t="n"/>
      <c r="B1193" s="222" t="n"/>
      <c r="C1193" s="222" t="n"/>
      <c r="D1193" s="220" t="n"/>
      <c r="E1193" s="220" t="n"/>
      <c r="F1193" s="181">
        <f>IFERROR(E1193/D1193,"")</f>
        <v/>
      </c>
      <c r="G1193" s="219" t="n"/>
      <c r="H1193" s="220" t="n"/>
      <c r="I1193" s="221">
        <f>IF(COUNTA(A1193:E1193)=0,"",IF(OR(D1193&lt;=0,E1193&lt;0),"ERRO: bases inválidas",IF(E1193&gt;D1193,"ERRO: presenças acima do previsto",IF(COUNTIFS($A$5:$A$1200,A1193,$B$5:$B$1200,B1193,$C$5:$C$1200,C1193)&gt;1,"ERRO: chave duplicada",IF(COUNTIFS(DISCIPLINAS!$A$5:$A$101,B1193,DISCIPLINAS!$B$5:$B$101,C1193)=0,"ERRO: disciplina não pertence ao curso","OK")))))</f>
        <v/>
      </c>
    </row>
    <row r="1194" ht="15" customHeight="1" s="131">
      <c r="A1194" s="220" t="n"/>
      <c r="B1194" s="222" t="n"/>
      <c r="C1194" s="222" t="n"/>
      <c r="D1194" s="220" t="n"/>
      <c r="E1194" s="220" t="n"/>
      <c r="F1194" s="181">
        <f>IFERROR(E1194/D1194,"")</f>
        <v/>
      </c>
      <c r="G1194" s="219" t="n"/>
      <c r="H1194" s="220" t="n"/>
      <c r="I1194" s="221">
        <f>IF(COUNTA(A1194:E1194)=0,"",IF(OR(D1194&lt;=0,E1194&lt;0),"ERRO: bases inválidas",IF(E1194&gt;D1194,"ERRO: presenças acima do previsto",IF(COUNTIFS($A$5:$A$1200,A1194,$B$5:$B$1200,B1194,$C$5:$C$1200,C1194)&gt;1,"ERRO: chave duplicada",IF(COUNTIFS(DISCIPLINAS!$A$5:$A$101,B1194,DISCIPLINAS!$B$5:$B$101,C1194)=0,"ERRO: disciplina não pertence ao curso","OK")))))</f>
        <v/>
      </c>
    </row>
    <row r="1195" ht="15" customHeight="1" s="131">
      <c r="A1195" s="220" t="n"/>
      <c r="B1195" s="222" t="n"/>
      <c r="C1195" s="222" t="n"/>
      <c r="D1195" s="220" t="n"/>
      <c r="E1195" s="220" t="n"/>
      <c r="F1195" s="181">
        <f>IFERROR(E1195/D1195,"")</f>
        <v/>
      </c>
      <c r="G1195" s="219" t="n"/>
      <c r="H1195" s="220" t="n"/>
      <c r="I1195" s="221">
        <f>IF(COUNTA(A1195:E1195)=0,"",IF(OR(D1195&lt;=0,E1195&lt;0),"ERRO: bases inválidas",IF(E1195&gt;D1195,"ERRO: presenças acima do previsto",IF(COUNTIFS($A$5:$A$1200,A1195,$B$5:$B$1200,B1195,$C$5:$C$1200,C1195)&gt;1,"ERRO: chave duplicada",IF(COUNTIFS(DISCIPLINAS!$A$5:$A$101,B1195,DISCIPLINAS!$B$5:$B$101,C1195)=0,"ERRO: disciplina não pertence ao curso","OK")))))</f>
        <v/>
      </c>
    </row>
    <row r="1196" ht="15" customHeight="1" s="131">
      <c r="A1196" s="220" t="n"/>
      <c r="B1196" s="222" t="n"/>
      <c r="C1196" s="222" t="n"/>
      <c r="D1196" s="220" t="n"/>
      <c r="E1196" s="220" t="n"/>
      <c r="F1196" s="181">
        <f>IFERROR(E1196/D1196,"")</f>
        <v/>
      </c>
      <c r="G1196" s="219" t="n"/>
      <c r="H1196" s="220" t="n"/>
      <c r="I1196" s="221">
        <f>IF(COUNTA(A1196:E1196)=0,"",IF(OR(D1196&lt;=0,E1196&lt;0),"ERRO: bases inválidas",IF(E1196&gt;D1196,"ERRO: presenças acima do previsto",IF(COUNTIFS($A$5:$A$1200,A1196,$B$5:$B$1200,B1196,$C$5:$C$1200,C1196)&gt;1,"ERRO: chave duplicada",IF(COUNTIFS(DISCIPLINAS!$A$5:$A$101,B1196,DISCIPLINAS!$B$5:$B$101,C1196)=0,"ERRO: disciplina não pertence ao curso","OK")))))</f>
        <v/>
      </c>
    </row>
    <row r="1197" ht="15" customHeight="1" s="131">
      <c r="A1197" s="220" t="n"/>
      <c r="B1197" s="222" t="n"/>
      <c r="C1197" s="222" t="n"/>
      <c r="D1197" s="220" t="n"/>
      <c r="E1197" s="220" t="n"/>
      <c r="F1197" s="181">
        <f>IFERROR(E1197/D1197,"")</f>
        <v/>
      </c>
      <c r="G1197" s="219" t="n"/>
      <c r="H1197" s="220" t="n"/>
      <c r="I1197" s="221">
        <f>IF(COUNTA(A1197:E1197)=0,"",IF(OR(D1197&lt;=0,E1197&lt;0),"ERRO: bases inválidas",IF(E1197&gt;D1197,"ERRO: presenças acima do previsto",IF(COUNTIFS($A$5:$A$1200,A1197,$B$5:$B$1200,B1197,$C$5:$C$1200,C1197)&gt;1,"ERRO: chave duplicada",IF(COUNTIFS(DISCIPLINAS!$A$5:$A$101,B1197,DISCIPLINAS!$B$5:$B$101,C1197)=0,"ERRO: disciplina não pertence ao curso","OK")))))</f>
        <v/>
      </c>
    </row>
    <row r="1198" ht="15" customHeight="1" s="131">
      <c r="A1198" s="220" t="n"/>
      <c r="B1198" s="222" t="n"/>
      <c r="C1198" s="222" t="n"/>
      <c r="D1198" s="220" t="n"/>
      <c r="E1198" s="220" t="n"/>
      <c r="F1198" s="181">
        <f>IFERROR(E1198/D1198,"")</f>
        <v/>
      </c>
      <c r="G1198" s="219" t="n"/>
      <c r="H1198" s="220" t="n"/>
      <c r="I1198" s="221">
        <f>IF(COUNTA(A1198:E1198)=0,"",IF(OR(D1198&lt;=0,E1198&lt;0),"ERRO: bases inválidas",IF(E1198&gt;D1198,"ERRO: presenças acima do previsto",IF(COUNTIFS($A$5:$A$1200,A1198,$B$5:$B$1200,B1198,$C$5:$C$1200,C1198)&gt;1,"ERRO: chave duplicada",IF(COUNTIFS(DISCIPLINAS!$A$5:$A$101,B1198,DISCIPLINAS!$B$5:$B$101,C1198)=0,"ERRO: disciplina não pertence ao curso","OK")))))</f>
        <v/>
      </c>
    </row>
    <row r="1199" ht="15" customHeight="1" s="131">
      <c r="A1199" s="220" t="n"/>
      <c r="B1199" s="222" t="n"/>
      <c r="C1199" s="222" t="n"/>
      <c r="D1199" s="220" t="n"/>
      <c r="E1199" s="220" t="n"/>
      <c r="F1199" s="181">
        <f>IFERROR(E1199/D1199,"")</f>
        <v/>
      </c>
      <c r="G1199" s="219" t="n"/>
      <c r="H1199" s="220" t="n"/>
      <c r="I1199" s="221">
        <f>IF(COUNTA(A1199:E1199)=0,"",IF(OR(D1199&lt;=0,E1199&lt;0),"ERRO: bases inválidas",IF(E1199&gt;D1199,"ERRO: presenças acima do previsto",IF(COUNTIFS($A$5:$A$1200,A1199,$B$5:$B$1200,B1199,$C$5:$C$1200,C1199)&gt;1,"ERRO: chave duplicada",IF(COUNTIFS(DISCIPLINAS!$A$5:$A$101,B1199,DISCIPLINAS!$B$5:$B$101,C1199)=0,"ERRO: disciplina não pertence ao curso","OK")))))</f>
        <v/>
      </c>
    </row>
    <row r="1200" ht="15" customHeight="1" s="131">
      <c r="A1200" s="220" t="n"/>
      <c r="B1200" s="222" t="n"/>
      <c r="C1200" s="222" t="n"/>
      <c r="D1200" s="220" t="n"/>
      <c r="E1200" s="220" t="n"/>
      <c r="F1200" s="181">
        <f>IFERROR(E1200/D1200,"")</f>
        <v/>
      </c>
      <c r="G1200" s="219" t="n"/>
      <c r="H1200" s="220" t="n"/>
      <c r="I1200" s="221">
        <f>IF(COUNTA(A1200:E1200)=0,"",IF(OR(D1200&lt;=0,E1200&lt;0),"ERRO: bases inválidas",IF(E1200&gt;D1200,"ERRO: presenças acima do previsto",IF(COUNTIFS($A$5:$A$1200,A1200,$B$5:$B$1200,B1200,$C$5:$C$1200,C1200)&gt;1,"ERRO: chave duplicada",IF(COUNTIFS(DISCIPLINAS!$A$5:$A$101,B1200,DISCIPLINAS!$B$5:$B$101,C1200)=0,"ERRO: disciplina não pertence ao curso","OK")))))</f>
        <v/>
      </c>
    </row>
  </sheetData>
  <mergeCells count="2">
    <mergeCell ref="A2:H2"/>
    <mergeCell ref="A1:H1"/>
  </mergeCells>
  <conditionalFormatting sqref="I5:I1200">
    <cfRule type="expression" rank="0" priority="2" equalAverage="0" aboveAverage="0" dxfId="15" text="" percent="0" bottom="0">
      <formula>LEFT(I5,4)="ERRO"</formula>
    </cfRule>
  </conditionalFormatting>
  <dataValidations count="3">
    <dataValidation sqref="A5:A1200" showDropDown="0" showInputMessage="0" showErrorMessage="1" allowBlank="1" errorTitle="Período inválido" error="Escolha um código da lista. Grão declarado: Semestral." type="list" errorStyle="stop" operator="between">
      <formula1>LST_PER_DTNH_03</formula1>
      <formula2>0</formula2>
    </dataValidation>
    <dataValidation sqref="B5:B1200" showDropDown="0" showInputMessage="0" showErrorMessage="1" allowBlank="1" errorTitle="Curso inválido" error="Escolha um curso da aba CURSOS." type="list" errorStyle="stop" operator="between">
      <formula1>LST_CURSOS</formula1>
      <formula2>0</formula2>
    </dataValidation>
    <dataValidation sqref="C5:C1200" showDropDown="0" showInputMessage="0" showErrorMessage="0" allowBlank="1" type="list" errorStyle="stop" operator="between">
      <formula1>OFFSET(DISCIPLINAS!$B$5,MATCH($B5,DIS_CURSO,0)-1,0,COUNTIF(DIS_CURSO,$B5),1)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H4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130" min="1" max="1"/>
    <col width="46" customWidth="1" style="130" min="2" max="2"/>
    <col width="18" customWidth="1" style="130" min="3" max="3"/>
    <col width="14" customWidth="1" style="130" min="4" max="5"/>
    <col width="18" customWidth="1" style="130" min="6" max="6"/>
    <col width="16" customWidth="1" style="130" min="7" max="7"/>
    <col width="50" customWidth="1" style="130" min="8" max="8"/>
  </cols>
  <sheetData>
    <row r="1" ht="24" customHeight="1" s="131">
      <c r="A1" s="132" t="inlineStr">
        <is>
          <t>METAS COM VIGÊNCIA — HISTÓRICO PRESERVADO</t>
        </is>
      </c>
    </row>
    <row r="2" ht="30" customHeight="1" s="131">
      <c r="A2" s="133" t="inlineStr">
        <is>
          <t>Para mudar uma meta, ACRESCENTE uma linha com nova vigência; nunca sobrescreva. A ordem não importa. Recorte aceita três níveis: TOTAL (área), nome do curso, ou 'Curso » Disciplina'. A herança vai da disciplina para o curso e do curso para a área.</t>
        </is>
      </c>
    </row>
    <row r="4" ht="30" customHeight="1" s="131">
      <c r="A4" s="199" t="inlineStr">
        <is>
          <t>KPI</t>
        </is>
      </c>
      <c r="B4" s="199" t="inlineStr">
        <is>
          <t>Recorte</t>
        </is>
      </c>
      <c r="C4" s="199" t="inlineStr">
        <is>
          <t>Vigência (AAAA-MM)</t>
        </is>
      </c>
      <c r="D4" s="199" t="inlineStr">
        <is>
          <t>Chave (calc.)</t>
        </is>
      </c>
      <c r="E4" s="199" t="inlineStr">
        <is>
          <t>Meta</t>
        </is>
      </c>
      <c r="F4" s="199" t="inlineStr">
        <is>
          <t>Limiar de atenção</t>
        </is>
      </c>
      <c r="G4" s="199" t="inlineStr">
        <is>
          <t>Limite superior</t>
        </is>
      </c>
      <c r="H4" s="199" t="inlineStr">
        <is>
          <t>Justificativa</t>
        </is>
      </c>
    </row>
    <row r="5" ht="15" customHeight="1" s="131">
      <c r="A5" s="223" t="inlineStr">
        <is>
          <t>DTNH-01</t>
        </is>
      </c>
      <c r="B5" s="224" t="inlineStr">
        <is>
          <t>TOTAL</t>
        </is>
      </c>
      <c r="C5" s="225" t="inlineStr">
        <is>
          <t>2026-06</t>
        </is>
      </c>
      <c r="D5" s="226">
        <f>IFERROR(VALUE(SUBSTITUTE($C5,"-","")),0)</f>
        <v/>
      </c>
      <c r="E5" s="227" t="n">
        <v>40</v>
      </c>
      <c r="F5" s="228" t="n">
        <v>26.95</v>
      </c>
      <c r="G5" s="228" t="n"/>
      <c r="H5" s="229" t="inlineStr"/>
    </row>
    <row r="6" ht="15" customHeight="1" s="131">
      <c r="A6" s="223" t="inlineStr">
        <is>
          <t>DTNH-02</t>
        </is>
      </c>
      <c r="B6" s="224" t="inlineStr">
        <is>
          <t>TOTAL</t>
        </is>
      </c>
      <c r="C6" s="225" t="inlineStr">
        <is>
          <t>2026-06</t>
        </is>
      </c>
      <c r="D6" s="226">
        <f>IFERROR(VALUE(SUBSTITUTE($C6,"-","")),0)</f>
        <v/>
      </c>
      <c r="E6" s="230" t="n">
        <v>-0.015</v>
      </c>
      <c r="F6" s="231" t="n">
        <v>-0.03</v>
      </c>
      <c r="G6" s="231" t="n"/>
      <c r="H6" s="229" t="inlineStr"/>
    </row>
    <row r="7" ht="15" customHeight="1" s="131">
      <c r="A7" s="223" t="inlineStr">
        <is>
          <t>DTNH-03</t>
        </is>
      </c>
      <c r="B7" s="224" t="inlineStr">
        <is>
          <t>Direito</t>
        </is>
      </c>
      <c r="C7" s="225" t="inlineStr">
        <is>
          <t>2026-06</t>
        </is>
      </c>
      <c r="D7" s="226">
        <f>IFERROR(VALUE(SUBSTITUTE($C7,"-","")),0)</f>
        <v/>
      </c>
      <c r="E7" s="230" t="n">
        <v>0.8</v>
      </c>
      <c r="F7" s="231" t="n">
        <v>0.75</v>
      </c>
      <c r="G7" s="231" t="n"/>
      <c r="H7" s="229" t="inlineStr"/>
    </row>
    <row r="8" ht="15" customHeight="1" s="131">
      <c r="A8" s="223" t="inlineStr">
        <is>
          <t>DTNH-03</t>
        </is>
      </c>
      <c r="B8" s="224" t="inlineStr">
        <is>
          <t>TOTAL</t>
        </is>
      </c>
      <c r="C8" s="225" t="inlineStr">
        <is>
          <t>2026-06</t>
        </is>
      </c>
      <c r="D8" s="226">
        <f>IFERROR(VALUE(SUBSTITUTE($C8,"-","")),0)</f>
        <v/>
      </c>
      <c r="E8" s="230" t="n">
        <v>0.75</v>
      </c>
      <c r="F8" s="231" t="n">
        <v>0.7</v>
      </c>
      <c r="G8" s="231" t="n"/>
      <c r="H8" s="229" t="inlineStr"/>
    </row>
    <row r="9" ht="15" customHeight="1" s="131">
      <c r="A9" s="223" t="n"/>
      <c r="B9" s="224" t="n"/>
      <c r="C9" s="225" t="n"/>
      <c r="D9" s="226">
        <f>IFERROR(VALUE(SUBSTITUTE($C9,"-","")),0)</f>
        <v/>
      </c>
      <c r="E9" s="230" t="n"/>
      <c r="F9" s="231" t="n"/>
      <c r="G9" s="231" t="n"/>
      <c r="H9" s="229" t="n"/>
    </row>
    <row r="10" ht="15" customHeight="1" s="131">
      <c r="A10" s="223" t="n"/>
      <c r="B10" s="224" t="n"/>
      <c r="C10" s="225" t="n"/>
      <c r="D10" s="226">
        <f>IFERROR(VALUE(SUBSTITUTE($C10,"-","")),0)</f>
        <v/>
      </c>
      <c r="E10" s="227" t="n"/>
      <c r="F10" s="228" t="n"/>
      <c r="G10" s="228" t="n"/>
      <c r="H10" s="229" t="n"/>
    </row>
    <row r="11" ht="15" customHeight="1" s="131">
      <c r="A11" s="225" t="n"/>
      <c r="B11" s="232" t="n"/>
      <c r="C11" s="225" t="n"/>
      <c r="D11" s="226">
        <f>IFERROR(VALUE(SUBSTITUTE($C11,"-","")),0)</f>
        <v/>
      </c>
      <c r="E11" s="225" t="n"/>
      <c r="F11" s="225" t="n"/>
      <c r="G11" s="225" t="n"/>
      <c r="H11" s="232" t="n"/>
    </row>
    <row r="12" ht="15" customHeight="1" s="131">
      <c r="A12" s="225" t="n"/>
      <c r="B12" s="232" t="n"/>
      <c r="C12" s="225" t="n"/>
      <c r="D12" s="226">
        <f>IFERROR(VALUE(SUBSTITUTE($C12,"-","")),0)</f>
        <v/>
      </c>
      <c r="E12" s="225" t="n"/>
      <c r="F12" s="225" t="n"/>
      <c r="G12" s="225" t="n"/>
      <c r="H12" s="232" t="n"/>
    </row>
    <row r="13" ht="15" customHeight="1" s="131">
      <c r="A13" s="225" t="n"/>
      <c r="B13" s="232" t="n"/>
      <c r="C13" s="225" t="n"/>
      <c r="D13" s="226">
        <f>IFERROR(VALUE(SUBSTITUTE($C13,"-","")),0)</f>
        <v/>
      </c>
      <c r="E13" s="225" t="n"/>
      <c r="F13" s="225" t="n"/>
      <c r="G13" s="225" t="n"/>
      <c r="H13" s="232" t="n"/>
    </row>
    <row r="14" ht="15" customHeight="1" s="131">
      <c r="A14" s="225" t="n"/>
      <c r="B14" s="232" t="n"/>
      <c r="C14" s="225" t="n"/>
      <c r="D14" s="226">
        <f>IFERROR(VALUE(SUBSTITUTE($C14,"-","")),0)</f>
        <v/>
      </c>
      <c r="E14" s="225" t="n"/>
      <c r="F14" s="225" t="n"/>
      <c r="G14" s="225" t="n"/>
      <c r="H14" s="232" t="n"/>
    </row>
    <row r="15" ht="15" customHeight="1" s="131">
      <c r="A15" s="225" t="n"/>
      <c r="B15" s="232" t="n"/>
      <c r="C15" s="225" t="n"/>
      <c r="D15" s="226">
        <f>IFERROR(VALUE(SUBSTITUTE($C15,"-","")),0)</f>
        <v/>
      </c>
      <c r="E15" s="225" t="n"/>
      <c r="F15" s="225" t="n"/>
      <c r="G15" s="225" t="n"/>
      <c r="H15" s="232" t="n"/>
    </row>
    <row r="16" ht="15" customHeight="1" s="131">
      <c r="A16" s="225" t="n"/>
      <c r="B16" s="232" t="n"/>
      <c r="C16" s="225" t="n"/>
      <c r="D16" s="226">
        <f>IFERROR(VALUE(SUBSTITUTE($C16,"-","")),0)</f>
        <v/>
      </c>
      <c r="E16" s="225" t="n"/>
      <c r="F16" s="225" t="n"/>
      <c r="G16" s="225" t="n"/>
      <c r="H16" s="232" t="n"/>
    </row>
    <row r="17" ht="15" customHeight="1" s="131">
      <c r="A17" s="225" t="n"/>
      <c r="B17" s="232" t="n"/>
      <c r="C17" s="225" t="n"/>
      <c r="D17" s="226">
        <f>IFERROR(VALUE(SUBSTITUTE($C17,"-","")),0)</f>
        <v/>
      </c>
      <c r="E17" s="225" t="n"/>
      <c r="F17" s="225" t="n"/>
      <c r="G17" s="225" t="n"/>
      <c r="H17" s="232" t="n"/>
    </row>
    <row r="18" ht="15" customHeight="1" s="131">
      <c r="A18" s="225" t="n"/>
      <c r="B18" s="232" t="n"/>
      <c r="C18" s="225" t="n"/>
      <c r="D18" s="226">
        <f>IFERROR(VALUE(SUBSTITUTE($C18,"-","")),0)</f>
        <v/>
      </c>
      <c r="E18" s="225" t="n"/>
      <c r="F18" s="225" t="n"/>
      <c r="G18" s="225" t="n"/>
      <c r="H18" s="232" t="n"/>
    </row>
    <row r="19" ht="15" customHeight="1" s="131">
      <c r="A19" s="225" t="n"/>
      <c r="B19" s="232" t="n"/>
      <c r="C19" s="225" t="n"/>
      <c r="D19" s="226">
        <f>IFERROR(VALUE(SUBSTITUTE($C19,"-","")),0)</f>
        <v/>
      </c>
      <c r="E19" s="225" t="n"/>
      <c r="F19" s="225" t="n"/>
      <c r="G19" s="225" t="n"/>
      <c r="H19" s="232" t="n"/>
    </row>
    <row r="20" ht="15" customHeight="1" s="131">
      <c r="A20" s="225" t="n"/>
      <c r="B20" s="232" t="n"/>
      <c r="C20" s="225" t="n"/>
      <c r="D20" s="226">
        <f>IFERROR(VALUE(SUBSTITUTE($C20,"-","")),0)</f>
        <v/>
      </c>
      <c r="E20" s="225" t="n"/>
      <c r="F20" s="225" t="n"/>
      <c r="G20" s="225" t="n"/>
      <c r="H20" s="232" t="n"/>
    </row>
    <row r="21" ht="15" customHeight="1" s="131">
      <c r="A21" s="225" t="n"/>
      <c r="B21" s="232" t="n"/>
      <c r="C21" s="225" t="n"/>
      <c r="D21" s="226">
        <f>IFERROR(VALUE(SUBSTITUTE($C21,"-","")),0)</f>
        <v/>
      </c>
      <c r="E21" s="225" t="n"/>
      <c r="F21" s="225" t="n"/>
      <c r="G21" s="225" t="n"/>
      <c r="H21" s="232" t="n"/>
    </row>
    <row r="22" ht="15" customHeight="1" s="131">
      <c r="A22" s="225" t="n"/>
      <c r="B22" s="232" t="n"/>
      <c r="C22" s="225" t="n"/>
      <c r="D22" s="226">
        <f>IFERROR(VALUE(SUBSTITUTE($C22,"-","")),0)</f>
        <v/>
      </c>
      <c r="E22" s="225" t="n"/>
      <c r="F22" s="225" t="n"/>
      <c r="G22" s="225" t="n"/>
      <c r="H22" s="232" t="n"/>
    </row>
    <row r="23" ht="15" customHeight="1" s="131">
      <c r="A23" s="225" t="n"/>
      <c r="B23" s="232" t="n"/>
      <c r="C23" s="225" t="n"/>
      <c r="D23" s="226">
        <f>IFERROR(VALUE(SUBSTITUTE($C23,"-","")),0)</f>
        <v/>
      </c>
      <c r="E23" s="225" t="n"/>
      <c r="F23" s="225" t="n"/>
      <c r="G23" s="225" t="n"/>
      <c r="H23" s="232" t="n"/>
    </row>
    <row r="24" ht="15" customHeight="1" s="131">
      <c r="A24" s="225" t="n"/>
      <c r="B24" s="232" t="n"/>
      <c r="C24" s="225" t="n"/>
      <c r="D24" s="226">
        <f>IFERROR(VALUE(SUBSTITUTE($C24,"-","")),0)</f>
        <v/>
      </c>
      <c r="E24" s="225" t="n"/>
      <c r="F24" s="225" t="n"/>
      <c r="G24" s="225" t="n"/>
      <c r="H24" s="232" t="n"/>
    </row>
    <row r="25" ht="15" customHeight="1" s="131">
      <c r="A25" s="225" t="n"/>
      <c r="B25" s="232" t="n"/>
      <c r="C25" s="225" t="n"/>
      <c r="D25" s="226">
        <f>IFERROR(VALUE(SUBSTITUTE($C25,"-","")),0)</f>
        <v/>
      </c>
      <c r="E25" s="225" t="n"/>
      <c r="F25" s="225" t="n"/>
      <c r="G25" s="225" t="n"/>
      <c r="H25" s="232" t="n"/>
    </row>
    <row r="26" ht="15" customHeight="1" s="131">
      <c r="A26" s="225" t="n"/>
      <c r="B26" s="232" t="n"/>
      <c r="C26" s="225" t="n"/>
      <c r="D26" s="226">
        <f>IFERROR(VALUE(SUBSTITUTE($C26,"-","")),0)</f>
        <v/>
      </c>
      <c r="E26" s="225" t="n"/>
      <c r="F26" s="225" t="n"/>
      <c r="G26" s="225" t="n"/>
      <c r="H26" s="232" t="n"/>
    </row>
    <row r="27" ht="15" customHeight="1" s="131">
      <c r="A27" s="225" t="n"/>
      <c r="B27" s="232" t="n"/>
      <c r="C27" s="225" t="n"/>
      <c r="D27" s="226">
        <f>IFERROR(VALUE(SUBSTITUTE($C27,"-","")),0)</f>
        <v/>
      </c>
      <c r="E27" s="225" t="n"/>
      <c r="F27" s="225" t="n"/>
      <c r="G27" s="225" t="n"/>
      <c r="H27" s="232" t="n"/>
    </row>
    <row r="28" ht="15" customHeight="1" s="131">
      <c r="A28" s="225" t="n"/>
      <c r="B28" s="232" t="n"/>
      <c r="C28" s="225" t="n"/>
      <c r="D28" s="226">
        <f>IFERROR(VALUE(SUBSTITUTE($C28,"-","")),0)</f>
        <v/>
      </c>
      <c r="E28" s="225" t="n"/>
      <c r="F28" s="225" t="n"/>
      <c r="G28" s="225" t="n"/>
      <c r="H28" s="232" t="n"/>
    </row>
    <row r="29" ht="15" customHeight="1" s="131">
      <c r="A29" s="225" t="n"/>
      <c r="B29" s="232" t="n"/>
      <c r="C29" s="225" t="n"/>
      <c r="D29" s="226">
        <f>IFERROR(VALUE(SUBSTITUTE($C29,"-","")),0)</f>
        <v/>
      </c>
      <c r="E29" s="225" t="n"/>
      <c r="F29" s="225" t="n"/>
      <c r="G29" s="225" t="n"/>
      <c r="H29" s="232" t="n"/>
    </row>
    <row r="30" ht="15" customHeight="1" s="131">
      <c r="A30" s="225" t="n"/>
      <c r="B30" s="232" t="n"/>
      <c r="C30" s="225" t="n"/>
      <c r="D30" s="226">
        <f>IFERROR(VALUE(SUBSTITUTE($C30,"-","")),0)</f>
        <v/>
      </c>
      <c r="E30" s="225" t="n"/>
      <c r="F30" s="225" t="n"/>
      <c r="G30" s="225" t="n"/>
      <c r="H30" s="232" t="n"/>
    </row>
    <row r="31" ht="15" customHeight="1" s="131">
      <c r="A31" s="225" t="n"/>
      <c r="B31" s="232" t="n"/>
      <c r="C31" s="225" t="n"/>
      <c r="D31" s="226">
        <f>IFERROR(VALUE(SUBSTITUTE($C31,"-","")),0)</f>
        <v/>
      </c>
      <c r="E31" s="225" t="n"/>
      <c r="F31" s="225" t="n"/>
      <c r="G31" s="225" t="n"/>
      <c r="H31" s="232" t="n"/>
    </row>
    <row r="32" ht="15" customHeight="1" s="131">
      <c r="A32" s="225" t="n"/>
      <c r="B32" s="232" t="n"/>
      <c r="C32" s="225" t="n"/>
      <c r="D32" s="226">
        <f>IFERROR(VALUE(SUBSTITUTE($C32,"-","")),0)</f>
        <v/>
      </c>
      <c r="E32" s="225" t="n"/>
      <c r="F32" s="225" t="n"/>
      <c r="G32" s="225" t="n"/>
      <c r="H32" s="232" t="n"/>
    </row>
    <row r="33" ht="15" customHeight="1" s="131">
      <c r="A33" s="225" t="n"/>
      <c r="B33" s="232" t="n"/>
      <c r="C33" s="225" t="n"/>
      <c r="D33" s="226">
        <f>IFERROR(VALUE(SUBSTITUTE($C33,"-","")),0)</f>
        <v/>
      </c>
      <c r="E33" s="225" t="n"/>
      <c r="F33" s="225" t="n"/>
      <c r="G33" s="225" t="n"/>
      <c r="H33" s="232" t="n"/>
    </row>
    <row r="34" ht="15" customHeight="1" s="131">
      <c r="A34" s="225" t="n"/>
      <c r="B34" s="232" t="n"/>
      <c r="C34" s="225" t="n"/>
      <c r="D34" s="226">
        <f>IFERROR(VALUE(SUBSTITUTE($C34,"-","")),0)</f>
        <v/>
      </c>
      <c r="E34" s="225" t="n"/>
      <c r="F34" s="225" t="n"/>
      <c r="G34" s="225" t="n"/>
      <c r="H34" s="232" t="n"/>
    </row>
    <row r="35" ht="15" customHeight="1" s="131">
      <c r="A35" s="225" t="n"/>
      <c r="B35" s="232" t="n"/>
      <c r="C35" s="225" t="n"/>
      <c r="D35" s="226">
        <f>IFERROR(VALUE(SUBSTITUTE($C35,"-","")),0)</f>
        <v/>
      </c>
      <c r="E35" s="225" t="n"/>
      <c r="F35" s="225" t="n"/>
      <c r="G35" s="225" t="n"/>
      <c r="H35" s="232" t="n"/>
    </row>
    <row r="36" ht="15" customHeight="1" s="131">
      <c r="A36" s="225" t="n"/>
      <c r="B36" s="232" t="n"/>
      <c r="C36" s="225" t="n"/>
      <c r="D36" s="226">
        <f>IFERROR(VALUE(SUBSTITUTE($C36,"-","")),0)</f>
        <v/>
      </c>
      <c r="E36" s="225" t="n"/>
      <c r="F36" s="225" t="n"/>
      <c r="G36" s="225" t="n"/>
      <c r="H36" s="232" t="n"/>
    </row>
    <row r="37" ht="15" customHeight="1" s="131">
      <c r="A37" s="225" t="n"/>
      <c r="B37" s="232" t="n"/>
      <c r="C37" s="225" t="n"/>
      <c r="D37" s="226">
        <f>IFERROR(VALUE(SUBSTITUTE($C37,"-","")),0)</f>
        <v/>
      </c>
      <c r="E37" s="225" t="n"/>
      <c r="F37" s="225" t="n"/>
      <c r="G37" s="225" t="n"/>
      <c r="H37" s="232" t="n"/>
    </row>
    <row r="38" ht="15" customHeight="1" s="131">
      <c r="A38" s="225" t="n"/>
      <c r="B38" s="232" t="n"/>
      <c r="C38" s="225" t="n"/>
      <c r="D38" s="226">
        <f>IFERROR(VALUE(SUBSTITUTE($C38,"-","")),0)</f>
        <v/>
      </c>
      <c r="E38" s="225" t="n"/>
      <c r="F38" s="225" t="n"/>
      <c r="G38" s="225" t="n"/>
      <c r="H38" s="232" t="n"/>
    </row>
    <row r="39" ht="15" customHeight="1" s="131">
      <c r="A39" s="225" t="n"/>
      <c r="B39" s="232" t="n"/>
      <c r="C39" s="225" t="n"/>
      <c r="D39" s="226">
        <f>IFERROR(VALUE(SUBSTITUTE($C39,"-","")),0)</f>
        <v/>
      </c>
      <c r="E39" s="225" t="n"/>
      <c r="F39" s="225" t="n"/>
      <c r="G39" s="225" t="n"/>
      <c r="H39" s="232" t="n"/>
    </row>
    <row r="40" ht="15" customHeight="1" s="131">
      <c r="A40" s="225" t="n"/>
      <c r="B40" s="232" t="n"/>
      <c r="C40" s="225" t="n"/>
      <c r="D40" s="226">
        <f>IFERROR(VALUE(SUBSTITUTE($C40,"-","")),0)</f>
        <v/>
      </c>
      <c r="E40" s="225" t="n"/>
      <c r="F40" s="225" t="n"/>
      <c r="G40" s="225" t="n"/>
      <c r="H40" s="232" t="n"/>
    </row>
    <row r="41" ht="15" customHeight="1" s="131">
      <c r="A41" s="225" t="n"/>
      <c r="B41" s="232" t="n"/>
      <c r="C41" s="225" t="n"/>
      <c r="D41" s="226">
        <f>IFERROR(VALUE(SUBSTITUTE($C41,"-","")),0)</f>
        <v/>
      </c>
      <c r="E41" s="225" t="n"/>
      <c r="F41" s="225" t="n"/>
      <c r="G41" s="225" t="n"/>
      <c r="H41" s="232" t="n"/>
    </row>
    <row r="42" ht="15" customHeight="1" s="131">
      <c r="A42" s="225" t="n"/>
      <c r="B42" s="232" t="n"/>
      <c r="C42" s="225" t="n"/>
      <c r="D42" s="226">
        <f>IFERROR(VALUE(SUBSTITUTE($C42,"-","")),0)</f>
        <v/>
      </c>
      <c r="E42" s="225" t="n"/>
      <c r="F42" s="225" t="n"/>
      <c r="G42" s="225" t="n"/>
      <c r="H42" s="232" t="n"/>
    </row>
    <row r="43" ht="15" customHeight="1" s="131">
      <c r="A43" s="225" t="n"/>
      <c r="B43" s="232" t="n"/>
      <c r="C43" s="225" t="n"/>
      <c r="D43" s="226">
        <f>IFERROR(VALUE(SUBSTITUTE($C43,"-","")),0)</f>
        <v/>
      </c>
      <c r="E43" s="225" t="n"/>
      <c r="F43" s="225" t="n"/>
      <c r="G43" s="225" t="n"/>
      <c r="H43" s="232" t="n"/>
    </row>
    <row r="44" ht="15" customHeight="1" s="131">
      <c r="A44" s="225" t="n"/>
      <c r="B44" s="232" t="n"/>
      <c r="C44" s="225" t="n"/>
      <c r="D44" s="226">
        <f>IFERROR(VALUE(SUBSTITUTE($C44,"-","")),0)</f>
        <v/>
      </c>
      <c r="E44" s="225" t="n"/>
      <c r="F44" s="225" t="n"/>
      <c r="G44" s="225" t="n"/>
      <c r="H44" s="232" t="n"/>
    </row>
    <row r="45" ht="15" customHeight="1" s="131">
      <c r="A45" s="225" t="n"/>
      <c r="B45" s="232" t="n"/>
      <c r="C45" s="225" t="n"/>
      <c r="D45" s="226">
        <f>IFERROR(VALUE(SUBSTITUTE($C45,"-","")),0)</f>
        <v/>
      </c>
      <c r="E45" s="225" t="n"/>
      <c r="F45" s="225" t="n"/>
      <c r="G45" s="225" t="n"/>
      <c r="H45" s="232" t="n"/>
    </row>
    <row r="46" ht="15" customHeight="1" s="131">
      <c r="A46" s="225" t="n"/>
      <c r="B46" s="232" t="n"/>
      <c r="C46" s="225" t="n"/>
      <c r="D46" s="226">
        <f>IFERROR(VALUE(SUBSTITUTE($C46,"-","")),0)</f>
        <v/>
      </c>
      <c r="E46" s="225" t="n"/>
      <c r="F46" s="225" t="n"/>
      <c r="G46" s="225" t="n"/>
      <c r="H46" s="232" t="n"/>
    </row>
    <row r="47" ht="15" customHeight="1" s="131">
      <c r="A47" s="225" t="n"/>
      <c r="B47" s="232" t="n"/>
      <c r="C47" s="225" t="n"/>
      <c r="D47" s="226">
        <f>IFERROR(VALUE(SUBSTITUTE($C47,"-","")),0)</f>
        <v/>
      </c>
      <c r="E47" s="225" t="n"/>
      <c r="F47" s="225" t="n"/>
      <c r="G47" s="225" t="n"/>
      <c r="H47" s="232" t="n"/>
    </row>
    <row r="48" ht="15" customHeight="1" s="131">
      <c r="A48" s="225" t="n"/>
      <c r="B48" s="232" t="n"/>
      <c r="C48" s="225" t="n"/>
      <c r="D48" s="226">
        <f>IFERROR(VALUE(SUBSTITUTE($C48,"-","")),0)</f>
        <v/>
      </c>
      <c r="E48" s="225" t="n"/>
      <c r="F48" s="225" t="n"/>
      <c r="G48" s="225" t="n"/>
      <c r="H48" s="232" t="n"/>
    </row>
    <row r="49" ht="15" customHeight="1" s="131">
      <c r="A49" s="225" t="n"/>
      <c r="B49" s="232" t="n"/>
      <c r="C49" s="225" t="n"/>
      <c r="D49" s="226">
        <f>IFERROR(VALUE(SUBSTITUTE($C49,"-","")),0)</f>
        <v/>
      </c>
      <c r="E49" s="225" t="n"/>
      <c r="F49" s="225" t="n"/>
      <c r="G49" s="225" t="n"/>
      <c r="H49" s="232" t="n"/>
    </row>
    <row r="50" ht="15" customHeight="1" s="131">
      <c r="A50" s="225" t="n"/>
      <c r="B50" s="232" t="n"/>
      <c r="C50" s="225" t="n"/>
      <c r="D50" s="226">
        <f>IFERROR(VALUE(SUBSTITUTE($C50,"-","")),0)</f>
        <v/>
      </c>
      <c r="E50" s="225" t="n"/>
      <c r="F50" s="225" t="n"/>
      <c r="G50" s="225" t="n"/>
      <c r="H50" s="232" t="n"/>
    </row>
    <row r="51" ht="15" customHeight="1" s="131">
      <c r="A51" s="225" t="n"/>
      <c r="B51" s="232" t="n"/>
      <c r="C51" s="225" t="n"/>
      <c r="D51" s="226">
        <f>IFERROR(VALUE(SUBSTITUTE($C51,"-","")),0)</f>
        <v/>
      </c>
      <c r="E51" s="225" t="n"/>
      <c r="F51" s="225" t="n"/>
      <c r="G51" s="225" t="n"/>
      <c r="H51" s="232" t="n"/>
    </row>
    <row r="52" ht="15" customHeight="1" s="131">
      <c r="A52" s="225" t="n"/>
      <c r="B52" s="232" t="n"/>
      <c r="C52" s="225" t="n"/>
      <c r="D52" s="226">
        <f>IFERROR(VALUE(SUBSTITUTE($C52,"-","")),0)</f>
        <v/>
      </c>
      <c r="E52" s="225" t="n"/>
      <c r="F52" s="225" t="n"/>
      <c r="G52" s="225" t="n"/>
      <c r="H52" s="232" t="n"/>
    </row>
    <row r="53" ht="15" customHeight="1" s="131">
      <c r="A53" s="225" t="n"/>
      <c r="B53" s="232" t="n"/>
      <c r="C53" s="225" t="n"/>
      <c r="D53" s="226">
        <f>IFERROR(VALUE(SUBSTITUTE($C53,"-","")),0)</f>
        <v/>
      </c>
      <c r="E53" s="225" t="n"/>
      <c r="F53" s="225" t="n"/>
      <c r="G53" s="225" t="n"/>
      <c r="H53" s="232" t="n"/>
    </row>
    <row r="54" ht="15" customHeight="1" s="131">
      <c r="A54" s="225" t="n"/>
      <c r="B54" s="232" t="n"/>
      <c r="C54" s="225" t="n"/>
      <c r="D54" s="226">
        <f>IFERROR(VALUE(SUBSTITUTE($C54,"-","")),0)</f>
        <v/>
      </c>
      <c r="E54" s="225" t="n"/>
      <c r="F54" s="225" t="n"/>
      <c r="G54" s="225" t="n"/>
      <c r="H54" s="232" t="n"/>
    </row>
    <row r="55" ht="15" customHeight="1" s="131">
      <c r="A55" s="225" t="n"/>
      <c r="B55" s="232" t="n"/>
      <c r="C55" s="225" t="n"/>
      <c r="D55" s="226">
        <f>IFERROR(VALUE(SUBSTITUTE($C55,"-","")),0)</f>
        <v/>
      </c>
      <c r="E55" s="225" t="n"/>
      <c r="F55" s="225" t="n"/>
      <c r="G55" s="225" t="n"/>
      <c r="H55" s="232" t="n"/>
    </row>
    <row r="56" ht="15" customHeight="1" s="131">
      <c r="A56" s="225" t="n"/>
      <c r="B56" s="232" t="n"/>
      <c r="C56" s="225" t="n"/>
      <c r="D56" s="226">
        <f>IFERROR(VALUE(SUBSTITUTE($C56,"-","")),0)</f>
        <v/>
      </c>
      <c r="E56" s="225" t="n"/>
      <c r="F56" s="225" t="n"/>
      <c r="G56" s="225" t="n"/>
      <c r="H56" s="232" t="n"/>
    </row>
    <row r="57" ht="15" customHeight="1" s="131">
      <c r="A57" s="225" t="n"/>
      <c r="B57" s="232" t="n"/>
      <c r="C57" s="225" t="n"/>
      <c r="D57" s="226">
        <f>IFERROR(VALUE(SUBSTITUTE($C57,"-","")),0)</f>
        <v/>
      </c>
      <c r="E57" s="225" t="n"/>
      <c r="F57" s="225" t="n"/>
      <c r="G57" s="225" t="n"/>
      <c r="H57" s="232" t="n"/>
    </row>
    <row r="58" ht="15" customHeight="1" s="131">
      <c r="A58" s="225" t="n"/>
      <c r="B58" s="232" t="n"/>
      <c r="C58" s="225" t="n"/>
      <c r="D58" s="226">
        <f>IFERROR(VALUE(SUBSTITUTE($C58,"-","")),0)</f>
        <v/>
      </c>
      <c r="E58" s="225" t="n"/>
      <c r="F58" s="225" t="n"/>
      <c r="G58" s="225" t="n"/>
      <c r="H58" s="232" t="n"/>
    </row>
    <row r="59" ht="15" customHeight="1" s="131">
      <c r="A59" s="225" t="n"/>
      <c r="B59" s="232" t="n"/>
      <c r="C59" s="225" t="n"/>
      <c r="D59" s="226">
        <f>IFERROR(VALUE(SUBSTITUTE($C59,"-","")),0)</f>
        <v/>
      </c>
      <c r="E59" s="225" t="n"/>
      <c r="F59" s="225" t="n"/>
      <c r="G59" s="225" t="n"/>
      <c r="H59" s="232" t="n"/>
    </row>
    <row r="60" ht="15" customHeight="1" s="131">
      <c r="A60" s="225" t="n"/>
      <c r="B60" s="232" t="n"/>
      <c r="C60" s="225" t="n"/>
      <c r="D60" s="226">
        <f>IFERROR(VALUE(SUBSTITUTE($C60,"-","")),0)</f>
        <v/>
      </c>
      <c r="E60" s="225" t="n"/>
      <c r="F60" s="225" t="n"/>
      <c r="G60" s="225" t="n"/>
      <c r="H60" s="232" t="n"/>
    </row>
    <row r="61" ht="15" customHeight="1" s="131">
      <c r="A61" s="225" t="n"/>
      <c r="B61" s="232" t="n"/>
      <c r="C61" s="225" t="n"/>
      <c r="D61" s="226">
        <f>IFERROR(VALUE(SUBSTITUTE($C61,"-","")),0)</f>
        <v/>
      </c>
      <c r="E61" s="225" t="n"/>
      <c r="F61" s="225" t="n"/>
      <c r="G61" s="225" t="n"/>
      <c r="H61" s="232" t="n"/>
    </row>
    <row r="62" ht="15" customHeight="1" s="131">
      <c r="A62" s="225" t="n"/>
      <c r="B62" s="232" t="n"/>
      <c r="C62" s="225" t="n"/>
      <c r="D62" s="226">
        <f>IFERROR(VALUE(SUBSTITUTE($C62,"-","")),0)</f>
        <v/>
      </c>
      <c r="E62" s="225" t="n"/>
      <c r="F62" s="225" t="n"/>
      <c r="G62" s="225" t="n"/>
      <c r="H62" s="232" t="n"/>
    </row>
    <row r="63" ht="15" customHeight="1" s="131">
      <c r="A63" s="225" t="n"/>
      <c r="B63" s="232" t="n"/>
      <c r="C63" s="225" t="n"/>
      <c r="D63" s="226">
        <f>IFERROR(VALUE(SUBSTITUTE($C63,"-","")),0)</f>
        <v/>
      </c>
      <c r="E63" s="225" t="n"/>
      <c r="F63" s="225" t="n"/>
      <c r="G63" s="225" t="n"/>
      <c r="H63" s="232" t="n"/>
    </row>
    <row r="64" ht="15" customHeight="1" s="131">
      <c r="A64" s="225" t="n"/>
      <c r="B64" s="232" t="n"/>
      <c r="C64" s="225" t="n"/>
      <c r="D64" s="226">
        <f>IFERROR(VALUE(SUBSTITUTE($C64,"-","")),0)</f>
        <v/>
      </c>
      <c r="E64" s="225" t="n"/>
      <c r="F64" s="225" t="n"/>
      <c r="G64" s="225" t="n"/>
      <c r="H64" s="232" t="n"/>
    </row>
    <row r="65" ht="15" customHeight="1" s="131">
      <c r="A65" s="225" t="n"/>
      <c r="B65" s="232" t="n"/>
      <c r="C65" s="225" t="n"/>
      <c r="D65" s="226">
        <f>IFERROR(VALUE(SUBSTITUTE($C65,"-","")),0)</f>
        <v/>
      </c>
      <c r="E65" s="225" t="n"/>
      <c r="F65" s="225" t="n"/>
      <c r="G65" s="225" t="n"/>
      <c r="H65" s="232" t="n"/>
    </row>
    <row r="66" ht="15" customHeight="1" s="131">
      <c r="A66" s="225" t="n"/>
      <c r="B66" s="232" t="n"/>
      <c r="C66" s="225" t="n"/>
      <c r="D66" s="226">
        <f>IFERROR(VALUE(SUBSTITUTE($C66,"-","")),0)</f>
        <v/>
      </c>
      <c r="E66" s="225" t="n"/>
      <c r="F66" s="225" t="n"/>
      <c r="G66" s="225" t="n"/>
      <c r="H66" s="232" t="n"/>
    </row>
    <row r="67" ht="15" customHeight="1" s="131">
      <c r="A67" s="225" t="n"/>
      <c r="B67" s="232" t="n"/>
      <c r="C67" s="225" t="n"/>
      <c r="D67" s="226">
        <f>IFERROR(VALUE(SUBSTITUTE($C67,"-","")),0)</f>
        <v/>
      </c>
      <c r="E67" s="225" t="n"/>
      <c r="F67" s="225" t="n"/>
      <c r="G67" s="225" t="n"/>
      <c r="H67" s="232" t="n"/>
    </row>
    <row r="68" ht="15" customHeight="1" s="131">
      <c r="A68" s="225" t="n"/>
      <c r="B68" s="232" t="n"/>
      <c r="C68" s="225" t="n"/>
      <c r="D68" s="226">
        <f>IFERROR(VALUE(SUBSTITUTE($C68,"-","")),0)</f>
        <v/>
      </c>
      <c r="E68" s="225" t="n"/>
      <c r="F68" s="225" t="n"/>
      <c r="G68" s="225" t="n"/>
      <c r="H68" s="232" t="n"/>
    </row>
    <row r="69" ht="15" customHeight="1" s="131">
      <c r="A69" s="225" t="n"/>
      <c r="B69" s="232" t="n"/>
      <c r="C69" s="225" t="n"/>
      <c r="D69" s="226">
        <f>IFERROR(VALUE(SUBSTITUTE($C69,"-","")),0)</f>
        <v/>
      </c>
      <c r="E69" s="225" t="n"/>
      <c r="F69" s="225" t="n"/>
      <c r="G69" s="225" t="n"/>
      <c r="H69" s="232" t="n"/>
    </row>
    <row r="70" ht="15" customHeight="1" s="131">
      <c r="A70" s="225" t="n"/>
      <c r="B70" s="232" t="n"/>
      <c r="C70" s="225" t="n"/>
      <c r="D70" s="226">
        <f>IFERROR(VALUE(SUBSTITUTE($C70,"-","")),0)</f>
        <v/>
      </c>
      <c r="E70" s="225" t="n"/>
      <c r="F70" s="225" t="n"/>
      <c r="G70" s="225" t="n"/>
      <c r="H70" s="232" t="n"/>
    </row>
    <row r="71" ht="15" customHeight="1" s="131">
      <c r="A71" s="225" t="n"/>
      <c r="B71" s="232" t="n"/>
      <c r="C71" s="225" t="n"/>
      <c r="D71" s="226">
        <f>IFERROR(VALUE(SUBSTITUTE($C71,"-","")),0)</f>
        <v/>
      </c>
      <c r="E71" s="225" t="n"/>
      <c r="F71" s="225" t="n"/>
      <c r="G71" s="225" t="n"/>
      <c r="H71" s="232" t="n"/>
    </row>
    <row r="72" ht="15" customHeight="1" s="131">
      <c r="A72" s="225" t="n"/>
      <c r="B72" s="232" t="n"/>
      <c r="C72" s="225" t="n"/>
      <c r="D72" s="226">
        <f>IFERROR(VALUE(SUBSTITUTE($C72,"-","")),0)</f>
        <v/>
      </c>
      <c r="E72" s="225" t="n"/>
      <c r="F72" s="225" t="n"/>
      <c r="G72" s="225" t="n"/>
      <c r="H72" s="232" t="n"/>
    </row>
    <row r="73" ht="15" customHeight="1" s="131">
      <c r="A73" s="225" t="n"/>
      <c r="B73" s="232" t="n"/>
      <c r="C73" s="225" t="n"/>
      <c r="D73" s="226">
        <f>IFERROR(VALUE(SUBSTITUTE($C73,"-","")),0)</f>
        <v/>
      </c>
      <c r="E73" s="225" t="n"/>
      <c r="F73" s="225" t="n"/>
      <c r="G73" s="225" t="n"/>
      <c r="H73" s="232" t="n"/>
    </row>
    <row r="74" ht="15" customHeight="1" s="131">
      <c r="A74" s="225" t="n"/>
      <c r="B74" s="232" t="n"/>
      <c r="C74" s="225" t="n"/>
      <c r="D74" s="226">
        <f>IFERROR(VALUE(SUBSTITUTE($C74,"-","")),0)</f>
        <v/>
      </c>
      <c r="E74" s="225" t="n"/>
      <c r="F74" s="225" t="n"/>
      <c r="G74" s="225" t="n"/>
      <c r="H74" s="232" t="n"/>
    </row>
    <row r="75" ht="15" customHeight="1" s="131">
      <c r="A75" s="225" t="n"/>
      <c r="B75" s="232" t="n"/>
      <c r="C75" s="225" t="n"/>
      <c r="D75" s="226">
        <f>IFERROR(VALUE(SUBSTITUTE($C75,"-","")),0)</f>
        <v/>
      </c>
      <c r="E75" s="225" t="n"/>
      <c r="F75" s="225" t="n"/>
      <c r="G75" s="225" t="n"/>
      <c r="H75" s="232" t="n"/>
    </row>
    <row r="76" ht="15" customHeight="1" s="131">
      <c r="A76" s="225" t="n"/>
      <c r="B76" s="232" t="n"/>
      <c r="C76" s="225" t="n"/>
      <c r="D76" s="226">
        <f>IFERROR(VALUE(SUBSTITUTE($C76,"-","")),0)</f>
        <v/>
      </c>
      <c r="E76" s="225" t="n"/>
      <c r="F76" s="225" t="n"/>
      <c r="G76" s="225" t="n"/>
      <c r="H76" s="232" t="n"/>
    </row>
    <row r="77" ht="15" customHeight="1" s="131">
      <c r="A77" s="225" t="n"/>
      <c r="B77" s="232" t="n"/>
      <c r="C77" s="225" t="n"/>
      <c r="D77" s="226">
        <f>IFERROR(VALUE(SUBSTITUTE($C77,"-","")),0)</f>
        <v/>
      </c>
      <c r="E77" s="225" t="n"/>
      <c r="F77" s="225" t="n"/>
      <c r="G77" s="225" t="n"/>
      <c r="H77" s="232" t="n"/>
    </row>
    <row r="78" ht="15" customHeight="1" s="131">
      <c r="A78" s="225" t="n"/>
      <c r="B78" s="232" t="n"/>
      <c r="C78" s="225" t="n"/>
      <c r="D78" s="226">
        <f>IFERROR(VALUE(SUBSTITUTE($C78,"-","")),0)</f>
        <v/>
      </c>
      <c r="E78" s="225" t="n"/>
      <c r="F78" s="225" t="n"/>
      <c r="G78" s="225" t="n"/>
      <c r="H78" s="232" t="n"/>
    </row>
    <row r="79" ht="15" customHeight="1" s="131">
      <c r="A79" s="225" t="n"/>
      <c r="B79" s="232" t="n"/>
      <c r="C79" s="225" t="n"/>
      <c r="D79" s="226">
        <f>IFERROR(VALUE(SUBSTITUTE($C79,"-","")),0)</f>
        <v/>
      </c>
      <c r="E79" s="225" t="n"/>
      <c r="F79" s="225" t="n"/>
      <c r="G79" s="225" t="n"/>
      <c r="H79" s="232" t="n"/>
    </row>
    <row r="80" ht="15" customHeight="1" s="131">
      <c r="A80" s="225" t="n"/>
      <c r="B80" s="232" t="n"/>
      <c r="C80" s="225" t="n"/>
      <c r="D80" s="226">
        <f>IFERROR(VALUE(SUBSTITUTE($C80,"-","")),0)</f>
        <v/>
      </c>
      <c r="E80" s="225" t="n"/>
      <c r="F80" s="225" t="n"/>
      <c r="G80" s="225" t="n"/>
      <c r="H80" s="232" t="n"/>
    </row>
    <row r="81" ht="15" customHeight="1" s="131">
      <c r="A81" s="225" t="n"/>
      <c r="B81" s="232" t="n"/>
      <c r="C81" s="225" t="n"/>
      <c r="D81" s="226">
        <f>IFERROR(VALUE(SUBSTITUTE($C81,"-","")),0)</f>
        <v/>
      </c>
      <c r="E81" s="225" t="n"/>
      <c r="F81" s="225" t="n"/>
      <c r="G81" s="225" t="n"/>
      <c r="H81" s="232" t="n"/>
    </row>
    <row r="82" ht="15" customHeight="1" s="131">
      <c r="A82" s="225" t="n"/>
      <c r="B82" s="232" t="n"/>
      <c r="C82" s="225" t="n"/>
      <c r="D82" s="226">
        <f>IFERROR(VALUE(SUBSTITUTE($C82,"-","")),0)</f>
        <v/>
      </c>
      <c r="E82" s="225" t="n"/>
      <c r="F82" s="225" t="n"/>
      <c r="G82" s="225" t="n"/>
      <c r="H82" s="232" t="n"/>
    </row>
    <row r="83" ht="15" customHeight="1" s="131">
      <c r="A83" s="225" t="n"/>
      <c r="B83" s="232" t="n"/>
      <c r="C83" s="225" t="n"/>
      <c r="D83" s="226">
        <f>IFERROR(VALUE(SUBSTITUTE($C83,"-","")),0)</f>
        <v/>
      </c>
      <c r="E83" s="225" t="n"/>
      <c r="F83" s="225" t="n"/>
      <c r="G83" s="225" t="n"/>
      <c r="H83" s="232" t="n"/>
    </row>
    <row r="84" ht="15" customHeight="1" s="131">
      <c r="A84" s="225" t="n"/>
      <c r="B84" s="232" t="n"/>
      <c r="C84" s="225" t="n"/>
      <c r="D84" s="226">
        <f>IFERROR(VALUE(SUBSTITUTE($C84,"-","")),0)</f>
        <v/>
      </c>
      <c r="E84" s="225" t="n"/>
      <c r="F84" s="225" t="n"/>
      <c r="G84" s="225" t="n"/>
      <c r="H84" s="232" t="n"/>
    </row>
    <row r="85" ht="15" customHeight="1" s="131">
      <c r="A85" s="225" t="n"/>
      <c r="B85" s="232" t="n"/>
      <c r="C85" s="225" t="n"/>
      <c r="D85" s="226">
        <f>IFERROR(VALUE(SUBSTITUTE($C85,"-","")),0)</f>
        <v/>
      </c>
      <c r="E85" s="225" t="n"/>
      <c r="F85" s="225" t="n"/>
      <c r="G85" s="225" t="n"/>
      <c r="H85" s="232" t="n"/>
    </row>
    <row r="86" ht="15" customHeight="1" s="131">
      <c r="A86" s="225" t="n"/>
      <c r="B86" s="232" t="n"/>
      <c r="C86" s="225" t="n"/>
      <c r="D86" s="226">
        <f>IFERROR(VALUE(SUBSTITUTE($C86,"-","")),0)</f>
        <v/>
      </c>
      <c r="E86" s="225" t="n"/>
      <c r="F86" s="225" t="n"/>
      <c r="G86" s="225" t="n"/>
      <c r="H86" s="232" t="n"/>
    </row>
    <row r="87" ht="15" customHeight="1" s="131">
      <c r="A87" s="225" t="n"/>
      <c r="B87" s="232" t="n"/>
      <c r="C87" s="225" t="n"/>
      <c r="D87" s="226">
        <f>IFERROR(VALUE(SUBSTITUTE($C87,"-","")),0)</f>
        <v/>
      </c>
      <c r="E87" s="225" t="n"/>
      <c r="F87" s="225" t="n"/>
      <c r="G87" s="225" t="n"/>
      <c r="H87" s="232" t="n"/>
    </row>
    <row r="88" ht="15" customHeight="1" s="131">
      <c r="A88" s="225" t="n"/>
      <c r="B88" s="232" t="n"/>
      <c r="C88" s="225" t="n"/>
      <c r="D88" s="226">
        <f>IFERROR(VALUE(SUBSTITUTE($C88,"-","")),0)</f>
        <v/>
      </c>
      <c r="E88" s="225" t="n"/>
      <c r="F88" s="225" t="n"/>
      <c r="G88" s="225" t="n"/>
      <c r="H88" s="232" t="n"/>
    </row>
    <row r="89" ht="15" customHeight="1" s="131">
      <c r="A89" s="225" t="n"/>
      <c r="B89" s="232" t="n"/>
      <c r="C89" s="225" t="n"/>
      <c r="D89" s="226">
        <f>IFERROR(VALUE(SUBSTITUTE($C89,"-","")),0)</f>
        <v/>
      </c>
      <c r="E89" s="225" t="n"/>
      <c r="F89" s="225" t="n"/>
      <c r="G89" s="225" t="n"/>
      <c r="H89" s="232" t="n"/>
    </row>
    <row r="90" ht="15" customHeight="1" s="131">
      <c r="A90" s="225" t="n"/>
      <c r="B90" s="232" t="n"/>
      <c r="C90" s="225" t="n"/>
      <c r="D90" s="226">
        <f>IFERROR(VALUE(SUBSTITUTE($C90,"-","")),0)</f>
        <v/>
      </c>
      <c r="E90" s="225" t="n"/>
      <c r="F90" s="225" t="n"/>
      <c r="G90" s="225" t="n"/>
      <c r="H90" s="232" t="n"/>
    </row>
    <row r="91" ht="15" customHeight="1" s="131">
      <c r="A91" s="225" t="n"/>
      <c r="B91" s="232" t="n"/>
      <c r="C91" s="225" t="n"/>
      <c r="D91" s="226">
        <f>IFERROR(VALUE(SUBSTITUTE($C91,"-","")),0)</f>
        <v/>
      </c>
      <c r="E91" s="225" t="n"/>
      <c r="F91" s="225" t="n"/>
      <c r="G91" s="225" t="n"/>
      <c r="H91" s="232" t="n"/>
    </row>
    <row r="92" ht="15" customHeight="1" s="131">
      <c r="A92" s="225" t="n"/>
      <c r="B92" s="232" t="n"/>
      <c r="C92" s="225" t="n"/>
      <c r="D92" s="226">
        <f>IFERROR(VALUE(SUBSTITUTE($C92,"-","")),0)</f>
        <v/>
      </c>
      <c r="E92" s="225" t="n"/>
      <c r="F92" s="225" t="n"/>
      <c r="G92" s="225" t="n"/>
      <c r="H92" s="232" t="n"/>
    </row>
    <row r="93" ht="15" customHeight="1" s="131">
      <c r="A93" s="225" t="n"/>
      <c r="B93" s="232" t="n"/>
      <c r="C93" s="225" t="n"/>
      <c r="D93" s="226">
        <f>IFERROR(VALUE(SUBSTITUTE($C93,"-","")),0)</f>
        <v/>
      </c>
      <c r="E93" s="225" t="n"/>
      <c r="F93" s="225" t="n"/>
      <c r="G93" s="225" t="n"/>
      <c r="H93" s="232" t="n"/>
    </row>
    <row r="94" ht="15" customHeight="1" s="131">
      <c r="A94" s="225" t="n"/>
      <c r="B94" s="232" t="n"/>
      <c r="C94" s="225" t="n"/>
      <c r="D94" s="226">
        <f>IFERROR(VALUE(SUBSTITUTE($C94,"-","")),0)</f>
        <v/>
      </c>
      <c r="E94" s="225" t="n"/>
      <c r="F94" s="225" t="n"/>
      <c r="G94" s="225" t="n"/>
      <c r="H94" s="232" t="n"/>
    </row>
    <row r="95" ht="15" customHeight="1" s="131">
      <c r="A95" s="225" t="n"/>
      <c r="B95" s="232" t="n"/>
      <c r="C95" s="225" t="n"/>
      <c r="D95" s="226">
        <f>IFERROR(VALUE(SUBSTITUTE($C95,"-","")),0)</f>
        <v/>
      </c>
      <c r="E95" s="225" t="n"/>
      <c r="F95" s="225" t="n"/>
      <c r="G95" s="225" t="n"/>
      <c r="H95" s="232" t="n"/>
    </row>
    <row r="96" ht="15" customHeight="1" s="131">
      <c r="A96" s="225" t="n"/>
      <c r="B96" s="232" t="n"/>
      <c r="C96" s="225" t="n"/>
      <c r="D96" s="226">
        <f>IFERROR(VALUE(SUBSTITUTE($C96,"-","")),0)</f>
        <v/>
      </c>
      <c r="E96" s="225" t="n"/>
      <c r="F96" s="225" t="n"/>
      <c r="G96" s="225" t="n"/>
      <c r="H96" s="232" t="n"/>
    </row>
    <row r="97" ht="15" customHeight="1" s="131">
      <c r="A97" s="225" t="n"/>
      <c r="B97" s="232" t="n"/>
      <c r="C97" s="225" t="n"/>
      <c r="D97" s="226">
        <f>IFERROR(VALUE(SUBSTITUTE($C97,"-","")),0)</f>
        <v/>
      </c>
      <c r="E97" s="225" t="n"/>
      <c r="F97" s="225" t="n"/>
      <c r="G97" s="225" t="n"/>
      <c r="H97" s="232" t="n"/>
    </row>
    <row r="98" ht="15" customHeight="1" s="131">
      <c r="A98" s="225" t="n"/>
      <c r="B98" s="232" t="n"/>
      <c r="C98" s="225" t="n"/>
      <c r="D98" s="226">
        <f>IFERROR(VALUE(SUBSTITUTE($C98,"-","")),0)</f>
        <v/>
      </c>
      <c r="E98" s="225" t="n"/>
      <c r="F98" s="225" t="n"/>
      <c r="G98" s="225" t="n"/>
      <c r="H98" s="232" t="n"/>
    </row>
    <row r="99" ht="15" customHeight="1" s="131">
      <c r="A99" s="225" t="n"/>
      <c r="B99" s="232" t="n"/>
      <c r="C99" s="225" t="n"/>
      <c r="D99" s="226">
        <f>IFERROR(VALUE(SUBSTITUTE($C99,"-","")),0)</f>
        <v/>
      </c>
      <c r="E99" s="225" t="n"/>
      <c r="F99" s="225" t="n"/>
      <c r="G99" s="225" t="n"/>
      <c r="H99" s="232" t="n"/>
    </row>
    <row r="100" ht="15" customHeight="1" s="131">
      <c r="A100" s="225" t="n"/>
      <c r="B100" s="232" t="n"/>
      <c r="C100" s="225" t="n"/>
      <c r="D100" s="226">
        <f>IFERROR(VALUE(SUBSTITUTE($C100,"-","")),0)</f>
        <v/>
      </c>
      <c r="E100" s="225" t="n"/>
      <c r="F100" s="225" t="n"/>
      <c r="G100" s="225" t="n"/>
      <c r="H100" s="232" t="n"/>
    </row>
    <row r="101" ht="15" customHeight="1" s="131">
      <c r="A101" s="225" t="n"/>
      <c r="B101" s="232" t="n"/>
      <c r="C101" s="225" t="n"/>
      <c r="D101" s="226">
        <f>IFERROR(VALUE(SUBSTITUTE($C101,"-","")),0)</f>
        <v/>
      </c>
      <c r="E101" s="225" t="n"/>
      <c r="F101" s="225" t="n"/>
      <c r="G101" s="225" t="n"/>
      <c r="H101" s="232" t="n"/>
    </row>
    <row r="102" ht="15" customHeight="1" s="131">
      <c r="A102" s="225" t="n"/>
      <c r="B102" s="232" t="n"/>
      <c r="C102" s="225" t="n"/>
      <c r="D102" s="226">
        <f>IFERROR(VALUE(SUBSTITUTE($C102,"-","")),0)</f>
        <v/>
      </c>
      <c r="E102" s="225" t="n"/>
      <c r="F102" s="225" t="n"/>
      <c r="G102" s="225" t="n"/>
      <c r="H102" s="232" t="n"/>
    </row>
    <row r="103" ht="15" customHeight="1" s="131">
      <c r="A103" s="225" t="n"/>
      <c r="B103" s="232" t="n"/>
      <c r="C103" s="225" t="n"/>
      <c r="D103" s="226">
        <f>IFERROR(VALUE(SUBSTITUTE($C103,"-","")),0)</f>
        <v/>
      </c>
      <c r="E103" s="225" t="n"/>
      <c r="F103" s="225" t="n"/>
      <c r="G103" s="225" t="n"/>
      <c r="H103" s="232" t="n"/>
    </row>
    <row r="104" ht="15" customHeight="1" s="131">
      <c r="A104" s="225" t="n"/>
      <c r="B104" s="232" t="n"/>
      <c r="C104" s="225" t="n"/>
      <c r="D104" s="226">
        <f>IFERROR(VALUE(SUBSTITUTE($C104,"-","")),0)</f>
        <v/>
      </c>
      <c r="E104" s="225" t="n"/>
      <c r="F104" s="225" t="n"/>
      <c r="G104" s="225" t="n"/>
      <c r="H104" s="232" t="n"/>
    </row>
    <row r="105" ht="15" customHeight="1" s="131">
      <c r="A105" s="225" t="n"/>
      <c r="B105" s="232" t="n"/>
      <c r="C105" s="225" t="n"/>
      <c r="D105" s="226">
        <f>IFERROR(VALUE(SUBSTITUTE($C105,"-","")),0)</f>
        <v/>
      </c>
      <c r="E105" s="225" t="n"/>
      <c r="F105" s="225" t="n"/>
      <c r="G105" s="225" t="n"/>
      <c r="H105" s="232" t="n"/>
    </row>
    <row r="106" ht="15" customHeight="1" s="131">
      <c r="A106" s="225" t="n"/>
      <c r="B106" s="232" t="n"/>
      <c r="C106" s="225" t="n"/>
      <c r="D106" s="226">
        <f>IFERROR(VALUE(SUBSTITUTE($C106,"-","")),0)</f>
        <v/>
      </c>
      <c r="E106" s="225" t="n"/>
      <c r="F106" s="225" t="n"/>
      <c r="G106" s="225" t="n"/>
      <c r="H106" s="232" t="n"/>
    </row>
    <row r="107" ht="15" customHeight="1" s="131">
      <c r="A107" s="225" t="n"/>
      <c r="B107" s="232" t="n"/>
      <c r="C107" s="225" t="n"/>
      <c r="D107" s="226">
        <f>IFERROR(VALUE(SUBSTITUTE($C107,"-","")),0)</f>
        <v/>
      </c>
      <c r="E107" s="225" t="n"/>
      <c r="F107" s="225" t="n"/>
      <c r="G107" s="225" t="n"/>
      <c r="H107" s="232" t="n"/>
    </row>
    <row r="108" ht="15" customHeight="1" s="131">
      <c r="A108" s="225" t="n"/>
      <c r="B108" s="232" t="n"/>
      <c r="C108" s="225" t="n"/>
      <c r="D108" s="226">
        <f>IFERROR(VALUE(SUBSTITUTE($C108,"-","")),0)</f>
        <v/>
      </c>
      <c r="E108" s="225" t="n"/>
      <c r="F108" s="225" t="n"/>
      <c r="G108" s="225" t="n"/>
      <c r="H108" s="232" t="n"/>
    </row>
    <row r="109" ht="15" customHeight="1" s="131">
      <c r="A109" s="225" t="n"/>
      <c r="B109" s="232" t="n"/>
      <c r="C109" s="225" t="n"/>
      <c r="D109" s="226">
        <f>IFERROR(VALUE(SUBSTITUTE($C109,"-","")),0)</f>
        <v/>
      </c>
      <c r="E109" s="225" t="n"/>
      <c r="F109" s="225" t="n"/>
      <c r="G109" s="225" t="n"/>
      <c r="H109" s="232" t="n"/>
    </row>
    <row r="110" ht="15" customHeight="1" s="131">
      <c r="A110" s="225" t="n"/>
      <c r="B110" s="232" t="n"/>
      <c r="C110" s="225" t="n"/>
      <c r="D110" s="226">
        <f>IFERROR(VALUE(SUBSTITUTE($C110,"-","")),0)</f>
        <v/>
      </c>
      <c r="E110" s="225" t="n"/>
      <c r="F110" s="225" t="n"/>
      <c r="G110" s="225" t="n"/>
      <c r="H110" s="232" t="n"/>
    </row>
    <row r="111" ht="15" customHeight="1" s="131">
      <c r="A111" s="225" t="n"/>
      <c r="B111" s="232" t="n"/>
      <c r="C111" s="225" t="n"/>
      <c r="D111" s="226">
        <f>IFERROR(VALUE(SUBSTITUTE($C111,"-","")),0)</f>
        <v/>
      </c>
      <c r="E111" s="225" t="n"/>
      <c r="F111" s="225" t="n"/>
      <c r="G111" s="225" t="n"/>
      <c r="H111" s="232" t="n"/>
    </row>
    <row r="112" ht="15" customHeight="1" s="131">
      <c r="A112" s="225" t="n"/>
      <c r="B112" s="232" t="n"/>
      <c r="C112" s="225" t="n"/>
      <c r="D112" s="226">
        <f>IFERROR(VALUE(SUBSTITUTE($C112,"-","")),0)</f>
        <v/>
      </c>
      <c r="E112" s="225" t="n"/>
      <c r="F112" s="225" t="n"/>
      <c r="G112" s="225" t="n"/>
      <c r="H112" s="232" t="n"/>
    </row>
    <row r="113" ht="15" customHeight="1" s="131">
      <c r="A113" s="225" t="n"/>
      <c r="B113" s="232" t="n"/>
      <c r="C113" s="225" t="n"/>
      <c r="D113" s="226">
        <f>IFERROR(VALUE(SUBSTITUTE($C113,"-","")),0)</f>
        <v/>
      </c>
      <c r="E113" s="225" t="n"/>
      <c r="F113" s="225" t="n"/>
      <c r="G113" s="225" t="n"/>
      <c r="H113" s="232" t="n"/>
    </row>
    <row r="114" ht="15" customHeight="1" s="131">
      <c r="A114" s="225" t="n"/>
      <c r="B114" s="232" t="n"/>
      <c r="C114" s="225" t="n"/>
      <c r="D114" s="226">
        <f>IFERROR(VALUE(SUBSTITUTE($C114,"-","")),0)</f>
        <v/>
      </c>
      <c r="E114" s="225" t="n"/>
      <c r="F114" s="225" t="n"/>
      <c r="G114" s="225" t="n"/>
      <c r="H114" s="232" t="n"/>
    </row>
    <row r="115" ht="15" customHeight="1" s="131">
      <c r="A115" s="225" t="n"/>
      <c r="B115" s="232" t="n"/>
      <c r="C115" s="225" t="n"/>
      <c r="D115" s="226">
        <f>IFERROR(VALUE(SUBSTITUTE($C115,"-","")),0)</f>
        <v/>
      </c>
      <c r="E115" s="225" t="n"/>
      <c r="F115" s="225" t="n"/>
      <c r="G115" s="225" t="n"/>
      <c r="H115" s="232" t="n"/>
    </row>
    <row r="116" ht="15" customHeight="1" s="131">
      <c r="A116" s="225" t="n"/>
      <c r="B116" s="232" t="n"/>
      <c r="C116" s="225" t="n"/>
      <c r="D116" s="226">
        <f>IFERROR(VALUE(SUBSTITUTE($C116,"-","")),0)</f>
        <v/>
      </c>
      <c r="E116" s="225" t="n"/>
      <c r="F116" s="225" t="n"/>
      <c r="G116" s="225" t="n"/>
      <c r="H116" s="232" t="n"/>
    </row>
    <row r="117" ht="15" customHeight="1" s="131">
      <c r="A117" s="225" t="n"/>
      <c r="B117" s="232" t="n"/>
      <c r="C117" s="225" t="n"/>
      <c r="D117" s="226">
        <f>IFERROR(VALUE(SUBSTITUTE($C117,"-","")),0)</f>
        <v/>
      </c>
      <c r="E117" s="225" t="n"/>
      <c r="F117" s="225" t="n"/>
      <c r="G117" s="225" t="n"/>
      <c r="H117" s="232" t="n"/>
    </row>
    <row r="118" ht="15" customHeight="1" s="131">
      <c r="A118" s="225" t="n"/>
      <c r="B118" s="232" t="n"/>
      <c r="C118" s="225" t="n"/>
      <c r="D118" s="226">
        <f>IFERROR(VALUE(SUBSTITUTE($C118,"-","")),0)</f>
        <v/>
      </c>
      <c r="E118" s="225" t="n"/>
      <c r="F118" s="225" t="n"/>
      <c r="G118" s="225" t="n"/>
      <c r="H118" s="232" t="n"/>
    </row>
    <row r="119" ht="15" customHeight="1" s="131">
      <c r="A119" s="225" t="n"/>
      <c r="B119" s="232" t="n"/>
      <c r="C119" s="225" t="n"/>
      <c r="D119" s="226">
        <f>IFERROR(VALUE(SUBSTITUTE($C119,"-","")),0)</f>
        <v/>
      </c>
      <c r="E119" s="225" t="n"/>
      <c r="F119" s="225" t="n"/>
      <c r="G119" s="225" t="n"/>
      <c r="H119" s="232" t="n"/>
    </row>
    <row r="120" ht="15" customHeight="1" s="131">
      <c r="A120" s="225" t="n"/>
      <c r="B120" s="232" t="n"/>
      <c r="C120" s="225" t="n"/>
      <c r="D120" s="226">
        <f>IFERROR(VALUE(SUBSTITUTE($C120,"-","")),0)</f>
        <v/>
      </c>
      <c r="E120" s="225" t="n"/>
      <c r="F120" s="225" t="n"/>
      <c r="G120" s="225" t="n"/>
      <c r="H120" s="232" t="n"/>
    </row>
    <row r="121" ht="15" customHeight="1" s="131">
      <c r="A121" s="225" t="n"/>
      <c r="B121" s="232" t="n"/>
      <c r="C121" s="225" t="n"/>
      <c r="D121" s="226">
        <f>IFERROR(VALUE(SUBSTITUTE($C121,"-","")),0)</f>
        <v/>
      </c>
      <c r="E121" s="225" t="n"/>
      <c r="F121" s="225" t="n"/>
      <c r="G121" s="225" t="n"/>
      <c r="H121" s="232" t="n"/>
    </row>
    <row r="122" ht="15" customHeight="1" s="131">
      <c r="A122" s="225" t="n"/>
      <c r="B122" s="232" t="n"/>
      <c r="C122" s="225" t="n"/>
      <c r="D122" s="226">
        <f>IFERROR(VALUE(SUBSTITUTE($C122,"-","")),0)</f>
        <v/>
      </c>
      <c r="E122" s="225" t="n"/>
      <c r="F122" s="225" t="n"/>
      <c r="G122" s="225" t="n"/>
      <c r="H122" s="232" t="n"/>
    </row>
    <row r="123" ht="15" customHeight="1" s="131">
      <c r="A123" s="225" t="n"/>
      <c r="B123" s="232" t="n"/>
      <c r="C123" s="225" t="n"/>
      <c r="D123" s="226">
        <f>IFERROR(VALUE(SUBSTITUTE($C123,"-","")),0)</f>
        <v/>
      </c>
      <c r="E123" s="225" t="n"/>
      <c r="F123" s="225" t="n"/>
      <c r="G123" s="225" t="n"/>
      <c r="H123" s="232" t="n"/>
    </row>
    <row r="124" ht="15" customHeight="1" s="131">
      <c r="A124" s="225" t="n"/>
      <c r="B124" s="232" t="n"/>
      <c r="C124" s="225" t="n"/>
      <c r="D124" s="226">
        <f>IFERROR(VALUE(SUBSTITUTE($C124,"-","")),0)</f>
        <v/>
      </c>
      <c r="E124" s="225" t="n"/>
      <c r="F124" s="225" t="n"/>
      <c r="G124" s="225" t="n"/>
      <c r="H124" s="232" t="n"/>
    </row>
    <row r="125" ht="15" customHeight="1" s="131">
      <c r="A125" s="225" t="n"/>
      <c r="B125" s="232" t="n"/>
      <c r="C125" s="225" t="n"/>
      <c r="D125" s="226">
        <f>IFERROR(VALUE(SUBSTITUTE($C125,"-","")),0)</f>
        <v/>
      </c>
      <c r="E125" s="225" t="n"/>
      <c r="F125" s="225" t="n"/>
      <c r="G125" s="225" t="n"/>
      <c r="H125" s="232" t="n"/>
    </row>
    <row r="126" ht="15" customHeight="1" s="131">
      <c r="A126" s="225" t="n"/>
      <c r="B126" s="232" t="n"/>
      <c r="C126" s="225" t="n"/>
      <c r="D126" s="226">
        <f>IFERROR(VALUE(SUBSTITUTE($C126,"-","")),0)</f>
        <v/>
      </c>
      <c r="E126" s="225" t="n"/>
      <c r="F126" s="225" t="n"/>
      <c r="G126" s="225" t="n"/>
      <c r="H126" s="232" t="n"/>
    </row>
    <row r="127" ht="15" customHeight="1" s="131">
      <c r="A127" s="225" t="n"/>
      <c r="B127" s="232" t="n"/>
      <c r="C127" s="225" t="n"/>
      <c r="D127" s="226">
        <f>IFERROR(VALUE(SUBSTITUTE($C127,"-","")),0)</f>
        <v/>
      </c>
      <c r="E127" s="225" t="n"/>
      <c r="F127" s="225" t="n"/>
      <c r="G127" s="225" t="n"/>
      <c r="H127" s="232" t="n"/>
    </row>
    <row r="128" ht="15" customHeight="1" s="131">
      <c r="A128" s="225" t="n"/>
      <c r="B128" s="232" t="n"/>
      <c r="C128" s="225" t="n"/>
      <c r="D128" s="226">
        <f>IFERROR(VALUE(SUBSTITUTE($C128,"-","")),0)</f>
        <v/>
      </c>
      <c r="E128" s="225" t="n"/>
      <c r="F128" s="225" t="n"/>
      <c r="G128" s="225" t="n"/>
      <c r="H128" s="232" t="n"/>
    </row>
    <row r="129" ht="15" customHeight="1" s="131">
      <c r="A129" s="225" t="n"/>
      <c r="B129" s="232" t="n"/>
      <c r="C129" s="225" t="n"/>
      <c r="D129" s="226">
        <f>IFERROR(VALUE(SUBSTITUTE($C129,"-","")),0)</f>
        <v/>
      </c>
      <c r="E129" s="225" t="n"/>
      <c r="F129" s="225" t="n"/>
      <c r="G129" s="225" t="n"/>
      <c r="H129" s="232" t="n"/>
    </row>
    <row r="130" ht="15" customHeight="1" s="131">
      <c r="A130" s="225" t="n"/>
      <c r="B130" s="232" t="n"/>
      <c r="C130" s="225" t="n"/>
      <c r="D130" s="226">
        <f>IFERROR(VALUE(SUBSTITUTE($C130,"-","")),0)</f>
        <v/>
      </c>
      <c r="E130" s="225" t="n"/>
      <c r="F130" s="225" t="n"/>
      <c r="G130" s="225" t="n"/>
      <c r="H130" s="232" t="n"/>
    </row>
    <row r="131" ht="15" customHeight="1" s="131">
      <c r="A131" s="225" t="n"/>
      <c r="B131" s="232" t="n"/>
      <c r="C131" s="225" t="n"/>
      <c r="D131" s="226">
        <f>IFERROR(VALUE(SUBSTITUTE($C131,"-","")),0)</f>
        <v/>
      </c>
      <c r="E131" s="225" t="n"/>
      <c r="F131" s="225" t="n"/>
      <c r="G131" s="225" t="n"/>
      <c r="H131" s="232" t="n"/>
    </row>
    <row r="132" ht="15" customHeight="1" s="131">
      <c r="A132" s="225" t="n"/>
      <c r="B132" s="232" t="n"/>
      <c r="C132" s="225" t="n"/>
      <c r="D132" s="226">
        <f>IFERROR(VALUE(SUBSTITUTE($C132,"-","")),0)</f>
        <v/>
      </c>
      <c r="E132" s="225" t="n"/>
      <c r="F132" s="225" t="n"/>
      <c r="G132" s="225" t="n"/>
      <c r="H132" s="232" t="n"/>
    </row>
    <row r="133" ht="15" customHeight="1" s="131">
      <c r="A133" s="225" t="n"/>
      <c r="B133" s="232" t="n"/>
      <c r="C133" s="225" t="n"/>
      <c r="D133" s="226">
        <f>IFERROR(VALUE(SUBSTITUTE($C133,"-","")),0)</f>
        <v/>
      </c>
      <c r="E133" s="225" t="n"/>
      <c r="F133" s="225" t="n"/>
      <c r="G133" s="225" t="n"/>
      <c r="H133" s="232" t="n"/>
    </row>
    <row r="134" ht="15" customHeight="1" s="131">
      <c r="A134" s="225" t="n"/>
      <c r="B134" s="232" t="n"/>
      <c r="C134" s="225" t="n"/>
      <c r="D134" s="226">
        <f>IFERROR(VALUE(SUBSTITUTE($C134,"-","")),0)</f>
        <v/>
      </c>
      <c r="E134" s="225" t="n"/>
      <c r="F134" s="225" t="n"/>
      <c r="G134" s="225" t="n"/>
      <c r="H134" s="232" t="n"/>
    </row>
    <row r="135" ht="15" customHeight="1" s="131">
      <c r="A135" s="225" t="n"/>
      <c r="B135" s="232" t="n"/>
      <c r="C135" s="225" t="n"/>
      <c r="D135" s="226">
        <f>IFERROR(VALUE(SUBSTITUTE($C135,"-","")),0)</f>
        <v/>
      </c>
      <c r="E135" s="225" t="n"/>
      <c r="F135" s="225" t="n"/>
      <c r="G135" s="225" t="n"/>
      <c r="H135" s="232" t="n"/>
    </row>
    <row r="136" ht="15" customHeight="1" s="131">
      <c r="A136" s="225" t="n"/>
      <c r="B136" s="232" t="n"/>
      <c r="C136" s="225" t="n"/>
      <c r="D136" s="226">
        <f>IFERROR(VALUE(SUBSTITUTE($C136,"-","")),0)</f>
        <v/>
      </c>
      <c r="E136" s="225" t="n"/>
      <c r="F136" s="225" t="n"/>
      <c r="G136" s="225" t="n"/>
      <c r="H136" s="232" t="n"/>
    </row>
    <row r="137" ht="15" customHeight="1" s="131">
      <c r="A137" s="225" t="n"/>
      <c r="B137" s="232" t="n"/>
      <c r="C137" s="225" t="n"/>
      <c r="D137" s="226">
        <f>IFERROR(VALUE(SUBSTITUTE($C137,"-","")),0)</f>
        <v/>
      </c>
      <c r="E137" s="225" t="n"/>
      <c r="F137" s="225" t="n"/>
      <c r="G137" s="225" t="n"/>
      <c r="H137" s="232" t="n"/>
    </row>
    <row r="138" ht="15" customHeight="1" s="131">
      <c r="A138" s="225" t="n"/>
      <c r="B138" s="232" t="n"/>
      <c r="C138" s="225" t="n"/>
      <c r="D138" s="226">
        <f>IFERROR(VALUE(SUBSTITUTE($C138,"-","")),0)</f>
        <v/>
      </c>
      <c r="E138" s="225" t="n"/>
      <c r="F138" s="225" t="n"/>
      <c r="G138" s="225" t="n"/>
      <c r="H138" s="232" t="n"/>
    </row>
    <row r="139" ht="15" customHeight="1" s="131">
      <c r="A139" s="225" t="n"/>
      <c r="B139" s="232" t="n"/>
      <c r="C139" s="225" t="n"/>
      <c r="D139" s="226">
        <f>IFERROR(VALUE(SUBSTITUTE($C139,"-","")),0)</f>
        <v/>
      </c>
      <c r="E139" s="225" t="n"/>
      <c r="F139" s="225" t="n"/>
      <c r="G139" s="225" t="n"/>
      <c r="H139" s="232" t="n"/>
    </row>
    <row r="140" ht="15" customHeight="1" s="131">
      <c r="A140" s="225" t="n"/>
      <c r="B140" s="232" t="n"/>
      <c r="C140" s="225" t="n"/>
      <c r="D140" s="226">
        <f>IFERROR(VALUE(SUBSTITUTE($C140,"-","")),0)</f>
        <v/>
      </c>
      <c r="E140" s="225" t="n"/>
      <c r="F140" s="225" t="n"/>
      <c r="G140" s="225" t="n"/>
      <c r="H140" s="232" t="n"/>
    </row>
    <row r="141" ht="15" customHeight="1" s="131">
      <c r="A141" s="225" t="n"/>
      <c r="B141" s="232" t="n"/>
      <c r="C141" s="225" t="n"/>
      <c r="D141" s="226">
        <f>IFERROR(VALUE(SUBSTITUTE($C141,"-","")),0)</f>
        <v/>
      </c>
      <c r="E141" s="225" t="n"/>
      <c r="F141" s="225" t="n"/>
      <c r="G141" s="225" t="n"/>
      <c r="H141" s="232" t="n"/>
    </row>
    <row r="142" ht="15" customHeight="1" s="131">
      <c r="A142" s="225" t="n"/>
      <c r="B142" s="232" t="n"/>
      <c r="C142" s="225" t="n"/>
      <c r="D142" s="226">
        <f>IFERROR(VALUE(SUBSTITUTE($C142,"-","")),0)</f>
        <v/>
      </c>
      <c r="E142" s="225" t="n"/>
      <c r="F142" s="225" t="n"/>
      <c r="G142" s="225" t="n"/>
      <c r="H142" s="232" t="n"/>
    </row>
    <row r="143" ht="15" customHeight="1" s="131">
      <c r="A143" s="225" t="n"/>
      <c r="B143" s="232" t="n"/>
      <c r="C143" s="225" t="n"/>
      <c r="D143" s="226">
        <f>IFERROR(VALUE(SUBSTITUTE($C143,"-","")),0)</f>
        <v/>
      </c>
      <c r="E143" s="225" t="n"/>
      <c r="F143" s="225" t="n"/>
      <c r="G143" s="225" t="n"/>
      <c r="H143" s="232" t="n"/>
    </row>
    <row r="144" ht="15" customHeight="1" s="131">
      <c r="A144" s="225" t="n"/>
      <c r="B144" s="232" t="n"/>
      <c r="C144" s="225" t="n"/>
      <c r="D144" s="226">
        <f>IFERROR(VALUE(SUBSTITUTE($C144,"-","")),0)</f>
        <v/>
      </c>
      <c r="E144" s="225" t="n"/>
      <c r="F144" s="225" t="n"/>
      <c r="G144" s="225" t="n"/>
      <c r="H144" s="232" t="n"/>
    </row>
    <row r="145" ht="15" customHeight="1" s="131">
      <c r="A145" s="225" t="n"/>
      <c r="B145" s="232" t="n"/>
      <c r="C145" s="225" t="n"/>
      <c r="D145" s="226">
        <f>IFERROR(VALUE(SUBSTITUTE($C145,"-","")),0)</f>
        <v/>
      </c>
      <c r="E145" s="225" t="n"/>
      <c r="F145" s="225" t="n"/>
      <c r="G145" s="225" t="n"/>
      <c r="H145" s="232" t="n"/>
    </row>
    <row r="146" ht="15" customHeight="1" s="131">
      <c r="A146" s="225" t="n"/>
      <c r="B146" s="232" t="n"/>
      <c r="C146" s="225" t="n"/>
      <c r="D146" s="226">
        <f>IFERROR(VALUE(SUBSTITUTE($C146,"-","")),0)</f>
        <v/>
      </c>
      <c r="E146" s="225" t="n"/>
      <c r="F146" s="225" t="n"/>
      <c r="G146" s="225" t="n"/>
      <c r="H146" s="232" t="n"/>
    </row>
    <row r="147" ht="15" customHeight="1" s="131">
      <c r="A147" s="225" t="n"/>
      <c r="B147" s="232" t="n"/>
      <c r="C147" s="225" t="n"/>
      <c r="D147" s="226">
        <f>IFERROR(VALUE(SUBSTITUTE($C147,"-","")),0)</f>
        <v/>
      </c>
      <c r="E147" s="225" t="n"/>
      <c r="F147" s="225" t="n"/>
      <c r="G147" s="225" t="n"/>
      <c r="H147" s="232" t="n"/>
    </row>
    <row r="148" ht="15" customHeight="1" s="131">
      <c r="A148" s="225" t="n"/>
      <c r="B148" s="232" t="n"/>
      <c r="C148" s="225" t="n"/>
      <c r="D148" s="226">
        <f>IFERROR(VALUE(SUBSTITUTE($C148,"-","")),0)</f>
        <v/>
      </c>
      <c r="E148" s="225" t="n"/>
      <c r="F148" s="225" t="n"/>
      <c r="G148" s="225" t="n"/>
      <c r="H148" s="232" t="n"/>
    </row>
    <row r="149" ht="15" customHeight="1" s="131">
      <c r="A149" s="225" t="n"/>
      <c r="B149" s="232" t="n"/>
      <c r="C149" s="225" t="n"/>
      <c r="D149" s="226">
        <f>IFERROR(VALUE(SUBSTITUTE($C149,"-","")),0)</f>
        <v/>
      </c>
      <c r="E149" s="225" t="n"/>
      <c r="F149" s="225" t="n"/>
      <c r="G149" s="225" t="n"/>
      <c r="H149" s="232" t="n"/>
    </row>
    <row r="150" ht="15" customHeight="1" s="131">
      <c r="A150" s="225" t="n"/>
      <c r="B150" s="232" t="n"/>
      <c r="C150" s="225" t="n"/>
      <c r="D150" s="226">
        <f>IFERROR(VALUE(SUBSTITUTE($C150,"-","")),0)</f>
        <v/>
      </c>
      <c r="E150" s="225" t="n"/>
      <c r="F150" s="225" t="n"/>
      <c r="G150" s="225" t="n"/>
      <c r="H150" s="232" t="n"/>
    </row>
    <row r="151" ht="15" customHeight="1" s="131">
      <c r="A151" s="225" t="n"/>
      <c r="B151" s="232" t="n"/>
      <c r="C151" s="225" t="n"/>
      <c r="D151" s="226">
        <f>IFERROR(VALUE(SUBSTITUTE($C151,"-","")),0)</f>
        <v/>
      </c>
      <c r="E151" s="225" t="n"/>
      <c r="F151" s="225" t="n"/>
      <c r="G151" s="225" t="n"/>
      <c r="H151" s="232" t="n"/>
    </row>
    <row r="152" ht="15" customHeight="1" s="131">
      <c r="A152" s="225" t="n"/>
      <c r="B152" s="232" t="n"/>
      <c r="C152" s="225" t="n"/>
      <c r="D152" s="226">
        <f>IFERROR(VALUE(SUBSTITUTE($C152,"-","")),0)</f>
        <v/>
      </c>
      <c r="E152" s="225" t="n"/>
      <c r="F152" s="225" t="n"/>
      <c r="G152" s="225" t="n"/>
      <c r="H152" s="232" t="n"/>
    </row>
    <row r="153" ht="15" customHeight="1" s="131">
      <c r="A153" s="225" t="n"/>
      <c r="B153" s="232" t="n"/>
      <c r="C153" s="225" t="n"/>
      <c r="D153" s="226">
        <f>IFERROR(VALUE(SUBSTITUTE($C153,"-","")),0)</f>
        <v/>
      </c>
      <c r="E153" s="225" t="n"/>
      <c r="F153" s="225" t="n"/>
      <c r="G153" s="225" t="n"/>
      <c r="H153" s="232" t="n"/>
    </row>
    <row r="154" ht="15" customHeight="1" s="131">
      <c r="A154" s="225" t="n"/>
      <c r="B154" s="232" t="n"/>
      <c r="C154" s="225" t="n"/>
      <c r="D154" s="226">
        <f>IFERROR(VALUE(SUBSTITUTE($C154,"-","")),0)</f>
        <v/>
      </c>
      <c r="E154" s="225" t="n"/>
      <c r="F154" s="225" t="n"/>
      <c r="G154" s="225" t="n"/>
      <c r="H154" s="232" t="n"/>
    </row>
    <row r="155" ht="15" customHeight="1" s="131">
      <c r="A155" s="225" t="n"/>
      <c r="B155" s="232" t="n"/>
      <c r="C155" s="225" t="n"/>
      <c r="D155" s="226">
        <f>IFERROR(VALUE(SUBSTITUTE($C155,"-","")),0)</f>
        <v/>
      </c>
      <c r="E155" s="225" t="n"/>
      <c r="F155" s="225" t="n"/>
      <c r="G155" s="225" t="n"/>
      <c r="H155" s="232" t="n"/>
    </row>
    <row r="156" ht="15" customHeight="1" s="131">
      <c r="A156" s="225" t="n"/>
      <c r="B156" s="232" t="n"/>
      <c r="C156" s="225" t="n"/>
      <c r="D156" s="226">
        <f>IFERROR(VALUE(SUBSTITUTE($C156,"-","")),0)</f>
        <v/>
      </c>
      <c r="E156" s="225" t="n"/>
      <c r="F156" s="225" t="n"/>
      <c r="G156" s="225" t="n"/>
      <c r="H156" s="232" t="n"/>
    </row>
    <row r="157" ht="15" customHeight="1" s="131">
      <c r="A157" s="225" t="n"/>
      <c r="B157" s="232" t="n"/>
      <c r="C157" s="225" t="n"/>
      <c r="D157" s="226">
        <f>IFERROR(VALUE(SUBSTITUTE($C157,"-","")),0)</f>
        <v/>
      </c>
      <c r="E157" s="225" t="n"/>
      <c r="F157" s="225" t="n"/>
      <c r="G157" s="225" t="n"/>
      <c r="H157" s="232" t="n"/>
    </row>
    <row r="158" ht="15" customHeight="1" s="131">
      <c r="A158" s="225" t="n"/>
      <c r="B158" s="232" t="n"/>
      <c r="C158" s="225" t="n"/>
      <c r="D158" s="226">
        <f>IFERROR(VALUE(SUBSTITUTE($C158,"-","")),0)</f>
        <v/>
      </c>
      <c r="E158" s="225" t="n"/>
      <c r="F158" s="225" t="n"/>
      <c r="G158" s="225" t="n"/>
      <c r="H158" s="232" t="n"/>
    </row>
    <row r="159" ht="15" customHeight="1" s="131">
      <c r="A159" s="225" t="n"/>
      <c r="B159" s="232" t="n"/>
      <c r="C159" s="225" t="n"/>
      <c r="D159" s="226">
        <f>IFERROR(VALUE(SUBSTITUTE($C159,"-","")),0)</f>
        <v/>
      </c>
      <c r="E159" s="225" t="n"/>
      <c r="F159" s="225" t="n"/>
      <c r="G159" s="225" t="n"/>
      <c r="H159" s="232" t="n"/>
    </row>
    <row r="160" ht="15" customHeight="1" s="131">
      <c r="A160" s="225" t="n"/>
      <c r="B160" s="232" t="n"/>
      <c r="C160" s="225" t="n"/>
      <c r="D160" s="226">
        <f>IFERROR(VALUE(SUBSTITUTE($C160,"-","")),0)</f>
        <v/>
      </c>
      <c r="E160" s="225" t="n"/>
      <c r="F160" s="225" t="n"/>
      <c r="G160" s="225" t="n"/>
      <c r="H160" s="232" t="n"/>
    </row>
    <row r="161" ht="15" customHeight="1" s="131">
      <c r="A161" s="225" t="n"/>
      <c r="B161" s="232" t="n"/>
      <c r="C161" s="225" t="n"/>
      <c r="D161" s="226">
        <f>IFERROR(VALUE(SUBSTITUTE($C161,"-","")),0)</f>
        <v/>
      </c>
      <c r="E161" s="225" t="n"/>
      <c r="F161" s="225" t="n"/>
      <c r="G161" s="225" t="n"/>
      <c r="H161" s="232" t="n"/>
    </row>
    <row r="162" ht="15" customHeight="1" s="131">
      <c r="A162" s="225" t="n"/>
      <c r="B162" s="232" t="n"/>
      <c r="C162" s="225" t="n"/>
      <c r="D162" s="226">
        <f>IFERROR(VALUE(SUBSTITUTE($C162,"-","")),0)</f>
        <v/>
      </c>
      <c r="E162" s="225" t="n"/>
      <c r="F162" s="225" t="n"/>
      <c r="G162" s="225" t="n"/>
      <c r="H162" s="232" t="n"/>
    </row>
    <row r="163" ht="15" customHeight="1" s="131">
      <c r="A163" s="225" t="n"/>
      <c r="B163" s="232" t="n"/>
      <c r="C163" s="225" t="n"/>
      <c r="D163" s="226">
        <f>IFERROR(VALUE(SUBSTITUTE($C163,"-","")),0)</f>
        <v/>
      </c>
      <c r="E163" s="225" t="n"/>
      <c r="F163" s="225" t="n"/>
      <c r="G163" s="225" t="n"/>
      <c r="H163" s="232" t="n"/>
    </row>
    <row r="164" ht="15" customHeight="1" s="131">
      <c r="A164" s="225" t="n"/>
      <c r="B164" s="232" t="n"/>
      <c r="C164" s="225" t="n"/>
      <c r="D164" s="226">
        <f>IFERROR(VALUE(SUBSTITUTE($C164,"-","")),0)</f>
        <v/>
      </c>
      <c r="E164" s="225" t="n"/>
      <c r="F164" s="225" t="n"/>
      <c r="G164" s="225" t="n"/>
      <c r="H164" s="232" t="n"/>
    </row>
    <row r="165" ht="15" customHeight="1" s="131">
      <c r="A165" s="225" t="n"/>
      <c r="B165" s="232" t="n"/>
      <c r="C165" s="225" t="n"/>
      <c r="D165" s="226">
        <f>IFERROR(VALUE(SUBSTITUTE($C165,"-","")),0)</f>
        <v/>
      </c>
      <c r="E165" s="225" t="n"/>
      <c r="F165" s="225" t="n"/>
      <c r="G165" s="225" t="n"/>
      <c r="H165" s="232" t="n"/>
    </row>
    <row r="166" ht="15" customHeight="1" s="131">
      <c r="A166" s="225" t="n"/>
      <c r="B166" s="232" t="n"/>
      <c r="C166" s="225" t="n"/>
      <c r="D166" s="226">
        <f>IFERROR(VALUE(SUBSTITUTE($C166,"-","")),0)</f>
        <v/>
      </c>
      <c r="E166" s="225" t="n"/>
      <c r="F166" s="225" t="n"/>
      <c r="G166" s="225" t="n"/>
      <c r="H166" s="232" t="n"/>
    </row>
    <row r="167" ht="15" customHeight="1" s="131">
      <c r="A167" s="225" t="n"/>
      <c r="B167" s="232" t="n"/>
      <c r="C167" s="225" t="n"/>
      <c r="D167" s="226">
        <f>IFERROR(VALUE(SUBSTITUTE($C167,"-","")),0)</f>
        <v/>
      </c>
      <c r="E167" s="225" t="n"/>
      <c r="F167" s="225" t="n"/>
      <c r="G167" s="225" t="n"/>
      <c r="H167" s="232" t="n"/>
    </row>
    <row r="168" ht="15" customHeight="1" s="131">
      <c r="A168" s="225" t="n"/>
      <c r="B168" s="232" t="n"/>
      <c r="C168" s="225" t="n"/>
      <c r="D168" s="226">
        <f>IFERROR(VALUE(SUBSTITUTE($C168,"-","")),0)</f>
        <v/>
      </c>
      <c r="E168" s="225" t="n"/>
      <c r="F168" s="225" t="n"/>
      <c r="G168" s="225" t="n"/>
      <c r="H168" s="232" t="n"/>
    </row>
    <row r="169" ht="15" customHeight="1" s="131">
      <c r="A169" s="225" t="n"/>
      <c r="B169" s="232" t="n"/>
      <c r="C169" s="225" t="n"/>
      <c r="D169" s="226">
        <f>IFERROR(VALUE(SUBSTITUTE($C169,"-","")),0)</f>
        <v/>
      </c>
      <c r="E169" s="225" t="n"/>
      <c r="F169" s="225" t="n"/>
      <c r="G169" s="225" t="n"/>
      <c r="H169" s="232" t="n"/>
    </row>
    <row r="170" ht="15" customHeight="1" s="131">
      <c r="A170" s="225" t="n"/>
      <c r="B170" s="232" t="n"/>
      <c r="C170" s="225" t="n"/>
      <c r="D170" s="226">
        <f>IFERROR(VALUE(SUBSTITUTE($C170,"-","")),0)</f>
        <v/>
      </c>
      <c r="E170" s="225" t="n"/>
      <c r="F170" s="225" t="n"/>
      <c r="G170" s="225" t="n"/>
      <c r="H170" s="232" t="n"/>
    </row>
    <row r="171" ht="15" customHeight="1" s="131">
      <c r="A171" s="225" t="n"/>
      <c r="B171" s="232" t="n"/>
      <c r="C171" s="225" t="n"/>
      <c r="D171" s="226">
        <f>IFERROR(VALUE(SUBSTITUTE($C171,"-","")),0)</f>
        <v/>
      </c>
      <c r="E171" s="225" t="n"/>
      <c r="F171" s="225" t="n"/>
      <c r="G171" s="225" t="n"/>
      <c r="H171" s="232" t="n"/>
    </row>
    <row r="172" ht="15" customHeight="1" s="131">
      <c r="A172" s="225" t="n"/>
      <c r="B172" s="232" t="n"/>
      <c r="C172" s="225" t="n"/>
      <c r="D172" s="226">
        <f>IFERROR(VALUE(SUBSTITUTE($C172,"-","")),0)</f>
        <v/>
      </c>
      <c r="E172" s="225" t="n"/>
      <c r="F172" s="225" t="n"/>
      <c r="G172" s="225" t="n"/>
      <c r="H172" s="232" t="n"/>
    </row>
    <row r="173" ht="15" customHeight="1" s="131">
      <c r="A173" s="225" t="n"/>
      <c r="B173" s="232" t="n"/>
      <c r="C173" s="225" t="n"/>
      <c r="D173" s="226">
        <f>IFERROR(VALUE(SUBSTITUTE($C173,"-","")),0)</f>
        <v/>
      </c>
      <c r="E173" s="225" t="n"/>
      <c r="F173" s="225" t="n"/>
      <c r="G173" s="225" t="n"/>
      <c r="H173" s="232" t="n"/>
    </row>
    <row r="174" ht="15" customHeight="1" s="131">
      <c r="A174" s="225" t="n"/>
      <c r="B174" s="232" t="n"/>
      <c r="C174" s="225" t="n"/>
      <c r="D174" s="226">
        <f>IFERROR(VALUE(SUBSTITUTE($C174,"-","")),0)</f>
        <v/>
      </c>
      <c r="E174" s="225" t="n"/>
      <c r="F174" s="225" t="n"/>
      <c r="G174" s="225" t="n"/>
      <c r="H174" s="232" t="n"/>
    </row>
    <row r="175" ht="15" customHeight="1" s="131">
      <c r="A175" s="225" t="n"/>
      <c r="B175" s="232" t="n"/>
      <c r="C175" s="225" t="n"/>
      <c r="D175" s="226">
        <f>IFERROR(VALUE(SUBSTITUTE($C175,"-","")),0)</f>
        <v/>
      </c>
      <c r="E175" s="225" t="n"/>
      <c r="F175" s="225" t="n"/>
      <c r="G175" s="225" t="n"/>
      <c r="H175" s="232" t="n"/>
    </row>
    <row r="176" ht="15" customHeight="1" s="131">
      <c r="A176" s="225" t="n"/>
      <c r="B176" s="232" t="n"/>
      <c r="C176" s="225" t="n"/>
      <c r="D176" s="226">
        <f>IFERROR(VALUE(SUBSTITUTE($C176,"-","")),0)</f>
        <v/>
      </c>
      <c r="E176" s="225" t="n"/>
      <c r="F176" s="225" t="n"/>
      <c r="G176" s="225" t="n"/>
      <c r="H176" s="232" t="n"/>
    </row>
    <row r="177" ht="15" customHeight="1" s="131">
      <c r="A177" s="225" t="n"/>
      <c r="B177" s="232" t="n"/>
      <c r="C177" s="225" t="n"/>
      <c r="D177" s="226">
        <f>IFERROR(VALUE(SUBSTITUTE($C177,"-","")),0)</f>
        <v/>
      </c>
      <c r="E177" s="225" t="n"/>
      <c r="F177" s="225" t="n"/>
      <c r="G177" s="225" t="n"/>
      <c r="H177" s="232" t="n"/>
    </row>
    <row r="178" ht="15" customHeight="1" s="131">
      <c r="A178" s="225" t="n"/>
      <c r="B178" s="232" t="n"/>
      <c r="C178" s="225" t="n"/>
      <c r="D178" s="226">
        <f>IFERROR(VALUE(SUBSTITUTE($C178,"-","")),0)</f>
        <v/>
      </c>
      <c r="E178" s="225" t="n"/>
      <c r="F178" s="225" t="n"/>
      <c r="G178" s="225" t="n"/>
      <c r="H178" s="232" t="n"/>
    </row>
    <row r="179" ht="15" customHeight="1" s="131">
      <c r="A179" s="225" t="n"/>
      <c r="B179" s="232" t="n"/>
      <c r="C179" s="225" t="n"/>
      <c r="D179" s="226">
        <f>IFERROR(VALUE(SUBSTITUTE($C179,"-","")),0)</f>
        <v/>
      </c>
      <c r="E179" s="225" t="n"/>
      <c r="F179" s="225" t="n"/>
      <c r="G179" s="225" t="n"/>
      <c r="H179" s="232" t="n"/>
    </row>
    <row r="180" ht="15" customHeight="1" s="131">
      <c r="A180" s="225" t="n"/>
      <c r="B180" s="232" t="n"/>
      <c r="C180" s="225" t="n"/>
      <c r="D180" s="226">
        <f>IFERROR(VALUE(SUBSTITUTE($C180,"-","")),0)</f>
        <v/>
      </c>
      <c r="E180" s="225" t="n"/>
      <c r="F180" s="225" t="n"/>
      <c r="G180" s="225" t="n"/>
      <c r="H180" s="232" t="n"/>
    </row>
    <row r="181" ht="15" customHeight="1" s="131">
      <c r="A181" s="225" t="n"/>
      <c r="B181" s="232" t="n"/>
      <c r="C181" s="225" t="n"/>
      <c r="D181" s="226">
        <f>IFERROR(VALUE(SUBSTITUTE($C181,"-","")),0)</f>
        <v/>
      </c>
      <c r="E181" s="225" t="n"/>
      <c r="F181" s="225" t="n"/>
      <c r="G181" s="225" t="n"/>
      <c r="H181" s="232" t="n"/>
    </row>
    <row r="182" ht="15" customHeight="1" s="131">
      <c r="A182" s="225" t="n"/>
      <c r="B182" s="232" t="n"/>
      <c r="C182" s="225" t="n"/>
      <c r="D182" s="226">
        <f>IFERROR(VALUE(SUBSTITUTE($C182,"-","")),0)</f>
        <v/>
      </c>
      <c r="E182" s="225" t="n"/>
      <c r="F182" s="225" t="n"/>
      <c r="G182" s="225" t="n"/>
      <c r="H182" s="232" t="n"/>
    </row>
    <row r="183" ht="15" customHeight="1" s="131">
      <c r="A183" s="225" t="n"/>
      <c r="B183" s="232" t="n"/>
      <c r="C183" s="225" t="n"/>
      <c r="D183" s="226">
        <f>IFERROR(VALUE(SUBSTITUTE($C183,"-","")),0)</f>
        <v/>
      </c>
      <c r="E183" s="225" t="n"/>
      <c r="F183" s="225" t="n"/>
      <c r="G183" s="225" t="n"/>
      <c r="H183" s="232" t="n"/>
    </row>
    <row r="184" ht="15" customHeight="1" s="131">
      <c r="A184" s="225" t="n"/>
      <c r="B184" s="232" t="n"/>
      <c r="C184" s="225" t="n"/>
      <c r="D184" s="226">
        <f>IFERROR(VALUE(SUBSTITUTE($C184,"-","")),0)</f>
        <v/>
      </c>
      <c r="E184" s="225" t="n"/>
      <c r="F184" s="225" t="n"/>
      <c r="G184" s="225" t="n"/>
      <c r="H184" s="232" t="n"/>
    </row>
    <row r="185" ht="15" customHeight="1" s="131">
      <c r="A185" s="225" t="n"/>
      <c r="B185" s="232" t="n"/>
      <c r="C185" s="225" t="n"/>
      <c r="D185" s="226">
        <f>IFERROR(VALUE(SUBSTITUTE($C185,"-","")),0)</f>
        <v/>
      </c>
      <c r="E185" s="225" t="n"/>
      <c r="F185" s="225" t="n"/>
      <c r="G185" s="225" t="n"/>
      <c r="H185" s="232" t="n"/>
    </row>
    <row r="186" ht="15" customHeight="1" s="131">
      <c r="A186" s="225" t="n"/>
      <c r="B186" s="232" t="n"/>
      <c r="C186" s="225" t="n"/>
      <c r="D186" s="226">
        <f>IFERROR(VALUE(SUBSTITUTE($C186,"-","")),0)</f>
        <v/>
      </c>
      <c r="E186" s="225" t="n"/>
      <c r="F186" s="225" t="n"/>
      <c r="G186" s="225" t="n"/>
      <c r="H186" s="232" t="n"/>
    </row>
    <row r="187" ht="15" customHeight="1" s="131">
      <c r="A187" s="225" t="n"/>
      <c r="B187" s="232" t="n"/>
      <c r="C187" s="225" t="n"/>
      <c r="D187" s="226">
        <f>IFERROR(VALUE(SUBSTITUTE($C187,"-","")),0)</f>
        <v/>
      </c>
      <c r="E187" s="225" t="n"/>
      <c r="F187" s="225" t="n"/>
      <c r="G187" s="225" t="n"/>
      <c r="H187" s="232" t="n"/>
    </row>
    <row r="188" ht="15" customHeight="1" s="131">
      <c r="A188" s="225" t="n"/>
      <c r="B188" s="232" t="n"/>
      <c r="C188" s="225" t="n"/>
      <c r="D188" s="226">
        <f>IFERROR(VALUE(SUBSTITUTE($C188,"-","")),0)</f>
        <v/>
      </c>
      <c r="E188" s="225" t="n"/>
      <c r="F188" s="225" t="n"/>
      <c r="G188" s="225" t="n"/>
      <c r="H188" s="232" t="n"/>
    </row>
    <row r="189" ht="15" customHeight="1" s="131">
      <c r="A189" s="225" t="n"/>
      <c r="B189" s="232" t="n"/>
      <c r="C189" s="225" t="n"/>
      <c r="D189" s="226">
        <f>IFERROR(VALUE(SUBSTITUTE($C189,"-","")),0)</f>
        <v/>
      </c>
      <c r="E189" s="225" t="n"/>
      <c r="F189" s="225" t="n"/>
      <c r="G189" s="225" t="n"/>
      <c r="H189" s="232" t="n"/>
    </row>
    <row r="190" ht="15" customHeight="1" s="131">
      <c r="A190" s="225" t="n"/>
      <c r="B190" s="232" t="n"/>
      <c r="C190" s="225" t="n"/>
      <c r="D190" s="226">
        <f>IFERROR(VALUE(SUBSTITUTE($C190,"-","")),0)</f>
        <v/>
      </c>
      <c r="E190" s="225" t="n"/>
      <c r="F190" s="225" t="n"/>
      <c r="G190" s="225" t="n"/>
      <c r="H190" s="232" t="n"/>
    </row>
    <row r="191" ht="15" customHeight="1" s="131">
      <c r="A191" s="225" t="n"/>
      <c r="B191" s="232" t="n"/>
      <c r="C191" s="225" t="n"/>
      <c r="D191" s="226">
        <f>IFERROR(VALUE(SUBSTITUTE($C191,"-","")),0)</f>
        <v/>
      </c>
      <c r="E191" s="225" t="n"/>
      <c r="F191" s="225" t="n"/>
      <c r="G191" s="225" t="n"/>
      <c r="H191" s="232" t="n"/>
    </row>
    <row r="192" ht="15" customHeight="1" s="131">
      <c r="A192" s="225" t="n"/>
      <c r="B192" s="232" t="n"/>
      <c r="C192" s="225" t="n"/>
      <c r="D192" s="226">
        <f>IFERROR(VALUE(SUBSTITUTE($C192,"-","")),0)</f>
        <v/>
      </c>
      <c r="E192" s="225" t="n"/>
      <c r="F192" s="225" t="n"/>
      <c r="G192" s="225" t="n"/>
      <c r="H192" s="232" t="n"/>
    </row>
    <row r="193" ht="15" customHeight="1" s="131">
      <c r="A193" s="225" t="n"/>
      <c r="B193" s="232" t="n"/>
      <c r="C193" s="225" t="n"/>
      <c r="D193" s="226">
        <f>IFERROR(VALUE(SUBSTITUTE($C193,"-","")),0)</f>
        <v/>
      </c>
      <c r="E193" s="225" t="n"/>
      <c r="F193" s="225" t="n"/>
      <c r="G193" s="225" t="n"/>
      <c r="H193" s="232" t="n"/>
    </row>
    <row r="194" ht="15" customHeight="1" s="131">
      <c r="A194" s="225" t="n"/>
      <c r="B194" s="232" t="n"/>
      <c r="C194" s="225" t="n"/>
      <c r="D194" s="226">
        <f>IFERROR(VALUE(SUBSTITUTE($C194,"-","")),0)</f>
        <v/>
      </c>
      <c r="E194" s="225" t="n"/>
      <c r="F194" s="225" t="n"/>
      <c r="G194" s="225" t="n"/>
      <c r="H194" s="232" t="n"/>
    </row>
    <row r="195" ht="15" customHeight="1" s="131">
      <c r="A195" s="225" t="n"/>
      <c r="B195" s="232" t="n"/>
      <c r="C195" s="225" t="n"/>
      <c r="D195" s="226">
        <f>IFERROR(VALUE(SUBSTITUTE($C195,"-","")),0)</f>
        <v/>
      </c>
      <c r="E195" s="225" t="n"/>
      <c r="F195" s="225" t="n"/>
      <c r="G195" s="225" t="n"/>
      <c r="H195" s="232" t="n"/>
    </row>
    <row r="196" ht="15" customHeight="1" s="131">
      <c r="A196" s="225" t="n"/>
      <c r="B196" s="232" t="n"/>
      <c r="C196" s="225" t="n"/>
      <c r="D196" s="226">
        <f>IFERROR(VALUE(SUBSTITUTE($C196,"-","")),0)</f>
        <v/>
      </c>
      <c r="E196" s="225" t="n"/>
      <c r="F196" s="225" t="n"/>
      <c r="G196" s="225" t="n"/>
      <c r="H196" s="232" t="n"/>
    </row>
    <row r="197" ht="15" customHeight="1" s="131">
      <c r="A197" s="225" t="n"/>
      <c r="B197" s="232" t="n"/>
      <c r="C197" s="225" t="n"/>
      <c r="D197" s="226">
        <f>IFERROR(VALUE(SUBSTITUTE($C197,"-","")),0)</f>
        <v/>
      </c>
      <c r="E197" s="225" t="n"/>
      <c r="F197" s="225" t="n"/>
      <c r="G197" s="225" t="n"/>
      <c r="H197" s="232" t="n"/>
    </row>
    <row r="198" ht="15" customHeight="1" s="131">
      <c r="A198" s="225" t="n"/>
      <c r="B198" s="232" t="n"/>
      <c r="C198" s="225" t="n"/>
      <c r="D198" s="226">
        <f>IFERROR(VALUE(SUBSTITUTE($C198,"-","")),0)</f>
        <v/>
      </c>
      <c r="E198" s="225" t="n"/>
      <c r="F198" s="225" t="n"/>
      <c r="G198" s="225" t="n"/>
      <c r="H198" s="232" t="n"/>
    </row>
    <row r="199" ht="15" customHeight="1" s="131">
      <c r="A199" s="225" t="n"/>
      <c r="B199" s="232" t="n"/>
      <c r="C199" s="225" t="n"/>
      <c r="D199" s="226">
        <f>IFERROR(VALUE(SUBSTITUTE($C199,"-","")),0)</f>
        <v/>
      </c>
      <c r="E199" s="225" t="n"/>
      <c r="F199" s="225" t="n"/>
      <c r="G199" s="225" t="n"/>
      <c r="H199" s="232" t="n"/>
    </row>
    <row r="200" ht="15" customHeight="1" s="131">
      <c r="A200" s="225" t="n"/>
      <c r="B200" s="232" t="n"/>
      <c r="C200" s="225" t="n"/>
      <c r="D200" s="226">
        <f>IFERROR(VALUE(SUBSTITUTE($C200,"-","")),0)</f>
        <v/>
      </c>
      <c r="E200" s="225" t="n"/>
      <c r="F200" s="225" t="n"/>
      <c r="G200" s="225" t="n"/>
      <c r="H200" s="232" t="n"/>
    </row>
    <row r="201" ht="15" customHeight="1" s="131">
      <c r="A201" s="225" t="n"/>
      <c r="B201" s="232" t="n"/>
      <c r="C201" s="225" t="n"/>
      <c r="D201" s="226">
        <f>IFERROR(VALUE(SUBSTITUTE($C201,"-","")),0)</f>
        <v/>
      </c>
      <c r="E201" s="225" t="n"/>
      <c r="F201" s="225" t="n"/>
      <c r="G201" s="225" t="n"/>
      <c r="H201" s="232" t="n"/>
    </row>
    <row r="202" ht="15" customHeight="1" s="131">
      <c r="A202" s="225" t="n"/>
      <c r="B202" s="232" t="n"/>
      <c r="C202" s="225" t="n"/>
      <c r="D202" s="226">
        <f>IFERROR(VALUE(SUBSTITUTE($C202,"-","")),0)</f>
        <v/>
      </c>
      <c r="E202" s="225" t="n"/>
      <c r="F202" s="225" t="n"/>
      <c r="G202" s="225" t="n"/>
      <c r="H202" s="232" t="n"/>
    </row>
    <row r="203" ht="15" customHeight="1" s="131">
      <c r="A203" s="225" t="n"/>
      <c r="B203" s="232" t="n"/>
      <c r="C203" s="225" t="n"/>
      <c r="D203" s="226">
        <f>IFERROR(VALUE(SUBSTITUTE($C203,"-","")),0)</f>
        <v/>
      </c>
      <c r="E203" s="225" t="n"/>
      <c r="F203" s="225" t="n"/>
      <c r="G203" s="225" t="n"/>
      <c r="H203" s="232" t="n"/>
    </row>
    <row r="204" ht="15" customHeight="1" s="131">
      <c r="A204" s="225" t="n"/>
      <c r="B204" s="232" t="n"/>
      <c r="C204" s="225" t="n"/>
      <c r="D204" s="226">
        <f>IFERROR(VALUE(SUBSTITUTE($C204,"-","")),0)</f>
        <v/>
      </c>
      <c r="E204" s="225" t="n"/>
      <c r="F204" s="225" t="n"/>
      <c r="G204" s="225" t="n"/>
      <c r="H204" s="232" t="n"/>
    </row>
    <row r="205" ht="15" customHeight="1" s="131">
      <c r="A205" s="225" t="n"/>
      <c r="B205" s="232" t="n"/>
      <c r="C205" s="225" t="n"/>
      <c r="D205" s="226">
        <f>IFERROR(VALUE(SUBSTITUTE($C205,"-","")),0)</f>
        <v/>
      </c>
      <c r="E205" s="225" t="n"/>
      <c r="F205" s="225" t="n"/>
      <c r="G205" s="225" t="n"/>
      <c r="H205" s="232" t="n"/>
    </row>
    <row r="206" ht="15" customHeight="1" s="131">
      <c r="A206" s="225" t="n"/>
      <c r="B206" s="232" t="n"/>
      <c r="C206" s="225" t="n"/>
      <c r="D206" s="226">
        <f>IFERROR(VALUE(SUBSTITUTE($C206,"-","")),0)</f>
        <v/>
      </c>
      <c r="E206" s="225" t="n"/>
      <c r="F206" s="225" t="n"/>
      <c r="G206" s="225" t="n"/>
      <c r="H206" s="232" t="n"/>
    </row>
    <row r="207" ht="15" customHeight="1" s="131">
      <c r="A207" s="225" t="n"/>
      <c r="B207" s="232" t="n"/>
      <c r="C207" s="225" t="n"/>
      <c r="D207" s="226">
        <f>IFERROR(VALUE(SUBSTITUTE($C207,"-","")),0)</f>
        <v/>
      </c>
      <c r="E207" s="225" t="n"/>
      <c r="F207" s="225" t="n"/>
      <c r="G207" s="225" t="n"/>
      <c r="H207" s="232" t="n"/>
    </row>
    <row r="208" ht="15" customHeight="1" s="131">
      <c r="A208" s="225" t="n"/>
      <c r="B208" s="232" t="n"/>
      <c r="C208" s="225" t="n"/>
      <c r="D208" s="226">
        <f>IFERROR(VALUE(SUBSTITUTE($C208,"-","")),0)</f>
        <v/>
      </c>
      <c r="E208" s="225" t="n"/>
      <c r="F208" s="225" t="n"/>
      <c r="G208" s="225" t="n"/>
      <c r="H208" s="232" t="n"/>
    </row>
    <row r="209" ht="15" customHeight="1" s="131">
      <c r="A209" s="225" t="n"/>
      <c r="B209" s="232" t="n"/>
      <c r="C209" s="225" t="n"/>
      <c r="D209" s="226">
        <f>IFERROR(VALUE(SUBSTITUTE($C209,"-","")),0)</f>
        <v/>
      </c>
      <c r="E209" s="225" t="n"/>
      <c r="F209" s="225" t="n"/>
      <c r="G209" s="225" t="n"/>
      <c r="H209" s="232" t="n"/>
    </row>
    <row r="210" ht="15" customHeight="1" s="131">
      <c r="A210" s="225" t="n"/>
      <c r="B210" s="232" t="n"/>
      <c r="C210" s="225" t="n"/>
      <c r="D210" s="226">
        <f>IFERROR(VALUE(SUBSTITUTE($C210,"-","")),0)</f>
        <v/>
      </c>
      <c r="E210" s="225" t="n"/>
      <c r="F210" s="225" t="n"/>
      <c r="G210" s="225" t="n"/>
      <c r="H210" s="232" t="n"/>
    </row>
    <row r="211" ht="15" customHeight="1" s="131">
      <c r="A211" s="225" t="n"/>
      <c r="B211" s="232" t="n"/>
      <c r="C211" s="225" t="n"/>
      <c r="D211" s="226">
        <f>IFERROR(VALUE(SUBSTITUTE($C211,"-","")),0)</f>
        <v/>
      </c>
      <c r="E211" s="225" t="n"/>
      <c r="F211" s="225" t="n"/>
      <c r="G211" s="225" t="n"/>
      <c r="H211" s="232" t="n"/>
    </row>
    <row r="212" ht="15" customHeight="1" s="131">
      <c r="A212" s="225" t="n"/>
      <c r="B212" s="232" t="n"/>
      <c r="C212" s="225" t="n"/>
      <c r="D212" s="226">
        <f>IFERROR(VALUE(SUBSTITUTE($C212,"-","")),0)</f>
        <v/>
      </c>
      <c r="E212" s="225" t="n"/>
      <c r="F212" s="225" t="n"/>
      <c r="G212" s="225" t="n"/>
      <c r="H212" s="232" t="n"/>
    </row>
    <row r="213" ht="15" customHeight="1" s="131">
      <c r="A213" s="225" t="n"/>
      <c r="B213" s="232" t="n"/>
      <c r="C213" s="225" t="n"/>
      <c r="D213" s="226">
        <f>IFERROR(VALUE(SUBSTITUTE($C213,"-","")),0)</f>
        <v/>
      </c>
      <c r="E213" s="225" t="n"/>
      <c r="F213" s="225" t="n"/>
      <c r="G213" s="225" t="n"/>
      <c r="H213" s="232" t="n"/>
    </row>
    <row r="214" ht="15" customHeight="1" s="131">
      <c r="A214" s="225" t="n"/>
      <c r="B214" s="232" t="n"/>
      <c r="C214" s="225" t="n"/>
      <c r="D214" s="226">
        <f>IFERROR(VALUE(SUBSTITUTE($C214,"-","")),0)</f>
        <v/>
      </c>
      <c r="E214" s="225" t="n"/>
      <c r="F214" s="225" t="n"/>
      <c r="G214" s="225" t="n"/>
      <c r="H214" s="232" t="n"/>
    </row>
    <row r="215" ht="15" customHeight="1" s="131">
      <c r="A215" s="225" t="n"/>
      <c r="B215" s="232" t="n"/>
      <c r="C215" s="225" t="n"/>
      <c r="D215" s="226">
        <f>IFERROR(VALUE(SUBSTITUTE($C215,"-","")),0)</f>
        <v/>
      </c>
      <c r="E215" s="225" t="n"/>
      <c r="F215" s="225" t="n"/>
      <c r="G215" s="225" t="n"/>
      <c r="H215" s="232" t="n"/>
    </row>
    <row r="216" ht="15" customHeight="1" s="131">
      <c r="A216" s="225" t="n"/>
      <c r="B216" s="232" t="n"/>
      <c r="C216" s="225" t="n"/>
      <c r="D216" s="226">
        <f>IFERROR(VALUE(SUBSTITUTE($C216,"-","")),0)</f>
        <v/>
      </c>
      <c r="E216" s="225" t="n"/>
      <c r="F216" s="225" t="n"/>
      <c r="G216" s="225" t="n"/>
      <c r="H216" s="232" t="n"/>
    </row>
    <row r="217" ht="15" customHeight="1" s="131">
      <c r="A217" s="225" t="n"/>
      <c r="B217" s="232" t="n"/>
      <c r="C217" s="225" t="n"/>
      <c r="D217" s="226">
        <f>IFERROR(VALUE(SUBSTITUTE($C217,"-","")),0)</f>
        <v/>
      </c>
      <c r="E217" s="225" t="n"/>
      <c r="F217" s="225" t="n"/>
      <c r="G217" s="225" t="n"/>
      <c r="H217" s="232" t="n"/>
    </row>
    <row r="218" ht="15" customHeight="1" s="131">
      <c r="A218" s="225" t="n"/>
      <c r="B218" s="232" t="n"/>
      <c r="C218" s="225" t="n"/>
      <c r="D218" s="226">
        <f>IFERROR(VALUE(SUBSTITUTE($C218,"-","")),0)</f>
        <v/>
      </c>
      <c r="E218" s="225" t="n"/>
      <c r="F218" s="225" t="n"/>
      <c r="G218" s="225" t="n"/>
      <c r="H218" s="232" t="n"/>
    </row>
    <row r="219" ht="15" customHeight="1" s="131">
      <c r="A219" s="225" t="n"/>
      <c r="B219" s="232" t="n"/>
      <c r="C219" s="225" t="n"/>
      <c r="D219" s="226">
        <f>IFERROR(VALUE(SUBSTITUTE($C219,"-","")),0)</f>
        <v/>
      </c>
      <c r="E219" s="225" t="n"/>
      <c r="F219" s="225" t="n"/>
      <c r="G219" s="225" t="n"/>
      <c r="H219" s="232" t="n"/>
    </row>
    <row r="220" ht="15" customHeight="1" s="131">
      <c r="A220" s="225" t="n"/>
      <c r="B220" s="232" t="n"/>
      <c r="C220" s="225" t="n"/>
      <c r="D220" s="226">
        <f>IFERROR(VALUE(SUBSTITUTE($C220,"-","")),0)</f>
        <v/>
      </c>
      <c r="E220" s="225" t="n"/>
      <c r="F220" s="225" t="n"/>
      <c r="G220" s="225" t="n"/>
      <c r="H220" s="232" t="n"/>
    </row>
    <row r="221" ht="15" customHeight="1" s="131">
      <c r="A221" s="225" t="n"/>
      <c r="B221" s="232" t="n"/>
      <c r="C221" s="225" t="n"/>
      <c r="D221" s="226">
        <f>IFERROR(VALUE(SUBSTITUTE($C221,"-","")),0)</f>
        <v/>
      </c>
      <c r="E221" s="225" t="n"/>
      <c r="F221" s="225" t="n"/>
      <c r="G221" s="225" t="n"/>
      <c r="H221" s="232" t="n"/>
    </row>
    <row r="222" ht="15" customHeight="1" s="131">
      <c r="A222" s="225" t="n"/>
      <c r="B222" s="232" t="n"/>
      <c r="C222" s="225" t="n"/>
      <c r="D222" s="226">
        <f>IFERROR(VALUE(SUBSTITUTE($C222,"-","")),0)</f>
        <v/>
      </c>
      <c r="E222" s="225" t="n"/>
      <c r="F222" s="225" t="n"/>
      <c r="G222" s="225" t="n"/>
      <c r="H222" s="232" t="n"/>
    </row>
    <row r="223" ht="15" customHeight="1" s="131">
      <c r="A223" s="225" t="n"/>
      <c r="B223" s="232" t="n"/>
      <c r="C223" s="225" t="n"/>
      <c r="D223" s="226">
        <f>IFERROR(VALUE(SUBSTITUTE($C223,"-","")),0)</f>
        <v/>
      </c>
      <c r="E223" s="225" t="n"/>
      <c r="F223" s="225" t="n"/>
      <c r="G223" s="225" t="n"/>
      <c r="H223" s="232" t="n"/>
    </row>
    <row r="224" ht="15" customHeight="1" s="131">
      <c r="A224" s="225" t="n"/>
      <c r="B224" s="232" t="n"/>
      <c r="C224" s="225" t="n"/>
      <c r="D224" s="226">
        <f>IFERROR(VALUE(SUBSTITUTE($C224,"-","")),0)</f>
        <v/>
      </c>
      <c r="E224" s="225" t="n"/>
      <c r="F224" s="225" t="n"/>
      <c r="G224" s="225" t="n"/>
      <c r="H224" s="232" t="n"/>
    </row>
    <row r="225" ht="15" customHeight="1" s="131">
      <c r="A225" s="225" t="n"/>
      <c r="B225" s="232" t="n"/>
      <c r="C225" s="225" t="n"/>
      <c r="D225" s="226">
        <f>IFERROR(VALUE(SUBSTITUTE($C225,"-","")),0)</f>
        <v/>
      </c>
      <c r="E225" s="225" t="n"/>
      <c r="F225" s="225" t="n"/>
      <c r="G225" s="225" t="n"/>
      <c r="H225" s="232" t="n"/>
    </row>
    <row r="226" ht="15" customHeight="1" s="131">
      <c r="A226" s="225" t="n"/>
      <c r="B226" s="232" t="n"/>
      <c r="C226" s="225" t="n"/>
      <c r="D226" s="226">
        <f>IFERROR(VALUE(SUBSTITUTE($C226,"-","")),0)</f>
        <v/>
      </c>
      <c r="E226" s="225" t="n"/>
      <c r="F226" s="225" t="n"/>
      <c r="G226" s="225" t="n"/>
      <c r="H226" s="232" t="n"/>
    </row>
    <row r="227" ht="15" customHeight="1" s="131">
      <c r="A227" s="225" t="n"/>
      <c r="B227" s="232" t="n"/>
      <c r="C227" s="225" t="n"/>
      <c r="D227" s="226">
        <f>IFERROR(VALUE(SUBSTITUTE($C227,"-","")),0)</f>
        <v/>
      </c>
      <c r="E227" s="225" t="n"/>
      <c r="F227" s="225" t="n"/>
      <c r="G227" s="225" t="n"/>
      <c r="H227" s="232" t="n"/>
    </row>
    <row r="228" ht="15" customHeight="1" s="131">
      <c r="A228" s="225" t="n"/>
      <c r="B228" s="232" t="n"/>
      <c r="C228" s="225" t="n"/>
      <c r="D228" s="226">
        <f>IFERROR(VALUE(SUBSTITUTE($C228,"-","")),0)</f>
        <v/>
      </c>
      <c r="E228" s="225" t="n"/>
      <c r="F228" s="225" t="n"/>
      <c r="G228" s="225" t="n"/>
      <c r="H228" s="232" t="n"/>
    </row>
    <row r="229" ht="15" customHeight="1" s="131">
      <c r="A229" s="225" t="n"/>
      <c r="B229" s="232" t="n"/>
      <c r="C229" s="225" t="n"/>
      <c r="D229" s="226">
        <f>IFERROR(VALUE(SUBSTITUTE($C229,"-","")),0)</f>
        <v/>
      </c>
      <c r="E229" s="225" t="n"/>
      <c r="F229" s="225" t="n"/>
      <c r="G229" s="225" t="n"/>
      <c r="H229" s="232" t="n"/>
    </row>
    <row r="230" ht="15" customHeight="1" s="131">
      <c r="A230" s="225" t="n"/>
      <c r="B230" s="232" t="n"/>
      <c r="C230" s="225" t="n"/>
      <c r="D230" s="226">
        <f>IFERROR(VALUE(SUBSTITUTE($C230,"-","")),0)</f>
        <v/>
      </c>
      <c r="E230" s="225" t="n"/>
      <c r="F230" s="225" t="n"/>
      <c r="G230" s="225" t="n"/>
      <c r="H230" s="232" t="n"/>
    </row>
    <row r="231" ht="15" customHeight="1" s="131">
      <c r="A231" s="225" t="n"/>
      <c r="B231" s="232" t="n"/>
      <c r="C231" s="225" t="n"/>
      <c r="D231" s="226">
        <f>IFERROR(VALUE(SUBSTITUTE($C231,"-","")),0)</f>
        <v/>
      </c>
      <c r="E231" s="225" t="n"/>
      <c r="F231" s="225" t="n"/>
      <c r="G231" s="225" t="n"/>
      <c r="H231" s="232" t="n"/>
    </row>
    <row r="232" ht="15" customHeight="1" s="131">
      <c r="A232" s="225" t="n"/>
      <c r="B232" s="232" t="n"/>
      <c r="C232" s="225" t="n"/>
      <c r="D232" s="226">
        <f>IFERROR(VALUE(SUBSTITUTE($C232,"-","")),0)</f>
        <v/>
      </c>
      <c r="E232" s="225" t="n"/>
      <c r="F232" s="225" t="n"/>
      <c r="G232" s="225" t="n"/>
      <c r="H232" s="232" t="n"/>
    </row>
    <row r="233" ht="15" customHeight="1" s="131">
      <c r="A233" s="225" t="n"/>
      <c r="B233" s="232" t="n"/>
      <c r="C233" s="225" t="n"/>
      <c r="D233" s="226">
        <f>IFERROR(VALUE(SUBSTITUTE($C233,"-","")),0)</f>
        <v/>
      </c>
      <c r="E233" s="225" t="n"/>
      <c r="F233" s="225" t="n"/>
      <c r="G233" s="225" t="n"/>
      <c r="H233" s="232" t="n"/>
    </row>
    <row r="234" ht="15" customHeight="1" s="131">
      <c r="A234" s="225" t="n"/>
      <c r="B234" s="232" t="n"/>
      <c r="C234" s="225" t="n"/>
      <c r="D234" s="226">
        <f>IFERROR(VALUE(SUBSTITUTE($C234,"-","")),0)</f>
        <v/>
      </c>
      <c r="E234" s="225" t="n"/>
      <c r="F234" s="225" t="n"/>
      <c r="G234" s="225" t="n"/>
      <c r="H234" s="232" t="n"/>
    </row>
    <row r="235" ht="15" customHeight="1" s="131">
      <c r="A235" s="225" t="n"/>
      <c r="B235" s="232" t="n"/>
      <c r="C235" s="225" t="n"/>
      <c r="D235" s="226">
        <f>IFERROR(VALUE(SUBSTITUTE($C235,"-","")),0)</f>
        <v/>
      </c>
      <c r="E235" s="225" t="n"/>
      <c r="F235" s="225" t="n"/>
      <c r="G235" s="225" t="n"/>
      <c r="H235" s="232" t="n"/>
    </row>
    <row r="236" ht="15" customHeight="1" s="131">
      <c r="A236" s="225" t="n"/>
      <c r="B236" s="232" t="n"/>
      <c r="C236" s="225" t="n"/>
      <c r="D236" s="226">
        <f>IFERROR(VALUE(SUBSTITUTE($C236,"-","")),0)</f>
        <v/>
      </c>
      <c r="E236" s="225" t="n"/>
      <c r="F236" s="225" t="n"/>
      <c r="G236" s="225" t="n"/>
      <c r="H236" s="232" t="n"/>
    </row>
    <row r="237" ht="15" customHeight="1" s="131">
      <c r="A237" s="225" t="n"/>
      <c r="B237" s="232" t="n"/>
      <c r="C237" s="225" t="n"/>
      <c r="D237" s="226">
        <f>IFERROR(VALUE(SUBSTITUTE($C237,"-","")),0)</f>
        <v/>
      </c>
      <c r="E237" s="225" t="n"/>
      <c r="F237" s="225" t="n"/>
      <c r="G237" s="225" t="n"/>
      <c r="H237" s="232" t="n"/>
    </row>
    <row r="238" ht="15" customHeight="1" s="131">
      <c r="A238" s="225" t="n"/>
      <c r="B238" s="232" t="n"/>
      <c r="C238" s="225" t="n"/>
      <c r="D238" s="226">
        <f>IFERROR(VALUE(SUBSTITUTE($C238,"-","")),0)</f>
        <v/>
      </c>
      <c r="E238" s="225" t="n"/>
      <c r="F238" s="225" t="n"/>
      <c r="G238" s="225" t="n"/>
      <c r="H238" s="232" t="n"/>
    </row>
    <row r="239" ht="15" customHeight="1" s="131">
      <c r="A239" s="225" t="n"/>
      <c r="B239" s="232" t="n"/>
      <c r="C239" s="225" t="n"/>
      <c r="D239" s="226">
        <f>IFERROR(VALUE(SUBSTITUTE($C239,"-","")),0)</f>
        <v/>
      </c>
      <c r="E239" s="225" t="n"/>
      <c r="F239" s="225" t="n"/>
      <c r="G239" s="225" t="n"/>
      <c r="H239" s="232" t="n"/>
    </row>
    <row r="240" ht="15" customHeight="1" s="131">
      <c r="A240" s="225" t="n"/>
      <c r="B240" s="232" t="n"/>
      <c r="C240" s="225" t="n"/>
      <c r="D240" s="226">
        <f>IFERROR(VALUE(SUBSTITUTE($C240,"-","")),0)</f>
        <v/>
      </c>
      <c r="E240" s="225" t="n"/>
      <c r="F240" s="225" t="n"/>
      <c r="G240" s="225" t="n"/>
      <c r="H240" s="232" t="n"/>
    </row>
    <row r="241" ht="15" customHeight="1" s="131">
      <c r="A241" s="225" t="n"/>
      <c r="B241" s="232" t="n"/>
      <c r="C241" s="225" t="n"/>
      <c r="D241" s="226">
        <f>IFERROR(VALUE(SUBSTITUTE($C241,"-","")),0)</f>
        <v/>
      </c>
      <c r="E241" s="225" t="n"/>
      <c r="F241" s="225" t="n"/>
      <c r="G241" s="225" t="n"/>
      <c r="H241" s="232" t="n"/>
    </row>
    <row r="242" ht="15" customHeight="1" s="131">
      <c r="A242" s="225" t="n"/>
      <c r="B242" s="232" t="n"/>
      <c r="C242" s="225" t="n"/>
      <c r="D242" s="226">
        <f>IFERROR(VALUE(SUBSTITUTE($C242,"-","")),0)</f>
        <v/>
      </c>
      <c r="E242" s="225" t="n"/>
      <c r="F242" s="225" t="n"/>
      <c r="G242" s="225" t="n"/>
      <c r="H242" s="232" t="n"/>
    </row>
    <row r="243" ht="15" customHeight="1" s="131">
      <c r="A243" s="225" t="n"/>
      <c r="B243" s="232" t="n"/>
      <c r="C243" s="225" t="n"/>
      <c r="D243" s="226">
        <f>IFERROR(VALUE(SUBSTITUTE($C243,"-","")),0)</f>
        <v/>
      </c>
      <c r="E243" s="225" t="n"/>
      <c r="F243" s="225" t="n"/>
      <c r="G243" s="225" t="n"/>
      <c r="H243" s="232" t="n"/>
    </row>
    <row r="244" ht="15" customHeight="1" s="131">
      <c r="A244" s="225" t="n"/>
      <c r="B244" s="232" t="n"/>
      <c r="C244" s="225" t="n"/>
      <c r="D244" s="226">
        <f>IFERROR(VALUE(SUBSTITUTE($C244,"-","")),0)</f>
        <v/>
      </c>
      <c r="E244" s="225" t="n"/>
      <c r="F244" s="225" t="n"/>
      <c r="G244" s="225" t="n"/>
      <c r="H244" s="232" t="n"/>
    </row>
    <row r="245" ht="15" customHeight="1" s="131">
      <c r="A245" s="225" t="n"/>
      <c r="B245" s="232" t="n"/>
      <c r="C245" s="225" t="n"/>
      <c r="D245" s="226">
        <f>IFERROR(VALUE(SUBSTITUTE($C245,"-","")),0)</f>
        <v/>
      </c>
      <c r="E245" s="225" t="n"/>
      <c r="F245" s="225" t="n"/>
      <c r="G245" s="225" t="n"/>
      <c r="H245" s="232" t="n"/>
    </row>
    <row r="246" ht="15" customHeight="1" s="131">
      <c r="A246" s="225" t="n"/>
      <c r="B246" s="232" t="n"/>
      <c r="C246" s="225" t="n"/>
      <c r="D246" s="226">
        <f>IFERROR(VALUE(SUBSTITUTE($C246,"-","")),0)</f>
        <v/>
      </c>
      <c r="E246" s="225" t="n"/>
      <c r="F246" s="225" t="n"/>
      <c r="G246" s="225" t="n"/>
      <c r="H246" s="232" t="n"/>
    </row>
    <row r="247" ht="15" customHeight="1" s="131">
      <c r="A247" s="225" t="n"/>
      <c r="B247" s="232" t="n"/>
      <c r="C247" s="225" t="n"/>
      <c r="D247" s="226">
        <f>IFERROR(VALUE(SUBSTITUTE($C247,"-","")),0)</f>
        <v/>
      </c>
      <c r="E247" s="225" t="n"/>
      <c r="F247" s="225" t="n"/>
      <c r="G247" s="225" t="n"/>
      <c r="H247" s="232" t="n"/>
    </row>
    <row r="248" ht="15" customHeight="1" s="131">
      <c r="A248" s="225" t="n"/>
      <c r="B248" s="232" t="n"/>
      <c r="C248" s="225" t="n"/>
      <c r="D248" s="226">
        <f>IFERROR(VALUE(SUBSTITUTE($C248,"-","")),0)</f>
        <v/>
      </c>
      <c r="E248" s="225" t="n"/>
      <c r="F248" s="225" t="n"/>
      <c r="G248" s="225" t="n"/>
      <c r="H248" s="232" t="n"/>
    </row>
    <row r="249" ht="15" customHeight="1" s="131">
      <c r="A249" s="225" t="n"/>
      <c r="B249" s="232" t="n"/>
      <c r="C249" s="225" t="n"/>
      <c r="D249" s="226">
        <f>IFERROR(VALUE(SUBSTITUTE($C249,"-","")),0)</f>
        <v/>
      </c>
      <c r="E249" s="225" t="n"/>
      <c r="F249" s="225" t="n"/>
      <c r="G249" s="225" t="n"/>
      <c r="H249" s="232" t="n"/>
    </row>
    <row r="250" ht="15" customHeight="1" s="131">
      <c r="A250" s="225" t="n"/>
      <c r="B250" s="232" t="n"/>
      <c r="C250" s="225" t="n"/>
      <c r="D250" s="226">
        <f>IFERROR(VALUE(SUBSTITUTE($C250,"-","")),0)</f>
        <v/>
      </c>
      <c r="E250" s="225" t="n"/>
      <c r="F250" s="225" t="n"/>
      <c r="G250" s="225" t="n"/>
      <c r="H250" s="232" t="n"/>
    </row>
    <row r="251" ht="15" customHeight="1" s="131">
      <c r="A251" s="225" t="n"/>
      <c r="B251" s="232" t="n"/>
      <c r="C251" s="225" t="n"/>
      <c r="D251" s="226">
        <f>IFERROR(VALUE(SUBSTITUTE($C251,"-","")),0)</f>
        <v/>
      </c>
      <c r="E251" s="225" t="n"/>
      <c r="F251" s="225" t="n"/>
      <c r="G251" s="225" t="n"/>
      <c r="H251" s="232" t="n"/>
    </row>
    <row r="252" ht="15" customHeight="1" s="131">
      <c r="A252" s="225" t="n"/>
      <c r="B252" s="232" t="n"/>
      <c r="C252" s="225" t="n"/>
      <c r="D252" s="226">
        <f>IFERROR(VALUE(SUBSTITUTE($C252,"-","")),0)</f>
        <v/>
      </c>
      <c r="E252" s="225" t="n"/>
      <c r="F252" s="225" t="n"/>
      <c r="G252" s="225" t="n"/>
      <c r="H252" s="232" t="n"/>
    </row>
    <row r="253" ht="15" customHeight="1" s="131">
      <c r="A253" s="225" t="n"/>
      <c r="B253" s="232" t="n"/>
      <c r="C253" s="225" t="n"/>
      <c r="D253" s="226">
        <f>IFERROR(VALUE(SUBSTITUTE($C253,"-","")),0)</f>
        <v/>
      </c>
      <c r="E253" s="225" t="n"/>
      <c r="F253" s="225" t="n"/>
      <c r="G253" s="225" t="n"/>
      <c r="H253" s="232" t="n"/>
    </row>
    <row r="254" ht="15" customHeight="1" s="131">
      <c r="A254" s="225" t="n"/>
      <c r="B254" s="232" t="n"/>
      <c r="C254" s="225" t="n"/>
      <c r="D254" s="226">
        <f>IFERROR(VALUE(SUBSTITUTE($C254,"-","")),0)</f>
        <v/>
      </c>
      <c r="E254" s="225" t="n"/>
      <c r="F254" s="225" t="n"/>
      <c r="G254" s="225" t="n"/>
      <c r="H254" s="232" t="n"/>
    </row>
    <row r="255" ht="15" customHeight="1" s="131">
      <c r="A255" s="225" t="n"/>
      <c r="B255" s="232" t="n"/>
      <c r="C255" s="225" t="n"/>
      <c r="D255" s="226">
        <f>IFERROR(VALUE(SUBSTITUTE($C255,"-","")),0)</f>
        <v/>
      </c>
      <c r="E255" s="225" t="n"/>
      <c r="F255" s="225" t="n"/>
      <c r="G255" s="225" t="n"/>
      <c r="H255" s="232" t="n"/>
    </row>
    <row r="256" ht="15" customHeight="1" s="131">
      <c r="A256" s="225" t="n"/>
      <c r="B256" s="232" t="n"/>
      <c r="C256" s="225" t="n"/>
      <c r="D256" s="226">
        <f>IFERROR(VALUE(SUBSTITUTE($C256,"-","")),0)</f>
        <v/>
      </c>
      <c r="E256" s="225" t="n"/>
      <c r="F256" s="225" t="n"/>
      <c r="G256" s="225" t="n"/>
      <c r="H256" s="232" t="n"/>
    </row>
    <row r="257" ht="15" customHeight="1" s="131">
      <c r="A257" s="225" t="n"/>
      <c r="B257" s="232" t="n"/>
      <c r="C257" s="225" t="n"/>
      <c r="D257" s="226">
        <f>IFERROR(VALUE(SUBSTITUTE($C257,"-","")),0)</f>
        <v/>
      </c>
      <c r="E257" s="225" t="n"/>
      <c r="F257" s="225" t="n"/>
      <c r="G257" s="225" t="n"/>
      <c r="H257" s="232" t="n"/>
    </row>
    <row r="258" ht="15" customHeight="1" s="131">
      <c r="A258" s="225" t="n"/>
      <c r="B258" s="232" t="n"/>
      <c r="C258" s="225" t="n"/>
      <c r="D258" s="226">
        <f>IFERROR(VALUE(SUBSTITUTE($C258,"-","")),0)</f>
        <v/>
      </c>
      <c r="E258" s="225" t="n"/>
      <c r="F258" s="225" t="n"/>
      <c r="G258" s="225" t="n"/>
      <c r="H258" s="232" t="n"/>
    </row>
    <row r="259" ht="15" customHeight="1" s="131">
      <c r="A259" s="225" t="n"/>
      <c r="B259" s="232" t="n"/>
      <c r="C259" s="225" t="n"/>
      <c r="D259" s="226">
        <f>IFERROR(VALUE(SUBSTITUTE($C259,"-","")),0)</f>
        <v/>
      </c>
      <c r="E259" s="225" t="n"/>
      <c r="F259" s="225" t="n"/>
      <c r="G259" s="225" t="n"/>
      <c r="H259" s="232" t="n"/>
    </row>
    <row r="260" ht="15" customHeight="1" s="131">
      <c r="A260" s="225" t="n"/>
      <c r="B260" s="232" t="n"/>
      <c r="C260" s="225" t="n"/>
      <c r="D260" s="226">
        <f>IFERROR(VALUE(SUBSTITUTE($C260,"-","")),0)</f>
        <v/>
      </c>
      <c r="E260" s="225" t="n"/>
      <c r="F260" s="225" t="n"/>
      <c r="G260" s="225" t="n"/>
      <c r="H260" s="232" t="n"/>
    </row>
    <row r="261" ht="15" customHeight="1" s="131">
      <c r="A261" s="225" t="n"/>
      <c r="B261" s="232" t="n"/>
      <c r="C261" s="225" t="n"/>
      <c r="D261" s="226">
        <f>IFERROR(VALUE(SUBSTITUTE($C261,"-","")),0)</f>
        <v/>
      </c>
      <c r="E261" s="225" t="n"/>
      <c r="F261" s="225" t="n"/>
      <c r="G261" s="225" t="n"/>
      <c r="H261" s="232" t="n"/>
    </row>
    <row r="262" ht="15" customHeight="1" s="131">
      <c r="A262" s="225" t="n"/>
      <c r="B262" s="232" t="n"/>
      <c r="C262" s="225" t="n"/>
      <c r="D262" s="226">
        <f>IFERROR(VALUE(SUBSTITUTE($C262,"-","")),0)</f>
        <v/>
      </c>
      <c r="E262" s="225" t="n"/>
      <c r="F262" s="225" t="n"/>
      <c r="G262" s="225" t="n"/>
      <c r="H262" s="232" t="n"/>
    </row>
    <row r="263" ht="15" customHeight="1" s="131">
      <c r="A263" s="225" t="n"/>
      <c r="B263" s="232" t="n"/>
      <c r="C263" s="225" t="n"/>
      <c r="D263" s="226">
        <f>IFERROR(VALUE(SUBSTITUTE($C263,"-","")),0)</f>
        <v/>
      </c>
      <c r="E263" s="225" t="n"/>
      <c r="F263" s="225" t="n"/>
      <c r="G263" s="225" t="n"/>
      <c r="H263" s="232" t="n"/>
    </row>
    <row r="264" ht="15" customHeight="1" s="131">
      <c r="A264" s="225" t="n"/>
      <c r="B264" s="232" t="n"/>
      <c r="C264" s="225" t="n"/>
      <c r="D264" s="226">
        <f>IFERROR(VALUE(SUBSTITUTE($C264,"-","")),0)</f>
        <v/>
      </c>
      <c r="E264" s="225" t="n"/>
      <c r="F264" s="225" t="n"/>
      <c r="G264" s="225" t="n"/>
      <c r="H264" s="232" t="n"/>
    </row>
    <row r="265" ht="15" customHeight="1" s="131">
      <c r="A265" s="225" t="n"/>
      <c r="B265" s="232" t="n"/>
      <c r="C265" s="225" t="n"/>
      <c r="D265" s="226">
        <f>IFERROR(VALUE(SUBSTITUTE($C265,"-","")),0)</f>
        <v/>
      </c>
      <c r="E265" s="225" t="n"/>
      <c r="F265" s="225" t="n"/>
      <c r="G265" s="225" t="n"/>
      <c r="H265" s="232" t="n"/>
    </row>
    <row r="266" ht="15" customHeight="1" s="131">
      <c r="A266" s="225" t="n"/>
      <c r="B266" s="232" t="n"/>
      <c r="C266" s="225" t="n"/>
      <c r="D266" s="226">
        <f>IFERROR(VALUE(SUBSTITUTE($C266,"-","")),0)</f>
        <v/>
      </c>
      <c r="E266" s="225" t="n"/>
      <c r="F266" s="225" t="n"/>
      <c r="G266" s="225" t="n"/>
      <c r="H266" s="232" t="n"/>
    </row>
    <row r="267" ht="15" customHeight="1" s="131">
      <c r="A267" s="225" t="n"/>
      <c r="B267" s="232" t="n"/>
      <c r="C267" s="225" t="n"/>
      <c r="D267" s="226">
        <f>IFERROR(VALUE(SUBSTITUTE($C267,"-","")),0)</f>
        <v/>
      </c>
      <c r="E267" s="225" t="n"/>
      <c r="F267" s="225" t="n"/>
      <c r="G267" s="225" t="n"/>
      <c r="H267" s="232" t="n"/>
    </row>
    <row r="268" ht="15" customHeight="1" s="131">
      <c r="A268" s="225" t="n"/>
      <c r="B268" s="232" t="n"/>
      <c r="C268" s="225" t="n"/>
      <c r="D268" s="226">
        <f>IFERROR(VALUE(SUBSTITUTE($C268,"-","")),0)</f>
        <v/>
      </c>
      <c r="E268" s="225" t="n"/>
      <c r="F268" s="225" t="n"/>
      <c r="G268" s="225" t="n"/>
      <c r="H268" s="232" t="n"/>
    </row>
    <row r="269" ht="15" customHeight="1" s="131">
      <c r="A269" s="225" t="n"/>
      <c r="B269" s="232" t="n"/>
      <c r="C269" s="225" t="n"/>
      <c r="D269" s="226">
        <f>IFERROR(VALUE(SUBSTITUTE($C269,"-","")),0)</f>
        <v/>
      </c>
      <c r="E269" s="225" t="n"/>
      <c r="F269" s="225" t="n"/>
      <c r="G269" s="225" t="n"/>
      <c r="H269" s="232" t="n"/>
    </row>
    <row r="270" ht="15" customHeight="1" s="131">
      <c r="A270" s="225" t="n"/>
      <c r="B270" s="232" t="n"/>
      <c r="C270" s="225" t="n"/>
      <c r="D270" s="226">
        <f>IFERROR(VALUE(SUBSTITUTE($C270,"-","")),0)</f>
        <v/>
      </c>
      <c r="E270" s="225" t="n"/>
      <c r="F270" s="225" t="n"/>
      <c r="G270" s="225" t="n"/>
      <c r="H270" s="232" t="n"/>
    </row>
    <row r="271" ht="15" customHeight="1" s="131">
      <c r="A271" s="225" t="n"/>
      <c r="B271" s="232" t="n"/>
      <c r="C271" s="225" t="n"/>
      <c r="D271" s="226">
        <f>IFERROR(VALUE(SUBSTITUTE($C271,"-","")),0)</f>
        <v/>
      </c>
      <c r="E271" s="225" t="n"/>
      <c r="F271" s="225" t="n"/>
      <c r="G271" s="225" t="n"/>
      <c r="H271" s="232" t="n"/>
    </row>
    <row r="272" ht="15" customHeight="1" s="131">
      <c r="A272" s="225" t="n"/>
      <c r="B272" s="232" t="n"/>
      <c r="C272" s="225" t="n"/>
      <c r="D272" s="226">
        <f>IFERROR(VALUE(SUBSTITUTE($C272,"-","")),0)</f>
        <v/>
      </c>
      <c r="E272" s="225" t="n"/>
      <c r="F272" s="225" t="n"/>
      <c r="G272" s="225" t="n"/>
      <c r="H272" s="232" t="n"/>
    </row>
    <row r="273" ht="15" customHeight="1" s="131">
      <c r="A273" s="225" t="n"/>
      <c r="B273" s="232" t="n"/>
      <c r="C273" s="225" t="n"/>
      <c r="D273" s="226">
        <f>IFERROR(VALUE(SUBSTITUTE($C273,"-","")),0)</f>
        <v/>
      </c>
      <c r="E273" s="225" t="n"/>
      <c r="F273" s="225" t="n"/>
      <c r="G273" s="225" t="n"/>
      <c r="H273" s="232" t="n"/>
    </row>
    <row r="274" ht="15" customHeight="1" s="131">
      <c r="A274" s="225" t="n"/>
      <c r="B274" s="232" t="n"/>
      <c r="C274" s="225" t="n"/>
      <c r="D274" s="226">
        <f>IFERROR(VALUE(SUBSTITUTE($C274,"-","")),0)</f>
        <v/>
      </c>
      <c r="E274" s="225" t="n"/>
      <c r="F274" s="225" t="n"/>
      <c r="G274" s="225" t="n"/>
      <c r="H274" s="232" t="n"/>
    </row>
    <row r="275" ht="15" customHeight="1" s="131">
      <c r="A275" s="225" t="n"/>
      <c r="B275" s="232" t="n"/>
      <c r="C275" s="225" t="n"/>
      <c r="D275" s="226">
        <f>IFERROR(VALUE(SUBSTITUTE($C275,"-","")),0)</f>
        <v/>
      </c>
      <c r="E275" s="225" t="n"/>
      <c r="F275" s="225" t="n"/>
      <c r="G275" s="225" t="n"/>
      <c r="H275" s="232" t="n"/>
    </row>
    <row r="276" ht="15" customHeight="1" s="131">
      <c r="A276" s="225" t="n"/>
      <c r="B276" s="232" t="n"/>
      <c r="C276" s="225" t="n"/>
      <c r="D276" s="226">
        <f>IFERROR(VALUE(SUBSTITUTE($C276,"-","")),0)</f>
        <v/>
      </c>
      <c r="E276" s="225" t="n"/>
      <c r="F276" s="225" t="n"/>
      <c r="G276" s="225" t="n"/>
      <c r="H276" s="232" t="n"/>
    </row>
    <row r="277" ht="15" customHeight="1" s="131">
      <c r="A277" s="225" t="n"/>
      <c r="B277" s="232" t="n"/>
      <c r="C277" s="225" t="n"/>
      <c r="D277" s="226">
        <f>IFERROR(VALUE(SUBSTITUTE($C277,"-","")),0)</f>
        <v/>
      </c>
      <c r="E277" s="225" t="n"/>
      <c r="F277" s="225" t="n"/>
      <c r="G277" s="225" t="n"/>
      <c r="H277" s="232" t="n"/>
    </row>
    <row r="278" ht="15" customHeight="1" s="131">
      <c r="A278" s="225" t="n"/>
      <c r="B278" s="232" t="n"/>
      <c r="C278" s="225" t="n"/>
      <c r="D278" s="226">
        <f>IFERROR(VALUE(SUBSTITUTE($C278,"-","")),0)</f>
        <v/>
      </c>
      <c r="E278" s="225" t="n"/>
      <c r="F278" s="225" t="n"/>
      <c r="G278" s="225" t="n"/>
      <c r="H278" s="232" t="n"/>
    </row>
    <row r="279" ht="15" customHeight="1" s="131">
      <c r="A279" s="225" t="n"/>
      <c r="B279" s="232" t="n"/>
      <c r="C279" s="225" t="n"/>
      <c r="D279" s="226">
        <f>IFERROR(VALUE(SUBSTITUTE($C279,"-","")),0)</f>
        <v/>
      </c>
      <c r="E279" s="225" t="n"/>
      <c r="F279" s="225" t="n"/>
      <c r="G279" s="225" t="n"/>
      <c r="H279" s="232" t="n"/>
    </row>
    <row r="280" ht="15" customHeight="1" s="131">
      <c r="A280" s="225" t="n"/>
      <c r="B280" s="232" t="n"/>
      <c r="C280" s="225" t="n"/>
      <c r="D280" s="226">
        <f>IFERROR(VALUE(SUBSTITUTE($C280,"-","")),0)</f>
        <v/>
      </c>
      <c r="E280" s="225" t="n"/>
      <c r="F280" s="225" t="n"/>
      <c r="G280" s="225" t="n"/>
      <c r="H280" s="232" t="n"/>
    </row>
    <row r="281" ht="15" customHeight="1" s="131">
      <c r="A281" s="225" t="n"/>
      <c r="B281" s="232" t="n"/>
      <c r="C281" s="225" t="n"/>
      <c r="D281" s="226">
        <f>IFERROR(VALUE(SUBSTITUTE($C281,"-","")),0)</f>
        <v/>
      </c>
      <c r="E281" s="225" t="n"/>
      <c r="F281" s="225" t="n"/>
      <c r="G281" s="225" t="n"/>
      <c r="H281" s="232" t="n"/>
    </row>
    <row r="282" ht="15" customHeight="1" s="131">
      <c r="A282" s="225" t="n"/>
      <c r="B282" s="232" t="n"/>
      <c r="C282" s="225" t="n"/>
      <c r="D282" s="226">
        <f>IFERROR(VALUE(SUBSTITUTE($C282,"-","")),0)</f>
        <v/>
      </c>
      <c r="E282" s="225" t="n"/>
      <c r="F282" s="225" t="n"/>
      <c r="G282" s="225" t="n"/>
      <c r="H282" s="232" t="n"/>
    </row>
    <row r="283" ht="15" customHeight="1" s="131">
      <c r="A283" s="225" t="n"/>
      <c r="B283" s="232" t="n"/>
      <c r="C283" s="225" t="n"/>
      <c r="D283" s="226">
        <f>IFERROR(VALUE(SUBSTITUTE($C283,"-","")),0)</f>
        <v/>
      </c>
      <c r="E283" s="225" t="n"/>
      <c r="F283" s="225" t="n"/>
      <c r="G283" s="225" t="n"/>
      <c r="H283" s="232" t="n"/>
    </row>
    <row r="284" ht="15" customHeight="1" s="131">
      <c r="A284" s="225" t="n"/>
      <c r="B284" s="232" t="n"/>
      <c r="C284" s="225" t="n"/>
      <c r="D284" s="226">
        <f>IFERROR(VALUE(SUBSTITUTE($C284,"-","")),0)</f>
        <v/>
      </c>
      <c r="E284" s="225" t="n"/>
      <c r="F284" s="225" t="n"/>
      <c r="G284" s="225" t="n"/>
      <c r="H284" s="232" t="n"/>
    </row>
    <row r="285" ht="15" customHeight="1" s="131">
      <c r="A285" s="225" t="n"/>
      <c r="B285" s="232" t="n"/>
      <c r="C285" s="225" t="n"/>
      <c r="D285" s="226">
        <f>IFERROR(VALUE(SUBSTITUTE($C285,"-","")),0)</f>
        <v/>
      </c>
      <c r="E285" s="225" t="n"/>
      <c r="F285" s="225" t="n"/>
      <c r="G285" s="225" t="n"/>
      <c r="H285" s="232" t="n"/>
    </row>
    <row r="286" ht="15" customHeight="1" s="131">
      <c r="A286" s="225" t="n"/>
      <c r="B286" s="232" t="n"/>
      <c r="C286" s="225" t="n"/>
      <c r="D286" s="226">
        <f>IFERROR(VALUE(SUBSTITUTE($C286,"-","")),0)</f>
        <v/>
      </c>
      <c r="E286" s="225" t="n"/>
      <c r="F286" s="225" t="n"/>
      <c r="G286" s="225" t="n"/>
      <c r="H286" s="232" t="n"/>
    </row>
    <row r="287" ht="15" customHeight="1" s="131">
      <c r="A287" s="225" t="n"/>
      <c r="B287" s="232" t="n"/>
      <c r="C287" s="225" t="n"/>
      <c r="D287" s="226">
        <f>IFERROR(VALUE(SUBSTITUTE($C287,"-","")),0)</f>
        <v/>
      </c>
      <c r="E287" s="225" t="n"/>
      <c r="F287" s="225" t="n"/>
      <c r="G287" s="225" t="n"/>
      <c r="H287" s="232" t="n"/>
    </row>
    <row r="288" ht="15" customHeight="1" s="131">
      <c r="A288" s="225" t="n"/>
      <c r="B288" s="232" t="n"/>
      <c r="C288" s="225" t="n"/>
      <c r="D288" s="226">
        <f>IFERROR(VALUE(SUBSTITUTE($C288,"-","")),0)</f>
        <v/>
      </c>
      <c r="E288" s="225" t="n"/>
      <c r="F288" s="225" t="n"/>
      <c r="G288" s="225" t="n"/>
      <c r="H288" s="232" t="n"/>
    </row>
    <row r="289" ht="15" customHeight="1" s="131">
      <c r="A289" s="225" t="n"/>
      <c r="B289" s="232" t="n"/>
      <c r="C289" s="225" t="n"/>
      <c r="D289" s="226">
        <f>IFERROR(VALUE(SUBSTITUTE($C289,"-","")),0)</f>
        <v/>
      </c>
      <c r="E289" s="225" t="n"/>
      <c r="F289" s="225" t="n"/>
      <c r="G289" s="225" t="n"/>
      <c r="H289" s="232" t="n"/>
    </row>
    <row r="290" ht="15" customHeight="1" s="131">
      <c r="A290" s="225" t="n"/>
      <c r="B290" s="232" t="n"/>
      <c r="C290" s="225" t="n"/>
      <c r="D290" s="226">
        <f>IFERROR(VALUE(SUBSTITUTE($C290,"-","")),0)</f>
        <v/>
      </c>
      <c r="E290" s="225" t="n"/>
      <c r="F290" s="225" t="n"/>
      <c r="G290" s="225" t="n"/>
      <c r="H290" s="232" t="n"/>
    </row>
    <row r="291" ht="15" customHeight="1" s="131">
      <c r="A291" s="225" t="n"/>
      <c r="B291" s="232" t="n"/>
      <c r="C291" s="225" t="n"/>
      <c r="D291" s="226">
        <f>IFERROR(VALUE(SUBSTITUTE($C291,"-","")),0)</f>
        <v/>
      </c>
      <c r="E291" s="225" t="n"/>
      <c r="F291" s="225" t="n"/>
      <c r="G291" s="225" t="n"/>
      <c r="H291" s="232" t="n"/>
    </row>
    <row r="292" ht="15" customHeight="1" s="131">
      <c r="A292" s="225" t="n"/>
      <c r="B292" s="232" t="n"/>
      <c r="C292" s="225" t="n"/>
      <c r="D292" s="226">
        <f>IFERROR(VALUE(SUBSTITUTE($C292,"-","")),0)</f>
        <v/>
      </c>
      <c r="E292" s="225" t="n"/>
      <c r="F292" s="225" t="n"/>
      <c r="G292" s="225" t="n"/>
      <c r="H292" s="232" t="n"/>
    </row>
    <row r="293" ht="15" customHeight="1" s="131">
      <c r="A293" s="225" t="n"/>
      <c r="B293" s="232" t="n"/>
      <c r="C293" s="225" t="n"/>
      <c r="D293" s="226">
        <f>IFERROR(VALUE(SUBSTITUTE($C293,"-","")),0)</f>
        <v/>
      </c>
      <c r="E293" s="225" t="n"/>
      <c r="F293" s="225" t="n"/>
      <c r="G293" s="225" t="n"/>
      <c r="H293" s="232" t="n"/>
    </row>
    <row r="294" ht="15" customHeight="1" s="131">
      <c r="A294" s="225" t="n"/>
      <c r="B294" s="232" t="n"/>
      <c r="C294" s="225" t="n"/>
      <c r="D294" s="226">
        <f>IFERROR(VALUE(SUBSTITUTE($C294,"-","")),0)</f>
        <v/>
      </c>
      <c r="E294" s="225" t="n"/>
      <c r="F294" s="225" t="n"/>
      <c r="G294" s="225" t="n"/>
      <c r="H294" s="232" t="n"/>
    </row>
    <row r="295" ht="15" customHeight="1" s="131">
      <c r="A295" s="225" t="n"/>
      <c r="B295" s="232" t="n"/>
      <c r="C295" s="225" t="n"/>
      <c r="D295" s="226">
        <f>IFERROR(VALUE(SUBSTITUTE($C295,"-","")),0)</f>
        <v/>
      </c>
      <c r="E295" s="225" t="n"/>
      <c r="F295" s="225" t="n"/>
      <c r="G295" s="225" t="n"/>
      <c r="H295" s="232" t="n"/>
    </row>
    <row r="296" ht="15" customHeight="1" s="131">
      <c r="A296" s="225" t="n"/>
      <c r="B296" s="232" t="n"/>
      <c r="C296" s="225" t="n"/>
      <c r="D296" s="226">
        <f>IFERROR(VALUE(SUBSTITUTE($C296,"-","")),0)</f>
        <v/>
      </c>
      <c r="E296" s="225" t="n"/>
      <c r="F296" s="225" t="n"/>
      <c r="G296" s="225" t="n"/>
      <c r="H296" s="232" t="n"/>
    </row>
    <row r="297" ht="15" customHeight="1" s="131">
      <c r="A297" s="225" t="n"/>
      <c r="B297" s="232" t="n"/>
      <c r="C297" s="225" t="n"/>
      <c r="D297" s="226">
        <f>IFERROR(VALUE(SUBSTITUTE($C297,"-","")),0)</f>
        <v/>
      </c>
      <c r="E297" s="225" t="n"/>
      <c r="F297" s="225" t="n"/>
      <c r="G297" s="225" t="n"/>
      <c r="H297" s="232" t="n"/>
    </row>
    <row r="298" ht="15" customHeight="1" s="131">
      <c r="A298" s="225" t="n"/>
      <c r="B298" s="232" t="n"/>
      <c r="C298" s="225" t="n"/>
      <c r="D298" s="226">
        <f>IFERROR(VALUE(SUBSTITUTE($C298,"-","")),0)</f>
        <v/>
      </c>
      <c r="E298" s="225" t="n"/>
      <c r="F298" s="225" t="n"/>
      <c r="G298" s="225" t="n"/>
      <c r="H298" s="232" t="n"/>
    </row>
    <row r="299" ht="15" customHeight="1" s="131">
      <c r="A299" s="225" t="n"/>
      <c r="B299" s="232" t="n"/>
      <c r="C299" s="225" t="n"/>
      <c r="D299" s="226">
        <f>IFERROR(VALUE(SUBSTITUTE($C299,"-","")),0)</f>
        <v/>
      </c>
      <c r="E299" s="225" t="n"/>
      <c r="F299" s="225" t="n"/>
      <c r="G299" s="225" t="n"/>
      <c r="H299" s="232" t="n"/>
    </row>
    <row r="300" ht="15" customHeight="1" s="131">
      <c r="A300" s="225" t="n"/>
      <c r="B300" s="232" t="n"/>
      <c r="C300" s="225" t="n"/>
      <c r="D300" s="226">
        <f>IFERROR(VALUE(SUBSTITUTE($C300,"-","")),0)</f>
        <v/>
      </c>
      <c r="E300" s="225" t="n"/>
      <c r="F300" s="225" t="n"/>
      <c r="G300" s="225" t="n"/>
      <c r="H300" s="232" t="n"/>
    </row>
    <row r="301" ht="15" customHeight="1" s="131">
      <c r="A301" s="225" t="n"/>
      <c r="B301" s="232" t="n"/>
      <c r="C301" s="225" t="n"/>
      <c r="D301" s="226">
        <f>IFERROR(VALUE(SUBSTITUTE($C301,"-","")),0)</f>
        <v/>
      </c>
      <c r="E301" s="225" t="n"/>
      <c r="F301" s="225" t="n"/>
      <c r="G301" s="225" t="n"/>
      <c r="H301" s="232" t="n"/>
    </row>
    <row r="302" ht="15" customHeight="1" s="131">
      <c r="A302" s="225" t="n"/>
      <c r="B302" s="232" t="n"/>
      <c r="C302" s="225" t="n"/>
      <c r="D302" s="226">
        <f>IFERROR(VALUE(SUBSTITUTE($C302,"-","")),0)</f>
        <v/>
      </c>
      <c r="E302" s="225" t="n"/>
      <c r="F302" s="225" t="n"/>
      <c r="G302" s="225" t="n"/>
      <c r="H302" s="232" t="n"/>
    </row>
    <row r="303" ht="15" customHeight="1" s="131">
      <c r="A303" s="225" t="n"/>
      <c r="B303" s="232" t="n"/>
      <c r="C303" s="225" t="n"/>
      <c r="D303" s="226">
        <f>IFERROR(VALUE(SUBSTITUTE($C303,"-","")),0)</f>
        <v/>
      </c>
      <c r="E303" s="225" t="n"/>
      <c r="F303" s="225" t="n"/>
      <c r="G303" s="225" t="n"/>
      <c r="H303" s="232" t="n"/>
    </row>
    <row r="304" ht="15" customHeight="1" s="131">
      <c r="A304" s="225" t="n"/>
      <c r="B304" s="232" t="n"/>
      <c r="C304" s="225" t="n"/>
      <c r="D304" s="226">
        <f>IFERROR(VALUE(SUBSTITUTE($C304,"-","")),0)</f>
        <v/>
      </c>
      <c r="E304" s="225" t="n"/>
      <c r="F304" s="225" t="n"/>
      <c r="G304" s="225" t="n"/>
      <c r="H304" s="232" t="n"/>
    </row>
    <row r="305" ht="15" customHeight="1" s="131">
      <c r="A305" s="225" t="n"/>
      <c r="B305" s="232" t="n"/>
      <c r="C305" s="225" t="n"/>
      <c r="D305" s="226">
        <f>IFERROR(VALUE(SUBSTITUTE($C305,"-","")),0)</f>
        <v/>
      </c>
      <c r="E305" s="225" t="n"/>
      <c r="F305" s="225" t="n"/>
      <c r="G305" s="225" t="n"/>
      <c r="H305" s="232" t="n"/>
    </row>
    <row r="306" ht="15" customHeight="1" s="131">
      <c r="A306" s="225" t="n"/>
      <c r="B306" s="232" t="n"/>
      <c r="C306" s="225" t="n"/>
      <c r="D306" s="226">
        <f>IFERROR(VALUE(SUBSTITUTE($C306,"-","")),0)</f>
        <v/>
      </c>
      <c r="E306" s="225" t="n"/>
      <c r="F306" s="225" t="n"/>
      <c r="G306" s="225" t="n"/>
      <c r="H306" s="232" t="n"/>
    </row>
    <row r="307" ht="15" customHeight="1" s="131">
      <c r="A307" s="225" t="n"/>
      <c r="B307" s="232" t="n"/>
      <c r="C307" s="225" t="n"/>
      <c r="D307" s="226">
        <f>IFERROR(VALUE(SUBSTITUTE($C307,"-","")),0)</f>
        <v/>
      </c>
      <c r="E307" s="225" t="n"/>
      <c r="F307" s="225" t="n"/>
      <c r="G307" s="225" t="n"/>
      <c r="H307" s="232" t="n"/>
    </row>
    <row r="308" ht="15" customHeight="1" s="131">
      <c r="A308" s="225" t="n"/>
      <c r="B308" s="232" t="n"/>
      <c r="C308" s="225" t="n"/>
      <c r="D308" s="226">
        <f>IFERROR(VALUE(SUBSTITUTE($C308,"-","")),0)</f>
        <v/>
      </c>
      <c r="E308" s="225" t="n"/>
      <c r="F308" s="225" t="n"/>
      <c r="G308" s="225" t="n"/>
      <c r="H308" s="232" t="n"/>
    </row>
    <row r="309" ht="15" customHeight="1" s="131">
      <c r="A309" s="225" t="n"/>
      <c r="B309" s="232" t="n"/>
      <c r="C309" s="225" t="n"/>
      <c r="D309" s="226">
        <f>IFERROR(VALUE(SUBSTITUTE($C309,"-","")),0)</f>
        <v/>
      </c>
      <c r="E309" s="225" t="n"/>
      <c r="F309" s="225" t="n"/>
      <c r="G309" s="225" t="n"/>
      <c r="H309" s="232" t="n"/>
    </row>
    <row r="310" ht="15" customHeight="1" s="131">
      <c r="A310" s="225" t="n"/>
      <c r="B310" s="232" t="n"/>
      <c r="C310" s="225" t="n"/>
      <c r="D310" s="226">
        <f>IFERROR(VALUE(SUBSTITUTE($C310,"-","")),0)</f>
        <v/>
      </c>
      <c r="E310" s="225" t="n"/>
      <c r="F310" s="225" t="n"/>
      <c r="G310" s="225" t="n"/>
      <c r="H310" s="232" t="n"/>
    </row>
    <row r="311" ht="15" customHeight="1" s="131">
      <c r="A311" s="225" t="n"/>
      <c r="B311" s="232" t="n"/>
      <c r="C311" s="225" t="n"/>
      <c r="D311" s="226">
        <f>IFERROR(VALUE(SUBSTITUTE($C311,"-","")),0)</f>
        <v/>
      </c>
      <c r="E311" s="225" t="n"/>
      <c r="F311" s="225" t="n"/>
      <c r="G311" s="225" t="n"/>
      <c r="H311" s="232" t="n"/>
    </row>
    <row r="312" ht="15" customHeight="1" s="131">
      <c r="A312" s="225" t="n"/>
      <c r="B312" s="232" t="n"/>
      <c r="C312" s="225" t="n"/>
      <c r="D312" s="226">
        <f>IFERROR(VALUE(SUBSTITUTE($C312,"-","")),0)</f>
        <v/>
      </c>
      <c r="E312" s="225" t="n"/>
      <c r="F312" s="225" t="n"/>
      <c r="G312" s="225" t="n"/>
      <c r="H312" s="232" t="n"/>
    </row>
    <row r="313" ht="15" customHeight="1" s="131">
      <c r="A313" s="225" t="n"/>
      <c r="B313" s="232" t="n"/>
      <c r="C313" s="225" t="n"/>
      <c r="D313" s="226">
        <f>IFERROR(VALUE(SUBSTITUTE($C313,"-","")),0)</f>
        <v/>
      </c>
      <c r="E313" s="225" t="n"/>
      <c r="F313" s="225" t="n"/>
      <c r="G313" s="225" t="n"/>
      <c r="H313" s="232" t="n"/>
    </row>
    <row r="314" ht="15" customHeight="1" s="131">
      <c r="A314" s="225" t="n"/>
      <c r="B314" s="232" t="n"/>
      <c r="C314" s="225" t="n"/>
      <c r="D314" s="226">
        <f>IFERROR(VALUE(SUBSTITUTE($C314,"-","")),0)</f>
        <v/>
      </c>
      <c r="E314" s="225" t="n"/>
      <c r="F314" s="225" t="n"/>
      <c r="G314" s="225" t="n"/>
      <c r="H314" s="232" t="n"/>
    </row>
    <row r="315" ht="15" customHeight="1" s="131">
      <c r="A315" s="225" t="n"/>
      <c r="B315" s="232" t="n"/>
      <c r="C315" s="225" t="n"/>
      <c r="D315" s="226">
        <f>IFERROR(VALUE(SUBSTITUTE($C315,"-","")),0)</f>
        <v/>
      </c>
      <c r="E315" s="225" t="n"/>
      <c r="F315" s="225" t="n"/>
      <c r="G315" s="225" t="n"/>
      <c r="H315" s="232" t="n"/>
    </row>
    <row r="316" ht="15" customHeight="1" s="131">
      <c r="A316" s="225" t="n"/>
      <c r="B316" s="232" t="n"/>
      <c r="C316" s="225" t="n"/>
      <c r="D316" s="226">
        <f>IFERROR(VALUE(SUBSTITUTE($C316,"-","")),0)</f>
        <v/>
      </c>
      <c r="E316" s="225" t="n"/>
      <c r="F316" s="225" t="n"/>
      <c r="G316" s="225" t="n"/>
      <c r="H316" s="232" t="n"/>
    </row>
    <row r="317" ht="15" customHeight="1" s="131">
      <c r="A317" s="225" t="n"/>
      <c r="B317" s="232" t="n"/>
      <c r="C317" s="225" t="n"/>
      <c r="D317" s="226">
        <f>IFERROR(VALUE(SUBSTITUTE($C317,"-","")),0)</f>
        <v/>
      </c>
      <c r="E317" s="225" t="n"/>
      <c r="F317" s="225" t="n"/>
      <c r="G317" s="225" t="n"/>
      <c r="H317" s="232" t="n"/>
    </row>
    <row r="318" ht="15" customHeight="1" s="131">
      <c r="A318" s="225" t="n"/>
      <c r="B318" s="232" t="n"/>
      <c r="C318" s="225" t="n"/>
      <c r="D318" s="226">
        <f>IFERROR(VALUE(SUBSTITUTE($C318,"-","")),0)</f>
        <v/>
      </c>
      <c r="E318" s="225" t="n"/>
      <c r="F318" s="225" t="n"/>
      <c r="G318" s="225" t="n"/>
      <c r="H318" s="232" t="n"/>
    </row>
    <row r="319" ht="15" customHeight="1" s="131">
      <c r="A319" s="225" t="n"/>
      <c r="B319" s="232" t="n"/>
      <c r="C319" s="225" t="n"/>
      <c r="D319" s="226">
        <f>IFERROR(VALUE(SUBSTITUTE($C319,"-","")),0)</f>
        <v/>
      </c>
      <c r="E319" s="225" t="n"/>
      <c r="F319" s="225" t="n"/>
      <c r="G319" s="225" t="n"/>
      <c r="H319" s="232" t="n"/>
    </row>
    <row r="320" ht="15" customHeight="1" s="131">
      <c r="A320" s="225" t="n"/>
      <c r="B320" s="232" t="n"/>
      <c r="C320" s="225" t="n"/>
      <c r="D320" s="226">
        <f>IFERROR(VALUE(SUBSTITUTE($C320,"-","")),0)</f>
        <v/>
      </c>
      <c r="E320" s="225" t="n"/>
      <c r="F320" s="225" t="n"/>
      <c r="G320" s="225" t="n"/>
      <c r="H320" s="232" t="n"/>
    </row>
    <row r="321" ht="15" customHeight="1" s="131">
      <c r="A321" s="225" t="n"/>
      <c r="B321" s="232" t="n"/>
      <c r="C321" s="225" t="n"/>
      <c r="D321" s="226">
        <f>IFERROR(VALUE(SUBSTITUTE($C321,"-","")),0)</f>
        <v/>
      </c>
      <c r="E321" s="225" t="n"/>
      <c r="F321" s="225" t="n"/>
      <c r="G321" s="225" t="n"/>
      <c r="H321" s="232" t="n"/>
    </row>
    <row r="322" ht="15" customHeight="1" s="131">
      <c r="A322" s="225" t="n"/>
      <c r="B322" s="232" t="n"/>
      <c r="C322" s="225" t="n"/>
      <c r="D322" s="226">
        <f>IFERROR(VALUE(SUBSTITUTE($C322,"-","")),0)</f>
        <v/>
      </c>
      <c r="E322" s="225" t="n"/>
      <c r="F322" s="225" t="n"/>
      <c r="G322" s="225" t="n"/>
      <c r="H322" s="232" t="n"/>
    </row>
    <row r="323" ht="15" customHeight="1" s="131">
      <c r="A323" s="225" t="n"/>
      <c r="B323" s="232" t="n"/>
      <c r="C323" s="225" t="n"/>
      <c r="D323" s="226">
        <f>IFERROR(VALUE(SUBSTITUTE($C323,"-","")),0)</f>
        <v/>
      </c>
      <c r="E323" s="225" t="n"/>
      <c r="F323" s="225" t="n"/>
      <c r="G323" s="225" t="n"/>
      <c r="H323" s="232" t="n"/>
    </row>
    <row r="324" ht="15" customHeight="1" s="131">
      <c r="A324" s="225" t="n"/>
      <c r="B324" s="232" t="n"/>
      <c r="C324" s="225" t="n"/>
      <c r="D324" s="226">
        <f>IFERROR(VALUE(SUBSTITUTE($C324,"-","")),0)</f>
        <v/>
      </c>
      <c r="E324" s="225" t="n"/>
      <c r="F324" s="225" t="n"/>
      <c r="G324" s="225" t="n"/>
      <c r="H324" s="232" t="n"/>
    </row>
    <row r="325" ht="15" customHeight="1" s="131">
      <c r="A325" s="225" t="n"/>
      <c r="B325" s="232" t="n"/>
      <c r="C325" s="225" t="n"/>
      <c r="D325" s="226">
        <f>IFERROR(VALUE(SUBSTITUTE($C325,"-","")),0)</f>
        <v/>
      </c>
      <c r="E325" s="225" t="n"/>
      <c r="F325" s="225" t="n"/>
      <c r="G325" s="225" t="n"/>
      <c r="H325" s="232" t="n"/>
    </row>
    <row r="326" ht="15" customHeight="1" s="131">
      <c r="A326" s="225" t="n"/>
      <c r="B326" s="232" t="n"/>
      <c r="C326" s="225" t="n"/>
      <c r="D326" s="226">
        <f>IFERROR(VALUE(SUBSTITUTE($C326,"-","")),0)</f>
        <v/>
      </c>
      <c r="E326" s="225" t="n"/>
      <c r="F326" s="225" t="n"/>
      <c r="G326" s="225" t="n"/>
      <c r="H326" s="232" t="n"/>
    </row>
    <row r="327" ht="15" customHeight="1" s="131">
      <c r="A327" s="225" t="n"/>
      <c r="B327" s="232" t="n"/>
      <c r="C327" s="225" t="n"/>
      <c r="D327" s="226">
        <f>IFERROR(VALUE(SUBSTITUTE($C327,"-","")),0)</f>
        <v/>
      </c>
      <c r="E327" s="225" t="n"/>
      <c r="F327" s="225" t="n"/>
      <c r="G327" s="225" t="n"/>
      <c r="H327" s="232" t="n"/>
    </row>
    <row r="328" ht="15" customHeight="1" s="131">
      <c r="A328" s="225" t="n"/>
      <c r="B328" s="232" t="n"/>
      <c r="C328" s="225" t="n"/>
      <c r="D328" s="226">
        <f>IFERROR(VALUE(SUBSTITUTE($C328,"-","")),0)</f>
        <v/>
      </c>
      <c r="E328" s="225" t="n"/>
      <c r="F328" s="225" t="n"/>
      <c r="G328" s="225" t="n"/>
      <c r="H328" s="232" t="n"/>
    </row>
    <row r="329" ht="15" customHeight="1" s="131">
      <c r="A329" s="225" t="n"/>
      <c r="B329" s="232" t="n"/>
      <c r="C329" s="225" t="n"/>
      <c r="D329" s="226">
        <f>IFERROR(VALUE(SUBSTITUTE($C329,"-","")),0)</f>
        <v/>
      </c>
      <c r="E329" s="225" t="n"/>
      <c r="F329" s="225" t="n"/>
      <c r="G329" s="225" t="n"/>
      <c r="H329" s="232" t="n"/>
    </row>
    <row r="330" ht="15" customHeight="1" s="131">
      <c r="A330" s="225" t="n"/>
      <c r="B330" s="232" t="n"/>
      <c r="C330" s="225" t="n"/>
      <c r="D330" s="226">
        <f>IFERROR(VALUE(SUBSTITUTE($C330,"-","")),0)</f>
        <v/>
      </c>
      <c r="E330" s="225" t="n"/>
      <c r="F330" s="225" t="n"/>
      <c r="G330" s="225" t="n"/>
      <c r="H330" s="232" t="n"/>
    </row>
    <row r="331" ht="15" customHeight="1" s="131">
      <c r="A331" s="225" t="n"/>
      <c r="B331" s="232" t="n"/>
      <c r="C331" s="225" t="n"/>
      <c r="D331" s="226">
        <f>IFERROR(VALUE(SUBSTITUTE($C331,"-","")),0)</f>
        <v/>
      </c>
      <c r="E331" s="225" t="n"/>
      <c r="F331" s="225" t="n"/>
      <c r="G331" s="225" t="n"/>
      <c r="H331" s="232" t="n"/>
    </row>
    <row r="332" ht="15" customHeight="1" s="131">
      <c r="A332" s="225" t="n"/>
      <c r="B332" s="232" t="n"/>
      <c r="C332" s="225" t="n"/>
      <c r="D332" s="226">
        <f>IFERROR(VALUE(SUBSTITUTE($C332,"-","")),0)</f>
        <v/>
      </c>
      <c r="E332" s="225" t="n"/>
      <c r="F332" s="225" t="n"/>
      <c r="G332" s="225" t="n"/>
      <c r="H332" s="232" t="n"/>
    </row>
    <row r="333" ht="15" customHeight="1" s="131">
      <c r="A333" s="225" t="n"/>
      <c r="B333" s="232" t="n"/>
      <c r="C333" s="225" t="n"/>
      <c r="D333" s="226">
        <f>IFERROR(VALUE(SUBSTITUTE($C333,"-","")),0)</f>
        <v/>
      </c>
      <c r="E333" s="225" t="n"/>
      <c r="F333" s="225" t="n"/>
      <c r="G333" s="225" t="n"/>
      <c r="H333" s="232" t="n"/>
    </row>
    <row r="334" ht="15" customHeight="1" s="131">
      <c r="A334" s="225" t="n"/>
      <c r="B334" s="232" t="n"/>
      <c r="C334" s="225" t="n"/>
      <c r="D334" s="226">
        <f>IFERROR(VALUE(SUBSTITUTE($C334,"-","")),0)</f>
        <v/>
      </c>
      <c r="E334" s="225" t="n"/>
      <c r="F334" s="225" t="n"/>
      <c r="G334" s="225" t="n"/>
      <c r="H334" s="232" t="n"/>
    </row>
    <row r="335" ht="15" customHeight="1" s="131">
      <c r="A335" s="225" t="n"/>
      <c r="B335" s="232" t="n"/>
      <c r="C335" s="225" t="n"/>
      <c r="D335" s="226">
        <f>IFERROR(VALUE(SUBSTITUTE($C335,"-","")),0)</f>
        <v/>
      </c>
      <c r="E335" s="225" t="n"/>
      <c r="F335" s="225" t="n"/>
      <c r="G335" s="225" t="n"/>
      <c r="H335" s="232" t="n"/>
    </row>
    <row r="336" ht="15" customHeight="1" s="131">
      <c r="A336" s="225" t="n"/>
      <c r="B336" s="232" t="n"/>
      <c r="C336" s="225" t="n"/>
      <c r="D336" s="226">
        <f>IFERROR(VALUE(SUBSTITUTE($C336,"-","")),0)</f>
        <v/>
      </c>
      <c r="E336" s="225" t="n"/>
      <c r="F336" s="225" t="n"/>
      <c r="G336" s="225" t="n"/>
      <c r="H336" s="232" t="n"/>
    </row>
    <row r="337" ht="15" customHeight="1" s="131">
      <c r="A337" s="225" t="n"/>
      <c r="B337" s="232" t="n"/>
      <c r="C337" s="225" t="n"/>
      <c r="D337" s="226">
        <f>IFERROR(VALUE(SUBSTITUTE($C337,"-","")),0)</f>
        <v/>
      </c>
      <c r="E337" s="225" t="n"/>
      <c r="F337" s="225" t="n"/>
      <c r="G337" s="225" t="n"/>
      <c r="H337" s="232" t="n"/>
    </row>
    <row r="338" ht="15" customHeight="1" s="131">
      <c r="A338" s="225" t="n"/>
      <c r="B338" s="232" t="n"/>
      <c r="C338" s="225" t="n"/>
      <c r="D338" s="226">
        <f>IFERROR(VALUE(SUBSTITUTE($C338,"-","")),0)</f>
        <v/>
      </c>
      <c r="E338" s="225" t="n"/>
      <c r="F338" s="225" t="n"/>
      <c r="G338" s="225" t="n"/>
      <c r="H338" s="232" t="n"/>
    </row>
    <row r="339" ht="15" customHeight="1" s="131">
      <c r="A339" s="225" t="n"/>
      <c r="B339" s="232" t="n"/>
      <c r="C339" s="225" t="n"/>
      <c r="D339" s="226">
        <f>IFERROR(VALUE(SUBSTITUTE($C339,"-","")),0)</f>
        <v/>
      </c>
      <c r="E339" s="225" t="n"/>
      <c r="F339" s="225" t="n"/>
      <c r="G339" s="225" t="n"/>
      <c r="H339" s="232" t="n"/>
    </row>
    <row r="340" ht="15" customHeight="1" s="131">
      <c r="A340" s="225" t="n"/>
      <c r="B340" s="232" t="n"/>
      <c r="C340" s="225" t="n"/>
      <c r="D340" s="226">
        <f>IFERROR(VALUE(SUBSTITUTE($C340,"-","")),0)</f>
        <v/>
      </c>
      <c r="E340" s="225" t="n"/>
      <c r="F340" s="225" t="n"/>
      <c r="G340" s="225" t="n"/>
      <c r="H340" s="232" t="n"/>
    </row>
    <row r="341" ht="15" customHeight="1" s="131">
      <c r="A341" s="225" t="n"/>
      <c r="B341" s="232" t="n"/>
      <c r="C341" s="225" t="n"/>
      <c r="D341" s="226">
        <f>IFERROR(VALUE(SUBSTITUTE($C341,"-","")),0)</f>
        <v/>
      </c>
      <c r="E341" s="225" t="n"/>
      <c r="F341" s="225" t="n"/>
      <c r="G341" s="225" t="n"/>
      <c r="H341" s="232" t="n"/>
    </row>
    <row r="342" ht="15" customHeight="1" s="131">
      <c r="A342" s="225" t="n"/>
      <c r="B342" s="232" t="n"/>
      <c r="C342" s="225" t="n"/>
      <c r="D342" s="226">
        <f>IFERROR(VALUE(SUBSTITUTE($C342,"-","")),0)</f>
        <v/>
      </c>
      <c r="E342" s="225" t="n"/>
      <c r="F342" s="225" t="n"/>
      <c r="G342" s="225" t="n"/>
      <c r="H342" s="232" t="n"/>
    </row>
    <row r="343" ht="15" customHeight="1" s="131">
      <c r="A343" s="225" t="n"/>
      <c r="B343" s="232" t="n"/>
      <c r="C343" s="225" t="n"/>
      <c r="D343" s="226">
        <f>IFERROR(VALUE(SUBSTITUTE($C343,"-","")),0)</f>
        <v/>
      </c>
      <c r="E343" s="225" t="n"/>
      <c r="F343" s="225" t="n"/>
      <c r="G343" s="225" t="n"/>
      <c r="H343" s="232" t="n"/>
    </row>
    <row r="344" ht="15" customHeight="1" s="131">
      <c r="A344" s="225" t="n"/>
      <c r="B344" s="232" t="n"/>
      <c r="C344" s="225" t="n"/>
      <c r="D344" s="226">
        <f>IFERROR(VALUE(SUBSTITUTE($C344,"-","")),0)</f>
        <v/>
      </c>
      <c r="E344" s="225" t="n"/>
      <c r="F344" s="225" t="n"/>
      <c r="G344" s="225" t="n"/>
      <c r="H344" s="232" t="n"/>
    </row>
    <row r="345" ht="15" customHeight="1" s="131">
      <c r="A345" s="225" t="n"/>
      <c r="B345" s="232" t="n"/>
      <c r="C345" s="225" t="n"/>
      <c r="D345" s="226">
        <f>IFERROR(VALUE(SUBSTITUTE($C345,"-","")),0)</f>
        <v/>
      </c>
      <c r="E345" s="225" t="n"/>
      <c r="F345" s="225" t="n"/>
      <c r="G345" s="225" t="n"/>
      <c r="H345" s="232" t="n"/>
    </row>
    <row r="346" ht="15" customHeight="1" s="131">
      <c r="A346" s="225" t="n"/>
      <c r="B346" s="232" t="n"/>
      <c r="C346" s="225" t="n"/>
      <c r="D346" s="226">
        <f>IFERROR(VALUE(SUBSTITUTE($C346,"-","")),0)</f>
        <v/>
      </c>
      <c r="E346" s="225" t="n"/>
      <c r="F346" s="225" t="n"/>
      <c r="G346" s="225" t="n"/>
      <c r="H346" s="232" t="n"/>
    </row>
    <row r="347" ht="15" customHeight="1" s="131">
      <c r="A347" s="225" t="n"/>
      <c r="B347" s="232" t="n"/>
      <c r="C347" s="225" t="n"/>
      <c r="D347" s="226">
        <f>IFERROR(VALUE(SUBSTITUTE($C347,"-","")),0)</f>
        <v/>
      </c>
      <c r="E347" s="225" t="n"/>
      <c r="F347" s="225" t="n"/>
      <c r="G347" s="225" t="n"/>
      <c r="H347" s="232" t="n"/>
    </row>
    <row r="348" ht="15" customHeight="1" s="131">
      <c r="A348" s="225" t="n"/>
      <c r="B348" s="232" t="n"/>
      <c r="C348" s="225" t="n"/>
      <c r="D348" s="226">
        <f>IFERROR(VALUE(SUBSTITUTE($C348,"-","")),0)</f>
        <v/>
      </c>
      <c r="E348" s="225" t="n"/>
      <c r="F348" s="225" t="n"/>
      <c r="G348" s="225" t="n"/>
      <c r="H348" s="232" t="n"/>
    </row>
    <row r="349" ht="15" customHeight="1" s="131">
      <c r="A349" s="225" t="n"/>
      <c r="B349" s="232" t="n"/>
      <c r="C349" s="225" t="n"/>
      <c r="D349" s="226">
        <f>IFERROR(VALUE(SUBSTITUTE($C349,"-","")),0)</f>
        <v/>
      </c>
      <c r="E349" s="225" t="n"/>
      <c r="F349" s="225" t="n"/>
      <c r="G349" s="225" t="n"/>
      <c r="H349" s="232" t="n"/>
    </row>
    <row r="350" ht="15" customHeight="1" s="131">
      <c r="A350" s="225" t="n"/>
      <c r="B350" s="232" t="n"/>
      <c r="C350" s="225" t="n"/>
      <c r="D350" s="226">
        <f>IFERROR(VALUE(SUBSTITUTE($C350,"-","")),0)</f>
        <v/>
      </c>
      <c r="E350" s="225" t="n"/>
      <c r="F350" s="225" t="n"/>
      <c r="G350" s="225" t="n"/>
      <c r="H350" s="232" t="n"/>
    </row>
    <row r="351" ht="15" customHeight="1" s="131">
      <c r="A351" s="225" t="n"/>
      <c r="B351" s="232" t="n"/>
      <c r="C351" s="225" t="n"/>
      <c r="D351" s="226">
        <f>IFERROR(VALUE(SUBSTITUTE($C351,"-","")),0)</f>
        <v/>
      </c>
      <c r="E351" s="225" t="n"/>
      <c r="F351" s="225" t="n"/>
      <c r="G351" s="225" t="n"/>
      <c r="H351" s="232" t="n"/>
    </row>
    <row r="352" ht="15" customHeight="1" s="131">
      <c r="A352" s="225" t="n"/>
      <c r="B352" s="232" t="n"/>
      <c r="C352" s="225" t="n"/>
      <c r="D352" s="226">
        <f>IFERROR(VALUE(SUBSTITUTE($C352,"-","")),0)</f>
        <v/>
      </c>
      <c r="E352" s="225" t="n"/>
      <c r="F352" s="225" t="n"/>
      <c r="G352" s="225" t="n"/>
      <c r="H352" s="232" t="n"/>
    </row>
    <row r="353" ht="15" customHeight="1" s="131">
      <c r="A353" s="225" t="n"/>
      <c r="B353" s="232" t="n"/>
      <c r="C353" s="225" t="n"/>
      <c r="D353" s="226">
        <f>IFERROR(VALUE(SUBSTITUTE($C353,"-","")),0)</f>
        <v/>
      </c>
      <c r="E353" s="225" t="n"/>
      <c r="F353" s="225" t="n"/>
      <c r="G353" s="225" t="n"/>
      <c r="H353" s="232" t="n"/>
    </row>
    <row r="354" ht="15" customHeight="1" s="131">
      <c r="A354" s="225" t="n"/>
      <c r="B354" s="232" t="n"/>
      <c r="C354" s="225" t="n"/>
      <c r="D354" s="226">
        <f>IFERROR(VALUE(SUBSTITUTE($C354,"-","")),0)</f>
        <v/>
      </c>
      <c r="E354" s="225" t="n"/>
      <c r="F354" s="225" t="n"/>
      <c r="G354" s="225" t="n"/>
      <c r="H354" s="232" t="n"/>
    </row>
    <row r="355" ht="15" customHeight="1" s="131">
      <c r="A355" s="225" t="n"/>
      <c r="B355" s="232" t="n"/>
      <c r="C355" s="225" t="n"/>
      <c r="D355" s="226">
        <f>IFERROR(VALUE(SUBSTITUTE($C355,"-","")),0)</f>
        <v/>
      </c>
      <c r="E355" s="225" t="n"/>
      <c r="F355" s="225" t="n"/>
      <c r="G355" s="225" t="n"/>
      <c r="H355" s="232" t="n"/>
    </row>
    <row r="356" ht="15" customHeight="1" s="131">
      <c r="A356" s="225" t="n"/>
      <c r="B356" s="232" t="n"/>
      <c r="C356" s="225" t="n"/>
      <c r="D356" s="226">
        <f>IFERROR(VALUE(SUBSTITUTE($C356,"-","")),0)</f>
        <v/>
      </c>
      <c r="E356" s="225" t="n"/>
      <c r="F356" s="225" t="n"/>
      <c r="G356" s="225" t="n"/>
      <c r="H356" s="232" t="n"/>
    </row>
    <row r="357" ht="15" customHeight="1" s="131">
      <c r="A357" s="225" t="n"/>
      <c r="B357" s="232" t="n"/>
      <c r="C357" s="225" t="n"/>
      <c r="D357" s="226">
        <f>IFERROR(VALUE(SUBSTITUTE($C357,"-","")),0)</f>
        <v/>
      </c>
      <c r="E357" s="225" t="n"/>
      <c r="F357" s="225" t="n"/>
      <c r="G357" s="225" t="n"/>
      <c r="H357" s="232" t="n"/>
    </row>
    <row r="358" ht="15" customHeight="1" s="131">
      <c r="A358" s="225" t="n"/>
      <c r="B358" s="232" t="n"/>
      <c r="C358" s="225" t="n"/>
      <c r="D358" s="226">
        <f>IFERROR(VALUE(SUBSTITUTE($C358,"-","")),0)</f>
        <v/>
      </c>
      <c r="E358" s="225" t="n"/>
      <c r="F358" s="225" t="n"/>
      <c r="G358" s="225" t="n"/>
      <c r="H358" s="232" t="n"/>
    </row>
    <row r="359" ht="15" customHeight="1" s="131">
      <c r="A359" s="225" t="n"/>
      <c r="B359" s="232" t="n"/>
      <c r="C359" s="225" t="n"/>
      <c r="D359" s="226">
        <f>IFERROR(VALUE(SUBSTITUTE($C359,"-","")),0)</f>
        <v/>
      </c>
      <c r="E359" s="225" t="n"/>
      <c r="F359" s="225" t="n"/>
      <c r="G359" s="225" t="n"/>
      <c r="H359" s="232" t="n"/>
    </row>
    <row r="360" ht="15" customHeight="1" s="131">
      <c r="A360" s="225" t="n"/>
      <c r="B360" s="232" t="n"/>
      <c r="C360" s="225" t="n"/>
      <c r="D360" s="226">
        <f>IFERROR(VALUE(SUBSTITUTE($C360,"-","")),0)</f>
        <v/>
      </c>
      <c r="E360" s="225" t="n"/>
      <c r="F360" s="225" t="n"/>
      <c r="G360" s="225" t="n"/>
      <c r="H360" s="232" t="n"/>
    </row>
    <row r="361" ht="15" customHeight="1" s="131">
      <c r="A361" s="225" t="n"/>
      <c r="B361" s="232" t="n"/>
      <c r="C361" s="225" t="n"/>
      <c r="D361" s="226">
        <f>IFERROR(VALUE(SUBSTITUTE($C361,"-","")),0)</f>
        <v/>
      </c>
      <c r="E361" s="225" t="n"/>
      <c r="F361" s="225" t="n"/>
      <c r="G361" s="225" t="n"/>
      <c r="H361" s="232" t="n"/>
    </row>
    <row r="362" ht="15" customHeight="1" s="131">
      <c r="A362" s="225" t="n"/>
      <c r="B362" s="232" t="n"/>
      <c r="C362" s="225" t="n"/>
      <c r="D362" s="226">
        <f>IFERROR(VALUE(SUBSTITUTE($C362,"-","")),0)</f>
        <v/>
      </c>
      <c r="E362" s="225" t="n"/>
      <c r="F362" s="225" t="n"/>
      <c r="G362" s="225" t="n"/>
      <c r="H362" s="232" t="n"/>
    </row>
    <row r="363" ht="15" customHeight="1" s="131">
      <c r="A363" s="225" t="n"/>
      <c r="B363" s="232" t="n"/>
      <c r="C363" s="225" t="n"/>
      <c r="D363" s="226">
        <f>IFERROR(VALUE(SUBSTITUTE($C363,"-","")),0)</f>
        <v/>
      </c>
      <c r="E363" s="225" t="n"/>
      <c r="F363" s="225" t="n"/>
      <c r="G363" s="225" t="n"/>
      <c r="H363" s="232" t="n"/>
    </row>
    <row r="364" ht="15" customHeight="1" s="131">
      <c r="A364" s="225" t="n"/>
      <c r="B364" s="232" t="n"/>
      <c r="C364" s="225" t="n"/>
      <c r="D364" s="226">
        <f>IFERROR(VALUE(SUBSTITUTE($C364,"-","")),0)</f>
        <v/>
      </c>
      <c r="E364" s="225" t="n"/>
      <c r="F364" s="225" t="n"/>
      <c r="G364" s="225" t="n"/>
      <c r="H364" s="232" t="n"/>
    </row>
    <row r="365" ht="15" customHeight="1" s="131">
      <c r="A365" s="225" t="n"/>
      <c r="B365" s="232" t="n"/>
      <c r="C365" s="225" t="n"/>
      <c r="D365" s="226">
        <f>IFERROR(VALUE(SUBSTITUTE($C365,"-","")),0)</f>
        <v/>
      </c>
      <c r="E365" s="225" t="n"/>
      <c r="F365" s="225" t="n"/>
      <c r="G365" s="225" t="n"/>
      <c r="H365" s="232" t="n"/>
    </row>
    <row r="366" ht="15" customHeight="1" s="131">
      <c r="A366" s="225" t="n"/>
      <c r="B366" s="232" t="n"/>
      <c r="C366" s="225" t="n"/>
      <c r="D366" s="226">
        <f>IFERROR(VALUE(SUBSTITUTE($C366,"-","")),0)</f>
        <v/>
      </c>
      <c r="E366" s="225" t="n"/>
      <c r="F366" s="225" t="n"/>
      <c r="G366" s="225" t="n"/>
      <c r="H366" s="232" t="n"/>
    </row>
    <row r="367" ht="15" customHeight="1" s="131">
      <c r="A367" s="225" t="n"/>
      <c r="B367" s="232" t="n"/>
      <c r="C367" s="225" t="n"/>
      <c r="D367" s="226">
        <f>IFERROR(VALUE(SUBSTITUTE($C367,"-","")),0)</f>
        <v/>
      </c>
      <c r="E367" s="225" t="n"/>
      <c r="F367" s="225" t="n"/>
      <c r="G367" s="225" t="n"/>
      <c r="H367" s="232" t="n"/>
    </row>
    <row r="368" ht="15" customHeight="1" s="131">
      <c r="A368" s="225" t="n"/>
      <c r="B368" s="232" t="n"/>
      <c r="C368" s="225" t="n"/>
      <c r="D368" s="226">
        <f>IFERROR(VALUE(SUBSTITUTE($C368,"-","")),0)</f>
        <v/>
      </c>
      <c r="E368" s="225" t="n"/>
      <c r="F368" s="225" t="n"/>
      <c r="G368" s="225" t="n"/>
      <c r="H368" s="232" t="n"/>
    </row>
    <row r="369" ht="15" customHeight="1" s="131">
      <c r="A369" s="225" t="n"/>
      <c r="B369" s="232" t="n"/>
      <c r="C369" s="225" t="n"/>
      <c r="D369" s="226">
        <f>IFERROR(VALUE(SUBSTITUTE($C369,"-","")),0)</f>
        <v/>
      </c>
      <c r="E369" s="225" t="n"/>
      <c r="F369" s="225" t="n"/>
      <c r="G369" s="225" t="n"/>
      <c r="H369" s="232" t="n"/>
    </row>
    <row r="370" ht="15" customHeight="1" s="131">
      <c r="A370" s="225" t="n"/>
      <c r="B370" s="232" t="n"/>
      <c r="C370" s="225" t="n"/>
      <c r="D370" s="226">
        <f>IFERROR(VALUE(SUBSTITUTE($C370,"-","")),0)</f>
        <v/>
      </c>
      <c r="E370" s="225" t="n"/>
      <c r="F370" s="225" t="n"/>
      <c r="G370" s="225" t="n"/>
      <c r="H370" s="232" t="n"/>
    </row>
    <row r="371" ht="15" customHeight="1" s="131">
      <c r="A371" s="225" t="n"/>
      <c r="B371" s="232" t="n"/>
      <c r="C371" s="225" t="n"/>
      <c r="D371" s="226">
        <f>IFERROR(VALUE(SUBSTITUTE($C371,"-","")),0)</f>
        <v/>
      </c>
      <c r="E371" s="225" t="n"/>
      <c r="F371" s="225" t="n"/>
      <c r="G371" s="225" t="n"/>
      <c r="H371" s="232" t="n"/>
    </row>
    <row r="372" ht="15" customHeight="1" s="131">
      <c r="A372" s="225" t="n"/>
      <c r="B372" s="232" t="n"/>
      <c r="C372" s="225" t="n"/>
      <c r="D372" s="226">
        <f>IFERROR(VALUE(SUBSTITUTE($C372,"-","")),0)</f>
        <v/>
      </c>
      <c r="E372" s="225" t="n"/>
      <c r="F372" s="225" t="n"/>
      <c r="G372" s="225" t="n"/>
      <c r="H372" s="232" t="n"/>
    </row>
    <row r="373" ht="15" customHeight="1" s="131">
      <c r="A373" s="225" t="n"/>
      <c r="B373" s="232" t="n"/>
      <c r="C373" s="225" t="n"/>
      <c r="D373" s="226">
        <f>IFERROR(VALUE(SUBSTITUTE($C373,"-","")),0)</f>
        <v/>
      </c>
      <c r="E373" s="225" t="n"/>
      <c r="F373" s="225" t="n"/>
      <c r="G373" s="225" t="n"/>
      <c r="H373" s="232" t="n"/>
    </row>
    <row r="374" ht="15" customHeight="1" s="131">
      <c r="A374" s="225" t="n"/>
      <c r="B374" s="232" t="n"/>
      <c r="C374" s="225" t="n"/>
      <c r="D374" s="226">
        <f>IFERROR(VALUE(SUBSTITUTE($C374,"-","")),0)</f>
        <v/>
      </c>
      <c r="E374" s="225" t="n"/>
      <c r="F374" s="225" t="n"/>
      <c r="G374" s="225" t="n"/>
      <c r="H374" s="232" t="n"/>
    </row>
    <row r="375" ht="15" customHeight="1" s="131">
      <c r="A375" s="225" t="n"/>
      <c r="B375" s="232" t="n"/>
      <c r="C375" s="225" t="n"/>
      <c r="D375" s="226">
        <f>IFERROR(VALUE(SUBSTITUTE($C375,"-","")),0)</f>
        <v/>
      </c>
      <c r="E375" s="225" t="n"/>
      <c r="F375" s="225" t="n"/>
      <c r="G375" s="225" t="n"/>
      <c r="H375" s="232" t="n"/>
    </row>
    <row r="376" ht="15" customHeight="1" s="131">
      <c r="A376" s="225" t="n"/>
      <c r="B376" s="232" t="n"/>
      <c r="C376" s="225" t="n"/>
      <c r="D376" s="226">
        <f>IFERROR(VALUE(SUBSTITUTE($C376,"-","")),0)</f>
        <v/>
      </c>
      <c r="E376" s="225" t="n"/>
      <c r="F376" s="225" t="n"/>
      <c r="G376" s="225" t="n"/>
      <c r="H376" s="232" t="n"/>
    </row>
    <row r="377" ht="15" customHeight="1" s="131">
      <c r="A377" s="225" t="n"/>
      <c r="B377" s="232" t="n"/>
      <c r="C377" s="225" t="n"/>
      <c r="D377" s="226">
        <f>IFERROR(VALUE(SUBSTITUTE($C377,"-","")),0)</f>
        <v/>
      </c>
      <c r="E377" s="225" t="n"/>
      <c r="F377" s="225" t="n"/>
      <c r="G377" s="225" t="n"/>
      <c r="H377" s="232" t="n"/>
    </row>
    <row r="378" ht="15" customHeight="1" s="131">
      <c r="A378" s="225" t="n"/>
      <c r="B378" s="232" t="n"/>
      <c r="C378" s="225" t="n"/>
      <c r="D378" s="226">
        <f>IFERROR(VALUE(SUBSTITUTE($C378,"-","")),0)</f>
        <v/>
      </c>
      <c r="E378" s="225" t="n"/>
      <c r="F378" s="225" t="n"/>
      <c r="G378" s="225" t="n"/>
      <c r="H378" s="232" t="n"/>
    </row>
    <row r="379" ht="15" customHeight="1" s="131">
      <c r="A379" s="225" t="n"/>
      <c r="B379" s="232" t="n"/>
      <c r="C379" s="225" t="n"/>
      <c r="D379" s="226">
        <f>IFERROR(VALUE(SUBSTITUTE($C379,"-","")),0)</f>
        <v/>
      </c>
      <c r="E379" s="225" t="n"/>
      <c r="F379" s="225" t="n"/>
      <c r="G379" s="225" t="n"/>
      <c r="H379" s="232" t="n"/>
    </row>
    <row r="380" ht="15" customHeight="1" s="131">
      <c r="A380" s="225" t="n"/>
      <c r="B380" s="232" t="n"/>
      <c r="C380" s="225" t="n"/>
      <c r="D380" s="226">
        <f>IFERROR(VALUE(SUBSTITUTE($C380,"-","")),0)</f>
        <v/>
      </c>
      <c r="E380" s="225" t="n"/>
      <c r="F380" s="225" t="n"/>
      <c r="G380" s="225" t="n"/>
      <c r="H380" s="232" t="n"/>
    </row>
    <row r="381" ht="15" customHeight="1" s="131">
      <c r="A381" s="225" t="n"/>
      <c r="B381" s="232" t="n"/>
      <c r="C381" s="225" t="n"/>
      <c r="D381" s="226">
        <f>IFERROR(VALUE(SUBSTITUTE($C381,"-","")),0)</f>
        <v/>
      </c>
      <c r="E381" s="225" t="n"/>
      <c r="F381" s="225" t="n"/>
      <c r="G381" s="225" t="n"/>
      <c r="H381" s="232" t="n"/>
    </row>
    <row r="382" ht="15" customHeight="1" s="131">
      <c r="A382" s="225" t="n"/>
      <c r="B382" s="232" t="n"/>
      <c r="C382" s="225" t="n"/>
      <c r="D382" s="226">
        <f>IFERROR(VALUE(SUBSTITUTE($C382,"-","")),0)</f>
        <v/>
      </c>
      <c r="E382" s="225" t="n"/>
      <c r="F382" s="225" t="n"/>
      <c r="G382" s="225" t="n"/>
      <c r="H382" s="232" t="n"/>
    </row>
    <row r="383" ht="15" customHeight="1" s="131">
      <c r="A383" s="225" t="n"/>
      <c r="B383" s="232" t="n"/>
      <c r="C383" s="225" t="n"/>
      <c r="D383" s="226">
        <f>IFERROR(VALUE(SUBSTITUTE($C383,"-","")),0)</f>
        <v/>
      </c>
      <c r="E383" s="225" t="n"/>
      <c r="F383" s="225" t="n"/>
      <c r="G383" s="225" t="n"/>
      <c r="H383" s="232" t="n"/>
    </row>
    <row r="384" ht="15" customHeight="1" s="131">
      <c r="A384" s="225" t="n"/>
      <c r="B384" s="232" t="n"/>
      <c r="C384" s="225" t="n"/>
      <c r="D384" s="226">
        <f>IFERROR(VALUE(SUBSTITUTE($C384,"-","")),0)</f>
        <v/>
      </c>
      <c r="E384" s="225" t="n"/>
      <c r="F384" s="225" t="n"/>
      <c r="G384" s="225" t="n"/>
      <c r="H384" s="232" t="n"/>
    </row>
    <row r="385" ht="15" customHeight="1" s="131">
      <c r="A385" s="225" t="n"/>
      <c r="B385" s="232" t="n"/>
      <c r="C385" s="225" t="n"/>
      <c r="D385" s="226">
        <f>IFERROR(VALUE(SUBSTITUTE($C385,"-","")),0)</f>
        <v/>
      </c>
      <c r="E385" s="225" t="n"/>
      <c r="F385" s="225" t="n"/>
      <c r="G385" s="225" t="n"/>
      <c r="H385" s="232" t="n"/>
    </row>
    <row r="386" ht="15" customHeight="1" s="131">
      <c r="A386" s="225" t="n"/>
      <c r="B386" s="232" t="n"/>
      <c r="C386" s="225" t="n"/>
      <c r="D386" s="226">
        <f>IFERROR(VALUE(SUBSTITUTE($C386,"-","")),0)</f>
        <v/>
      </c>
      <c r="E386" s="225" t="n"/>
      <c r="F386" s="225" t="n"/>
      <c r="G386" s="225" t="n"/>
      <c r="H386" s="232" t="n"/>
    </row>
    <row r="387" ht="15" customHeight="1" s="131">
      <c r="A387" s="225" t="n"/>
      <c r="B387" s="232" t="n"/>
      <c r="C387" s="225" t="n"/>
      <c r="D387" s="226">
        <f>IFERROR(VALUE(SUBSTITUTE($C387,"-","")),0)</f>
        <v/>
      </c>
      <c r="E387" s="225" t="n"/>
      <c r="F387" s="225" t="n"/>
      <c r="G387" s="225" t="n"/>
      <c r="H387" s="232" t="n"/>
    </row>
    <row r="388" ht="15" customHeight="1" s="131">
      <c r="A388" s="225" t="n"/>
      <c r="B388" s="232" t="n"/>
      <c r="C388" s="225" t="n"/>
      <c r="D388" s="226">
        <f>IFERROR(VALUE(SUBSTITUTE($C388,"-","")),0)</f>
        <v/>
      </c>
      <c r="E388" s="225" t="n"/>
      <c r="F388" s="225" t="n"/>
      <c r="G388" s="225" t="n"/>
      <c r="H388" s="232" t="n"/>
    </row>
    <row r="389" ht="15" customHeight="1" s="131">
      <c r="A389" s="225" t="n"/>
      <c r="B389" s="232" t="n"/>
      <c r="C389" s="225" t="n"/>
      <c r="D389" s="226">
        <f>IFERROR(VALUE(SUBSTITUTE($C389,"-","")),0)</f>
        <v/>
      </c>
      <c r="E389" s="225" t="n"/>
      <c r="F389" s="225" t="n"/>
      <c r="G389" s="225" t="n"/>
      <c r="H389" s="232" t="n"/>
    </row>
    <row r="390" ht="15" customHeight="1" s="131">
      <c r="A390" s="225" t="n"/>
      <c r="B390" s="232" t="n"/>
      <c r="C390" s="225" t="n"/>
      <c r="D390" s="226">
        <f>IFERROR(VALUE(SUBSTITUTE($C390,"-","")),0)</f>
        <v/>
      </c>
      <c r="E390" s="225" t="n"/>
      <c r="F390" s="225" t="n"/>
      <c r="G390" s="225" t="n"/>
      <c r="H390" s="232" t="n"/>
    </row>
    <row r="391" ht="15" customHeight="1" s="131">
      <c r="A391" s="225" t="n"/>
      <c r="B391" s="232" t="n"/>
      <c r="C391" s="225" t="n"/>
      <c r="D391" s="226">
        <f>IFERROR(VALUE(SUBSTITUTE($C391,"-","")),0)</f>
        <v/>
      </c>
      <c r="E391" s="225" t="n"/>
      <c r="F391" s="225" t="n"/>
      <c r="G391" s="225" t="n"/>
      <c r="H391" s="232" t="n"/>
    </row>
    <row r="392" ht="15" customHeight="1" s="131">
      <c r="A392" s="225" t="n"/>
      <c r="B392" s="232" t="n"/>
      <c r="C392" s="225" t="n"/>
      <c r="D392" s="226">
        <f>IFERROR(VALUE(SUBSTITUTE($C392,"-","")),0)</f>
        <v/>
      </c>
      <c r="E392" s="225" t="n"/>
      <c r="F392" s="225" t="n"/>
      <c r="G392" s="225" t="n"/>
      <c r="H392" s="232" t="n"/>
    </row>
    <row r="393" ht="15" customHeight="1" s="131">
      <c r="A393" s="225" t="n"/>
      <c r="B393" s="232" t="n"/>
      <c r="C393" s="225" t="n"/>
      <c r="D393" s="226">
        <f>IFERROR(VALUE(SUBSTITUTE($C393,"-","")),0)</f>
        <v/>
      </c>
      <c r="E393" s="225" t="n"/>
      <c r="F393" s="225" t="n"/>
      <c r="G393" s="225" t="n"/>
      <c r="H393" s="232" t="n"/>
    </row>
    <row r="394" ht="15" customHeight="1" s="131">
      <c r="A394" s="225" t="n"/>
      <c r="B394" s="232" t="n"/>
      <c r="C394" s="225" t="n"/>
      <c r="D394" s="226">
        <f>IFERROR(VALUE(SUBSTITUTE($C394,"-","")),0)</f>
        <v/>
      </c>
      <c r="E394" s="225" t="n"/>
      <c r="F394" s="225" t="n"/>
      <c r="G394" s="225" t="n"/>
      <c r="H394" s="232" t="n"/>
    </row>
    <row r="395" ht="15" customHeight="1" s="131">
      <c r="A395" s="225" t="n"/>
      <c r="B395" s="232" t="n"/>
      <c r="C395" s="225" t="n"/>
      <c r="D395" s="226">
        <f>IFERROR(VALUE(SUBSTITUTE($C395,"-","")),0)</f>
        <v/>
      </c>
      <c r="E395" s="225" t="n"/>
      <c r="F395" s="225" t="n"/>
      <c r="G395" s="225" t="n"/>
      <c r="H395" s="232" t="n"/>
    </row>
    <row r="396" ht="15" customHeight="1" s="131">
      <c r="A396" s="225" t="n"/>
      <c r="B396" s="232" t="n"/>
      <c r="C396" s="225" t="n"/>
      <c r="D396" s="226">
        <f>IFERROR(VALUE(SUBSTITUTE($C396,"-","")),0)</f>
        <v/>
      </c>
      <c r="E396" s="225" t="n"/>
      <c r="F396" s="225" t="n"/>
      <c r="G396" s="225" t="n"/>
      <c r="H396" s="232" t="n"/>
    </row>
    <row r="397" ht="15" customHeight="1" s="131">
      <c r="A397" s="225" t="n"/>
      <c r="B397" s="232" t="n"/>
      <c r="C397" s="225" t="n"/>
      <c r="D397" s="226">
        <f>IFERROR(VALUE(SUBSTITUTE($C397,"-","")),0)</f>
        <v/>
      </c>
      <c r="E397" s="225" t="n"/>
      <c r="F397" s="225" t="n"/>
      <c r="G397" s="225" t="n"/>
      <c r="H397" s="232" t="n"/>
    </row>
    <row r="398" ht="15" customHeight="1" s="131">
      <c r="A398" s="225" t="n"/>
      <c r="B398" s="232" t="n"/>
      <c r="C398" s="225" t="n"/>
      <c r="D398" s="226">
        <f>IFERROR(VALUE(SUBSTITUTE($C398,"-","")),0)</f>
        <v/>
      </c>
      <c r="E398" s="225" t="n"/>
      <c r="F398" s="225" t="n"/>
      <c r="G398" s="225" t="n"/>
      <c r="H398" s="232" t="n"/>
    </row>
    <row r="399" ht="15" customHeight="1" s="131">
      <c r="A399" s="225" t="n"/>
      <c r="B399" s="232" t="n"/>
      <c r="C399" s="225" t="n"/>
      <c r="D399" s="226">
        <f>IFERROR(VALUE(SUBSTITUTE($C399,"-","")),0)</f>
        <v/>
      </c>
      <c r="E399" s="225" t="n"/>
      <c r="F399" s="225" t="n"/>
      <c r="G399" s="225" t="n"/>
      <c r="H399" s="232" t="n"/>
    </row>
    <row r="400" ht="15" customHeight="1" s="131">
      <c r="A400" s="225" t="n"/>
      <c r="B400" s="232" t="n"/>
      <c r="C400" s="225" t="n"/>
      <c r="D400" s="226">
        <f>IFERROR(VALUE(SUBSTITUTE($C400,"-","")),0)</f>
        <v/>
      </c>
      <c r="E400" s="225" t="n"/>
      <c r="F400" s="225" t="n"/>
      <c r="G400" s="225" t="n"/>
      <c r="H400" s="232" t="n"/>
    </row>
    <row r="401" ht="15" customHeight="1" s="131">
      <c r="A401" s="225" t="n"/>
      <c r="B401" s="232" t="n"/>
      <c r="C401" s="225" t="n"/>
      <c r="D401" s="226">
        <f>IFERROR(VALUE(SUBSTITUTE($C401,"-","")),0)</f>
        <v/>
      </c>
      <c r="E401" s="225" t="n"/>
      <c r="F401" s="225" t="n"/>
      <c r="G401" s="225" t="n"/>
      <c r="H401" s="232" t="n"/>
    </row>
    <row r="402" ht="15" customHeight="1" s="131">
      <c r="A402" s="225" t="n"/>
      <c r="B402" s="232" t="n"/>
      <c r="C402" s="225" t="n"/>
      <c r="D402" s="226">
        <f>IFERROR(VALUE(SUBSTITUTE($C402,"-","")),0)</f>
        <v/>
      </c>
      <c r="E402" s="225" t="n"/>
      <c r="F402" s="225" t="n"/>
      <c r="G402" s="225" t="n"/>
      <c r="H402" s="232" t="n"/>
    </row>
    <row r="403" ht="15" customHeight="1" s="131">
      <c r="A403" s="225" t="n"/>
      <c r="B403" s="232" t="n"/>
      <c r="C403" s="225" t="n"/>
      <c r="D403" s="226">
        <f>IFERROR(VALUE(SUBSTITUTE($C403,"-","")),0)</f>
        <v/>
      </c>
      <c r="E403" s="225" t="n"/>
      <c r="F403" s="225" t="n"/>
      <c r="G403" s="225" t="n"/>
      <c r="H403" s="232" t="n"/>
    </row>
    <row r="404" ht="15" customHeight="1" s="131">
      <c r="A404" s="225" t="n"/>
      <c r="B404" s="232" t="n"/>
      <c r="C404" s="225" t="n"/>
      <c r="D404" s="226">
        <f>IFERROR(VALUE(SUBSTITUTE($C404,"-","")),0)</f>
        <v/>
      </c>
      <c r="E404" s="225" t="n"/>
      <c r="F404" s="225" t="n"/>
      <c r="G404" s="225" t="n"/>
      <c r="H404" s="232" t="n"/>
    </row>
  </sheetData>
  <mergeCells count="2">
    <mergeCell ref="A2:H2"/>
    <mergeCell ref="A1:H1"/>
  </mergeCells>
  <dataValidations count="2">
    <dataValidation sqref="A5:A404" showDropDown="0" showInputMessage="0" showErrorMessage="0" allowBlank="1" type="list" errorStyle="stop" operator="between">
      <formula1>'LISTAS DE APOIO'!$B$5:$B$7</formula1>
      <formula2>0</formula2>
    </dataValidation>
    <dataValidation sqref="C5:C404" showDropDown="0" showInputMessage="0" showErrorMessage="0" allowBlank="1" type="list" errorStyle="stop" operator="between">
      <formula1>DIM_MES!$B$5:$B$148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D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4" customWidth="1" style="130" min="1" max="1"/>
    <col width="12" customWidth="1" style="130" min="2" max="2"/>
    <col width="16" customWidth="1" style="130" min="3" max="4"/>
  </cols>
  <sheetData>
    <row r="1" ht="24" customHeight="1" s="131">
      <c r="A1" s="132" t="inlineStr">
        <is>
          <t>CURSOS DA DTNH</t>
        </is>
      </c>
    </row>
    <row r="2" ht="30" customHeight="1" s="131">
      <c r="A2" s="133" t="inlineStr">
        <is>
          <t>Nunca apague uma linha. Curso que sai do portfólio recebe Ativo = N e vigência de fim.</t>
        </is>
      </c>
    </row>
    <row r="4" ht="30" customHeight="1" s="131">
      <c r="A4" s="199" t="inlineStr">
        <is>
          <t>Curso</t>
        </is>
      </c>
      <c r="B4" s="199" t="inlineStr">
        <is>
          <t>Ativo</t>
        </is>
      </c>
      <c r="C4" s="199" t="inlineStr">
        <is>
          <t>Vigência início</t>
        </is>
      </c>
      <c r="D4" s="199" t="inlineStr">
        <is>
          <t>Vigência fim</t>
        </is>
      </c>
    </row>
    <row r="5" ht="15" customHeight="1" s="131">
      <c r="A5" s="224" t="inlineStr">
        <is>
          <t>Administração</t>
        </is>
      </c>
      <c r="B5" s="225" t="inlineStr">
        <is>
          <t>S</t>
        </is>
      </c>
      <c r="C5" s="233" t="inlineStr">
        <is>
          <t>2026-08</t>
        </is>
      </c>
      <c r="D5" s="225" t="n"/>
    </row>
    <row r="6" ht="15" customHeight="1" s="131">
      <c r="A6" s="224" t="inlineStr">
        <is>
          <t>Agronomia</t>
        </is>
      </c>
      <c r="B6" s="225" t="inlineStr">
        <is>
          <t>S</t>
        </is>
      </c>
      <c r="C6" s="233" t="inlineStr">
        <is>
          <t>2026-08</t>
        </is>
      </c>
      <c r="D6" s="225" t="n"/>
    </row>
    <row r="7" ht="15" customHeight="1" s="131">
      <c r="A7" s="224" t="inlineStr">
        <is>
          <t>Análise e Desenvolvimento de Sistemas</t>
        </is>
      </c>
      <c r="B7" s="225" t="inlineStr">
        <is>
          <t>S</t>
        </is>
      </c>
      <c r="C7" s="233" t="inlineStr">
        <is>
          <t>2026-08</t>
        </is>
      </c>
      <c r="D7" s="225" t="n"/>
    </row>
    <row r="8" ht="15" customHeight="1" s="131">
      <c r="A8" s="224" t="inlineStr">
        <is>
          <t>Ciências Contábeis</t>
        </is>
      </c>
      <c r="B8" s="225" t="inlineStr">
        <is>
          <t>S</t>
        </is>
      </c>
      <c r="C8" s="233" t="inlineStr">
        <is>
          <t>2026-08</t>
        </is>
      </c>
      <c r="D8" s="225" t="n"/>
    </row>
    <row r="9" ht="15" customHeight="1" s="131">
      <c r="A9" s="224" t="inlineStr">
        <is>
          <t>Comunicação Social</t>
        </is>
      </c>
      <c r="B9" s="225" t="inlineStr">
        <is>
          <t>S</t>
        </is>
      </c>
      <c r="C9" s="233" t="inlineStr">
        <is>
          <t>2026-08</t>
        </is>
      </c>
      <c r="D9" s="225" t="n"/>
    </row>
    <row r="10" ht="15" customHeight="1" s="131">
      <c r="A10" s="224" t="inlineStr">
        <is>
          <t>Direito</t>
        </is>
      </c>
      <c r="B10" s="225" t="inlineStr">
        <is>
          <t>S</t>
        </is>
      </c>
      <c r="C10" s="233" t="inlineStr">
        <is>
          <t>2026-08</t>
        </is>
      </c>
      <c r="D10" s="225" t="n"/>
    </row>
    <row r="11" ht="15" customHeight="1" s="131">
      <c r="A11" s="224" t="inlineStr">
        <is>
          <t>Engenharia de Produção</t>
        </is>
      </c>
      <c r="B11" s="225" t="inlineStr">
        <is>
          <t>S</t>
        </is>
      </c>
      <c r="C11" s="233" t="inlineStr">
        <is>
          <t>2026-08</t>
        </is>
      </c>
      <c r="D11" s="225" t="n"/>
    </row>
    <row r="12" ht="15" customHeight="1" s="131">
      <c r="A12" s="224" t="inlineStr">
        <is>
          <t>Engenharia Mecânica</t>
        </is>
      </c>
      <c r="B12" s="225" t="inlineStr">
        <is>
          <t>S</t>
        </is>
      </c>
      <c r="C12" s="233" t="inlineStr">
        <is>
          <t>2026-08</t>
        </is>
      </c>
      <c r="D12" s="225" t="n"/>
    </row>
    <row r="13" ht="15" customHeight="1" s="131">
      <c r="A13" s="224" t="n"/>
      <c r="B13" s="225" t="n"/>
      <c r="C13" s="233" t="n"/>
      <c r="D13" s="225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1:D1"/>
    <mergeCell ref="A2:D2"/>
  </mergeCells>
  <dataValidations count="2">
    <dataValidation sqref="B5:B13" showDropDown="0" showInputMessage="0" showErrorMessage="0" allowBlank="1" type="list" errorStyle="stop" operator="between">
      <formula1>'LISTAS DE APOIO'!$D$5:$D$6</formula1>
      <formula2>0</formula2>
    </dataValidation>
    <dataValidation sqref="D5:D13" showDropDown="0" showInputMessage="0" showErrorMessage="0" allowBlank="1" type="list" errorStyle="stop" operator="between">
      <formula1>DIM_MES!$B$5:$B$148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C6E0B4"/>
    <outlinePr summaryBelow="1" summaryRight="1"/>
    <pageSetUpPr fitToPage="0"/>
  </sheetPr>
  <dimension ref="A1:F5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0" customWidth="1" style="130" min="1" max="2"/>
    <col width="10" customWidth="1" style="130" min="3" max="3"/>
    <col width="16" customWidth="1" style="130" min="4" max="5"/>
    <col width="60" customWidth="1" style="130" min="6" max="6"/>
  </cols>
  <sheetData>
    <row r="1" ht="24" customHeight="1" s="131">
      <c r="A1" s="132" t="inlineStr">
        <is>
          <t>DISCIPLINAS (AULAS) POR CURSO</t>
        </is>
      </c>
    </row>
    <row r="2" ht="30" customHeight="1" s="131">
      <c r="A2" s="133" t="inlineStr">
        <is>
          <t>Usada pela frequência, que é lançada por disciplina. NPS e matrículas não usam esta aba. A lista abaixo é um ponto de partida — substitua pela grade curricular real. A coluna Recorte serve para copiar direto na aba METAS quando a disciplina tiver meta própria.</t>
        </is>
      </c>
    </row>
    <row r="4" ht="30" customHeight="1" s="131">
      <c r="A4" s="199" t="inlineStr">
        <is>
          <t>Curso</t>
        </is>
      </c>
      <c r="B4" s="199" t="inlineStr">
        <is>
          <t>Disciplina</t>
        </is>
      </c>
      <c r="C4" s="199" t="inlineStr">
        <is>
          <t>Ativo</t>
        </is>
      </c>
      <c r="D4" s="199" t="inlineStr">
        <is>
          <t>Vigência início</t>
        </is>
      </c>
      <c r="E4" s="199" t="inlineStr">
        <is>
          <t>Vigência fim</t>
        </is>
      </c>
      <c r="F4" s="199" t="inlineStr">
        <is>
          <t>Recorte para METAS</t>
        </is>
      </c>
    </row>
    <row r="5" ht="15" customHeight="1" s="131">
      <c r="A5" s="224" t="inlineStr">
        <is>
          <t>Administração</t>
        </is>
      </c>
      <c r="B5" s="224" t="inlineStr">
        <is>
          <t>Gestão de Pessoas</t>
        </is>
      </c>
      <c r="C5" s="225" t="inlineStr">
        <is>
          <t>S</t>
        </is>
      </c>
      <c r="D5" s="233" t="inlineStr">
        <is>
          <t>2026-06</t>
        </is>
      </c>
      <c r="E5" s="225" t="n"/>
      <c r="F5" s="209">
        <f>IF(OR($A5="",$B5=""),"",$A5&amp;" » "&amp;$B5)</f>
        <v/>
      </c>
    </row>
    <row r="6" ht="15" customHeight="1" s="131">
      <c r="A6" s="224" t="inlineStr">
        <is>
          <t>Administração</t>
        </is>
      </c>
      <c r="B6" s="224" t="inlineStr">
        <is>
          <t>Gestão Financeira</t>
        </is>
      </c>
      <c r="C6" s="225" t="inlineStr">
        <is>
          <t>S</t>
        </is>
      </c>
      <c r="D6" s="233" t="inlineStr">
        <is>
          <t>2026-06</t>
        </is>
      </c>
      <c r="E6" s="225" t="n"/>
      <c r="F6" s="209">
        <f>IF(OR($A6="",$B6=""),"",$A6&amp;" » "&amp;$B6)</f>
        <v/>
      </c>
    </row>
    <row r="7" ht="15" customHeight="1" s="131">
      <c r="A7" s="224" t="inlineStr">
        <is>
          <t>Administração</t>
        </is>
      </c>
      <c r="B7" s="224" t="inlineStr">
        <is>
          <t>Marketing</t>
        </is>
      </c>
      <c r="C7" s="225" t="inlineStr">
        <is>
          <t>S</t>
        </is>
      </c>
      <c r="D7" s="233" t="inlineStr">
        <is>
          <t>2026-06</t>
        </is>
      </c>
      <c r="E7" s="225" t="n"/>
      <c r="F7" s="209">
        <f>IF(OR($A7="",$B7=""),"",$A7&amp;" » "&amp;$B7)</f>
        <v/>
      </c>
    </row>
    <row r="8" ht="15" customHeight="1" s="131">
      <c r="A8" s="224" t="inlineStr">
        <is>
          <t>Administração</t>
        </is>
      </c>
      <c r="B8" s="224" t="inlineStr">
        <is>
          <t>Teoria Geral da Administração</t>
        </is>
      </c>
      <c r="C8" s="225" t="inlineStr">
        <is>
          <t>S</t>
        </is>
      </c>
      <c r="D8" s="233" t="inlineStr">
        <is>
          <t>2026-06</t>
        </is>
      </c>
      <c r="E8" s="225" t="n"/>
      <c r="F8" s="209">
        <f>IF(OR($A8="",$B8=""),"",$A8&amp;" » "&amp;$B8)</f>
        <v/>
      </c>
    </row>
    <row r="9" ht="15" customHeight="1" s="131">
      <c r="A9" s="224" t="inlineStr">
        <is>
          <t>Agronomia</t>
        </is>
      </c>
      <c r="B9" s="224" t="inlineStr">
        <is>
          <t>Fitopatologia</t>
        </is>
      </c>
      <c r="C9" s="225" t="inlineStr">
        <is>
          <t>S</t>
        </is>
      </c>
      <c r="D9" s="233" t="inlineStr">
        <is>
          <t>2026-06</t>
        </is>
      </c>
      <c r="E9" s="225" t="n"/>
      <c r="F9" s="209">
        <f>IF(OR($A9="",$B9=""),"",$A9&amp;" » "&amp;$B9)</f>
        <v/>
      </c>
    </row>
    <row r="10" ht="15" customHeight="1" s="131">
      <c r="A10" s="224" t="inlineStr">
        <is>
          <t>Agronomia</t>
        </is>
      </c>
      <c r="B10" s="224" t="inlineStr">
        <is>
          <t>Irrigação e Drenagem</t>
        </is>
      </c>
      <c r="C10" s="225" t="inlineStr">
        <is>
          <t>S</t>
        </is>
      </c>
      <c r="D10" s="233" t="inlineStr">
        <is>
          <t>2026-06</t>
        </is>
      </c>
      <c r="E10" s="225" t="n"/>
      <c r="F10" s="209">
        <f>IF(OR($A10="",$B10=""),"",$A10&amp;" » "&amp;$B10)</f>
        <v/>
      </c>
    </row>
    <row r="11" ht="15" customHeight="1" s="131">
      <c r="A11" s="224" t="inlineStr">
        <is>
          <t>Agronomia</t>
        </is>
      </c>
      <c r="B11" s="224" t="inlineStr">
        <is>
          <t>Solos e Nutrição de Plantas</t>
        </is>
      </c>
      <c r="C11" s="225" t="inlineStr">
        <is>
          <t>S</t>
        </is>
      </c>
      <c r="D11" s="233" t="inlineStr">
        <is>
          <t>2026-06</t>
        </is>
      </c>
      <c r="E11" s="225" t="n"/>
      <c r="F11" s="209">
        <f>IF(OR($A11="",$B11=""),"",$A11&amp;" » "&amp;$B11)</f>
        <v/>
      </c>
    </row>
    <row r="12" ht="15" customHeight="1" s="131">
      <c r="A12" s="224" t="inlineStr">
        <is>
          <t>Agronomia</t>
        </is>
      </c>
      <c r="B12" s="224" t="inlineStr">
        <is>
          <t>Zootecnia</t>
        </is>
      </c>
      <c r="C12" s="225" t="inlineStr">
        <is>
          <t>S</t>
        </is>
      </c>
      <c r="D12" s="233" t="inlineStr">
        <is>
          <t>2026-06</t>
        </is>
      </c>
      <c r="E12" s="225" t="n"/>
      <c r="F12" s="209">
        <f>IF(OR($A12="",$B12=""),"",$A12&amp;" » "&amp;$B12)</f>
        <v/>
      </c>
    </row>
    <row r="13" ht="15" customHeight="1" s="131">
      <c r="A13" s="224" t="inlineStr">
        <is>
          <t>Análise e Desenvolvimento de Sistemas</t>
        </is>
      </c>
      <c r="B13" s="224" t="inlineStr">
        <is>
          <t>Banco de Dados</t>
        </is>
      </c>
      <c r="C13" s="225" t="inlineStr">
        <is>
          <t>S</t>
        </is>
      </c>
      <c r="D13" s="233" t="inlineStr">
        <is>
          <t>2026-06</t>
        </is>
      </c>
      <c r="E13" s="225" t="n"/>
      <c r="F13" s="209">
        <f>IF(OR($A13="",$B13=""),"",$A13&amp;" » "&amp;$B13)</f>
        <v/>
      </c>
    </row>
    <row r="14" ht="15" customHeight="1" s="131">
      <c r="A14" s="224" t="inlineStr">
        <is>
          <t>Análise e Desenvolvimento de Sistemas</t>
        </is>
      </c>
      <c r="B14" s="224" t="inlineStr">
        <is>
          <t>Engenharia de Software</t>
        </is>
      </c>
      <c r="C14" s="225" t="inlineStr">
        <is>
          <t>S</t>
        </is>
      </c>
      <c r="D14" s="233" t="inlineStr">
        <is>
          <t>2026-06</t>
        </is>
      </c>
      <c r="E14" s="225" t="n"/>
      <c r="F14" s="209">
        <f>IF(OR($A14="",$B14=""),"",$A14&amp;" » "&amp;$B14)</f>
        <v/>
      </c>
    </row>
    <row r="15" ht="15" customHeight="1" s="131">
      <c r="A15" s="224" t="inlineStr">
        <is>
          <t>Análise e Desenvolvimento de Sistemas</t>
        </is>
      </c>
      <c r="B15" s="224" t="inlineStr">
        <is>
          <t>Programação Orientada a Objetos</t>
        </is>
      </c>
      <c r="C15" s="225" t="inlineStr">
        <is>
          <t>S</t>
        </is>
      </c>
      <c r="D15" s="233" t="inlineStr">
        <is>
          <t>2026-06</t>
        </is>
      </c>
      <c r="E15" s="225" t="n"/>
      <c r="F15" s="209">
        <f>IF(OR($A15="",$B15=""),"",$A15&amp;" » "&amp;$B15)</f>
        <v/>
      </c>
    </row>
    <row r="16" ht="15" customHeight="1" s="131">
      <c r="A16" s="224" t="inlineStr">
        <is>
          <t>Análise e Desenvolvimento de Sistemas</t>
        </is>
      </c>
      <c r="B16" s="224" t="inlineStr">
        <is>
          <t>Redes de Computadores</t>
        </is>
      </c>
      <c r="C16" s="225" t="inlineStr">
        <is>
          <t>S</t>
        </is>
      </c>
      <c r="D16" s="233" t="inlineStr">
        <is>
          <t>2026-06</t>
        </is>
      </c>
      <c r="E16" s="225" t="n"/>
      <c r="F16" s="209">
        <f>IF(OR($A16="",$B16=""),"",$A16&amp;" » "&amp;$B16)</f>
        <v/>
      </c>
    </row>
    <row r="17" ht="15" customHeight="1" s="131">
      <c r="A17" s="224" t="inlineStr">
        <is>
          <t>Ciências Contábeis</t>
        </is>
      </c>
      <c r="B17" s="224" t="inlineStr">
        <is>
          <t>Auditoria</t>
        </is>
      </c>
      <c r="C17" s="225" t="inlineStr">
        <is>
          <t>S</t>
        </is>
      </c>
      <c r="D17" s="233" t="inlineStr">
        <is>
          <t>2026-06</t>
        </is>
      </c>
      <c r="E17" s="225" t="n"/>
      <c r="F17" s="209">
        <f>IF(OR($A17="",$B17=""),"",$A17&amp;" » "&amp;$B17)</f>
        <v/>
      </c>
    </row>
    <row r="18" ht="15" customHeight="1" s="131">
      <c r="A18" s="224" t="inlineStr">
        <is>
          <t>Ciências Contábeis</t>
        </is>
      </c>
      <c r="B18" s="224" t="inlineStr">
        <is>
          <t>Contabilidade de Custos</t>
        </is>
      </c>
      <c r="C18" s="225" t="inlineStr">
        <is>
          <t>S</t>
        </is>
      </c>
      <c r="D18" s="233" t="inlineStr">
        <is>
          <t>2026-06</t>
        </is>
      </c>
      <c r="E18" s="225" t="n"/>
      <c r="F18" s="209">
        <f>IF(OR($A18="",$B18=""),"",$A18&amp;" » "&amp;$B18)</f>
        <v/>
      </c>
    </row>
    <row r="19" ht="15" customHeight="1" s="131">
      <c r="A19" s="224" t="inlineStr">
        <is>
          <t>Ciências Contábeis</t>
        </is>
      </c>
      <c r="B19" s="224" t="inlineStr">
        <is>
          <t>Contabilidade Geral</t>
        </is>
      </c>
      <c r="C19" s="225" t="inlineStr">
        <is>
          <t>S</t>
        </is>
      </c>
      <c r="D19" s="233" t="inlineStr">
        <is>
          <t>2026-06</t>
        </is>
      </c>
      <c r="E19" s="225" t="n"/>
      <c r="F19" s="209">
        <f>IF(OR($A19="",$B19=""),"",$A19&amp;" » "&amp;$B19)</f>
        <v/>
      </c>
    </row>
    <row r="20" ht="15" customHeight="1" s="131">
      <c r="A20" s="224" t="inlineStr">
        <is>
          <t>Ciências Contábeis</t>
        </is>
      </c>
      <c r="B20" s="224" t="inlineStr">
        <is>
          <t>Legislação Tributária</t>
        </is>
      </c>
      <c r="C20" s="225" t="inlineStr">
        <is>
          <t>S</t>
        </is>
      </c>
      <c r="D20" s="233" t="inlineStr">
        <is>
          <t>2026-06</t>
        </is>
      </c>
      <c r="E20" s="225" t="n"/>
      <c r="F20" s="209">
        <f>IF(OR($A20="",$B20=""),"",$A20&amp;" » "&amp;$B20)</f>
        <v/>
      </c>
    </row>
    <row r="21" ht="15" customHeight="1" s="131">
      <c r="A21" s="224" t="inlineStr">
        <is>
          <t>Comunicação Social</t>
        </is>
      </c>
      <c r="B21" s="224" t="inlineStr">
        <is>
          <t>Assessoria de Imprensa</t>
        </is>
      </c>
      <c r="C21" s="225" t="inlineStr">
        <is>
          <t>S</t>
        </is>
      </c>
      <c r="D21" s="233" t="inlineStr">
        <is>
          <t>2026-06</t>
        </is>
      </c>
      <c r="E21" s="225" t="n"/>
      <c r="F21" s="209">
        <f>IF(OR($A21="",$B21=""),"",$A21&amp;" » "&amp;$B21)</f>
        <v/>
      </c>
    </row>
    <row r="22" ht="15" customHeight="1" s="131">
      <c r="A22" s="224" t="inlineStr">
        <is>
          <t>Comunicação Social</t>
        </is>
      </c>
      <c r="B22" s="224" t="inlineStr">
        <is>
          <t>Produção Audiovisual</t>
        </is>
      </c>
      <c r="C22" s="225" t="inlineStr">
        <is>
          <t>S</t>
        </is>
      </c>
      <c r="D22" s="233" t="inlineStr">
        <is>
          <t>2026-06</t>
        </is>
      </c>
      <c r="E22" s="225" t="n"/>
      <c r="F22" s="209">
        <f>IF(OR($A22="",$B22=""),"",$A22&amp;" » "&amp;$B22)</f>
        <v/>
      </c>
    </row>
    <row r="23" ht="15" customHeight="1" s="131">
      <c r="A23" s="224" t="inlineStr">
        <is>
          <t>Comunicação Social</t>
        </is>
      </c>
      <c r="B23" s="224" t="inlineStr">
        <is>
          <t>Redação Publicitária</t>
        </is>
      </c>
      <c r="C23" s="225" t="inlineStr">
        <is>
          <t>S</t>
        </is>
      </c>
      <c r="D23" s="233" t="inlineStr">
        <is>
          <t>2026-06</t>
        </is>
      </c>
      <c r="E23" s="225" t="n"/>
      <c r="F23" s="209">
        <f>IF(OR($A23="",$B23=""),"",$A23&amp;" » "&amp;$B23)</f>
        <v/>
      </c>
    </row>
    <row r="24" ht="15" customHeight="1" s="131">
      <c r="A24" s="224" t="inlineStr">
        <is>
          <t>Comunicação Social</t>
        </is>
      </c>
      <c r="B24" s="224" t="inlineStr">
        <is>
          <t>Teorias da Comunicação</t>
        </is>
      </c>
      <c r="C24" s="225" t="inlineStr">
        <is>
          <t>S</t>
        </is>
      </c>
      <c r="D24" s="233" t="inlineStr">
        <is>
          <t>2026-06</t>
        </is>
      </c>
      <c r="E24" s="225" t="n"/>
      <c r="F24" s="209">
        <f>IF(OR($A24="",$B24=""),"",$A24&amp;" » "&amp;$B24)</f>
        <v/>
      </c>
    </row>
    <row r="25" ht="15" customHeight="1" s="131">
      <c r="A25" s="224" t="inlineStr">
        <is>
          <t>Direito</t>
        </is>
      </c>
      <c r="B25" s="224" t="inlineStr">
        <is>
          <t>Direito Civil</t>
        </is>
      </c>
      <c r="C25" s="225" t="inlineStr">
        <is>
          <t>S</t>
        </is>
      </c>
      <c r="D25" s="233" t="inlineStr">
        <is>
          <t>2026-06</t>
        </is>
      </c>
      <c r="E25" s="225" t="n"/>
      <c r="F25" s="209">
        <f>IF(OR($A25="",$B25=""),"",$A25&amp;" » "&amp;$B25)</f>
        <v/>
      </c>
    </row>
    <row r="26" ht="15" customHeight="1" s="131">
      <c r="A26" s="224" t="inlineStr">
        <is>
          <t>Direito</t>
        </is>
      </c>
      <c r="B26" s="224" t="inlineStr">
        <is>
          <t>Direito Constitucional</t>
        </is>
      </c>
      <c r="C26" s="225" t="inlineStr">
        <is>
          <t>S</t>
        </is>
      </c>
      <c r="D26" s="233" t="inlineStr">
        <is>
          <t>2026-06</t>
        </is>
      </c>
      <c r="E26" s="225" t="n"/>
      <c r="F26" s="209">
        <f>IF(OR($A26="",$B26=""),"",$A26&amp;" » "&amp;$B26)</f>
        <v/>
      </c>
    </row>
    <row r="27" ht="15" customHeight="1" s="131">
      <c r="A27" s="224" t="inlineStr">
        <is>
          <t>Direito</t>
        </is>
      </c>
      <c r="B27" s="224" t="inlineStr">
        <is>
          <t>Direito Penal</t>
        </is>
      </c>
      <c r="C27" s="225" t="inlineStr">
        <is>
          <t>S</t>
        </is>
      </c>
      <c r="D27" s="233" t="inlineStr">
        <is>
          <t>2026-06</t>
        </is>
      </c>
      <c r="E27" s="225" t="n"/>
      <c r="F27" s="209">
        <f>IF(OR($A27="",$B27=""),"",$A27&amp;" » "&amp;$B27)</f>
        <v/>
      </c>
    </row>
    <row r="28" ht="15" customHeight="1" s="131">
      <c r="A28" s="224" t="inlineStr">
        <is>
          <t>Direito</t>
        </is>
      </c>
      <c r="B28" s="224" t="inlineStr">
        <is>
          <t>Legislação Trabalhista</t>
        </is>
      </c>
      <c r="C28" s="225" t="inlineStr">
        <is>
          <t>S</t>
        </is>
      </c>
      <c r="D28" s="233" t="inlineStr">
        <is>
          <t>2026-06</t>
        </is>
      </c>
      <c r="E28" s="225" t="n"/>
      <c r="F28" s="209">
        <f>IF(OR($A28="",$B28=""),"",$A28&amp;" » "&amp;$B28)</f>
        <v/>
      </c>
    </row>
    <row r="29" ht="15" customHeight="1" s="131">
      <c r="A29" s="224" t="inlineStr">
        <is>
          <t>Direito</t>
        </is>
      </c>
      <c r="B29" s="224" t="inlineStr">
        <is>
          <t>Processo Civil</t>
        </is>
      </c>
      <c r="C29" s="225" t="inlineStr">
        <is>
          <t>S</t>
        </is>
      </c>
      <c r="D29" s="233" t="inlineStr">
        <is>
          <t>2026-06</t>
        </is>
      </c>
      <c r="E29" s="225" t="n"/>
      <c r="F29" s="209">
        <f>IF(OR($A29="",$B29=""),"",$A29&amp;" » "&amp;$B29)</f>
        <v/>
      </c>
    </row>
    <row r="30" ht="15" customHeight="1" s="131">
      <c r="A30" s="224" t="inlineStr">
        <is>
          <t>Engenharia de Produção</t>
        </is>
      </c>
      <c r="B30" s="224" t="inlineStr">
        <is>
          <t>Custos Industriais</t>
        </is>
      </c>
      <c r="C30" s="225" t="inlineStr">
        <is>
          <t>S</t>
        </is>
      </c>
      <c r="D30" s="233" t="inlineStr">
        <is>
          <t>2026-06</t>
        </is>
      </c>
      <c r="E30" s="225" t="n"/>
      <c r="F30" s="209">
        <f>IF(OR($A30="",$B30=""),"",$A30&amp;" » "&amp;$B30)</f>
        <v/>
      </c>
    </row>
    <row r="31" ht="15" customHeight="1" s="131">
      <c r="A31" s="224" t="inlineStr">
        <is>
          <t>Engenharia de Produção</t>
        </is>
      </c>
      <c r="B31" s="224" t="inlineStr">
        <is>
          <t>Engenharia da Qualidade</t>
        </is>
      </c>
      <c r="C31" s="225" t="inlineStr">
        <is>
          <t>S</t>
        </is>
      </c>
      <c r="D31" s="233" t="inlineStr">
        <is>
          <t>2026-06</t>
        </is>
      </c>
      <c r="E31" s="225" t="n"/>
      <c r="F31" s="209">
        <f>IF(OR($A31="",$B31=""),"",$A31&amp;" » "&amp;$B31)</f>
        <v/>
      </c>
    </row>
    <row r="32" ht="15" customHeight="1" s="131">
      <c r="A32" s="224" t="inlineStr">
        <is>
          <t>Engenharia de Produção</t>
        </is>
      </c>
      <c r="B32" s="224" t="inlineStr">
        <is>
          <t>Pesquisa Operacional</t>
        </is>
      </c>
      <c r="C32" s="225" t="inlineStr">
        <is>
          <t>S</t>
        </is>
      </c>
      <c r="D32" s="233" t="inlineStr">
        <is>
          <t>2026-06</t>
        </is>
      </c>
      <c r="E32" s="225" t="n"/>
      <c r="F32" s="209">
        <f>IF(OR($A32="",$B32=""),"",$A32&amp;" » "&amp;$B32)</f>
        <v/>
      </c>
    </row>
    <row r="33" ht="15" customHeight="1" s="131">
      <c r="A33" s="224" t="inlineStr">
        <is>
          <t>Engenharia de Produção</t>
        </is>
      </c>
      <c r="B33" s="224" t="inlineStr">
        <is>
          <t>Planejamento e Controle da Produção</t>
        </is>
      </c>
      <c r="C33" s="225" t="inlineStr">
        <is>
          <t>S</t>
        </is>
      </c>
      <c r="D33" s="233" t="inlineStr">
        <is>
          <t>2026-06</t>
        </is>
      </c>
      <c r="E33" s="225" t="n"/>
      <c r="F33" s="209">
        <f>IF(OR($A33="",$B33=""),"",$A33&amp;" » "&amp;$B33)</f>
        <v/>
      </c>
    </row>
    <row r="34" ht="15" customHeight="1" s="131">
      <c r="A34" s="224" t="inlineStr">
        <is>
          <t>Engenharia Mecânica</t>
        </is>
      </c>
      <c r="B34" s="224" t="inlineStr">
        <is>
          <t>Desenho Técnico</t>
        </is>
      </c>
      <c r="C34" s="225" t="inlineStr">
        <is>
          <t>S</t>
        </is>
      </c>
      <c r="D34" s="233" t="inlineStr">
        <is>
          <t>2026-06</t>
        </is>
      </c>
      <c r="E34" s="225" t="n"/>
      <c r="F34" s="209">
        <f>IF(OR($A34="",$B34=""),"",$A34&amp;" » "&amp;$B34)</f>
        <v/>
      </c>
    </row>
    <row r="35" ht="15" customHeight="1" s="131">
      <c r="A35" s="224" t="inlineStr">
        <is>
          <t>Engenharia Mecânica</t>
        </is>
      </c>
      <c r="B35" s="224" t="inlineStr">
        <is>
          <t>Processos de Fabricação</t>
        </is>
      </c>
      <c r="C35" s="225" t="inlineStr">
        <is>
          <t>S</t>
        </is>
      </c>
      <c r="D35" s="233" t="inlineStr">
        <is>
          <t>2026-06</t>
        </is>
      </c>
      <c r="E35" s="225" t="n"/>
      <c r="F35" s="209">
        <f>IF(OR($A35="",$B35=""),"",$A35&amp;" » "&amp;$B35)</f>
        <v/>
      </c>
    </row>
    <row r="36" ht="15" customHeight="1" s="131">
      <c r="A36" s="224" t="inlineStr">
        <is>
          <t>Engenharia Mecânica</t>
        </is>
      </c>
      <c r="B36" s="224" t="inlineStr">
        <is>
          <t>Resistência dos Materiais</t>
        </is>
      </c>
      <c r="C36" s="225" t="inlineStr">
        <is>
          <t>S</t>
        </is>
      </c>
      <c r="D36" s="233" t="inlineStr">
        <is>
          <t>2026-06</t>
        </is>
      </c>
      <c r="E36" s="225" t="n"/>
      <c r="F36" s="209">
        <f>IF(OR($A36="",$B36=""),"",$A36&amp;" » "&amp;$B36)</f>
        <v/>
      </c>
    </row>
    <row r="37" ht="15" customHeight="1" s="131">
      <c r="A37" s="224" t="inlineStr">
        <is>
          <t>Engenharia Mecânica</t>
        </is>
      </c>
      <c r="B37" s="224" t="inlineStr">
        <is>
          <t>Termodinâmica</t>
        </is>
      </c>
      <c r="C37" s="225" t="inlineStr">
        <is>
          <t>S</t>
        </is>
      </c>
      <c r="D37" s="233" t="inlineStr">
        <is>
          <t>2026-06</t>
        </is>
      </c>
      <c r="E37" s="225" t="n"/>
      <c r="F37" s="209">
        <f>IF(OR($A37="",$B37=""),"",$A37&amp;" » "&amp;$B37)</f>
        <v/>
      </c>
    </row>
    <row r="38" ht="15" customHeight="1" s="131">
      <c r="A38" s="224" t="n"/>
      <c r="B38" s="224" t="n"/>
      <c r="C38" s="225" t="n"/>
      <c r="D38" s="233" t="n"/>
      <c r="E38" s="225" t="n"/>
      <c r="F38" s="209">
        <f>IF(OR($A38="",$B38=""),"",$A38&amp;" » "&amp;$B38)</f>
        <v/>
      </c>
    </row>
    <row r="39" ht="15" customHeight="1" s="131">
      <c r="A39" s="224" t="n"/>
      <c r="B39" s="224" t="n"/>
      <c r="C39" s="225" t="n"/>
      <c r="D39" s="233" t="n"/>
      <c r="E39" s="225" t="n"/>
      <c r="F39" s="209">
        <f>IF(OR($A39="",$B39=""),"",$A39&amp;" » "&amp;$B39)</f>
        <v/>
      </c>
    </row>
    <row r="40" ht="15" customHeight="1" s="131">
      <c r="A40" s="224" t="n"/>
      <c r="B40" s="224" t="n"/>
      <c r="C40" s="225" t="n"/>
      <c r="D40" s="233" t="n"/>
      <c r="E40" s="225" t="n"/>
      <c r="F40" s="209">
        <f>IF(OR($A40="",$B40=""),"",$A40&amp;" » "&amp;$B40)</f>
        <v/>
      </c>
    </row>
    <row r="41" ht="15" customHeight="1" s="131">
      <c r="A41" s="224" t="n"/>
      <c r="B41" s="224" t="n"/>
      <c r="C41" s="225" t="n"/>
      <c r="D41" s="233" t="n"/>
      <c r="E41" s="225" t="n"/>
      <c r="F41" s="209">
        <f>IF(OR($A41="",$B41=""),"",$A41&amp;" » "&amp;$B41)</f>
        <v/>
      </c>
    </row>
    <row r="42" ht="15" customHeight="1" s="131">
      <c r="A42" s="232" t="n"/>
      <c r="B42" s="232" t="n"/>
      <c r="C42" s="225" t="n"/>
      <c r="D42" s="233" t="n"/>
      <c r="E42" s="232" t="n"/>
      <c r="F42" s="209">
        <f>IF(OR($A42="",$B42=""),"",$A42&amp;" » "&amp;$B42)</f>
        <v/>
      </c>
    </row>
    <row r="43" ht="15" customHeight="1" s="131">
      <c r="A43" s="232" t="n"/>
      <c r="B43" s="232" t="n"/>
      <c r="C43" s="225" t="n"/>
      <c r="D43" s="233" t="n"/>
      <c r="E43" s="232" t="n"/>
      <c r="F43" s="209">
        <f>IF(OR($A43="",$B43=""),"",$A43&amp;" » "&amp;$B43)</f>
        <v/>
      </c>
    </row>
    <row r="44" ht="15" customHeight="1" s="131">
      <c r="A44" s="232" t="n"/>
      <c r="B44" s="232" t="n"/>
      <c r="C44" s="225" t="n"/>
      <c r="D44" s="233" t="n"/>
      <c r="E44" s="232" t="n"/>
      <c r="F44" s="209">
        <f>IF(OR($A44="",$B44=""),"",$A44&amp;" » "&amp;$B44)</f>
        <v/>
      </c>
    </row>
    <row r="45" ht="15" customHeight="1" s="131">
      <c r="A45" s="232" t="n"/>
      <c r="B45" s="232" t="n"/>
      <c r="C45" s="225" t="n"/>
      <c r="D45" s="233" t="n"/>
      <c r="E45" s="232" t="n"/>
      <c r="F45" s="209">
        <f>IF(OR($A45="",$B45=""),"",$A45&amp;" » "&amp;$B45)</f>
        <v/>
      </c>
    </row>
    <row r="46" ht="15" customHeight="1" s="131">
      <c r="A46" s="232" t="n"/>
      <c r="B46" s="232" t="n"/>
      <c r="C46" s="225" t="n"/>
      <c r="D46" s="233" t="n"/>
      <c r="E46" s="232" t="n"/>
      <c r="F46" s="209">
        <f>IF(OR($A46="",$B46=""),"",$A46&amp;" » "&amp;$B46)</f>
        <v/>
      </c>
    </row>
    <row r="47" ht="15" customHeight="1" s="131">
      <c r="A47" s="232" t="n"/>
      <c r="B47" s="232" t="n"/>
      <c r="C47" s="225" t="n"/>
      <c r="D47" s="233" t="n"/>
      <c r="E47" s="232" t="n"/>
      <c r="F47" s="209">
        <f>IF(OR($A47="",$B47=""),"",$A47&amp;" » "&amp;$B47)</f>
        <v/>
      </c>
    </row>
    <row r="48" ht="15" customHeight="1" s="131">
      <c r="A48" s="232" t="n"/>
      <c r="B48" s="232" t="n"/>
      <c r="C48" s="225" t="n"/>
      <c r="D48" s="233" t="n"/>
      <c r="E48" s="232" t="n"/>
      <c r="F48" s="209">
        <f>IF(OR($A48="",$B48=""),"",$A48&amp;" » "&amp;$B48)</f>
        <v/>
      </c>
    </row>
    <row r="49" ht="15" customHeight="1" s="131">
      <c r="A49" s="232" t="n"/>
      <c r="B49" s="232" t="n"/>
      <c r="C49" s="225" t="n"/>
      <c r="D49" s="233" t="n"/>
      <c r="E49" s="232" t="n"/>
      <c r="F49" s="209">
        <f>IF(OR($A49="",$B49=""),"",$A49&amp;" » "&amp;$B49)</f>
        <v/>
      </c>
    </row>
    <row r="50" ht="15" customHeight="1" s="131">
      <c r="A50" s="232" t="n"/>
      <c r="B50" s="232" t="n"/>
      <c r="C50" s="225" t="n"/>
      <c r="D50" s="233" t="n"/>
      <c r="E50" s="232" t="n"/>
      <c r="F50" s="209">
        <f>IF(OR($A50="",$B50=""),"",$A50&amp;" » "&amp;$B50)</f>
        <v/>
      </c>
    </row>
    <row r="51" ht="15" customHeight="1" s="131">
      <c r="A51" s="232" t="n"/>
      <c r="B51" s="232" t="n"/>
      <c r="C51" s="225" t="n"/>
      <c r="D51" s="233" t="n"/>
      <c r="E51" s="232" t="n"/>
      <c r="F51" s="209">
        <f>IF(OR($A51="",$B51=""),"",$A51&amp;" » "&amp;$B51)</f>
        <v/>
      </c>
    </row>
    <row r="52" ht="15" customHeight="1" s="131">
      <c r="A52" s="232" t="n"/>
      <c r="B52" s="232" t="n"/>
      <c r="C52" s="225" t="n"/>
      <c r="D52" s="233" t="n"/>
      <c r="E52" s="232" t="n"/>
      <c r="F52" s="209">
        <f>IF(OR($A52="",$B52=""),"",$A52&amp;" » "&amp;$B52)</f>
        <v/>
      </c>
    </row>
    <row r="53" ht="15" customHeight="1" s="131">
      <c r="A53" s="232" t="n"/>
      <c r="B53" s="232" t="n"/>
      <c r="C53" s="225" t="n"/>
      <c r="D53" s="233" t="n"/>
      <c r="E53" s="232" t="n"/>
      <c r="F53" s="209">
        <f>IF(OR($A53="",$B53=""),"",$A53&amp;" » "&amp;$B53)</f>
        <v/>
      </c>
    </row>
    <row r="54" ht="15" customHeight="1" s="131">
      <c r="A54" s="232" t="n"/>
      <c r="B54" s="232" t="n"/>
      <c r="C54" s="225" t="n"/>
      <c r="D54" s="233" t="n"/>
      <c r="E54" s="232" t="n"/>
      <c r="F54" s="209">
        <f>IF(OR($A54="",$B54=""),"",$A54&amp;" » "&amp;$B54)</f>
        <v/>
      </c>
    </row>
    <row r="55" ht="15" customHeight="1" s="131">
      <c r="A55" s="232" t="n"/>
      <c r="B55" s="232" t="n"/>
      <c r="C55" s="225" t="n"/>
      <c r="D55" s="233" t="n"/>
      <c r="E55" s="232" t="n"/>
      <c r="F55" s="209">
        <f>IF(OR($A55="",$B55=""),"",$A55&amp;" » "&amp;$B55)</f>
        <v/>
      </c>
    </row>
    <row r="56" ht="15" customHeight="1" s="131">
      <c r="A56" s="232" t="n"/>
      <c r="B56" s="232" t="n"/>
      <c r="C56" s="225" t="n"/>
      <c r="D56" s="233" t="n"/>
      <c r="E56" s="232" t="n"/>
      <c r="F56" s="209">
        <f>IF(OR($A56="",$B56=""),"",$A56&amp;" » "&amp;$B56)</f>
        <v/>
      </c>
    </row>
    <row r="57" ht="15" customHeight="1" s="131">
      <c r="A57" s="232" t="n"/>
      <c r="B57" s="232" t="n"/>
      <c r="C57" s="225" t="n"/>
      <c r="D57" s="233" t="n"/>
      <c r="E57" s="232" t="n"/>
      <c r="F57" s="209">
        <f>IF(OR($A57="",$B57=""),"",$A57&amp;" » "&amp;$B57)</f>
        <v/>
      </c>
    </row>
    <row r="58" ht="15" customHeight="1" s="131">
      <c r="A58" s="232" t="n"/>
      <c r="B58" s="232" t="n"/>
      <c r="C58" s="225" t="n"/>
      <c r="D58" s="233" t="n"/>
      <c r="E58" s="232" t="n"/>
      <c r="F58" s="209">
        <f>IF(OR($A58="",$B58=""),"",$A58&amp;" » "&amp;$B58)</f>
        <v/>
      </c>
    </row>
    <row r="59" ht="15" customHeight="1" s="131">
      <c r="A59" s="232" t="n"/>
      <c r="B59" s="232" t="n"/>
      <c r="C59" s="225" t="n"/>
      <c r="D59" s="233" t="n"/>
      <c r="E59" s="232" t="n"/>
      <c r="F59" s="209">
        <f>IF(OR($A59="",$B59=""),"",$A59&amp;" » "&amp;$B59)</f>
        <v/>
      </c>
    </row>
    <row r="60" ht="15" customHeight="1" s="131">
      <c r="A60" s="232" t="n"/>
      <c r="B60" s="232" t="n"/>
      <c r="C60" s="225" t="n"/>
      <c r="D60" s="233" t="n"/>
      <c r="E60" s="232" t="n"/>
      <c r="F60" s="209">
        <f>IF(OR($A60="",$B60=""),"",$A60&amp;" » "&amp;$B60)</f>
        <v/>
      </c>
    </row>
    <row r="61" ht="15" customHeight="1" s="131">
      <c r="A61" s="232" t="n"/>
      <c r="B61" s="232" t="n"/>
      <c r="C61" s="225" t="n"/>
      <c r="D61" s="233" t="n"/>
      <c r="E61" s="232" t="n"/>
      <c r="F61" s="209">
        <f>IF(OR($A61="",$B61=""),"",$A61&amp;" » "&amp;$B61)</f>
        <v/>
      </c>
    </row>
    <row r="62" ht="15" customHeight="1" s="131">
      <c r="A62" s="232" t="n"/>
      <c r="B62" s="232" t="n"/>
      <c r="C62" s="225" t="n"/>
      <c r="D62" s="233" t="n"/>
      <c r="E62" s="232" t="n"/>
      <c r="F62" s="209">
        <f>IF(OR($A62="",$B62=""),"",$A62&amp;" » "&amp;$B62)</f>
        <v/>
      </c>
    </row>
    <row r="63" ht="15" customHeight="1" s="131">
      <c r="A63" s="232" t="n"/>
      <c r="B63" s="232" t="n"/>
      <c r="C63" s="225" t="n"/>
      <c r="D63" s="233" t="n"/>
      <c r="E63" s="232" t="n"/>
      <c r="F63" s="209">
        <f>IF(OR($A63="",$B63=""),"",$A63&amp;" » "&amp;$B63)</f>
        <v/>
      </c>
    </row>
    <row r="64" ht="15" customHeight="1" s="131">
      <c r="A64" s="232" t="n"/>
      <c r="B64" s="232" t="n"/>
      <c r="C64" s="225" t="n"/>
      <c r="D64" s="233" t="n"/>
      <c r="E64" s="232" t="n"/>
      <c r="F64" s="209">
        <f>IF(OR($A64="",$B64=""),"",$A64&amp;" » "&amp;$B64)</f>
        <v/>
      </c>
    </row>
    <row r="65" ht="15" customHeight="1" s="131">
      <c r="A65" s="232" t="n"/>
      <c r="B65" s="232" t="n"/>
      <c r="C65" s="225" t="n"/>
      <c r="D65" s="233" t="n"/>
      <c r="E65" s="232" t="n"/>
      <c r="F65" s="209">
        <f>IF(OR($A65="",$B65=""),"",$A65&amp;" » "&amp;$B65)</f>
        <v/>
      </c>
    </row>
    <row r="66" ht="15" customHeight="1" s="131">
      <c r="A66" s="232" t="n"/>
      <c r="B66" s="232" t="n"/>
      <c r="C66" s="225" t="n"/>
      <c r="D66" s="233" t="n"/>
      <c r="E66" s="232" t="n"/>
      <c r="F66" s="209">
        <f>IF(OR($A66="",$B66=""),"",$A66&amp;" » "&amp;$B66)</f>
        <v/>
      </c>
    </row>
    <row r="67" ht="15" customHeight="1" s="131">
      <c r="A67" s="232" t="n"/>
      <c r="B67" s="232" t="n"/>
      <c r="C67" s="225" t="n"/>
      <c r="D67" s="233" t="n"/>
      <c r="E67" s="232" t="n"/>
      <c r="F67" s="209">
        <f>IF(OR($A67="",$B67=""),"",$A67&amp;" » "&amp;$B67)</f>
        <v/>
      </c>
    </row>
    <row r="68" ht="15" customHeight="1" s="131">
      <c r="A68" s="232" t="n"/>
      <c r="B68" s="232" t="n"/>
      <c r="C68" s="225" t="n"/>
      <c r="D68" s="233" t="n"/>
      <c r="E68" s="232" t="n"/>
      <c r="F68" s="209">
        <f>IF(OR($A68="",$B68=""),"",$A68&amp;" » "&amp;$B68)</f>
        <v/>
      </c>
    </row>
    <row r="69" ht="15" customHeight="1" s="131">
      <c r="A69" s="232" t="n"/>
      <c r="B69" s="232" t="n"/>
      <c r="C69" s="225" t="n"/>
      <c r="D69" s="233" t="n"/>
      <c r="E69" s="232" t="n"/>
      <c r="F69" s="209">
        <f>IF(OR($A69="",$B69=""),"",$A69&amp;" » "&amp;$B69)</f>
        <v/>
      </c>
    </row>
    <row r="70" ht="15" customHeight="1" s="131">
      <c r="A70" s="232" t="n"/>
      <c r="B70" s="232" t="n"/>
      <c r="C70" s="225" t="n"/>
      <c r="D70" s="233" t="n"/>
      <c r="E70" s="232" t="n"/>
      <c r="F70" s="209">
        <f>IF(OR($A70="",$B70=""),"",$A70&amp;" » "&amp;$B70)</f>
        <v/>
      </c>
    </row>
    <row r="71" ht="15" customHeight="1" s="131">
      <c r="A71" s="232" t="n"/>
      <c r="B71" s="232" t="n"/>
      <c r="C71" s="225" t="n"/>
      <c r="D71" s="233" t="n"/>
      <c r="E71" s="232" t="n"/>
      <c r="F71" s="209">
        <f>IF(OR($A71="",$B71=""),"",$A71&amp;" » "&amp;$B71)</f>
        <v/>
      </c>
    </row>
    <row r="72" ht="15" customHeight="1" s="131">
      <c r="A72" s="232" t="n"/>
      <c r="B72" s="232" t="n"/>
      <c r="C72" s="225" t="n"/>
      <c r="D72" s="233" t="n"/>
      <c r="E72" s="232" t="n"/>
      <c r="F72" s="209">
        <f>IF(OR($A72="",$B72=""),"",$A72&amp;" » "&amp;$B72)</f>
        <v/>
      </c>
    </row>
    <row r="73" ht="15" customHeight="1" s="131">
      <c r="A73" s="232" t="n"/>
      <c r="B73" s="232" t="n"/>
      <c r="C73" s="225" t="n"/>
      <c r="D73" s="233" t="n"/>
      <c r="E73" s="232" t="n"/>
      <c r="F73" s="209">
        <f>IF(OR($A73="",$B73=""),"",$A73&amp;" » "&amp;$B73)</f>
        <v/>
      </c>
    </row>
    <row r="74" ht="15" customHeight="1" s="131">
      <c r="A74" s="232" t="n"/>
      <c r="B74" s="232" t="n"/>
      <c r="C74" s="225" t="n"/>
      <c r="D74" s="233" t="n"/>
      <c r="E74" s="232" t="n"/>
      <c r="F74" s="209">
        <f>IF(OR($A74="",$B74=""),"",$A74&amp;" » "&amp;$B74)</f>
        <v/>
      </c>
    </row>
    <row r="75" ht="15" customHeight="1" s="131">
      <c r="A75" s="232" t="n"/>
      <c r="B75" s="232" t="n"/>
      <c r="C75" s="225" t="n"/>
      <c r="D75" s="233" t="n"/>
      <c r="E75" s="232" t="n"/>
      <c r="F75" s="209">
        <f>IF(OR($A75="",$B75=""),"",$A75&amp;" » "&amp;$B75)</f>
        <v/>
      </c>
    </row>
    <row r="76" ht="15" customHeight="1" s="131">
      <c r="A76" s="232" t="n"/>
      <c r="B76" s="232" t="n"/>
      <c r="C76" s="225" t="n"/>
      <c r="D76" s="233" t="n"/>
      <c r="E76" s="232" t="n"/>
      <c r="F76" s="209">
        <f>IF(OR($A76="",$B76=""),"",$A76&amp;" » "&amp;$B76)</f>
        <v/>
      </c>
    </row>
    <row r="77" ht="15" customHeight="1" s="131">
      <c r="A77" s="232" t="n"/>
      <c r="B77" s="232" t="n"/>
      <c r="C77" s="225" t="n"/>
      <c r="D77" s="233" t="n"/>
      <c r="E77" s="232" t="n"/>
      <c r="F77" s="209">
        <f>IF(OR($A77="",$B77=""),"",$A77&amp;" » "&amp;$B77)</f>
        <v/>
      </c>
    </row>
    <row r="78" ht="15" customHeight="1" s="131">
      <c r="A78" s="232" t="n"/>
      <c r="B78" s="232" t="n"/>
      <c r="C78" s="225" t="n"/>
      <c r="D78" s="233" t="n"/>
      <c r="E78" s="232" t="n"/>
      <c r="F78" s="209">
        <f>IF(OR($A78="",$B78=""),"",$A78&amp;" » "&amp;$B78)</f>
        <v/>
      </c>
    </row>
    <row r="79" ht="15" customHeight="1" s="131">
      <c r="A79" s="232" t="n"/>
      <c r="B79" s="232" t="n"/>
      <c r="C79" s="225" t="n"/>
      <c r="D79" s="233" t="n"/>
      <c r="E79" s="232" t="n"/>
      <c r="F79" s="209">
        <f>IF(OR($A79="",$B79=""),"",$A79&amp;" » "&amp;$B79)</f>
        <v/>
      </c>
    </row>
    <row r="80" ht="15" customHeight="1" s="131">
      <c r="A80" s="232" t="n"/>
      <c r="B80" s="232" t="n"/>
      <c r="C80" s="225" t="n"/>
      <c r="D80" s="233" t="n"/>
      <c r="E80" s="232" t="n"/>
      <c r="F80" s="209">
        <f>IF(OR($A80="",$B80=""),"",$A80&amp;" » "&amp;$B80)</f>
        <v/>
      </c>
    </row>
    <row r="81" ht="15" customHeight="1" s="131">
      <c r="A81" s="232" t="n"/>
      <c r="B81" s="232" t="n"/>
      <c r="C81" s="225" t="n"/>
      <c r="D81" s="233" t="n"/>
      <c r="E81" s="232" t="n"/>
      <c r="F81" s="209">
        <f>IF(OR($A81="",$B81=""),"",$A81&amp;" » "&amp;$B81)</f>
        <v/>
      </c>
    </row>
    <row r="82" ht="15" customHeight="1" s="131">
      <c r="A82" s="232" t="n"/>
      <c r="B82" s="232" t="n"/>
      <c r="C82" s="225" t="n"/>
      <c r="D82" s="233" t="n"/>
      <c r="E82" s="232" t="n"/>
      <c r="F82" s="209">
        <f>IF(OR($A82="",$B82=""),"",$A82&amp;" » "&amp;$B82)</f>
        <v/>
      </c>
    </row>
    <row r="83" ht="15" customHeight="1" s="131">
      <c r="A83" s="232" t="n"/>
      <c r="B83" s="232" t="n"/>
      <c r="C83" s="225" t="n"/>
      <c r="D83" s="233" t="n"/>
      <c r="E83" s="232" t="n"/>
      <c r="F83" s="209">
        <f>IF(OR($A83="",$B83=""),"",$A83&amp;" » "&amp;$B83)</f>
        <v/>
      </c>
    </row>
    <row r="84" ht="15" customHeight="1" s="131">
      <c r="A84" s="232" t="n"/>
      <c r="B84" s="232" t="n"/>
      <c r="C84" s="225" t="n"/>
      <c r="D84" s="233" t="n"/>
      <c r="E84" s="232" t="n"/>
      <c r="F84" s="209">
        <f>IF(OR($A84="",$B84=""),"",$A84&amp;" » "&amp;$B84)</f>
        <v/>
      </c>
    </row>
    <row r="85" ht="15" customHeight="1" s="131">
      <c r="A85" s="232" t="n"/>
      <c r="B85" s="232" t="n"/>
      <c r="C85" s="225" t="n"/>
      <c r="D85" s="233" t="n"/>
      <c r="E85" s="232" t="n"/>
      <c r="F85" s="209">
        <f>IF(OR($A85="",$B85=""),"",$A85&amp;" » "&amp;$B85)</f>
        <v/>
      </c>
    </row>
    <row r="86" ht="15" customHeight="1" s="131">
      <c r="A86" s="232" t="n"/>
      <c r="B86" s="232" t="n"/>
      <c r="C86" s="225" t="n"/>
      <c r="D86" s="233" t="n"/>
      <c r="E86" s="232" t="n"/>
      <c r="F86" s="209">
        <f>IF(OR($A86="",$B86=""),"",$A86&amp;" » "&amp;$B86)</f>
        <v/>
      </c>
    </row>
    <row r="87" ht="15" customHeight="1" s="131">
      <c r="A87" s="232" t="n"/>
      <c r="B87" s="232" t="n"/>
      <c r="C87" s="225" t="n"/>
      <c r="D87" s="233" t="n"/>
      <c r="E87" s="232" t="n"/>
      <c r="F87" s="209">
        <f>IF(OR($A87="",$B87=""),"",$A87&amp;" » "&amp;$B87)</f>
        <v/>
      </c>
    </row>
    <row r="88" ht="15" customHeight="1" s="131">
      <c r="A88" s="232" t="n"/>
      <c r="B88" s="232" t="n"/>
      <c r="C88" s="225" t="n"/>
      <c r="D88" s="233" t="n"/>
      <c r="E88" s="232" t="n"/>
      <c r="F88" s="209">
        <f>IF(OR($A88="",$B88=""),"",$A88&amp;" » "&amp;$B88)</f>
        <v/>
      </c>
    </row>
    <row r="89" ht="15" customHeight="1" s="131">
      <c r="A89" s="232" t="n"/>
      <c r="B89" s="232" t="n"/>
      <c r="C89" s="225" t="n"/>
      <c r="D89" s="233" t="n"/>
      <c r="E89" s="232" t="n"/>
      <c r="F89" s="209">
        <f>IF(OR($A89="",$B89=""),"",$A89&amp;" » "&amp;$B89)</f>
        <v/>
      </c>
    </row>
    <row r="90" ht="15" customHeight="1" s="131">
      <c r="A90" s="232" t="n"/>
      <c r="B90" s="232" t="n"/>
      <c r="C90" s="225" t="n"/>
      <c r="D90" s="233" t="n"/>
      <c r="E90" s="232" t="n"/>
      <c r="F90" s="209">
        <f>IF(OR($A90="",$B90=""),"",$A90&amp;" » "&amp;$B90)</f>
        <v/>
      </c>
    </row>
    <row r="91" ht="15" customHeight="1" s="131">
      <c r="A91" s="232" t="n"/>
      <c r="B91" s="232" t="n"/>
      <c r="C91" s="225" t="n"/>
      <c r="D91" s="233" t="n"/>
      <c r="E91" s="232" t="n"/>
      <c r="F91" s="209">
        <f>IF(OR($A91="",$B91=""),"",$A91&amp;" » "&amp;$B91)</f>
        <v/>
      </c>
    </row>
    <row r="92" ht="15" customHeight="1" s="131">
      <c r="A92" s="232" t="n"/>
      <c r="B92" s="232" t="n"/>
      <c r="C92" s="225" t="n"/>
      <c r="D92" s="233" t="n"/>
      <c r="E92" s="232" t="n"/>
      <c r="F92" s="209">
        <f>IF(OR($A92="",$B92=""),"",$A92&amp;" » "&amp;$B92)</f>
        <v/>
      </c>
    </row>
    <row r="93" ht="15" customHeight="1" s="131">
      <c r="A93" s="232" t="n"/>
      <c r="B93" s="232" t="n"/>
      <c r="C93" s="225" t="n"/>
      <c r="D93" s="233" t="n"/>
      <c r="E93" s="232" t="n"/>
      <c r="F93" s="209">
        <f>IF(OR($A93="",$B93=""),"",$A93&amp;" » "&amp;$B93)</f>
        <v/>
      </c>
    </row>
    <row r="94" ht="15" customHeight="1" s="131">
      <c r="A94" s="232" t="n"/>
      <c r="B94" s="232" t="n"/>
      <c r="C94" s="225" t="n"/>
      <c r="D94" s="233" t="n"/>
      <c r="E94" s="232" t="n"/>
      <c r="F94" s="209">
        <f>IF(OR($A94="",$B94=""),"",$A94&amp;" » "&amp;$B94)</f>
        <v/>
      </c>
    </row>
    <row r="95" ht="15" customHeight="1" s="131">
      <c r="A95" s="232" t="n"/>
      <c r="B95" s="232" t="n"/>
      <c r="C95" s="225" t="n"/>
      <c r="D95" s="233" t="n"/>
      <c r="E95" s="232" t="n"/>
      <c r="F95" s="209">
        <f>IF(OR($A95="",$B95=""),"",$A95&amp;" » "&amp;$B95)</f>
        <v/>
      </c>
    </row>
    <row r="96" ht="15" customHeight="1" s="131">
      <c r="A96" s="232" t="n"/>
      <c r="B96" s="232" t="n"/>
      <c r="C96" s="225" t="n"/>
      <c r="D96" s="233" t="n"/>
      <c r="E96" s="232" t="n"/>
      <c r="F96" s="209">
        <f>IF(OR($A96="",$B96=""),"",$A96&amp;" » "&amp;$B96)</f>
        <v/>
      </c>
    </row>
    <row r="97" ht="15" customHeight="1" s="131">
      <c r="A97" s="232" t="n"/>
      <c r="B97" s="232" t="n"/>
      <c r="C97" s="225" t="n"/>
      <c r="D97" s="233" t="n"/>
      <c r="E97" s="232" t="n"/>
      <c r="F97" s="209">
        <f>IF(OR($A97="",$B97=""),"",$A97&amp;" » "&amp;$B97)</f>
        <v/>
      </c>
    </row>
    <row r="98" ht="15" customHeight="1" s="131">
      <c r="A98" s="232" t="n"/>
      <c r="B98" s="232" t="n"/>
      <c r="C98" s="225" t="n"/>
      <c r="D98" s="233" t="n"/>
      <c r="E98" s="232" t="n"/>
      <c r="F98" s="209">
        <f>IF(OR($A98="",$B98=""),"",$A98&amp;" » "&amp;$B98)</f>
        <v/>
      </c>
    </row>
    <row r="99" ht="15" customHeight="1" s="131">
      <c r="A99" s="232" t="n"/>
      <c r="B99" s="232" t="n"/>
      <c r="C99" s="225" t="n"/>
      <c r="D99" s="233" t="n"/>
      <c r="E99" s="232" t="n"/>
      <c r="F99" s="209">
        <f>IF(OR($A99="",$B99=""),"",$A99&amp;" » "&amp;$B99)</f>
        <v/>
      </c>
    </row>
    <row r="100" ht="15" customHeight="1" s="131">
      <c r="A100" s="232" t="n"/>
      <c r="B100" s="232" t="n"/>
      <c r="C100" s="225" t="n"/>
      <c r="D100" s="233" t="n"/>
      <c r="E100" s="232" t="n"/>
      <c r="F100" s="209">
        <f>IF(OR($A100="",$B100=""),"",$A100&amp;" » "&amp;$B100)</f>
        <v/>
      </c>
    </row>
    <row r="101" ht="15" customHeight="1" s="131">
      <c r="A101" s="232" t="n"/>
      <c r="B101" s="232" t="n"/>
      <c r="C101" s="225" t="n"/>
      <c r="D101" s="233" t="n"/>
      <c r="E101" s="232" t="n"/>
      <c r="F101" s="209">
        <f>IF(OR($A101="",$B101=""),"",$A101&amp;" » "&amp;$B101)</f>
        <v/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2">
    <mergeCell ref="A2:F2"/>
    <mergeCell ref="A1:F1"/>
  </mergeCells>
  <dataValidations count="2">
    <dataValidation sqref="A5:A101" showDropDown="0" showInputMessage="0" showErrorMessage="1" allowBlank="1" type="list" errorStyle="stop" operator="between">
      <formula1>LST_CURSOS</formula1>
      <formula2>0</formula2>
    </dataValidation>
    <dataValidation sqref="C5:C101" showDropDown="0" showInputMessage="0" showErrorMessage="0" allowBlank="1" type="list" errorStyle="stop" operator="between">
      <formula1>'LISTAS DE APOIO'!$D$5:$D$6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J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130" min="1" max="1"/>
    <col width="30" customWidth="1" style="130" min="2" max="2"/>
    <col width="20" customWidth="1" style="130" min="3" max="3"/>
    <col width="13" customWidth="1" style="130" min="4" max="4"/>
    <col width="18" customWidth="1" style="130" min="5" max="5"/>
    <col width="9" customWidth="1" style="130" min="6" max="6"/>
    <col width="17" customWidth="1" style="130" min="7" max="7"/>
    <col width="44" customWidth="1" style="130" min="8" max="8"/>
    <col width="22" customWidth="1" style="130" min="9" max="9"/>
    <col width="20" customWidth="1" style="130" min="10" max="10"/>
  </cols>
  <sheetData>
    <row r="1" ht="24" customHeight="1" s="131">
      <c r="A1" s="132" t="inlineStr">
        <is>
          <t>REGISTRO DE DEFINIÇÕES</t>
        </is>
      </c>
    </row>
    <row r="2" ht="30" customHeight="1" s="131">
      <c r="A2" s="133" t="inlineStr">
        <is>
          <t>A periodicidade orienta a chave de entrada. Não misture granularidades na mesma competência. No Data UNIVC, a frequência média (DTNH-03) é alimentada mensalmente.</t>
        </is>
      </c>
    </row>
    <row r="4" ht="30" customHeight="1" s="131">
      <c r="A4" s="199" t="inlineStr">
        <is>
          <t>Código</t>
        </is>
      </c>
      <c r="B4" s="199" t="inlineStr">
        <is>
          <t>Nome</t>
        </is>
      </c>
      <c r="C4" s="199" t="inlineStr">
        <is>
          <t>Aba de entrada</t>
        </is>
      </c>
      <c r="D4" s="199" t="inlineStr">
        <is>
          <t>Tabela</t>
        </is>
      </c>
      <c r="E4" s="199" t="inlineStr">
        <is>
          <t>Direção</t>
        </is>
      </c>
      <c r="F4" s="199" t="inlineStr">
        <is>
          <t>Formato</t>
        </is>
      </c>
      <c r="G4" s="199" t="inlineStr">
        <is>
          <t>Variação medida como</t>
        </is>
      </c>
      <c r="H4" s="199" t="inlineStr">
        <is>
          <t>Objetivo</t>
        </is>
      </c>
      <c r="I4" s="199" t="inlineStr">
        <is>
          <t>Periodicidade de alimentação</t>
        </is>
      </c>
      <c r="J4" s="199" t="inlineStr">
        <is>
          <t>Nível de detalhe</t>
        </is>
      </c>
    </row>
    <row r="5" ht="23.25" customHeight="1" s="131">
      <c r="A5" s="163" t="inlineStr">
        <is>
          <t>DTNH-01</t>
        </is>
      </c>
      <c r="B5" s="234" t="inlineStr">
        <is>
          <t>NPS Discente da Área</t>
        </is>
      </c>
      <c r="C5" s="233" t="inlineStr">
        <is>
          <t>NPS DISCENTES</t>
        </is>
      </c>
      <c r="D5" s="233" t="inlineStr">
        <is>
          <t>Tabela3</t>
        </is>
      </c>
      <c r="E5" s="233" t="inlineStr">
        <is>
          <t>Maior é melhor</t>
        </is>
      </c>
      <c r="F5" s="233" t="inlineStr">
        <is>
          <t>pts</t>
        </is>
      </c>
      <c r="G5" s="233" t="inlineStr">
        <is>
          <t>Diferença</t>
        </is>
      </c>
      <c r="H5" s="234" t="inlineStr">
        <is>
          <t>Promotores menos detratores sobre respondentes, em pontos.</t>
        </is>
      </c>
      <c r="I5" s="225" t="inlineStr">
        <is>
          <t>Mensal</t>
        </is>
      </c>
      <c r="J5" s="225" t="inlineStr">
        <is>
          <t>Curso</t>
        </is>
      </c>
    </row>
    <row r="6" ht="23.25" customHeight="1" s="131">
      <c r="A6" s="163" t="inlineStr">
        <is>
          <t>DTNH-02</t>
        </is>
      </c>
      <c r="B6" s="234" t="inlineStr">
        <is>
          <t>Matrículas Ativas por Curso</t>
        </is>
      </c>
      <c r="C6" s="233" t="inlineStr">
        <is>
          <t>MATRICULAS ATIVAS</t>
        </is>
      </c>
      <c r="D6" s="233" t="inlineStr">
        <is>
          <t>Tabela36</t>
        </is>
      </c>
      <c r="E6" s="233" t="inlineStr">
        <is>
          <t>Variação mínima</t>
        </is>
      </c>
      <c r="F6" s="233" t="inlineStr">
        <is>
          <t>num</t>
        </is>
      </c>
      <c r="G6" s="233" t="inlineStr">
        <is>
          <t>Razão (%)</t>
        </is>
      </c>
      <c r="H6" s="234" t="inlineStr">
        <is>
          <t>Volume de matrículas ativas. A meta é a variação mínima aceitável entre dois meses.</t>
        </is>
      </c>
      <c r="I6" s="225" t="inlineStr">
        <is>
          <t>Mensal</t>
        </is>
      </c>
      <c r="J6" s="225" t="inlineStr">
        <is>
          <t>Curso</t>
        </is>
      </c>
    </row>
    <row r="7" ht="23.25" customHeight="1" s="131">
      <c r="A7" s="163" t="inlineStr">
        <is>
          <t>DTNH-03</t>
        </is>
      </c>
      <c r="B7" s="234" t="inlineStr">
        <is>
          <t>Frequência Média Discente</t>
        </is>
      </c>
      <c r="C7" s="233" t="inlineStr">
        <is>
          <t>FREQUÊNCIA MÉDIA</t>
        </is>
      </c>
      <c r="D7" s="233" t="inlineStr">
        <is>
          <t>Tabela367</t>
        </is>
      </c>
      <c r="E7" s="233" t="inlineStr">
        <is>
          <t>Maior é melhor</t>
        </is>
      </c>
      <c r="F7" s="233" t="inlineStr">
        <is>
          <t>pct</t>
        </is>
      </c>
      <c r="G7" s="233" t="inlineStr">
        <is>
          <t>Diferença</t>
        </is>
      </c>
      <c r="H7" s="234" t="inlineStr">
        <is>
          <t>Presenças registradas sobre presenças previstas, lançadas por mês e por disciplina.</t>
        </is>
      </c>
      <c r="I7" s="225" t="inlineStr">
        <is>
          <t>Mensal</t>
        </is>
      </c>
      <c r="J7" s="225" t="inlineStr">
        <is>
          <t>Curso e disciplina</t>
        </is>
      </c>
    </row>
    <row r="9" ht="15" customHeight="1" s="131">
      <c r="A9" s="235" t="inlineStr">
        <is>
          <t>Trocar a periodicidade de um KPI exige revisar a coluna I e a validação da coluna Período na respectiva aba de entrada.</t>
        </is>
      </c>
    </row>
  </sheetData>
  <mergeCells count="3">
    <mergeCell ref="A1:J1"/>
    <mergeCell ref="A9:J9"/>
    <mergeCell ref="A2:J2"/>
  </mergeCells>
  <dataValidations count="2">
    <dataValidation sqref="I5:I24" showDropDown="0" showInputMessage="0" showErrorMessage="0" allowBlank="1" type="list" errorStyle="stop" operator="between">
      <formula1>'LISTAS DE APOIO'!$G$5:$G$8</formula1>
      <formula2>0</formula2>
    </dataValidation>
    <dataValidation sqref="J5:J24" showDropDown="0" showInputMessage="0" showErrorMessage="0" allowBlank="1" type="list" errorStyle="stop" operator="between">
      <formula1>'LISTAS DE APOIO'!$I$5:$I$6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O1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4" customWidth="1" style="130" min="1" max="1"/>
    <col width="15" customWidth="1" style="130" min="2" max="16"/>
  </cols>
  <sheetData>
    <row r="1" ht="24" customHeight="1" s="131">
      <c r="A1" s="132" t="inlineStr">
        <is>
          <t>CAMADA DE PROCESSAMENTO — NÃO EDITAR</t>
        </is>
      </c>
    </row>
    <row r="2" ht="30" customHeight="1" s="131">
      <c r="A2" s="133" t="inlineStr">
        <is>
          <t>A camada consolida a periodicidade configurada para cada KPI. A Frequência Média é mensal nesta versão e resultados legados semestrais não devem ser misturados às competências mensais.</t>
        </is>
      </c>
    </row>
    <row r="4" ht="15" customHeight="1" s="131">
      <c r="A4" s="236" t="inlineStr">
        <is>
          <t>Janela de</t>
        </is>
      </c>
      <c r="B4" s="237">
        <f>PARAMETROS!$B$13</f>
        <v/>
      </c>
      <c r="C4" s="236" t="inlineStr">
        <is>
          <t>até</t>
        </is>
      </c>
      <c r="D4" s="237">
        <f>PARAMETROS!$B$14</f>
        <v/>
      </c>
      <c r="E4" s="236" t="inlineStr">
        <is>
          <t>Referência</t>
        </is>
      </c>
      <c r="F4" s="237">
        <f>PARAMETROS!$B$7</f>
        <v/>
      </c>
      <c r="G4" s="236" t="inlineStr">
        <is>
          <t>Comparação</t>
        </is>
      </c>
      <c r="H4" s="237">
        <f>PARAMETROS!$B$8</f>
        <v/>
      </c>
      <c r="I4" s="236" t="inlineStr">
        <is>
          <t>Curso em foco</t>
        </is>
      </c>
      <c r="J4" s="237">
        <f>PARAMETROS!$B$11</f>
        <v/>
      </c>
    </row>
    <row r="6" ht="26.25" customHeight="1" s="131">
      <c r="A6" s="137" t="inlineStr">
        <is>
          <t>METAS VIGENTES NO MÊS DE REFERÊNCIA</t>
        </is>
      </c>
    </row>
    <row r="7" ht="30" customHeight="1" s="131">
      <c r="A7" s="199" t="inlineStr">
        <is>
          <t>Recorte</t>
        </is>
      </c>
      <c r="B7" s="199" t="inlineStr">
        <is>
          <t>DTNH-01 meta</t>
        </is>
      </c>
      <c r="C7" s="199" t="inlineStr">
        <is>
          <t>DTNH-01 limiar</t>
        </is>
      </c>
      <c r="D7" s="199" t="inlineStr">
        <is>
          <t>DTNH-02 meta</t>
        </is>
      </c>
      <c r="E7" s="199" t="inlineStr">
        <is>
          <t>DTNH-02 limiar</t>
        </is>
      </c>
      <c r="F7" s="199" t="inlineStr">
        <is>
          <t>DTNH-03 meta</t>
        </is>
      </c>
      <c r="G7" s="199" t="inlineStr">
        <is>
          <t>DTNH-03 limiar</t>
        </is>
      </c>
    </row>
    <row r="8" ht="15" customHeight="1" s="131">
      <c r="A8" s="210" t="inlineStr">
        <is>
          <t>TOTAL</t>
        </is>
      </c>
      <c r="B8" s="202">
        <f>IFERROR(IF(SUMPRODUCT(MAX((METAS!$A$5:$A$404="DTNH-01")*(METAS!$B$5:$B$404="TOTAL"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"TOTAL")*(METAS!$D$5:$D$404=SUMPRODUCT(MAX((METAS!$A$5:$A$404="DTNH-01")*(METAS!$B$5:$B$404="TOTAL")*(METAS!$D$5:$D$404&lt;=IFERROR(VALUE(SUBSTITUTE($F$4,"-","")),0))*METAS!$D$5:$D$404)))*METAS!$E$5:$E$404)),"")</f>
        <v/>
      </c>
      <c r="C8" s="238">
        <f>IFERROR(IF(SUMPRODUCT(MAX((METAS!$A$5:$A$404="DTNH-01")*(METAS!$B$5:$B$404="TOTAL"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"TOTAL")*(METAS!$D$5:$D$404=SUMPRODUCT(MAX((METAS!$A$5:$A$404="DTNH-01")*(METAS!$B$5:$B$404="TOTAL")*(METAS!$D$5:$D$404&lt;=IFERROR(VALUE(SUBSTITUTE($F$4,"-","")),0))*METAS!$D$5:$D$404)))*METAS!$F$5:$F$404)),"")</f>
        <v/>
      </c>
      <c r="D8" s="208">
        <f>IFERROR(IF(SUMPRODUCT(MAX((METAS!$A$5:$A$404="DTNH-02")*(METAS!$B$5:$B$404="TOTAL"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"TOTAL")*(METAS!$D$5:$D$404=SUMPRODUCT(MAX((METAS!$A$5:$A$404="DTNH-02")*(METAS!$B$5:$B$404="TOTAL")*(METAS!$D$5:$D$404&lt;=IFERROR(VALUE(SUBSTITUTE($F$4,"-","")),0))*METAS!$D$5:$D$404)))*METAS!$E$5:$E$404)),"")</f>
        <v/>
      </c>
      <c r="E8" s="239">
        <f>IFERROR(IF(SUMPRODUCT(MAX((METAS!$A$5:$A$404="DTNH-02")*(METAS!$B$5:$B$404="TOTAL"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"TOTAL")*(METAS!$D$5:$D$404=SUMPRODUCT(MAX((METAS!$A$5:$A$404="DTNH-02")*(METAS!$B$5:$B$404="TOTAL")*(METAS!$D$5:$D$404&lt;=IFERROR(VALUE(SUBSTITUTE($F$4,"-","")),0))*METAS!$D$5:$D$404)))*METAS!$F$5:$F$404)),"")</f>
        <v/>
      </c>
      <c r="F8" s="208">
        <f>IFERROR(IF(SUMPRODUCT(MAX((METAS!$A$5:$A$404="DTNH-03")*(METAS!$B$5:$B$404="TOTAL"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"TOTAL")*(METAS!$D$5:$D$404=SUMPRODUCT(MAX((METAS!$A$5:$A$404="DTNH-03")*(METAS!$B$5:$B$404="TOTAL")*(METAS!$D$5:$D$404&lt;=IFERROR(VALUE(SUBSTITUTE($F$4,"-","")),0))*METAS!$D$5:$D$404)))*METAS!$E$5:$E$404)),"")</f>
        <v/>
      </c>
      <c r="G8" s="239">
        <f>IFERROR(IF(SUMPRODUCT(MAX((METAS!$A$5:$A$404="DTNH-03")*(METAS!$B$5:$B$404="TOTAL"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"TOTAL")*(METAS!$D$5:$D$404=SUMPRODUCT(MAX((METAS!$A$5:$A$404="DTNH-03")*(METAS!$B$5:$B$404="TOTAL")*(METAS!$D$5:$D$404&lt;=IFERROR(VALUE(SUBSTITUTE($F$4,"-","")),0))*METAS!$D$5:$D$404)))*METAS!$F$5:$F$404)),"")</f>
        <v/>
      </c>
    </row>
    <row r="9" ht="15" customHeight="1" s="131">
      <c r="A9" s="167" t="inlineStr">
        <is>
          <t>Administração</t>
        </is>
      </c>
      <c r="B9" s="240">
        <f>IFERROR(IF(SUMPRODUCT(MAX((METAS!$A$5:$A$404="DTNH-01")*(METAS!$B$5:$B$404=$A9)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9)*(METAS!$D$5:$D$404=SUMPRODUCT(MAX((METAS!$A$5:$A$404="DTNH-01")*(METAS!$B$5:$B$404=$A9)*(METAS!$D$5:$D$404&lt;=IFERROR(VALUE(SUBSTITUTE($F$4,"-","")),0))*METAS!$D$5:$D$404)))*METAS!$E$5:$E$404)),"")</f>
        <v/>
      </c>
      <c r="C9" s="169">
        <f>IFERROR(IF(SUMPRODUCT(MAX((METAS!$A$5:$A$404="DTNH-01")*(METAS!$B$5:$B$404=$A9)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9)*(METAS!$D$5:$D$404=SUMPRODUCT(MAX((METAS!$A$5:$A$404="DTNH-01")*(METAS!$B$5:$B$404=$A9)*(METAS!$D$5:$D$404&lt;=IFERROR(VALUE(SUBSTITUTE($F$4,"-","")),0))*METAS!$D$5:$D$404)))*METAS!$F$5:$F$404)),"")</f>
        <v/>
      </c>
      <c r="D9" s="241">
        <f>IFERROR(IF(SUMPRODUCT(MAX((METAS!$A$5:$A$404="DTNH-02")*(METAS!$B$5:$B$404=$A9)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9)*(METAS!$D$5:$D$404=SUMPRODUCT(MAX((METAS!$A$5:$A$404="DTNH-02")*(METAS!$B$5:$B$404=$A9)*(METAS!$D$5:$D$404&lt;=IFERROR(VALUE(SUBSTITUTE($F$4,"-","")),0))*METAS!$D$5:$D$404)))*METAS!$E$5:$E$404)),"")</f>
        <v/>
      </c>
      <c r="E9" s="181">
        <f>IFERROR(IF(SUMPRODUCT(MAX((METAS!$A$5:$A$404="DTNH-02")*(METAS!$B$5:$B$404=$A9)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9)*(METAS!$D$5:$D$404=SUMPRODUCT(MAX((METAS!$A$5:$A$404="DTNH-02")*(METAS!$B$5:$B$404=$A9)*(METAS!$D$5:$D$404&lt;=IFERROR(VALUE(SUBSTITUTE($F$4,"-","")),0))*METAS!$D$5:$D$404)))*METAS!$F$5:$F$404)),"")</f>
        <v/>
      </c>
      <c r="F9" s="241">
        <f>IFERROR(IF(SUMPRODUCT(MAX((METAS!$A$5:$A$404="DTNH-03")*(METAS!$B$5:$B$404=$A9)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9)*(METAS!$D$5:$D$404=SUMPRODUCT(MAX((METAS!$A$5:$A$404="DTNH-03")*(METAS!$B$5:$B$404=$A9)*(METAS!$D$5:$D$404&lt;=IFERROR(VALUE(SUBSTITUTE($F$4,"-","")),0))*METAS!$D$5:$D$404)))*METAS!$E$5:$E$404)),"")</f>
        <v/>
      </c>
      <c r="G9" s="181">
        <f>IFERROR(IF(SUMPRODUCT(MAX((METAS!$A$5:$A$404="DTNH-03")*(METAS!$B$5:$B$404=$A9)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9)*(METAS!$D$5:$D$404=SUMPRODUCT(MAX((METAS!$A$5:$A$404="DTNH-03")*(METAS!$B$5:$B$404=$A9)*(METAS!$D$5:$D$404&lt;=IFERROR(VALUE(SUBSTITUTE($F$4,"-","")),0))*METAS!$D$5:$D$404)))*METAS!$F$5:$F$404)),"")</f>
        <v/>
      </c>
    </row>
    <row r="10" ht="15" customHeight="1" s="131">
      <c r="A10" s="167" t="inlineStr">
        <is>
          <t>Agronomia</t>
        </is>
      </c>
      <c r="B10" s="240">
        <f>IFERROR(IF(SUMPRODUCT(MAX((METAS!$A$5:$A$404="DTNH-01")*(METAS!$B$5:$B$404=$A10)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10)*(METAS!$D$5:$D$404=SUMPRODUCT(MAX((METAS!$A$5:$A$404="DTNH-01")*(METAS!$B$5:$B$404=$A10)*(METAS!$D$5:$D$404&lt;=IFERROR(VALUE(SUBSTITUTE($F$4,"-","")),0))*METAS!$D$5:$D$404)))*METAS!$E$5:$E$404)),"")</f>
        <v/>
      </c>
      <c r="C10" s="169">
        <f>IFERROR(IF(SUMPRODUCT(MAX((METAS!$A$5:$A$404="DTNH-01")*(METAS!$B$5:$B$404=$A10)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10)*(METAS!$D$5:$D$404=SUMPRODUCT(MAX((METAS!$A$5:$A$404="DTNH-01")*(METAS!$B$5:$B$404=$A10)*(METAS!$D$5:$D$404&lt;=IFERROR(VALUE(SUBSTITUTE($F$4,"-","")),0))*METAS!$D$5:$D$404)))*METAS!$F$5:$F$404)),"")</f>
        <v/>
      </c>
      <c r="D10" s="241">
        <f>IFERROR(IF(SUMPRODUCT(MAX((METAS!$A$5:$A$404="DTNH-02")*(METAS!$B$5:$B$404=$A10)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10)*(METAS!$D$5:$D$404=SUMPRODUCT(MAX((METAS!$A$5:$A$404="DTNH-02")*(METAS!$B$5:$B$404=$A10)*(METAS!$D$5:$D$404&lt;=IFERROR(VALUE(SUBSTITUTE($F$4,"-","")),0))*METAS!$D$5:$D$404)))*METAS!$E$5:$E$404)),"")</f>
        <v/>
      </c>
      <c r="E10" s="181">
        <f>IFERROR(IF(SUMPRODUCT(MAX((METAS!$A$5:$A$404="DTNH-02")*(METAS!$B$5:$B$404=$A10)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10)*(METAS!$D$5:$D$404=SUMPRODUCT(MAX((METAS!$A$5:$A$404="DTNH-02")*(METAS!$B$5:$B$404=$A10)*(METAS!$D$5:$D$404&lt;=IFERROR(VALUE(SUBSTITUTE($F$4,"-","")),0))*METAS!$D$5:$D$404)))*METAS!$F$5:$F$404)),"")</f>
        <v/>
      </c>
      <c r="F10" s="241">
        <f>IFERROR(IF(SUMPRODUCT(MAX((METAS!$A$5:$A$404="DTNH-03")*(METAS!$B$5:$B$404=$A10)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10)*(METAS!$D$5:$D$404=SUMPRODUCT(MAX((METAS!$A$5:$A$404="DTNH-03")*(METAS!$B$5:$B$404=$A10)*(METAS!$D$5:$D$404&lt;=IFERROR(VALUE(SUBSTITUTE($F$4,"-","")),0))*METAS!$D$5:$D$404)))*METAS!$E$5:$E$404)),"")</f>
        <v/>
      </c>
      <c r="G10" s="181">
        <f>IFERROR(IF(SUMPRODUCT(MAX((METAS!$A$5:$A$404="DTNH-03")*(METAS!$B$5:$B$404=$A10)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10)*(METAS!$D$5:$D$404=SUMPRODUCT(MAX((METAS!$A$5:$A$404="DTNH-03")*(METAS!$B$5:$B$404=$A10)*(METAS!$D$5:$D$404&lt;=IFERROR(VALUE(SUBSTITUTE($F$4,"-","")),0))*METAS!$D$5:$D$404)))*METAS!$F$5:$F$404)),"")</f>
        <v/>
      </c>
    </row>
    <row r="11" ht="15" customHeight="1" s="131">
      <c r="A11" s="167" t="inlineStr">
        <is>
          <t>Análise e Desenvolvimento de Sistemas</t>
        </is>
      </c>
      <c r="B11" s="240">
        <f>IFERROR(IF(SUMPRODUCT(MAX((METAS!$A$5:$A$404="DTNH-01")*(METAS!$B$5:$B$404=$A11)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11)*(METAS!$D$5:$D$404=SUMPRODUCT(MAX((METAS!$A$5:$A$404="DTNH-01")*(METAS!$B$5:$B$404=$A11)*(METAS!$D$5:$D$404&lt;=IFERROR(VALUE(SUBSTITUTE($F$4,"-","")),0))*METAS!$D$5:$D$404)))*METAS!$E$5:$E$404)),"")</f>
        <v/>
      </c>
      <c r="C11" s="169">
        <f>IFERROR(IF(SUMPRODUCT(MAX((METAS!$A$5:$A$404="DTNH-01")*(METAS!$B$5:$B$404=$A11)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11)*(METAS!$D$5:$D$404=SUMPRODUCT(MAX((METAS!$A$5:$A$404="DTNH-01")*(METAS!$B$5:$B$404=$A11)*(METAS!$D$5:$D$404&lt;=IFERROR(VALUE(SUBSTITUTE($F$4,"-","")),0))*METAS!$D$5:$D$404)))*METAS!$F$5:$F$404)),"")</f>
        <v/>
      </c>
      <c r="D11" s="241">
        <f>IFERROR(IF(SUMPRODUCT(MAX((METAS!$A$5:$A$404="DTNH-02")*(METAS!$B$5:$B$404=$A11)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11)*(METAS!$D$5:$D$404=SUMPRODUCT(MAX((METAS!$A$5:$A$404="DTNH-02")*(METAS!$B$5:$B$404=$A11)*(METAS!$D$5:$D$404&lt;=IFERROR(VALUE(SUBSTITUTE($F$4,"-","")),0))*METAS!$D$5:$D$404)))*METAS!$E$5:$E$404)),"")</f>
        <v/>
      </c>
      <c r="E11" s="181">
        <f>IFERROR(IF(SUMPRODUCT(MAX((METAS!$A$5:$A$404="DTNH-02")*(METAS!$B$5:$B$404=$A11)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11)*(METAS!$D$5:$D$404=SUMPRODUCT(MAX((METAS!$A$5:$A$404="DTNH-02")*(METAS!$B$5:$B$404=$A11)*(METAS!$D$5:$D$404&lt;=IFERROR(VALUE(SUBSTITUTE($F$4,"-","")),0))*METAS!$D$5:$D$404)))*METAS!$F$5:$F$404)),"")</f>
        <v/>
      </c>
      <c r="F11" s="241">
        <f>IFERROR(IF(SUMPRODUCT(MAX((METAS!$A$5:$A$404="DTNH-03")*(METAS!$B$5:$B$404=$A11)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11)*(METAS!$D$5:$D$404=SUMPRODUCT(MAX((METAS!$A$5:$A$404="DTNH-03")*(METAS!$B$5:$B$404=$A11)*(METAS!$D$5:$D$404&lt;=IFERROR(VALUE(SUBSTITUTE($F$4,"-","")),0))*METAS!$D$5:$D$404)))*METAS!$E$5:$E$404)),"")</f>
        <v/>
      </c>
      <c r="G11" s="181">
        <f>IFERROR(IF(SUMPRODUCT(MAX((METAS!$A$5:$A$404="DTNH-03")*(METAS!$B$5:$B$404=$A11)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11)*(METAS!$D$5:$D$404=SUMPRODUCT(MAX((METAS!$A$5:$A$404="DTNH-03")*(METAS!$B$5:$B$404=$A11)*(METAS!$D$5:$D$404&lt;=IFERROR(VALUE(SUBSTITUTE($F$4,"-","")),0))*METAS!$D$5:$D$404)))*METAS!$F$5:$F$404)),"")</f>
        <v/>
      </c>
    </row>
    <row r="12" ht="15" customHeight="1" s="131">
      <c r="A12" s="167" t="inlineStr">
        <is>
          <t>Arquitetura e Urbanismo</t>
        </is>
      </c>
      <c r="B12" s="240">
        <f>IFERROR(IF(SUMPRODUCT(MAX((METAS!$A$5:$A$404="DTNH-01")*(METAS!$B$5:$B$404=$A12)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12)*(METAS!$D$5:$D$404=SUMPRODUCT(MAX((METAS!$A$5:$A$404="DTNH-01")*(METAS!$B$5:$B$404=$A12)*(METAS!$D$5:$D$404&lt;=IFERROR(VALUE(SUBSTITUTE($F$4,"-","")),0))*METAS!$D$5:$D$404)))*METAS!$E$5:$E$404)),"")</f>
        <v/>
      </c>
      <c r="C12" s="169">
        <f>IFERROR(IF(SUMPRODUCT(MAX((METAS!$A$5:$A$404="DTNH-01")*(METAS!$B$5:$B$404=$A12)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12)*(METAS!$D$5:$D$404=SUMPRODUCT(MAX((METAS!$A$5:$A$404="DTNH-01")*(METAS!$B$5:$B$404=$A12)*(METAS!$D$5:$D$404&lt;=IFERROR(VALUE(SUBSTITUTE($F$4,"-","")),0))*METAS!$D$5:$D$404)))*METAS!$F$5:$F$404)),"")</f>
        <v/>
      </c>
      <c r="D12" s="241">
        <f>IFERROR(IF(SUMPRODUCT(MAX((METAS!$A$5:$A$404="DTNH-02")*(METAS!$B$5:$B$404=$A12)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12)*(METAS!$D$5:$D$404=SUMPRODUCT(MAX((METAS!$A$5:$A$404="DTNH-02")*(METAS!$B$5:$B$404=$A12)*(METAS!$D$5:$D$404&lt;=IFERROR(VALUE(SUBSTITUTE($F$4,"-","")),0))*METAS!$D$5:$D$404)))*METAS!$E$5:$E$404)),"")</f>
        <v/>
      </c>
      <c r="E12" s="181">
        <f>IFERROR(IF(SUMPRODUCT(MAX((METAS!$A$5:$A$404="DTNH-02")*(METAS!$B$5:$B$404=$A12)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12)*(METAS!$D$5:$D$404=SUMPRODUCT(MAX((METAS!$A$5:$A$404="DTNH-02")*(METAS!$B$5:$B$404=$A12)*(METAS!$D$5:$D$404&lt;=IFERROR(VALUE(SUBSTITUTE($F$4,"-","")),0))*METAS!$D$5:$D$404)))*METAS!$F$5:$F$404)),"")</f>
        <v/>
      </c>
      <c r="F12" s="241">
        <f>IFERROR(IF(SUMPRODUCT(MAX((METAS!$A$5:$A$404="DTNH-03")*(METAS!$B$5:$B$404=$A12)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12)*(METAS!$D$5:$D$404=SUMPRODUCT(MAX((METAS!$A$5:$A$404="DTNH-03")*(METAS!$B$5:$B$404=$A12)*(METAS!$D$5:$D$404&lt;=IFERROR(VALUE(SUBSTITUTE($F$4,"-","")),0))*METAS!$D$5:$D$404)))*METAS!$E$5:$E$404)),"")</f>
        <v/>
      </c>
      <c r="G12" s="181">
        <f>IFERROR(IF(SUMPRODUCT(MAX((METAS!$A$5:$A$404="DTNH-03")*(METAS!$B$5:$B$404=$A12)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12)*(METAS!$D$5:$D$404=SUMPRODUCT(MAX((METAS!$A$5:$A$404="DTNH-03")*(METAS!$B$5:$B$404=$A12)*(METAS!$D$5:$D$404&lt;=IFERROR(VALUE(SUBSTITUTE($F$4,"-","")),0))*METAS!$D$5:$D$404)))*METAS!$F$5:$F$404)),"")</f>
        <v/>
      </c>
    </row>
    <row r="13" ht="15" customHeight="1" s="131">
      <c r="A13" s="167" t="inlineStr">
        <is>
          <t>Ciências Contábeis</t>
        </is>
      </c>
      <c r="B13" s="240">
        <f>IFERROR(IF(SUMPRODUCT(MAX((METAS!$A$5:$A$404="DTNH-01")*(METAS!$B$5:$B$404=$A13)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13)*(METAS!$D$5:$D$404=SUMPRODUCT(MAX((METAS!$A$5:$A$404="DTNH-01")*(METAS!$B$5:$B$404=$A13)*(METAS!$D$5:$D$404&lt;=IFERROR(VALUE(SUBSTITUTE($F$4,"-","")),0))*METAS!$D$5:$D$404)))*METAS!$E$5:$E$404)),"")</f>
        <v/>
      </c>
      <c r="C13" s="169">
        <f>IFERROR(IF(SUMPRODUCT(MAX((METAS!$A$5:$A$404="DTNH-01")*(METAS!$B$5:$B$404=$A13)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13)*(METAS!$D$5:$D$404=SUMPRODUCT(MAX((METAS!$A$5:$A$404="DTNH-01")*(METAS!$B$5:$B$404=$A13)*(METAS!$D$5:$D$404&lt;=IFERROR(VALUE(SUBSTITUTE($F$4,"-","")),0))*METAS!$D$5:$D$404)))*METAS!$F$5:$F$404)),"")</f>
        <v/>
      </c>
      <c r="D13" s="241">
        <f>IFERROR(IF(SUMPRODUCT(MAX((METAS!$A$5:$A$404="DTNH-02")*(METAS!$B$5:$B$404=$A13)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13)*(METAS!$D$5:$D$404=SUMPRODUCT(MAX((METAS!$A$5:$A$404="DTNH-02")*(METAS!$B$5:$B$404=$A13)*(METAS!$D$5:$D$404&lt;=IFERROR(VALUE(SUBSTITUTE($F$4,"-","")),0))*METAS!$D$5:$D$404)))*METAS!$E$5:$E$404)),"")</f>
        <v/>
      </c>
      <c r="E13" s="181">
        <f>IFERROR(IF(SUMPRODUCT(MAX((METAS!$A$5:$A$404="DTNH-02")*(METAS!$B$5:$B$404=$A13)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13)*(METAS!$D$5:$D$404=SUMPRODUCT(MAX((METAS!$A$5:$A$404="DTNH-02")*(METAS!$B$5:$B$404=$A13)*(METAS!$D$5:$D$404&lt;=IFERROR(VALUE(SUBSTITUTE($F$4,"-","")),0))*METAS!$D$5:$D$404)))*METAS!$F$5:$F$404)),"")</f>
        <v/>
      </c>
      <c r="F13" s="241">
        <f>IFERROR(IF(SUMPRODUCT(MAX((METAS!$A$5:$A$404="DTNH-03")*(METAS!$B$5:$B$404=$A13)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13)*(METAS!$D$5:$D$404=SUMPRODUCT(MAX((METAS!$A$5:$A$404="DTNH-03")*(METAS!$B$5:$B$404=$A13)*(METAS!$D$5:$D$404&lt;=IFERROR(VALUE(SUBSTITUTE($F$4,"-","")),0))*METAS!$D$5:$D$404)))*METAS!$E$5:$E$404)),"")</f>
        <v/>
      </c>
      <c r="G13" s="181">
        <f>IFERROR(IF(SUMPRODUCT(MAX((METAS!$A$5:$A$404="DTNH-03")*(METAS!$B$5:$B$404=$A13)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13)*(METAS!$D$5:$D$404=SUMPRODUCT(MAX((METAS!$A$5:$A$404="DTNH-03")*(METAS!$B$5:$B$404=$A13)*(METAS!$D$5:$D$404&lt;=IFERROR(VALUE(SUBSTITUTE($F$4,"-","")),0))*METAS!$D$5:$D$404)))*METAS!$F$5:$F$404)),"")</f>
        <v/>
      </c>
    </row>
    <row r="14" ht="15" customHeight="1" s="131">
      <c r="A14" s="167" t="inlineStr">
        <is>
          <t>Comunicação Social</t>
        </is>
      </c>
      <c r="B14" s="240">
        <f>IFERROR(IF(SUMPRODUCT(MAX((METAS!$A$5:$A$404="DTNH-01")*(METAS!$B$5:$B$404=$A14)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14)*(METAS!$D$5:$D$404=SUMPRODUCT(MAX((METAS!$A$5:$A$404="DTNH-01")*(METAS!$B$5:$B$404=$A14)*(METAS!$D$5:$D$404&lt;=IFERROR(VALUE(SUBSTITUTE($F$4,"-","")),0))*METAS!$D$5:$D$404)))*METAS!$E$5:$E$404)),"")</f>
        <v/>
      </c>
      <c r="C14" s="169">
        <f>IFERROR(IF(SUMPRODUCT(MAX((METAS!$A$5:$A$404="DTNH-01")*(METAS!$B$5:$B$404=$A14)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14)*(METAS!$D$5:$D$404=SUMPRODUCT(MAX((METAS!$A$5:$A$404="DTNH-01")*(METAS!$B$5:$B$404=$A14)*(METAS!$D$5:$D$404&lt;=IFERROR(VALUE(SUBSTITUTE($F$4,"-","")),0))*METAS!$D$5:$D$404)))*METAS!$F$5:$F$404)),"")</f>
        <v/>
      </c>
      <c r="D14" s="241">
        <f>IFERROR(IF(SUMPRODUCT(MAX((METAS!$A$5:$A$404="DTNH-02")*(METAS!$B$5:$B$404=$A14)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14)*(METAS!$D$5:$D$404=SUMPRODUCT(MAX((METAS!$A$5:$A$404="DTNH-02")*(METAS!$B$5:$B$404=$A14)*(METAS!$D$5:$D$404&lt;=IFERROR(VALUE(SUBSTITUTE($F$4,"-","")),0))*METAS!$D$5:$D$404)))*METAS!$E$5:$E$404)),"")</f>
        <v/>
      </c>
      <c r="E14" s="181">
        <f>IFERROR(IF(SUMPRODUCT(MAX((METAS!$A$5:$A$404="DTNH-02")*(METAS!$B$5:$B$404=$A14)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14)*(METAS!$D$5:$D$404=SUMPRODUCT(MAX((METAS!$A$5:$A$404="DTNH-02")*(METAS!$B$5:$B$404=$A14)*(METAS!$D$5:$D$404&lt;=IFERROR(VALUE(SUBSTITUTE($F$4,"-","")),0))*METAS!$D$5:$D$404)))*METAS!$F$5:$F$404)),"")</f>
        <v/>
      </c>
      <c r="F14" s="241">
        <f>IFERROR(IF(SUMPRODUCT(MAX((METAS!$A$5:$A$404="DTNH-03")*(METAS!$B$5:$B$404=$A14)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14)*(METAS!$D$5:$D$404=SUMPRODUCT(MAX((METAS!$A$5:$A$404="DTNH-03")*(METAS!$B$5:$B$404=$A14)*(METAS!$D$5:$D$404&lt;=IFERROR(VALUE(SUBSTITUTE($F$4,"-","")),0))*METAS!$D$5:$D$404)))*METAS!$E$5:$E$404)),"")</f>
        <v/>
      </c>
      <c r="G14" s="181">
        <f>IFERROR(IF(SUMPRODUCT(MAX((METAS!$A$5:$A$404="DTNH-03")*(METAS!$B$5:$B$404=$A14)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14)*(METAS!$D$5:$D$404=SUMPRODUCT(MAX((METAS!$A$5:$A$404="DTNH-03")*(METAS!$B$5:$B$404=$A14)*(METAS!$D$5:$D$404&lt;=IFERROR(VALUE(SUBSTITUTE($F$4,"-","")),0))*METAS!$D$5:$D$404)))*METAS!$F$5:$F$404)),"")</f>
        <v/>
      </c>
    </row>
    <row r="15" ht="15" customHeight="1" s="131">
      <c r="A15" s="167" t="inlineStr">
        <is>
          <t>Direito</t>
        </is>
      </c>
      <c r="B15" s="240">
        <f>IFERROR(IF(SUMPRODUCT(MAX((METAS!$A$5:$A$404="DTNH-01")*(METAS!$B$5:$B$404=$A15)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15)*(METAS!$D$5:$D$404=SUMPRODUCT(MAX((METAS!$A$5:$A$404="DTNH-01")*(METAS!$B$5:$B$404=$A15)*(METAS!$D$5:$D$404&lt;=IFERROR(VALUE(SUBSTITUTE($F$4,"-","")),0))*METAS!$D$5:$D$404)))*METAS!$E$5:$E$404)),"")</f>
        <v/>
      </c>
      <c r="C15" s="169">
        <f>IFERROR(IF(SUMPRODUCT(MAX((METAS!$A$5:$A$404="DTNH-01")*(METAS!$B$5:$B$404=$A15)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15)*(METAS!$D$5:$D$404=SUMPRODUCT(MAX((METAS!$A$5:$A$404="DTNH-01")*(METAS!$B$5:$B$404=$A15)*(METAS!$D$5:$D$404&lt;=IFERROR(VALUE(SUBSTITUTE($F$4,"-","")),0))*METAS!$D$5:$D$404)))*METAS!$F$5:$F$404)),"")</f>
        <v/>
      </c>
      <c r="D15" s="241">
        <f>IFERROR(IF(SUMPRODUCT(MAX((METAS!$A$5:$A$404="DTNH-02")*(METAS!$B$5:$B$404=$A15)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15)*(METAS!$D$5:$D$404=SUMPRODUCT(MAX((METAS!$A$5:$A$404="DTNH-02")*(METAS!$B$5:$B$404=$A15)*(METAS!$D$5:$D$404&lt;=IFERROR(VALUE(SUBSTITUTE($F$4,"-","")),0))*METAS!$D$5:$D$404)))*METAS!$E$5:$E$404)),"")</f>
        <v/>
      </c>
      <c r="E15" s="181">
        <f>IFERROR(IF(SUMPRODUCT(MAX((METAS!$A$5:$A$404="DTNH-02")*(METAS!$B$5:$B$404=$A15)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15)*(METAS!$D$5:$D$404=SUMPRODUCT(MAX((METAS!$A$5:$A$404="DTNH-02")*(METAS!$B$5:$B$404=$A15)*(METAS!$D$5:$D$404&lt;=IFERROR(VALUE(SUBSTITUTE($F$4,"-","")),0))*METAS!$D$5:$D$404)))*METAS!$F$5:$F$404)),"")</f>
        <v/>
      </c>
      <c r="F15" s="241">
        <f>IFERROR(IF(SUMPRODUCT(MAX((METAS!$A$5:$A$404="DTNH-03")*(METAS!$B$5:$B$404=$A15)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15)*(METAS!$D$5:$D$404=SUMPRODUCT(MAX((METAS!$A$5:$A$404="DTNH-03")*(METAS!$B$5:$B$404=$A15)*(METAS!$D$5:$D$404&lt;=IFERROR(VALUE(SUBSTITUTE($F$4,"-","")),0))*METAS!$D$5:$D$404)))*METAS!$E$5:$E$404)),"")</f>
        <v/>
      </c>
      <c r="G15" s="181">
        <f>IFERROR(IF(SUMPRODUCT(MAX((METAS!$A$5:$A$404="DTNH-03")*(METAS!$B$5:$B$404=$A15)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15)*(METAS!$D$5:$D$404=SUMPRODUCT(MAX((METAS!$A$5:$A$404="DTNH-03")*(METAS!$B$5:$B$404=$A15)*(METAS!$D$5:$D$404&lt;=IFERROR(VALUE(SUBSTITUTE($F$4,"-","")),0))*METAS!$D$5:$D$404)))*METAS!$F$5:$F$404)),"")</f>
        <v/>
      </c>
    </row>
    <row r="16" ht="15" customHeight="1" s="131">
      <c r="A16" s="167" t="inlineStr">
        <is>
          <t>Engenharia de Produção</t>
        </is>
      </c>
      <c r="B16" s="240">
        <f>IFERROR(IF(SUMPRODUCT(MAX((METAS!$A$5:$A$404="DTNH-01")*(METAS!$B$5:$B$404=$A16)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16)*(METAS!$D$5:$D$404=SUMPRODUCT(MAX((METAS!$A$5:$A$404="DTNH-01")*(METAS!$B$5:$B$404=$A16)*(METAS!$D$5:$D$404&lt;=IFERROR(VALUE(SUBSTITUTE($F$4,"-","")),0))*METAS!$D$5:$D$404)))*METAS!$E$5:$E$404)),"")</f>
        <v/>
      </c>
      <c r="C16" s="169">
        <f>IFERROR(IF(SUMPRODUCT(MAX((METAS!$A$5:$A$404="DTNH-01")*(METAS!$B$5:$B$404=$A16)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16)*(METAS!$D$5:$D$404=SUMPRODUCT(MAX((METAS!$A$5:$A$404="DTNH-01")*(METAS!$B$5:$B$404=$A16)*(METAS!$D$5:$D$404&lt;=IFERROR(VALUE(SUBSTITUTE($F$4,"-","")),0))*METAS!$D$5:$D$404)))*METAS!$F$5:$F$404)),"")</f>
        <v/>
      </c>
      <c r="D16" s="241">
        <f>IFERROR(IF(SUMPRODUCT(MAX((METAS!$A$5:$A$404="DTNH-02")*(METAS!$B$5:$B$404=$A16)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16)*(METAS!$D$5:$D$404=SUMPRODUCT(MAX((METAS!$A$5:$A$404="DTNH-02")*(METAS!$B$5:$B$404=$A16)*(METAS!$D$5:$D$404&lt;=IFERROR(VALUE(SUBSTITUTE($F$4,"-","")),0))*METAS!$D$5:$D$404)))*METAS!$E$5:$E$404)),"")</f>
        <v/>
      </c>
      <c r="E16" s="181">
        <f>IFERROR(IF(SUMPRODUCT(MAX((METAS!$A$5:$A$404="DTNH-02")*(METAS!$B$5:$B$404=$A16)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16)*(METAS!$D$5:$D$404=SUMPRODUCT(MAX((METAS!$A$5:$A$404="DTNH-02")*(METAS!$B$5:$B$404=$A16)*(METAS!$D$5:$D$404&lt;=IFERROR(VALUE(SUBSTITUTE($F$4,"-","")),0))*METAS!$D$5:$D$404)))*METAS!$F$5:$F$404)),"")</f>
        <v/>
      </c>
      <c r="F16" s="241">
        <f>IFERROR(IF(SUMPRODUCT(MAX((METAS!$A$5:$A$404="DTNH-03")*(METAS!$B$5:$B$404=$A16)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16)*(METAS!$D$5:$D$404=SUMPRODUCT(MAX((METAS!$A$5:$A$404="DTNH-03")*(METAS!$B$5:$B$404=$A16)*(METAS!$D$5:$D$404&lt;=IFERROR(VALUE(SUBSTITUTE($F$4,"-","")),0))*METAS!$D$5:$D$404)))*METAS!$E$5:$E$404)),"")</f>
        <v/>
      </c>
      <c r="G16" s="181">
        <f>IFERROR(IF(SUMPRODUCT(MAX((METAS!$A$5:$A$404="DTNH-03")*(METAS!$B$5:$B$404=$A16)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16)*(METAS!$D$5:$D$404=SUMPRODUCT(MAX((METAS!$A$5:$A$404="DTNH-03")*(METAS!$B$5:$B$404=$A16)*(METAS!$D$5:$D$404&lt;=IFERROR(VALUE(SUBSTITUTE($F$4,"-","")),0))*METAS!$D$5:$D$404)))*METAS!$F$5:$F$404)),"")</f>
        <v/>
      </c>
    </row>
    <row r="17" ht="15" customHeight="1" s="131">
      <c r="A17" s="167" t="inlineStr">
        <is>
          <t>Engenharia Mecânica</t>
        </is>
      </c>
      <c r="B17" s="240">
        <f>IFERROR(IF(SUMPRODUCT(MAX((METAS!$A$5:$A$404="DTNH-01")*(METAS!$B$5:$B$404=$A17)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E$5:$E$404)),SUMPRODUCT((METAS!$A$5:$A$404="DTNH-01")*(METAS!$B$5:$B$404=$A17)*(METAS!$D$5:$D$404=SUMPRODUCT(MAX((METAS!$A$5:$A$404="DTNH-01")*(METAS!$B$5:$B$404=$A17)*(METAS!$D$5:$D$404&lt;=IFERROR(VALUE(SUBSTITUTE($F$4,"-","")),0))*METAS!$D$5:$D$404)))*METAS!$E$5:$E$404)),"")</f>
        <v/>
      </c>
      <c r="C17" s="169">
        <f>IFERROR(IF(SUMPRODUCT(MAX((METAS!$A$5:$A$404="DTNH-01")*(METAS!$B$5:$B$404=$A17)*(METAS!$D$5:$D$404&lt;=IFERROR(VALUE(SUBSTITUTE($F$4,"-","")),0))*METAS!$D$5:$D$404))=0,IF(SUMPRODUCT(MAX((METAS!$A$5:$A$404="DTNH-01")*(METAS!$B$5:$B$404="TOTAL")*(METAS!$D$5:$D$404&lt;=IFERROR(VALUE(SUBSTITUTE($F$4,"-","")),0))*METAS!$D$5:$D$404))=0,"",SUMPRODUCT((METAS!$A$5:$A$404="DTNH-01")*(METAS!$B$5:$B$404="TOTAL")*(METAS!$D$5:$D$404=SUMPRODUCT(MAX((METAS!$A$5:$A$404="DTNH-01")*(METAS!$B$5:$B$404="TOTAL")*(METAS!$D$5:$D$404&lt;=IFERROR(VALUE(SUBSTITUTE($F$4,"-","")),0))*METAS!$D$5:$D$404)))*METAS!$F$5:$F$404)),SUMPRODUCT((METAS!$A$5:$A$404="DTNH-01")*(METAS!$B$5:$B$404=$A17)*(METAS!$D$5:$D$404=SUMPRODUCT(MAX((METAS!$A$5:$A$404="DTNH-01")*(METAS!$B$5:$B$404=$A17)*(METAS!$D$5:$D$404&lt;=IFERROR(VALUE(SUBSTITUTE($F$4,"-","")),0))*METAS!$D$5:$D$404)))*METAS!$F$5:$F$404)),"")</f>
        <v/>
      </c>
      <c r="D17" s="241">
        <f>IFERROR(IF(SUMPRODUCT(MAX((METAS!$A$5:$A$404="DTNH-02")*(METAS!$B$5:$B$404=$A17)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E$5:$E$404)),SUMPRODUCT((METAS!$A$5:$A$404="DTNH-02")*(METAS!$B$5:$B$404=$A17)*(METAS!$D$5:$D$404=SUMPRODUCT(MAX((METAS!$A$5:$A$404="DTNH-02")*(METAS!$B$5:$B$404=$A17)*(METAS!$D$5:$D$404&lt;=IFERROR(VALUE(SUBSTITUTE($F$4,"-","")),0))*METAS!$D$5:$D$404)))*METAS!$E$5:$E$404)),"")</f>
        <v/>
      </c>
      <c r="E17" s="181">
        <f>IFERROR(IF(SUMPRODUCT(MAX((METAS!$A$5:$A$404="DTNH-02")*(METAS!$B$5:$B$404=$A17)*(METAS!$D$5:$D$404&lt;=IFERROR(VALUE(SUBSTITUTE($F$4,"-","")),0))*METAS!$D$5:$D$404))=0,IF(SUMPRODUCT(MAX((METAS!$A$5:$A$404="DTNH-02")*(METAS!$B$5:$B$404="TOTAL")*(METAS!$D$5:$D$404&lt;=IFERROR(VALUE(SUBSTITUTE($F$4,"-","")),0))*METAS!$D$5:$D$404))=0,"",SUMPRODUCT((METAS!$A$5:$A$404="DTNH-02")*(METAS!$B$5:$B$404="TOTAL")*(METAS!$D$5:$D$404=SUMPRODUCT(MAX((METAS!$A$5:$A$404="DTNH-02")*(METAS!$B$5:$B$404="TOTAL")*(METAS!$D$5:$D$404&lt;=IFERROR(VALUE(SUBSTITUTE($F$4,"-","")),0))*METAS!$D$5:$D$404)))*METAS!$F$5:$F$404)),SUMPRODUCT((METAS!$A$5:$A$404="DTNH-02")*(METAS!$B$5:$B$404=$A17)*(METAS!$D$5:$D$404=SUMPRODUCT(MAX((METAS!$A$5:$A$404="DTNH-02")*(METAS!$B$5:$B$404=$A17)*(METAS!$D$5:$D$404&lt;=IFERROR(VALUE(SUBSTITUTE($F$4,"-","")),0))*METAS!$D$5:$D$404)))*METAS!$F$5:$F$404)),"")</f>
        <v/>
      </c>
      <c r="F17" s="241">
        <f>IFERROR(IF(SUMPRODUCT(MAX((METAS!$A$5:$A$404="DTNH-03")*(METAS!$B$5:$B$404=$A17)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,SUMPRODUCT((METAS!$A$5:$A$404="DTNH-03")*(METAS!$B$5:$B$404=$A17)*(METAS!$D$5:$D$404=SUMPRODUCT(MAX((METAS!$A$5:$A$404="DTNH-03")*(METAS!$B$5:$B$404=$A17)*(METAS!$D$5:$D$404&lt;=IFERROR(VALUE(SUBSTITUTE($F$4,"-","")),0))*METAS!$D$5:$D$404)))*METAS!$E$5:$E$404)),"")</f>
        <v/>
      </c>
      <c r="G17" s="181">
        <f>IFERROR(IF(SUMPRODUCT(MAX((METAS!$A$5:$A$404="DTNH-03")*(METAS!$B$5:$B$404=$A17)*(METAS!$D$5:$D$404&lt;=IFERROR(VALUE(SUBSTITUTE($F$4,"-","")),0))*METAS!$D$5:$D$404))=0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,SUMPRODUCT((METAS!$A$5:$A$404="DTNH-03")*(METAS!$B$5:$B$404=$A17)*(METAS!$D$5:$D$404=SUMPRODUCT(MAX((METAS!$A$5:$A$404="DTNH-03")*(METAS!$B$5:$B$404=$A17)*(METAS!$D$5:$D$404&lt;=IFERROR(VALUE(SUBSTITUTE($F$4,"-","")),0))*METAS!$D$5:$D$404)))*METAS!$F$5:$F$404)),"")</f>
        <v/>
      </c>
    </row>
    <row r="20" ht="32.25" customHeight="1" s="131">
      <c r="A20" s="198" t="inlineStr">
        <is>
          <t>DTNH-01 — NPS Discente da Área</t>
        </is>
      </c>
      <c r="C20" s="140" t="inlineStr">
        <is>
          <t>alimentação: Mensal · detalhe: Curso</t>
        </is>
      </c>
    </row>
    <row r="21" ht="31.5" customHeight="1" s="131">
      <c r="A21" s="199" t="inlineStr">
        <is>
          <t>Mês da janela</t>
        </is>
      </c>
      <c r="B21" s="199" t="inlineStr">
        <is>
          <t>Critério de período</t>
        </is>
      </c>
      <c r="C21" s="199" t="inlineStr">
        <is>
          <t>Total: Respondentes</t>
        </is>
      </c>
      <c r="D21" s="199" t="inlineStr">
        <is>
          <t>Total: Promotores (9-10)</t>
        </is>
      </c>
      <c r="E21" s="199" t="inlineStr">
        <is>
          <t>Total: Neutros (7-8)</t>
        </is>
      </c>
      <c r="F21" s="199" t="inlineStr">
        <is>
          <t>Total: Detratores (0-6)</t>
        </is>
      </c>
      <c r="G21" s="199" t="inlineStr">
        <is>
          <t>Lançamentos</t>
        </is>
      </c>
      <c r="H21" s="199" t="inlineStr">
        <is>
          <t>Valor apurado</t>
        </is>
      </c>
      <c r="I21" s="199" t="inlineStr">
        <is>
          <t>Meta no mês</t>
        </is>
      </c>
    </row>
    <row r="22" ht="15" customHeight="1" s="131">
      <c r="A22" s="242">
        <f>IF(OR(PARAMETROS!$B$18="",PARAMETROS!$B$19=0),"",IF(YEAR(EDATE(PARAMETROS!$B$18,0))*100+MONTH(EDATE(PARAMETROS!$B$18,0))&gt;PARAMETROS!$B$19,"",YEAR(EDATE(PARAMETROS!$B$18,0))&amp;"-"&amp;IF(MONTH(EDATE(PARAMETROS!$B$18,0))&lt;10,"0","")&amp;MONTH(EDATE(PARAMETROS!$B$18,0))))</f>
        <v/>
      </c>
      <c r="B22" s="243">
        <f>IF($A22="","",IF(INDEX(INDICADORES!$I$5:$I$24,MATCH("DTNH-01",INDICADORES!$A$5:$A$24,0))="Semestral",LEFT($A22,4)&amp;"-SEM"&amp;IF(VALUE(RIGHT($A22,2))&lt;=6,1,2),$A22&amp;"*"))</f>
        <v/>
      </c>
      <c r="C22" s="179">
        <f>IF($A22="","",SUMIFS(Tabela3[Respondentes],Tabela3[Período],$B22))</f>
        <v/>
      </c>
      <c r="D22" s="179">
        <f>IF($A22="","",SUMIFS(Tabela3[Promotores (9-10)],Tabela3[Período],$B22))</f>
        <v/>
      </c>
      <c r="E22" s="179">
        <f>IF($A22="","",SUMIFS(Tabela3[Neutros (7-8)],Tabela3[Período],$B22))</f>
        <v/>
      </c>
      <c r="F22" s="179">
        <f>IF($A22="","",SUMIFS(Tabela3[Detratores (0-6)],Tabela3[Período],$B22))</f>
        <v/>
      </c>
      <c r="G22" s="244">
        <f>IF($A22="","",COUNTIFS(Tabela3[Período],$B22))</f>
        <v/>
      </c>
      <c r="H22" s="202">
        <f>IF($A22="","",IF(G22=0,"",IFERROR((D22-F22)/C22*100,"")))</f>
        <v/>
      </c>
      <c r="I22" s="245">
        <f>IF($A22="","",IFERROR(IF(SUMPRODUCT(MAX((METAS!$A$5:$A$404="DTNH-01")*(METAS!$B$5:$B$404="TOTAL")*(METAS!$D$5:$D$404&lt;=IFERROR(VALUE(SUBSTITUTE($A22,"-","")),0))*METAS!$D$5:$D$404))=0,IF(SUMPRODUCT(MAX((METAS!$A$5:$A$404="DTNH-01")*(METAS!$B$5:$B$404="TOTAL")*(METAS!$D$5:$D$404&lt;=IFERROR(VALUE(SUBSTITUTE($A22,"-","")),0))*METAS!$D$5:$D$404))=0,"",SUMPRODUCT((METAS!$A$5:$A$404="DTNH-01")*(METAS!$B$5:$B$404="TOTAL")*(METAS!$D$5:$D$404=SUMPRODUCT(MAX((METAS!$A$5:$A$404="DTNH-01")*(METAS!$B$5:$B$404="TOTAL")*(METAS!$D$5:$D$404&lt;=IFERROR(VALUE(SUBSTITUTE($A22,"-","")),0))*METAS!$D$5:$D$404)))*METAS!$E$5:$E$404)),SUMPRODUCT((METAS!$A$5:$A$404="DTNH-01")*(METAS!$B$5:$B$404="TOTAL")*(METAS!$D$5:$D$404=SUMPRODUCT(MAX((METAS!$A$5:$A$404="DTNH-01")*(METAS!$B$5:$B$404="TOTAL")*(METAS!$D$5:$D$404&lt;=IFERROR(VALUE(SUBSTITUTE($A22,"-","")),0))*METAS!$D$5:$D$404)))*METAS!$E$5:$E$404)),""))</f>
        <v/>
      </c>
    </row>
    <row r="23" ht="15" customHeight="1" s="131">
      <c r="A23" s="242">
        <f>IF(OR(PARAMETROS!$B$18="",PARAMETROS!$B$19=0),"",IF(YEAR(EDATE(PARAMETROS!$B$18,1))*100+MONTH(EDATE(PARAMETROS!$B$18,1))&gt;PARAMETROS!$B$19,"",YEAR(EDATE(PARAMETROS!$B$18,1))&amp;"-"&amp;IF(MONTH(EDATE(PARAMETROS!$B$18,1))&lt;10,"0","")&amp;MONTH(EDATE(PARAMETROS!$B$18,1))))</f>
        <v/>
      </c>
      <c r="B23" s="243">
        <f>IF($A23="","",IF(INDEX(INDICADORES!$I$5:$I$24,MATCH("DTNH-01",INDICADORES!$A$5:$A$24,0))="Semestral",LEFT($A23,4)&amp;"-SEM"&amp;IF(VALUE(RIGHT($A23,2))&lt;=6,1,2),$A23&amp;"*"))</f>
        <v/>
      </c>
      <c r="C23" s="179">
        <f>IF($A23="","",SUMIFS(Tabela3[Respondentes],Tabela3[Período],$B23))</f>
        <v/>
      </c>
      <c r="D23" s="179">
        <f>IF($A23="","",SUMIFS(Tabela3[Promotores (9-10)],Tabela3[Período],$B23))</f>
        <v/>
      </c>
      <c r="E23" s="179">
        <f>IF($A23="","",SUMIFS(Tabela3[Neutros (7-8)],Tabela3[Período],$B23))</f>
        <v/>
      </c>
      <c r="F23" s="179">
        <f>IF($A23="","",SUMIFS(Tabela3[Detratores (0-6)],Tabela3[Período],$B23))</f>
        <v/>
      </c>
      <c r="G23" s="244">
        <f>IF($A23="","",COUNTIFS(Tabela3[Período],$B23))</f>
        <v/>
      </c>
      <c r="H23" s="202">
        <f>IF($A23="","",IF(G23=0,"",IFERROR((D23-F23)/C23*100,"")))</f>
        <v/>
      </c>
      <c r="I23" s="245">
        <f>IF($A23="","",IFERROR(IF(SUMPRODUCT(MAX((METAS!$A$5:$A$404="DTNH-01")*(METAS!$B$5:$B$404="TOTAL")*(METAS!$D$5:$D$404&lt;=IFERROR(VALUE(SUBSTITUTE($A23,"-","")),0))*METAS!$D$5:$D$404))=0,IF(SUMPRODUCT(MAX((METAS!$A$5:$A$404="DTNH-01")*(METAS!$B$5:$B$404="TOTAL")*(METAS!$D$5:$D$404&lt;=IFERROR(VALUE(SUBSTITUTE($A23,"-","")),0))*METAS!$D$5:$D$404))=0,"",SUMPRODUCT((METAS!$A$5:$A$404="DTNH-01")*(METAS!$B$5:$B$404="TOTAL")*(METAS!$D$5:$D$404=SUMPRODUCT(MAX((METAS!$A$5:$A$404="DTNH-01")*(METAS!$B$5:$B$404="TOTAL")*(METAS!$D$5:$D$404&lt;=IFERROR(VALUE(SUBSTITUTE($A23,"-","")),0))*METAS!$D$5:$D$404)))*METAS!$E$5:$E$404)),SUMPRODUCT((METAS!$A$5:$A$404="DTNH-01")*(METAS!$B$5:$B$404="TOTAL")*(METAS!$D$5:$D$404=SUMPRODUCT(MAX((METAS!$A$5:$A$404="DTNH-01")*(METAS!$B$5:$B$404="TOTAL")*(METAS!$D$5:$D$404&lt;=IFERROR(VALUE(SUBSTITUTE($A23,"-","")),0))*METAS!$D$5:$D$404)))*METAS!$E$5:$E$404)),""))</f>
        <v/>
      </c>
    </row>
    <row r="24" ht="15" customHeight="1" s="131">
      <c r="A24" s="242">
        <f>IF(OR(PARAMETROS!$B$18="",PARAMETROS!$B$19=0),"",IF(YEAR(EDATE(PARAMETROS!$B$18,2))*100+MONTH(EDATE(PARAMETROS!$B$18,2))&gt;PARAMETROS!$B$19,"",YEAR(EDATE(PARAMETROS!$B$18,2))&amp;"-"&amp;IF(MONTH(EDATE(PARAMETROS!$B$18,2))&lt;10,"0","")&amp;MONTH(EDATE(PARAMETROS!$B$18,2))))</f>
        <v/>
      </c>
      <c r="B24" s="243">
        <f>IF($A24="","",IF(INDEX(INDICADORES!$I$5:$I$24,MATCH("DTNH-01",INDICADORES!$A$5:$A$24,0))="Semestral",LEFT($A24,4)&amp;"-SEM"&amp;IF(VALUE(RIGHT($A24,2))&lt;=6,1,2),$A24&amp;"*"))</f>
        <v/>
      </c>
      <c r="C24" s="179">
        <f>IF($A24="","",SUMIFS(Tabela3[Respondentes],Tabela3[Período],$B24))</f>
        <v/>
      </c>
      <c r="D24" s="179">
        <f>IF($A24="","",SUMIFS(Tabela3[Promotores (9-10)],Tabela3[Período],$B24))</f>
        <v/>
      </c>
      <c r="E24" s="179">
        <f>IF($A24="","",SUMIFS(Tabela3[Neutros (7-8)],Tabela3[Período],$B24))</f>
        <v/>
      </c>
      <c r="F24" s="179">
        <f>IF($A24="","",SUMIFS(Tabela3[Detratores (0-6)],Tabela3[Período],$B24))</f>
        <v/>
      </c>
      <c r="G24" s="244">
        <f>IF($A24="","",COUNTIFS(Tabela3[Período],$B24))</f>
        <v/>
      </c>
      <c r="H24" s="202">
        <f>IF($A24="","",IF(G24=0,"",IFERROR((D24-F24)/C24*100,"")))</f>
        <v/>
      </c>
      <c r="I24" s="245">
        <f>IF($A24="","",IFERROR(IF(SUMPRODUCT(MAX((METAS!$A$5:$A$404="DTNH-01")*(METAS!$B$5:$B$404="TOTAL")*(METAS!$D$5:$D$404&lt;=IFERROR(VALUE(SUBSTITUTE($A24,"-","")),0))*METAS!$D$5:$D$404))=0,IF(SUMPRODUCT(MAX((METAS!$A$5:$A$404="DTNH-01")*(METAS!$B$5:$B$404="TOTAL")*(METAS!$D$5:$D$404&lt;=IFERROR(VALUE(SUBSTITUTE($A24,"-","")),0))*METAS!$D$5:$D$404))=0,"",SUMPRODUCT((METAS!$A$5:$A$404="DTNH-01")*(METAS!$B$5:$B$404="TOTAL")*(METAS!$D$5:$D$404=SUMPRODUCT(MAX((METAS!$A$5:$A$404="DTNH-01")*(METAS!$B$5:$B$404="TOTAL")*(METAS!$D$5:$D$404&lt;=IFERROR(VALUE(SUBSTITUTE($A24,"-","")),0))*METAS!$D$5:$D$404)))*METAS!$E$5:$E$404)),SUMPRODUCT((METAS!$A$5:$A$404="DTNH-01")*(METAS!$B$5:$B$404="TOTAL")*(METAS!$D$5:$D$404=SUMPRODUCT(MAX((METAS!$A$5:$A$404="DTNH-01")*(METAS!$B$5:$B$404="TOTAL")*(METAS!$D$5:$D$404&lt;=IFERROR(VALUE(SUBSTITUTE($A24,"-","")),0))*METAS!$D$5:$D$404)))*METAS!$E$5:$E$404)),""))</f>
        <v/>
      </c>
    </row>
    <row r="25" ht="15" customHeight="1" s="131">
      <c r="A25" s="242">
        <f>IF(OR(PARAMETROS!$B$18="",PARAMETROS!$B$19=0),"",IF(YEAR(EDATE(PARAMETROS!$B$18,3))*100+MONTH(EDATE(PARAMETROS!$B$18,3))&gt;PARAMETROS!$B$19,"",YEAR(EDATE(PARAMETROS!$B$18,3))&amp;"-"&amp;IF(MONTH(EDATE(PARAMETROS!$B$18,3))&lt;10,"0","")&amp;MONTH(EDATE(PARAMETROS!$B$18,3))))</f>
        <v/>
      </c>
      <c r="B25" s="243">
        <f>IF($A25="","",IF(INDEX(INDICADORES!$I$5:$I$24,MATCH("DTNH-01",INDICADORES!$A$5:$A$24,0))="Semestral",LEFT($A25,4)&amp;"-SEM"&amp;IF(VALUE(RIGHT($A25,2))&lt;=6,1,2),$A25&amp;"*"))</f>
        <v/>
      </c>
      <c r="C25" s="179">
        <f>IF($A25="","",SUMIFS(Tabela3[Respondentes],Tabela3[Período],$B25))</f>
        <v/>
      </c>
      <c r="D25" s="179">
        <f>IF($A25="","",SUMIFS(Tabela3[Promotores (9-10)],Tabela3[Período],$B25))</f>
        <v/>
      </c>
      <c r="E25" s="179">
        <f>IF($A25="","",SUMIFS(Tabela3[Neutros (7-8)],Tabela3[Período],$B25))</f>
        <v/>
      </c>
      <c r="F25" s="179">
        <f>IF($A25="","",SUMIFS(Tabela3[Detratores (0-6)],Tabela3[Período],$B25))</f>
        <v/>
      </c>
      <c r="G25" s="244">
        <f>IF($A25="","",COUNTIFS(Tabela3[Período],$B25))</f>
        <v/>
      </c>
      <c r="H25" s="202">
        <f>IF($A25="","",IF(G25=0,"",IFERROR((D25-F25)/C25*100,"")))</f>
        <v/>
      </c>
      <c r="I25" s="245">
        <f>IF($A25="","",IFERROR(IF(SUMPRODUCT(MAX((METAS!$A$5:$A$404="DTNH-01")*(METAS!$B$5:$B$404="TOTAL")*(METAS!$D$5:$D$404&lt;=IFERROR(VALUE(SUBSTITUTE($A25,"-","")),0))*METAS!$D$5:$D$404))=0,IF(SUMPRODUCT(MAX((METAS!$A$5:$A$404="DTNH-01")*(METAS!$B$5:$B$404="TOTAL")*(METAS!$D$5:$D$404&lt;=IFERROR(VALUE(SUBSTITUTE($A25,"-","")),0))*METAS!$D$5:$D$404))=0,"",SUMPRODUCT((METAS!$A$5:$A$404="DTNH-01")*(METAS!$B$5:$B$404="TOTAL")*(METAS!$D$5:$D$404=SUMPRODUCT(MAX((METAS!$A$5:$A$404="DTNH-01")*(METAS!$B$5:$B$404="TOTAL")*(METAS!$D$5:$D$404&lt;=IFERROR(VALUE(SUBSTITUTE($A25,"-","")),0))*METAS!$D$5:$D$404)))*METAS!$E$5:$E$404)),SUMPRODUCT((METAS!$A$5:$A$404="DTNH-01")*(METAS!$B$5:$B$404="TOTAL")*(METAS!$D$5:$D$404=SUMPRODUCT(MAX((METAS!$A$5:$A$404="DTNH-01")*(METAS!$B$5:$B$404="TOTAL")*(METAS!$D$5:$D$404&lt;=IFERROR(VALUE(SUBSTITUTE($A25,"-","")),0))*METAS!$D$5:$D$404)))*METAS!$E$5:$E$404)),""))</f>
        <v/>
      </c>
    </row>
    <row r="26" ht="15" customHeight="1" s="131">
      <c r="A26" s="242">
        <f>IF(OR(PARAMETROS!$B$18="",PARAMETROS!$B$19=0),"",IF(YEAR(EDATE(PARAMETROS!$B$18,4))*100+MONTH(EDATE(PARAMETROS!$B$18,4))&gt;PARAMETROS!$B$19,"",YEAR(EDATE(PARAMETROS!$B$18,4))&amp;"-"&amp;IF(MONTH(EDATE(PARAMETROS!$B$18,4))&lt;10,"0","")&amp;MONTH(EDATE(PARAMETROS!$B$18,4))))</f>
        <v/>
      </c>
      <c r="B26" s="243">
        <f>IF($A26="","",IF(INDEX(INDICADORES!$I$5:$I$24,MATCH("DTNH-01",INDICADORES!$A$5:$A$24,0))="Semestral",LEFT($A26,4)&amp;"-SEM"&amp;IF(VALUE(RIGHT($A26,2))&lt;=6,1,2),$A26&amp;"*"))</f>
        <v/>
      </c>
      <c r="C26" s="179">
        <f>IF($A26="","",SUMIFS(Tabela3[Respondentes],Tabela3[Período],$B26))</f>
        <v/>
      </c>
      <c r="D26" s="179">
        <f>IF($A26="","",SUMIFS(Tabela3[Promotores (9-10)],Tabela3[Período],$B26))</f>
        <v/>
      </c>
      <c r="E26" s="179">
        <f>IF($A26="","",SUMIFS(Tabela3[Neutros (7-8)],Tabela3[Período],$B26))</f>
        <v/>
      </c>
      <c r="F26" s="179">
        <f>IF($A26="","",SUMIFS(Tabela3[Detratores (0-6)],Tabela3[Período],$B26))</f>
        <v/>
      </c>
      <c r="G26" s="244">
        <f>IF($A26="","",COUNTIFS(Tabela3[Período],$B26))</f>
        <v/>
      </c>
      <c r="H26" s="202">
        <f>IF($A26="","",IF(G26=0,"",IFERROR((D26-F26)/C26*100,"")))</f>
        <v/>
      </c>
      <c r="I26" s="245">
        <f>IF($A26="","",IFERROR(IF(SUMPRODUCT(MAX((METAS!$A$5:$A$404="DTNH-01")*(METAS!$B$5:$B$404="TOTAL")*(METAS!$D$5:$D$404&lt;=IFERROR(VALUE(SUBSTITUTE($A26,"-","")),0))*METAS!$D$5:$D$404))=0,IF(SUMPRODUCT(MAX((METAS!$A$5:$A$404="DTNH-01")*(METAS!$B$5:$B$404="TOTAL")*(METAS!$D$5:$D$404&lt;=IFERROR(VALUE(SUBSTITUTE($A26,"-","")),0))*METAS!$D$5:$D$404))=0,"",SUMPRODUCT((METAS!$A$5:$A$404="DTNH-01")*(METAS!$B$5:$B$404="TOTAL")*(METAS!$D$5:$D$404=SUMPRODUCT(MAX((METAS!$A$5:$A$404="DTNH-01")*(METAS!$B$5:$B$404="TOTAL")*(METAS!$D$5:$D$404&lt;=IFERROR(VALUE(SUBSTITUTE($A26,"-","")),0))*METAS!$D$5:$D$404)))*METAS!$E$5:$E$404)),SUMPRODUCT((METAS!$A$5:$A$404="DTNH-01")*(METAS!$B$5:$B$404="TOTAL")*(METAS!$D$5:$D$404=SUMPRODUCT(MAX((METAS!$A$5:$A$404="DTNH-01")*(METAS!$B$5:$B$404="TOTAL")*(METAS!$D$5:$D$404&lt;=IFERROR(VALUE(SUBSTITUTE($A26,"-","")),0))*METAS!$D$5:$D$404)))*METAS!$E$5:$E$404)),""))</f>
        <v/>
      </c>
    </row>
    <row r="27" ht="15" customHeight="1" s="131">
      <c r="A27" s="242">
        <f>IF(OR(PARAMETROS!$B$18="",PARAMETROS!$B$19=0),"",IF(YEAR(EDATE(PARAMETROS!$B$18,5))*100+MONTH(EDATE(PARAMETROS!$B$18,5))&gt;PARAMETROS!$B$19,"",YEAR(EDATE(PARAMETROS!$B$18,5))&amp;"-"&amp;IF(MONTH(EDATE(PARAMETROS!$B$18,5))&lt;10,"0","")&amp;MONTH(EDATE(PARAMETROS!$B$18,5))))</f>
        <v/>
      </c>
      <c r="B27" s="243">
        <f>IF($A27="","",IF(INDEX(INDICADORES!$I$5:$I$24,MATCH("DTNH-01",INDICADORES!$A$5:$A$24,0))="Semestral",LEFT($A27,4)&amp;"-SEM"&amp;IF(VALUE(RIGHT($A27,2))&lt;=6,1,2),$A27&amp;"*"))</f>
        <v/>
      </c>
      <c r="C27" s="179">
        <f>IF($A27="","",SUMIFS(Tabela3[Respondentes],Tabela3[Período],$B27))</f>
        <v/>
      </c>
      <c r="D27" s="179">
        <f>IF($A27="","",SUMIFS(Tabela3[Promotores (9-10)],Tabela3[Período],$B27))</f>
        <v/>
      </c>
      <c r="E27" s="179">
        <f>IF($A27="","",SUMIFS(Tabela3[Neutros (7-8)],Tabela3[Período],$B27))</f>
        <v/>
      </c>
      <c r="F27" s="179">
        <f>IF($A27="","",SUMIFS(Tabela3[Detratores (0-6)],Tabela3[Período],$B27))</f>
        <v/>
      </c>
      <c r="G27" s="244">
        <f>IF($A27="","",COUNTIFS(Tabela3[Período],$B27))</f>
        <v/>
      </c>
      <c r="H27" s="202">
        <f>IF($A27="","",IF(G27=0,"",IFERROR((D27-F27)/C27*100,"")))</f>
        <v/>
      </c>
      <c r="I27" s="245">
        <f>IF($A27="","",IFERROR(IF(SUMPRODUCT(MAX((METAS!$A$5:$A$404="DTNH-01")*(METAS!$B$5:$B$404="TOTAL")*(METAS!$D$5:$D$404&lt;=IFERROR(VALUE(SUBSTITUTE($A27,"-","")),0))*METAS!$D$5:$D$404))=0,IF(SUMPRODUCT(MAX((METAS!$A$5:$A$404="DTNH-01")*(METAS!$B$5:$B$404="TOTAL")*(METAS!$D$5:$D$404&lt;=IFERROR(VALUE(SUBSTITUTE($A27,"-","")),0))*METAS!$D$5:$D$404))=0,"",SUMPRODUCT((METAS!$A$5:$A$404="DTNH-01")*(METAS!$B$5:$B$404="TOTAL")*(METAS!$D$5:$D$404=SUMPRODUCT(MAX((METAS!$A$5:$A$404="DTNH-01")*(METAS!$B$5:$B$404="TOTAL")*(METAS!$D$5:$D$404&lt;=IFERROR(VALUE(SUBSTITUTE($A27,"-","")),0))*METAS!$D$5:$D$404)))*METAS!$E$5:$E$404)),SUMPRODUCT((METAS!$A$5:$A$404="DTNH-01")*(METAS!$B$5:$B$404="TOTAL")*(METAS!$D$5:$D$404=SUMPRODUCT(MAX((METAS!$A$5:$A$404="DTNH-01")*(METAS!$B$5:$B$404="TOTAL")*(METAS!$D$5:$D$404&lt;=IFERROR(VALUE(SUBSTITUTE($A27,"-","")),0))*METAS!$D$5:$D$404)))*METAS!$E$5:$E$404)),""))</f>
        <v/>
      </c>
    </row>
    <row r="28" ht="15" customHeight="1" s="131">
      <c r="A28" s="242">
        <f>IF(OR(PARAMETROS!$B$18="",PARAMETROS!$B$19=0),"",IF(YEAR(EDATE(PARAMETROS!$B$18,6))*100+MONTH(EDATE(PARAMETROS!$B$18,6))&gt;PARAMETROS!$B$19,"",YEAR(EDATE(PARAMETROS!$B$18,6))&amp;"-"&amp;IF(MONTH(EDATE(PARAMETROS!$B$18,6))&lt;10,"0","")&amp;MONTH(EDATE(PARAMETROS!$B$18,6))))</f>
        <v/>
      </c>
      <c r="B28" s="243">
        <f>IF($A28="","",IF(INDEX(INDICADORES!$I$5:$I$24,MATCH("DTNH-01",INDICADORES!$A$5:$A$24,0))="Semestral",LEFT($A28,4)&amp;"-SEM"&amp;IF(VALUE(RIGHT($A28,2))&lt;=6,1,2),$A28&amp;"*"))</f>
        <v/>
      </c>
      <c r="C28" s="179">
        <f>IF($A28="","",SUMIFS(Tabela3[Respondentes],Tabela3[Período],$B28))</f>
        <v/>
      </c>
      <c r="D28" s="179">
        <f>IF($A28="","",SUMIFS(Tabela3[Promotores (9-10)],Tabela3[Período],$B28))</f>
        <v/>
      </c>
      <c r="E28" s="179">
        <f>IF($A28="","",SUMIFS(Tabela3[Neutros (7-8)],Tabela3[Período],$B28))</f>
        <v/>
      </c>
      <c r="F28" s="179">
        <f>IF($A28="","",SUMIFS(Tabela3[Detratores (0-6)],Tabela3[Período],$B28))</f>
        <v/>
      </c>
      <c r="G28" s="244">
        <f>IF($A28="","",COUNTIFS(Tabela3[Período],$B28))</f>
        <v/>
      </c>
      <c r="H28" s="202">
        <f>IF($A28="","",IF(G28=0,"",IFERROR((D28-F28)/C28*100,"")))</f>
        <v/>
      </c>
      <c r="I28" s="245">
        <f>IF($A28="","",IFERROR(IF(SUMPRODUCT(MAX((METAS!$A$5:$A$404="DTNH-01")*(METAS!$B$5:$B$404="TOTAL")*(METAS!$D$5:$D$404&lt;=IFERROR(VALUE(SUBSTITUTE($A28,"-","")),0))*METAS!$D$5:$D$404))=0,IF(SUMPRODUCT(MAX((METAS!$A$5:$A$404="DTNH-01")*(METAS!$B$5:$B$404="TOTAL")*(METAS!$D$5:$D$404&lt;=IFERROR(VALUE(SUBSTITUTE($A28,"-","")),0))*METAS!$D$5:$D$404))=0,"",SUMPRODUCT((METAS!$A$5:$A$404="DTNH-01")*(METAS!$B$5:$B$404="TOTAL")*(METAS!$D$5:$D$404=SUMPRODUCT(MAX((METAS!$A$5:$A$404="DTNH-01")*(METAS!$B$5:$B$404="TOTAL")*(METAS!$D$5:$D$404&lt;=IFERROR(VALUE(SUBSTITUTE($A28,"-","")),0))*METAS!$D$5:$D$404)))*METAS!$E$5:$E$404)),SUMPRODUCT((METAS!$A$5:$A$404="DTNH-01")*(METAS!$B$5:$B$404="TOTAL")*(METAS!$D$5:$D$404=SUMPRODUCT(MAX((METAS!$A$5:$A$404="DTNH-01")*(METAS!$B$5:$B$404="TOTAL")*(METAS!$D$5:$D$404&lt;=IFERROR(VALUE(SUBSTITUTE($A28,"-","")),0))*METAS!$D$5:$D$404)))*METAS!$E$5:$E$404)),""))</f>
        <v/>
      </c>
    </row>
    <row r="29" ht="15" customHeight="1" s="131">
      <c r="A29" s="242">
        <f>IF(OR(PARAMETROS!$B$18="",PARAMETROS!$B$19=0),"",IF(YEAR(EDATE(PARAMETROS!$B$18,7))*100+MONTH(EDATE(PARAMETROS!$B$18,7))&gt;PARAMETROS!$B$19,"",YEAR(EDATE(PARAMETROS!$B$18,7))&amp;"-"&amp;IF(MONTH(EDATE(PARAMETROS!$B$18,7))&lt;10,"0","")&amp;MONTH(EDATE(PARAMETROS!$B$18,7))))</f>
        <v/>
      </c>
      <c r="B29" s="243">
        <f>IF($A29="","",IF(INDEX(INDICADORES!$I$5:$I$24,MATCH("DTNH-01",INDICADORES!$A$5:$A$24,0))="Semestral",LEFT($A29,4)&amp;"-SEM"&amp;IF(VALUE(RIGHT($A29,2))&lt;=6,1,2),$A29&amp;"*"))</f>
        <v/>
      </c>
      <c r="C29" s="179">
        <f>IF($A29="","",SUMIFS(Tabela3[Respondentes],Tabela3[Período],$B29))</f>
        <v/>
      </c>
      <c r="D29" s="179">
        <f>IF($A29="","",SUMIFS(Tabela3[Promotores (9-10)],Tabela3[Período],$B29))</f>
        <v/>
      </c>
      <c r="E29" s="179">
        <f>IF($A29="","",SUMIFS(Tabela3[Neutros (7-8)],Tabela3[Período],$B29))</f>
        <v/>
      </c>
      <c r="F29" s="179">
        <f>IF($A29="","",SUMIFS(Tabela3[Detratores (0-6)],Tabela3[Período],$B29))</f>
        <v/>
      </c>
      <c r="G29" s="244">
        <f>IF($A29="","",COUNTIFS(Tabela3[Período],$B29))</f>
        <v/>
      </c>
      <c r="H29" s="202">
        <f>IF($A29="","",IF(G29=0,"",IFERROR((D29-F29)/C29*100,"")))</f>
        <v/>
      </c>
      <c r="I29" s="245">
        <f>IF($A29="","",IFERROR(IF(SUMPRODUCT(MAX((METAS!$A$5:$A$404="DTNH-01")*(METAS!$B$5:$B$404="TOTAL")*(METAS!$D$5:$D$404&lt;=IFERROR(VALUE(SUBSTITUTE($A29,"-","")),0))*METAS!$D$5:$D$404))=0,IF(SUMPRODUCT(MAX((METAS!$A$5:$A$404="DTNH-01")*(METAS!$B$5:$B$404="TOTAL")*(METAS!$D$5:$D$404&lt;=IFERROR(VALUE(SUBSTITUTE($A29,"-","")),0))*METAS!$D$5:$D$404))=0,"",SUMPRODUCT((METAS!$A$5:$A$404="DTNH-01")*(METAS!$B$5:$B$404="TOTAL")*(METAS!$D$5:$D$404=SUMPRODUCT(MAX((METAS!$A$5:$A$404="DTNH-01")*(METAS!$B$5:$B$404="TOTAL")*(METAS!$D$5:$D$404&lt;=IFERROR(VALUE(SUBSTITUTE($A29,"-","")),0))*METAS!$D$5:$D$404)))*METAS!$E$5:$E$404)),SUMPRODUCT((METAS!$A$5:$A$404="DTNH-01")*(METAS!$B$5:$B$404="TOTAL")*(METAS!$D$5:$D$404=SUMPRODUCT(MAX((METAS!$A$5:$A$404="DTNH-01")*(METAS!$B$5:$B$404="TOTAL")*(METAS!$D$5:$D$404&lt;=IFERROR(VALUE(SUBSTITUTE($A29,"-","")),0))*METAS!$D$5:$D$404)))*METAS!$E$5:$E$404)),""))</f>
        <v/>
      </c>
    </row>
    <row r="30" ht="15" customHeight="1" s="131">
      <c r="A30" s="242">
        <f>IF(OR(PARAMETROS!$B$18="",PARAMETROS!$B$19=0),"",IF(YEAR(EDATE(PARAMETROS!$B$18,8))*100+MONTH(EDATE(PARAMETROS!$B$18,8))&gt;PARAMETROS!$B$19,"",YEAR(EDATE(PARAMETROS!$B$18,8))&amp;"-"&amp;IF(MONTH(EDATE(PARAMETROS!$B$18,8))&lt;10,"0","")&amp;MONTH(EDATE(PARAMETROS!$B$18,8))))</f>
        <v/>
      </c>
      <c r="B30" s="243">
        <f>IF($A30="","",IF(INDEX(INDICADORES!$I$5:$I$24,MATCH("DTNH-01",INDICADORES!$A$5:$A$24,0))="Semestral",LEFT($A30,4)&amp;"-SEM"&amp;IF(VALUE(RIGHT($A30,2))&lt;=6,1,2),$A30&amp;"*"))</f>
        <v/>
      </c>
      <c r="C30" s="179">
        <f>IF($A30="","",SUMIFS(Tabela3[Respondentes],Tabela3[Período],$B30))</f>
        <v/>
      </c>
      <c r="D30" s="179">
        <f>IF($A30="","",SUMIFS(Tabela3[Promotores (9-10)],Tabela3[Período],$B30))</f>
        <v/>
      </c>
      <c r="E30" s="179">
        <f>IF($A30="","",SUMIFS(Tabela3[Neutros (7-8)],Tabela3[Período],$B30))</f>
        <v/>
      </c>
      <c r="F30" s="179">
        <f>IF($A30="","",SUMIFS(Tabela3[Detratores (0-6)],Tabela3[Período],$B30))</f>
        <v/>
      </c>
      <c r="G30" s="244">
        <f>IF($A30="","",COUNTIFS(Tabela3[Período],$B30))</f>
        <v/>
      </c>
      <c r="H30" s="202">
        <f>IF($A30="","",IF(G30=0,"",IFERROR((D30-F30)/C30*100,"")))</f>
        <v/>
      </c>
      <c r="I30" s="245">
        <f>IF($A30="","",IFERROR(IF(SUMPRODUCT(MAX((METAS!$A$5:$A$404="DTNH-01")*(METAS!$B$5:$B$404="TOTAL")*(METAS!$D$5:$D$404&lt;=IFERROR(VALUE(SUBSTITUTE($A30,"-","")),0))*METAS!$D$5:$D$404))=0,IF(SUMPRODUCT(MAX((METAS!$A$5:$A$404="DTNH-01")*(METAS!$B$5:$B$404="TOTAL")*(METAS!$D$5:$D$404&lt;=IFERROR(VALUE(SUBSTITUTE($A30,"-","")),0))*METAS!$D$5:$D$404))=0,"",SUMPRODUCT((METAS!$A$5:$A$404="DTNH-01")*(METAS!$B$5:$B$404="TOTAL")*(METAS!$D$5:$D$404=SUMPRODUCT(MAX((METAS!$A$5:$A$404="DTNH-01")*(METAS!$B$5:$B$404="TOTAL")*(METAS!$D$5:$D$404&lt;=IFERROR(VALUE(SUBSTITUTE($A30,"-","")),0))*METAS!$D$5:$D$404)))*METAS!$E$5:$E$404)),SUMPRODUCT((METAS!$A$5:$A$404="DTNH-01")*(METAS!$B$5:$B$404="TOTAL")*(METAS!$D$5:$D$404=SUMPRODUCT(MAX((METAS!$A$5:$A$404="DTNH-01")*(METAS!$B$5:$B$404="TOTAL")*(METAS!$D$5:$D$404&lt;=IFERROR(VALUE(SUBSTITUTE($A30,"-","")),0))*METAS!$D$5:$D$404)))*METAS!$E$5:$E$404)),""))</f>
        <v/>
      </c>
    </row>
    <row r="31" ht="15" customHeight="1" s="131">
      <c r="A31" s="242">
        <f>IF(OR(PARAMETROS!$B$18="",PARAMETROS!$B$19=0),"",IF(YEAR(EDATE(PARAMETROS!$B$18,9))*100+MONTH(EDATE(PARAMETROS!$B$18,9))&gt;PARAMETROS!$B$19,"",YEAR(EDATE(PARAMETROS!$B$18,9))&amp;"-"&amp;IF(MONTH(EDATE(PARAMETROS!$B$18,9))&lt;10,"0","")&amp;MONTH(EDATE(PARAMETROS!$B$18,9))))</f>
        <v/>
      </c>
      <c r="B31" s="243">
        <f>IF($A31="","",IF(INDEX(INDICADORES!$I$5:$I$24,MATCH("DTNH-01",INDICADORES!$A$5:$A$24,0))="Semestral",LEFT($A31,4)&amp;"-SEM"&amp;IF(VALUE(RIGHT($A31,2))&lt;=6,1,2),$A31&amp;"*"))</f>
        <v/>
      </c>
      <c r="C31" s="179">
        <f>IF($A31="","",SUMIFS(Tabela3[Respondentes],Tabela3[Período],$B31))</f>
        <v/>
      </c>
      <c r="D31" s="179">
        <f>IF($A31="","",SUMIFS(Tabela3[Promotores (9-10)],Tabela3[Período],$B31))</f>
        <v/>
      </c>
      <c r="E31" s="179">
        <f>IF($A31="","",SUMIFS(Tabela3[Neutros (7-8)],Tabela3[Período],$B31))</f>
        <v/>
      </c>
      <c r="F31" s="179">
        <f>IF($A31="","",SUMIFS(Tabela3[Detratores (0-6)],Tabela3[Período],$B31))</f>
        <v/>
      </c>
      <c r="G31" s="244">
        <f>IF($A31="","",COUNTIFS(Tabela3[Período],$B31))</f>
        <v/>
      </c>
      <c r="H31" s="202">
        <f>IF($A31="","",IF(G31=0,"",IFERROR((D31-F31)/C31*100,"")))</f>
        <v/>
      </c>
      <c r="I31" s="245">
        <f>IF($A31="","",IFERROR(IF(SUMPRODUCT(MAX((METAS!$A$5:$A$404="DTNH-01")*(METAS!$B$5:$B$404="TOTAL")*(METAS!$D$5:$D$404&lt;=IFERROR(VALUE(SUBSTITUTE($A31,"-","")),0))*METAS!$D$5:$D$404))=0,IF(SUMPRODUCT(MAX((METAS!$A$5:$A$404="DTNH-01")*(METAS!$B$5:$B$404="TOTAL")*(METAS!$D$5:$D$404&lt;=IFERROR(VALUE(SUBSTITUTE($A31,"-","")),0))*METAS!$D$5:$D$404))=0,"",SUMPRODUCT((METAS!$A$5:$A$404="DTNH-01")*(METAS!$B$5:$B$404="TOTAL")*(METAS!$D$5:$D$404=SUMPRODUCT(MAX((METAS!$A$5:$A$404="DTNH-01")*(METAS!$B$5:$B$404="TOTAL")*(METAS!$D$5:$D$404&lt;=IFERROR(VALUE(SUBSTITUTE($A31,"-","")),0))*METAS!$D$5:$D$404)))*METAS!$E$5:$E$404)),SUMPRODUCT((METAS!$A$5:$A$404="DTNH-01")*(METAS!$B$5:$B$404="TOTAL")*(METAS!$D$5:$D$404=SUMPRODUCT(MAX((METAS!$A$5:$A$404="DTNH-01")*(METAS!$B$5:$B$404="TOTAL")*(METAS!$D$5:$D$404&lt;=IFERROR(VALUE(SUBSTITUTE($A31,"-","")),0))*METAS!$D$5:$D$404)))*METAS!$E$5:$E$404)),""))</f>
        <v/>
      </c>
    </row>
    <row r="32" ht="15" customHeight="1" s="131">
      <c r="A32" s="242">
        <f>IF(OR(PARAMETROS!$B$18="",PARAMETROS!$B$19=0),"",IF(YEAR(EDATE(PARAMETROS!$B$18,10))*100+MONTH(EDATE(PARAMETROS!$B$18,10))&gt;PARAMETROS!$B$19,"",YEAR(EDATE(PARAMETROS!$B$18,10))&amp;"-"&amp;IF(MONTH(EDATE(PARAMETROS!$B$18,10))&lt;10,"0","")&amp;MONTH(EDATE(PARAMETROS!$B$18,10))))</f>
        <v/>
      </c>
      <c r="B32" s="243">
        <f>IF($A32="","",IF(INDEX(INDICADORES!$I$5:$I$24,MATCH("DTNH-01",INDICADORES!$A$5:$A$24,0))="Semestral",LEFT($A32,4)&amp;"-SEM"&amp;IF(VALUE(RIGHT($A32,2))&lt;=6,1,2),$A32&amp;"*"))</f>
        <v/>
      </c>
      <c r="C32" s="179">
        <f>IF($A32="","",SUMIFS(Tabela3[Respondentes],Tabela3[Período],$B32))</f>
        <v/>
      </c>
      <c r="D32" s="179">
        <f>IF($A32="","",SUMIFS(Tabela3[Promotores (9-10)],Tabela3[Período],$B32))</f>
        <v/>
      </c>
      <c r="E32" s="179">
        <f>IF($A32="","",SUMIFS(Tabela3[Neutros (7-8)],Tabela3[Período],$B32))</f>
        <v/>
      </c>
      <c r="F32" s="179">
        <f>IF($A32="","",SUMIFS(Tabela3[Detratores (0-6)],Tabela3[Período],$B32))</f>
        <v/>
      </c>
      <c r="G32" s="244">
        <f>IF($A32="","",COUNTIFS(Tabela3[Período],$B32))</f>
        <v/>
      </c>
      <c r="H32" s="202">
        <f>IF($A32="","",IF(G32=0,"",IFERROR((D32-F32)/C32*100,"")))</f>
        <v/>
      </c>
      <c r="I32" s="245">
        <f>IF($A32="","",IFERROR(IF(SUMPRODUCT(MAX((METAS!$A$5:$A$404="DTNH-01")*(METAS!$B$5:$B$404="TOTAL")*(METAS!$D$5:$D$404&lt;=IFERROR(VALUE(SUBSTITUTE($A32,"-","")),0))*METAS!$D$5:$D$404))=0,IF(SUMPRODUCT(MAX((METAS!$A$5:$A$404="DTNH-01")*(METAS!$B$5:$B$404="TOTAL")*(METAS!$D$5:$D$404&lt;=IFERROR(VALUE(SUBSTITUTE($A32,"-","")),0))*METAS!$D$5:$D$404))=0,"",SUMPRODUCT((METAS!$A$5:$A$404="DTNH-01")*(METAS!$B$5:$B$404="TOTAL")*(METAS!$D$5:$D$404=SUMPRODUCT(MAX((METAS!$A$5:$A$404="DTNH-01")*(METAS!$B$5:$B$404="TOTAL")*(METAS!$D$5:$D$404&lt;=IFERROR(VALUE(SUBSTITUTE($A32,"-","")),0))*METAS!$D$5:$D$404)))*METAS!$E$5:$E$404)),SUMPRODUCT((METAS!$A$5:$A$404="DTNH-01")*(METAS!$B$5:$B$404="TOTAL")*(METAS!$D$5:$D$404=SUMPRODUCT(MAX((METAS!$A$5:$A$404="DTNH-01")*(METAS!$B$5:$B$404="TOTAL")*(METAS!$D$5:$D$404&lt;=IFERROR(VALUE(SUBSTITUTE($A32,"-","")),0))*METAS!$D$5:$D$404)))*METAS!$E$5:$E$404)),""))</f>
        <v/>
      </c>
    </row>
    <row r="33" ht="15" customHeight="1" s="131">
      <c r="A33" s="242">
        <f>IF(OR(PARAMETROS!$B$18="",PARAMETROS!$B$19=0),"",IF(YEAR(EDATE(PARAMETROS!$B$18,11))*100+MONTH(EDATE(PARAMETROS!$B$18,11))&gt;PARAMETROS!$B$19,"",YEAR(EDATE(PARAMETROS!$B$18,11))&amp;"-"&amp;IF(MONTH(EDATE(PARAMETROS!$B$18,11))&lt;10,"0","")&amp;MONTH(EDATE(PARAMETROS!$B$18,11))))</f>
        <v/>
      </c>
      <c r="B33" s="243">
        <f>IF($A33="","",IF(INDEX(INDICADORES!$I$5:$I$24,MATCH("DTNH-01",INDICADORES!$A$5:$A$24,0))="Semestral",LEFT($A33,4)&amp;"-SEM"&amp;IF(VALUE(RIGHT($A33,2))&lt;=6,1,2),$A33&amp;"*"))</f>
        <v/>
      </c>
      <c r="C33" s="179">
        <f>IF($A33="","",SUMIFS(Tabela3[Respondentes],Tabela3[Período],$B33))</f>
        <v/>
      </c>
      <c r="D33" s="179">
        <f>IF($A33="","",SUMIFS(Tabela3[Promotores (9-10)],Tabela3[Período],$B33))</f>
        <v/>
      </c>
      <c r="E33" s="179">
        <f>IF($A33="","",SUMIFS(Tabela3[Neutros (7-8)],Tabela3[Período],$B33))</f>
        <v/>
      </c>
      <c r="F33" s="179">
        <f>IF($A33="","",SUMIFS(Tabela3[Detratores (0-6)],Tabela3[Período],$B33))</f>
        <v/>
      </c>
      <c r="G33" s="244">
        <f>IF($A33="","",COUNTIFS(Tabela3[Período],$B33))</f>
        <v/>
      </c>
      <c r="H33" s="202">
        <f>IF($A33="","",IF(G33=0,"",IFERROR((D33-F33)/C33*100,"")))</f>
        <v/>
      </c>
      <c r="I33" s="245">
        <f>IF($A33="","",IFERROR(IF(SUMPRODUCT(MAX((METAS!$A$5:$A$404="DTNH-01")*(METAS!$B$5:$B$404="TOTAL")*(METAS!$D$5:$D$404&lt;=IFERROR(VALUE(SUBSTITUTE($A33,"-","")),0))*METAS!$D$5:$D$404))=0,IF(SUMPRODUCT(MAX((METAS!$A$5:$A$404="DTNH-01")*(METAS!$B$5:$B$404="TOTAL")*(METAS!$D$5:$D$404&lt;=IFERROR(VALUE(SUBSTITUTE($A33,"-","")),0))*METAS!$D$5:$D$404))=0,"",SUMPRODUCT((METAS!$A$5:$A$404="DTNH-01")*(METAS!$B$5:$B$404="TOTAL")*(METAS!$D$5:$D$404=SUMPRODUCT(MAX((METAS!$A$5:$A$404="DTNH-01")*(METAS!$B$5:$B$404="TOTAL")*(METAS!$D$5:$D$404&lt;=IFERROR(VALUE(SUBSTITUTE($A33,"-","")),0))*METAS!$D$5:$D$404)))*METAS!$E$5:$E$404)),SUMPRODUCT((METAS!$A$5:$A$404="DTNH-01")*(METAS!$B$5:$B$404="TOTAL")*(METAS!$D$5:$D$404=SUMPRODUCT(MAX((METAS!$A$5:$A$404="DTNH-01")*(METAS!$B$5:$B$404="TOTAL")*(METAS!$D$5:$D$404&lt;=IFERROR(VALUE(SUBSTITUTE($A33,"-","")),0))*METAS!$D$5:$D$404)))*METAS!$E$5:$E$404)),""))</f>
        <v/>
      </c>
    </row>
    <row r="35" ht="15" customHeight="1" s="131">
      <c r="A35" s="246" t="inlineStr">
        <is>
          <t>Resumo do mês</t>
        </is>
      </c>
    </row>
    <row r="36" ht="33.75" customHeight="1" s="131">
      <c r="A36" s="199" t="inlineStr">
        <is>
          <t>KPI</t>
        </is>
      </c>
      <c r="B36" s="199" t="inlineStr">
        <is>
          <t>Valor na referência</t>
        </is>
      </c>
      <c r="C36" s="199" t="inlineStr">
        <is>
          <t>Valor na comparação</t>
        </is>
      </c>
      <c r="D36" s="199" t="inlineStr">
        <is>
          <t>Variação</t>
        </is>
      </c>
      <c r="E36" s="199" t="inlineStr">
        <is>
          <t>Meta vigente</t>
        </is>
      </c>
      <c r="F36" s="199" t="inlineStr">
        <is>
          <t>Limiar de atenção</t>
        </is>
      </c>
      <c r="G36" s="199" t="inlineStr">
        <is>
          <t>Falta p/ a meta</t>
        </is>
      </c>
      <c r="H36" s="199" t="inlineStr">
        <is>
          <t>Falta p/ o limiar</t>
        </is>
      </c>
      <c r="I36" s="199" t="inlineStr">
        <is>
          <t>Atingimento</t>
        </is>
      </c>
      <c r="J36" s="199" t="inlineStr">
        <is>
          <t>Status</t>
        </is>
      </c>
      <c r="K36" s="199" t="inlineStr">
        <is>
          <t>Situação da apuração</t>
        </is>
      </c>
      <c r="L36" s="199" t="inlineStr">
        <is>
          <t>Lançamentos no mês</t>
        </is>
      </c>
      <c r="M36" s="199" t="inlineStr">
        <is>
          <t>Linhas fora da janela</t>
        </is>
      </c>
      <c r="N36" s="199" t="inlineStr">
        <is>
          <t>aux crit. ref.</t>
        </is>
      </c>
      <c r="O36" s="199" t="inlineStr">
        <is>
          <t>aux crit. comp.</t>
        </is>
      </c>
    </row>
    <row r="37" ht="15" customHeight="1" s="131">
      <c r="A37" s="138" t="inlineStr">
        <is>
          <t>DTNH-01</t>
        </is>
      </c>
      <c r="B37" s="247">
        <f>IF($N$37="","",IF(COUNTIFS(Tabela3[Período],$N$37)=0,"",IFERROR((SUMIFS(Tabela3[Promotores (9-10)],Tabela3[Período],$N$37)-SUMIFS(Tabela3[Detratores (0-6)],Tabela3[Período],$N$37))/SUMIFS(Tabela3[Respondentes],Tabela3[Período],$N$37)*100,"")))</f>
        <v/>
      </c>
      <c r="C37" s="248">
        <f>IF($O$37="","",IF(COUNTIFS(Tabela3[Período],$O$37)=0,"",IFERROR((SUMIFS(Tabela3[Promotores (9-10)],Tabela3[Período],$O$37)-SUMIFS(Tabela3[Detratores (0-6)],Tabela3[Período],$O$37))/SUMIFS(Tabela3[Respondentes],Tabela3[Período],$O$37)*100,"")))</f>
        <v/>
      </c>
      <c r="D37" s="161">
        <f>IF(OR(B37="",C37=""),"",B37-C37)</f>
        <v/>
      </c>
      <c r="E37" s="168">
        <f>CALC!$B$8</f>
        <v/>
      </c>
      <c r="F37" s="248">
        <f>CALC!$C$8</f>
        <v/>
      </c>
      <c r="G37" s="161">
        <f>IF(OR(B37="",E37=""),"",B37-E37)</f>
        <v/>
      </c>
      <c r="H37" s="161">
        <f>IF(OR(B37="",F37=""),"",B37-F37)</f>
        <v/>
      </c>
      <c r="I37" s="162">
        <f>IFERROR(B37/E37,"")</f>
        <v/>
      </c>
      <c r="J37" s="163">
        <f>IF(OR(B37="",E37=""),"",IF(ROUND(B37,6)&gt;=ROUND(E37,6),"Dentro da meta",IF(AND(F37&lt;&gt;"",ROUND(B37,6)&gt;=ROUND(F37,6)),"Atenção","Fora da meta")))</f>
        <v/>
      </c>
      <c r="K37" s="163">
        <f>IF($F$4="","Sem mês de referência",IF(COUNTIFS(Tabela3[Período],$N$37)=0,"Não alimentado","Apurado"))</f>
        <v/>
      </c>
      <c r="L37" s="165">
        <f>COUNTIFS(Tabela3[Período],$N$37)</f>
        <v/>
      </c>
      <c r="M37" s="165">
        <f>COUNTIFS(Tabela3[Período],"&lt;"&amp;$B$4)+COUNTIFS(Tabela3[Período],"&gt;"&amp;$D$4&amp;"~*")</f>
        <v/>
      </c>
      <c r="N37" s="243">
        <f>IF($F$4="","",IF(INDEX(INDICADORES!$I$5:$I$24,MATCH("DTNH-01",INDICADORES!$A$5:$A$24,0))="Semestral",LEFT($F$4,4)&amp;"-SEM"&amp;IF(VALUE(RIGHT($F$4,2))&lt;=6,1,2),$F$4&amp;"*"))</f>
        <v/>
      </c>
      <c r="O37" s="243">
        <f>IF($H$4="","",IF(INDEX(INDICADORES!$I$5:$I$24,MATCH("DTNH-01",INDICADORES!$A$5:$A$24,0))="Semestral",LEFT($H$4,4)&amp;"-SEM"&amp;IF(VALUE(RIGHT($H$4,2))&lt;=6,1,2),$H$4&amp;"*"))</f>
        <v/>
      </c>
    </row>
    <row r="39" ht="23.25" customHeight="1" s="131">
      <c r="A39" s="246" t="inlineStr">
        <is>
          <t>Por curso — referência contra comparação</t>
        </is>
      </c>
    </row>
    <row r="40" ht="33.75" customHeight="1" s="131">
      <c r="A40" s="199" t="inlineStr">
        <is>
          <t>Curso</t>
        </is>
      </c>
      <c r="B40" s="199" t="inlineStr">
        <is>
          <t>Total: Respondentes</t>
        </is>
      </c>
      <c r="C40" s="199" t="inlineStr">
        <is>
          <t>Total: Promotores (9-10)</t>
        </is>
      </c>
      <c r="D40" s="199" t="inlineStr">
        <is>
          <t>Total: Neutros (7-8)</t>
        </is>
      </c>
      <c r="E40" s="199" t="inlineStr">
        <is>
          <t>Total: Detratores (0-6)</t>
        </is>
      </c>
      <c r="F40" s="199" t="inlineStr">
        <is>
          <t>Valor na referência</t>
        </is>
      </c>
      <c r="G40" s="199" t="inlineStr">
        <is>
          <t>Valor na comparação</t>
        </is>
      </c>
      <c r="H40" s="199" t="inlineStr">
        <is>
          <t>Variação</t>
        </is>
      </c>
      <c r="I40" s="199" t="inlineStr">
        <is>
          <t>Meta vigente</t>
        </is>
      </c>
      <c r="J40" s="199" t="inlineStr">
        <is>
          <t>Limiar de atenção</t>
        </is>
      </c>
      <c r="K40" s="199" t="inlineStr">
        <is>
          <t>Status</t>
        </is>
      </c>
    </row>
    <row r="41" ht="15" customHeight="1" s="131">
      <c r="A41" s="167">
        <f>CURSOS!$A$5</f>
        <v/>
      </c>
      <c r="B41" s="179">
        <f>IF($N$37="","",SUMIFS(Tabela3[Respondentes],Tabela3[Período],$N$37,Tabela3[Curso],$A41))</f>
        <v/>
      </c>
      <c r="C41" s="179">
        <f>IF($N$37="","",SUMIFS(Tabela3[Promotores (9-10)],Tabela3[Período],$N$37,Tabela3[Curso],$A41))</f>
        <v/>
      </c>
      <c r="D41" s="179">
        <f>IF($N$37="","",SUMIFS(Tabela3[Neutros (7-8)],Tabela3[Período],$N$37,Tabela3[Curso],$A41))</f>
        <v/>
      </c>
      <c r="E41" s="179">
        <f>IF($N$37="","",SUMIFS(Tabela3[Detratores (0-6)],Tabela3[Período],$N$37,Tabela3[Curso],$A41))</f>
        <v/>
      </c>
      <c r="F41" s="249">
        <f>IF($N$37="","",IF(COUNTIFS(Tabela3[Período],$N$37,Tabela3[Curso],$A41)=0,"",IFERROR((SUMIFS(Tabela3[Promotores (9-10)],Tabela3[Período],$N$37,Tabela3[Curso],$A41)-SUMIFS(Tabela3[Detratores (0-6)],Tabela3[Período],$N$37,Tabela3[Curso],$A41))/SUMIFS(Tabela3[Respondentes],Tabela3[Período],$N$37,Tabela3[Curso],$A41)*100,"")))</f>
        <v/>
      </c>
      <c r="G41" s="169">
        <f>IF($O$37="","",IF(COUNTIFS(Tabela3[Período],$O$37,Tabela3[Curso],$A41)=0,"",IFERROR((SUMIFS(Tabela3[Promotores (9-10)],Tabela3[Período],$O$37,Tabela3[Curso],$A41)-SUMIFS(Tabela3[Detratores (0-6)],Tabela3[Período],$O$37,Tabela3[Curso],$A41))/SUMIFS(Tabela3[Respondentes],Tabela3[Período],$O$37,Tabela3[Curso],$A41)*100,"")))</f>
        <v/>
      </c>
      <c r="H41" s="203">
        <f>IF(OR(F41="",G41=""),"",F41-G41)</f>
        <v/>
      </c>
      <c r="I41" s="169">
        <f>IFERROR(INDEX(CALC!$B$8:$B$17,MATCH($A41,CALC!$A$8:$A$17,0)),"")</f>
        <v/>
      </c>
      <c r="J41" s="169">
        <f>IFERROR(INDEX(CALC!$C$8:$C$17,MATCH($A41,CALC!$A$8:$A$17,0)),"")</f>
        <v/>
      </c>
      <c r="K41" s="171">
        <f>IF(OR(F41="",I41=""),"",IF(ROUND(F41,6)&gt;=ROUND(I41,6),"Dentro da meta",IF(AND(J41&lt;&gt;"",ROUND(F41,6)&gt;=ROUND(J41,6)),"Atenção","Fora da meta")))</f>
        <v/>
      </c>
    </row>
    <row r="42" ht="15" customHeight="1" s="131">
      <c r="A42" s="167">
        <f>CURSOS!$A$6</f>
        <v/>
      </c>
      <c r="B42" s="179">
        <f>IF($N$37="","",SUMIFS(Tabela3[Respondentes],Tabela3[Período],$N$37,Tabela3[Curso],$A42))</f>
        <v/>
      </c>
      <c r="C42" s="179">
        <f>IF($N$37="","",SUMIFS(Tabela3[Promotores (9-10)],Tabela3[Período],$N$37,Tabela3[Curso],$A42))</f>
        <v/>
      </c>
      <c r="D42" s="179">
        <f>IF($N$37="","",SUMIFS(Tabela3[Neutros (7-8)],Tabela3[Período],$N$37,Tabela3[Curso],$A42))</f>
        <v/>
      </c>
      <c r="E42" s="179">
        <f>IF($N$37="","",SUMIFS(Tabela3[Detratores (0-6)],Tabela3[Período],$N$37,Tabela3[Curso],$A42))</f>
        <v/>
      </c>
      <c r="F42" s="249">
        <f>IF($N$37="","",IF(COUNTIFS(Tabela3[Período],$N$37,Tabela3[Curso],$A42)=0,"",IFERROR((SUMIFS(Tabela3[Promotores (9-10)],Tabela3[Período],$N$37,Tabela3[Curso],$A42)-SUMIFS(Tabela3[Detratores (0-6)],Tabela3[Período],$N$37,Tabela3[Curso],$A42))/SUMIFS(Tabela3[Respondentes],Tabela3[Período],$N$37,Tabela3[Curso],$A42)*100,"")))</f>
        <v/>
      </c>
      <c r="G42" s="169">
        <f>IF($O$37="","",IF(COUNTIFS(Tabela3[Período],$O$37,Tabela3[Curso],$A42)=0,"",IFERROR((SUMIFS(Tabela3[Promotores (9-10)],Tabela3[Período],$O$37,Tabela3[Curso],$A42)-SUMIFS(Tabela3[Detratores (0-6)],Tabela3[Período],$O$37,Tabela3[Curso],$A42))/SUMIFS(Tabela3[Respondentes],Tabela3[Período],$O$37,Tabela3[Curso],$A42)*100,"")))</f>
        <v/>
      </c>
      <c r="H42" s="203">
        <f>IF(OR(F42="",G42=""),"",F42-G42)</f>
        <v/>
      </c>
      <c r="I42" s="169">
        <f>IFERROR(INDEX(CALC!$B$8:$B$17,MATCH($A42,CALC!$A$8:$A$17,0)),"")</f>
        <v/>
      </c>
      <c r="J42" s="169">
        <f>IFERROR(INDEX(CALC!$C$8:$C$17,MATCH($A42,CALC!$A$8:$A$17,0)),"")</f>
        <v/>
      </c>
      <c r="K42" s="171">
        <f>IF(OR(F42="",I42=""),"",IF(ROUND(F42,6)&gt;=ROUND(I42,6),"Dentro da meta",IF(AND(J42&lt;&gt;"",ROUND(F42,6)&gt;=ROUND(J42,6)),"Atenção","Fora da meta")))</f>
        <v/>
      </c>
    </row>
    <row r="43" ht="15" customHeight="1" s="131">
      <c r="A43" s="167">
        <f>CURSOS!$A$7</f>
        <v/>
      </c>
      <c r="B43" s="179">
        <f>IF($N$37="","",SUMIFS(Tabela3[Respondentes],Tabela3[Período],$N$37,Tabela3[Curso],$A43))</f>
        <v/>
      </c>
      <c r="C43" s="179">
        <f>IF($N$37="","",SUMIFS(Tabela3[Promotores (9-10)],Tabela3[Período],$N$37,Tabela3[Curso],$A43))</f>
        <v/>
      </c>
      <c r="D43" s="179">
        <f>IF($N$37="","",SUMIFS(Tabela3[Neutros (7-8)],Tabela3[Período],$N$37,Tabela3[Curso],$A43))</f>
        <v/>
      </c>
      <c r="E43" s="179">
        <f>IF($N$37="","",SUMIFS(Tabela3[Detratores (0-6)],Tabela3[Período],$N$37,Tabela3[Curso],$A43))</f>
        <v/>
      </c>
      <c r="F43" s="249">
        <f>IF($N$37="","",IF(COUNTIFS(Tabela3[Período],$N$37,Tabela3[Curso],$A43)=0,"",IFERROR((SUMIFS(Tabela3[Promotores (9-10)],Tabela3[Período],$N$37,Tabela3[Curso],$A43)-SUMIFS(Tabela3[Detratores (0-6)],Tabela3[Período],$N$37,Tabela3[Curso],$A43))/SUMIFS(Tabela3[Respondentes],Tabela3[Período],$N$37,Tabela3[Curso],$A43)*100,"")))</f>
        <v/>
      </c>
      <c r="G43" s="169">
        <f>IF($O$37="","",IF(COUNTIFS(Tabela3[Período],$O$37,Tabela3[Curso],$A43)=0,"",IFERROR((SUMIFS(Tabela3[Promotores (9-10)],Tabela3[Período],$O$37,Tabela3[Curso],$A43)-SUMIFS(Tabela3[Detratores (0-6)],Tabela3[Período],$O$37,Tabela3[Curso],$A43))/SUMIFS(Tabela3[Respondentes],Tabela3[Período],$O$37,Tabela3[Curso],$A43)*100,"")))</f>
        <v/>
      </c>
      <c r="H43" s="203">
        <f>IF(OR(F43="",G43=""),"",F43-G43)</f>
        <v/>
      </c>
      <c r="I43" s="169">
        <f>IFERROR(INDEX(CALC!$B$8:$B$17,MATCH($A43,CALC!$A$8:$A$17,0)),"")</f>
        <v/>
      </c>
      <c r="J43" s="169">
        <f>IFERROR(INDEX(CALC!$C$8:$C$17,MATCH($A43,CALC!$A$8:$A$17,0)),"")</f>
        <v/>
      </c>
      <c r="K43" s="171">
        <f>IF(OR(F43="",I43=""),"",IF(ROUND(F43,6)&gt;=ROUND(I43,6),"Dentro da meta",IF(AND(J43&lt;&gt;"",ROUND(F43,6)&gt;=ROUND(J43,6)),"Atenção","Fora da meta")))</f>
        <v/>
      </c>
    </row>
    <row r="44" ht="15" customHeight="1" s="131">
      <c r="A44" s="167">
        <f>CURSOS!$A$8</f>
        <v/>
      </c>
      <c r="B44" s="179">
        <f>IF($N$37="","",SUMIFS(Tabela3[Respondentes],Tabela3[Período],$N$37,Tabela3[Curso],$A44))</f>
        <v/>
      </c>
      <c r="C44" s="179">
        <f>IF($N$37="","",SUMIFS(Tabela3[Promotores (9-10)],Tabela3[Período],$N$37,Tabela3[Curso],$A44))</f>
        <v/>
      </c>
      <c r="D44" s="179">
        <f>IF($N$37="","",SUMIFS(Tabela3[Neutros (7-8)],Tabela3[Período],$N$37,Tabela3[Curso],$A44))</f>
        <v/>
      </c>
      <c r="E44" s="179">
        <f>IF($N$37="","",SUMIFS(Tabela3[Detratores (0-6)],Tabela3[Período],$N$37,Tabela3[Curso],$A44))</f>
        <v/>
      </c>
      <c r="F44" s="249">
        <f>IF($N$37="","",IF(COUNTIFS(Tabela3[Período],$N$37,Tabela3[Curso],$A44)=0,"",IFERROR((SUMIFS(Tabela3[Promotores (9-10)],Tabela3[Período],$N$37,Tabela3[Curso],$A44)-SUMIFS(Tabela3[Detratores (0-6)],Tabela3[Período],$N$37,Tabela3[Curso],$A44))/SUMIFS(Tabela3[Respondentes],Tabela3[Período],$N$37,Tabela3[Curso],$A44)*100,"")))</f>
        <v/>
      </c>
      <c r="G44" s="169">
        <f>IF($O$37="","",IF(COUNTIFS(Tabela3[Período],$O$37,Tabela3[Curso],$A44)=0,"",IFERROR((SUMIFS(Tabela3[Promotores (9-10)],Tabela3[Período],$O$37,Tabela3[Curso],$A44)-SUMIFS(Tabela3[Detratores (0-6)],Tabela3[Período],$O$37,Tabela3[Curso],$A44))/SUMIFS(Tabela3[Respondentes],Tabela3[Período],$O$37,Tabela3[Curso],$A44)*100,"")))</f>
        <v/>
      </c>
      <c r="H44" s="203">
        <f>IF(OR(F44="",G44=""),"",F44-G44)</f>
        <v/>
      </c>
      <c r="I44" s="169">
        <f>IFERROR(INDEX(CALC!$B$8:$B$17,MATCH($A44,CALC!$A$8:$A$17,0)),"")</f>
        <v/>
      </c>
      <c r="J44" s="169">
        <f>IFERROR(INDEX(CALC!$C$8:$C$17,MATCH($A44,CALC!$A$8:$A$17,0)),"")</f>
        <v/>
      </c>
      <c r="K44" s="171">
        <f>IF(OR(F44="",I44=""),"",IF(ROUND(F44,6)&gt;=ROUND(I44,6),"Dentro da meta",IF(AND(J44&lt;&gt;"",ROUND(F44,6)&gt;=ROUND(J44,6)),"Atenção","Fora da meta")))</f>
        <v/>
      </c>
    </row>
    <row r="45" ht="15" customHeight="1" s="131">
      <c r="A45" s="167">
        <f>CURSOS!$A$9</f>
        <v/>
      </c>
      <c r="B45" s="179">
        <f>IF($N$37="","",SUMIFS(Tabela3[Respondentes],Tabela3[Período],$N$37,Tabela3[Curso],$A45))</f>
        <v/>
      </c>
      <c r="C45" s="179">
        <f>IF($N$37="","",SUMIFS(Tabela3[Promotores (9-10)],Tabela3[Período],$N$37,Tabela3[Curso],$A45))</f>
        <v/>
      </c>
      <c r="D45" s="179">
        <f>IF($N$37="","",SUMIFS(Tabela3[Neutros (7-8)],Tabela3[Período],$N$37,Tabela3[Curso],$A45))</f>
        <v/>
      </c>
      <c r="E45" s="179">
        <f>IF($N$37="","",SUMIFS(Tabela3[Detratores (0-6)],Tabela3[Período],$N$37,Tabela3[Curso],$A45))</f>
        <v/>
      </c>
      <c r="F45" s="249">
        <f>IF($N$37="","",IF(COUNTIFS(Tabela3[Período],$N$37,Tabela3[Curso],$A45)=0,"",IFERROR((SUMIFS(Tabela3[Promotores (9-10)],Tabela3[Período],$N$37,Tabela3[Curso],$A45)-SUMIFS(Tabela3[Detratores (0-6)],Tabela3[Período],$N$37,Tabela3[Curso],$A45))/SUMIFS(Tabela3[Respondentes],Tabela3[Período],$N$37,Tabela3[Curso],$A45)*100,"")))</f>
        <v/>
      </c>
      <c r="G45" s="169">
        <f>IF($O$37="","",IF(COUNTIFS(Tabela3[Período],$O$37,Tabela3[Curso],$A45)=0,"",IFERROR((SUMIFS(Tabela3[Promotores (9-10)],Tabela3[Período],$O$37,Tabela3[Curso],$A45)-SUMIFS(Tabela3[Detratores (0-6)],Tabela3[Período],$O$37,Tabela3[Curso],$A45))/SUMIFS(Tabela3[Respondentes],Tabela3[Período],$O$37,Tabela3[Curso],$A45)*100,"")))</f>
        <v/>
      </c>
      <c r="H45" s="203">
        <f>IF(OR(F45="",G45=""),"",F45-G45)</f>
        <v/>
      </c>
      <c r="I45" s="169">
        <f>IFERROR(INDEX(CALC!$B$8:$B$17,MATCH($A45,CALC!$A$8:$A$17,0)),"")</f>
        <v/>
      </c>
      <c r="J45" s="169">
        <f>IFERROR(INDEX(CALC!$C$8:$C$17,MATCH($A45,CALC!$A$8:$A$17,0)),"")</f>
        <v/>
      </c>
      <c r="K45" s="171">
        <f>IF(OR(F45="",I45=""),"",IF(ROUND(F45,6)&gt;=ROUND(I45,6),"Dentro da meta",IF(AND(J45&lt;&gt;"",ROUND(F45,6)&gt;=ROUND(J45,6)),"Atenção","Fora da meta")))</f>
        <v/>
      </c>
    </row>
    <row r="46" ht="15" customHeight="1" s="131">
      <c r="A46" s="167">
        <f>CURSOS!$A$10</f>
        <v/>
      </c>
      <c r="B46" s="179">
        <f>IF($N$37="","",SUMIFS(Tabela3[Respondentes],Tabela3[Período],$N$37,Tabela3[Curso],$A46))</f>
        <v/>
      </c>
      <c r="C46" s="179">
        <f>IF($N$37="","",SUMIFS(Tabela3[Promotores (9-10)],Tabela3[Período],$N$37,Tabela3[Curso],$A46))</f>
        <v/>
      </c>
      <c r="D46" s="179">
        <f>IF($N$37="","",SUMIFS(Tabela3[Neutros (7-8)],Tabela3[Período],$N$37,Tabela3[Curso],$A46))</f>
        <v/>
      </c>
      <c r="E46" s="179">
        <f>IF($N$37="","",SUMIFS(Tabela3[Detratores (0-6)],Tabela3[Período],$N$37,Tabela3[Curso],$A46))</f>
        <v/>
      </c>
      <c r="F46" s="249">
        <f>IF($N$37="","",IF(COUNTIFS(Tabela3[Período],$N$37,Tabela3[Curso],$A46)=0,"",IFERROR((SUMIFS(Tabela3[Promotores (9-10)],Tabela3[Período],$N$37,Tabela3[Curso],$A46)-SUMIFS(Tabela3[Detratores (0-6)],Tabela3[Período],$N$37,Tabela3[Curso],$A46))/SUMIFS(Tabela3[Respondentes],Tabela3[Período],$N$37,Tabela3[Curso],$A46)*100,"")))</f>
        <v/>
      </c>
      <c r="G46" s="169">
        <f>IF($O$37="","",IF(COUNTIFS(Tabela3[Período],$O$37,Tabela3[Curso],$A46)=0,"",IFERROR((SUMIFS(Tabela3[Promotores (9-10)],Tabela3[Período],$O$37,Tabela3[Curso],$A46)-SUMIFS(Tabela3[Detratores (0-6)],Tabela3[Período],$O$37,Tabela3[Curso],$A46))/SUMIFS(Tabela3[Respondentes],Tabela3[Período],$O$37,Tabela3[Curso],$A46)*100,"")))</f>
        <v/>
      </c>
      <c r="H46" s="203">
        <f>IF(OR(F46="",G46=""),"",F46-G46)</f>
        <v/>
      </c>
      <c r="I46" s="169">
        <f>IFERROR(INDEX(CALC!$B$8:$B$17,MATCH($A46,CALC!$A$8:$A$17,0)),"")</f>
        <v/>
      </c>
      <c r="J46" s="169">
        <f>IFERROR(INDEX(CALC!$C$8:$C$17,MATCH($A46,CALC!$A$8:$A$17,0)),"")</f>
        <v/>
      </c>
      <c r="K46" s="171">
        <f>IF(OR(F46="",I46=""),"",IF(ROUND(F46,6)&gt;=ROUND(I46,6),"Dentro da meta",IF(AND(J46&lt;&gt;"",ROUND(F46,6)&gt;=ROUND(J46,6)),"Atenção","Fora da meta")))</f>
        <v/>
      </c>
    </row>
    <row r="47" ht="15" customHeight="1" s="131">
      <c r="A47" s="167">
        <f>CURSOS!$A$11</f>
        <v/>
      </c>
      <c r="B47" s="179">
        <f>IF($N$37="","",SUMIFS(Tabela3[Respondentes],Tabela3[Período],$N$37,Tabela3[Curso],$A47))</f>
        <v/>
      </c>
      <c r="C47" s="179">
        <f>IF($N$37="","",SUMIFS(Tabela3[Promotores (9-10)],Tabela3[Período],$N$37,Tabela3[Curso],$A47))</f>
        <v/>
      </c>
      <c r="D47" s="179">
        <f>IF($N$37="","",SUMIFS(Tabela3[Neutros (7-8)],Tabela3[Período],$N$37,Tabela3[Curso],$A47))</f>
        <v/>
      </c>
      <c r="E47" s="179">
        <f>IF($N$37="","",SUMIFS(Tabela3[Detratores (0-6)],Tabela3[Período],$N$37,Tabela3[Curso],$A47))</f>
        <v/>
      </c>
      <c r="F47" s="249">
        <f>IF($N$37="","",IF(COUNTIFS(Tabela3[Período],$N$37,Tabela3[Curso],$A47)=0,"",IFERROR((SUMIFS(Tabela3[Promotores (9-10)],Tabela3[Período],$N$37,Tabela3[Curso],$A47)-SUMIFS(Tabela3[Detratores (0-6)],Tabela3[Período],$N$37,Tabela3[Curso],$A47))/SUMIFS(Tabela3[Respondentes],Tabela3[Período],$N$37,Tabela3[Curso],$A47)*100,"")))</f>
        <v/>
      </c>
      <c r="G47" s="169">
        <f>IF($O$37="","",IF(COUNTIFS(Tabela3[Período],$O$37,Tabela3[Curso],$A47)=0,"",IFERROR((SUMIFS(Tabela3[Promotores (9-10)],Tabela3[Período],$O$37,Tabela3[Curso],$A47)-SUMIFS(Tabela3[Detratores (0-6)],Tabela3[Período],$O$37,Tabela3[Curso],$A47))/SUMIFS(Tabela3[Respondentes],Tabela3[Período],$O$37,Tabela3[Curso],$A47)*100,"")))</f>
        <v/>
      </c>
      <c r="H47" s="203">
        <f>IF(OR(F47="",G47=""),"",F47-G47)</f>
        <v/>
      </c>
      <c r="I47" s="169">
        <f>IFERROR(INDEX(CALC!$B$8:$B$17,MATCH($A47,CALC!$A$8:$A$17,0)),"")</f>
        <v/>
      </c>
      <c r="J47" s="169">
        <f>IFERROR(INDEX(CALC!$C$8:$C$17,MATCH($A47,CALC!$A$8:$A$17,0)),"")</f>
        <v/>
      </c>
      <c r="K47" s="171">
        <f>IF(OR(F47="",I47=""),"",IF(ROUND(F47,6)&gt;=ROUND(I47,6),"Dentro da meta",IF(AND(J47&lt;&gt;"",ROUND(F47,6)&gt;=ROUND(J47,6)),"Atenção","Fora da meta")))</f>
        <v/>
      </c>
    </row>
    <row r="48" ht="15" customHeight="1" s="131">
      <c r="A48" s="167">
        <f>CURSOS!$A$12</f>
        <v/>
      </c>
      <c r="B48" s="179">
        <f>IF($N$37="","",SUMIFS(Tabela3[Respondentes],Tabela3[Período],$N$37,Tabela3[Curso],$A48))</f>
        <v/>
      </c>
      <c r="C48" s="179">
        <f>IF($N$37="","",SUMIFS(Tabela3[Promotores (9-10)],Tabela3[Período],$N$37,Tabela3[Curso],$A48))</f>
        <v/>
      </c>
      <c r="D48" s="179">
        <f>IF($N$37="","",SUMIFS(Tabela3[Neutros (7-8)],Tabela3[Período],$N$37,Tabela3[Curso],$A48))</f>
        <v/>
      </c>
      <c r="E48" s="179">
        <f>IF($N$37="","",SUMIFS(Tabela3[Detratores (0-6)],Tabela3[Período],$N$37,Tabela3[Curso],$A48))</f>
        <v/>
      </c>
      <c r="F48" s="249">
        <f>IF($N$37="","",IF(COUNTIFS(Tabela3[Período],$N$37,Tabela3[Curso],$A48)=0,"",IFERROR((SUMIFS(Tabela3[Promotores (9-10)],Tabela3[Período],$N$37,Tabela3[Curso],$A48)-SUMIFS(Tabela3[Detratores (0-6)],Tabela3[Período],$N$37,Tabela3[Curso],$A48))/SUMIFS(Tabela3[Respondentes],Tabela3[Período],$N$37,Tabela3[Curso],$A48)*100,"")))</f>
        <v/>
      </c>
      <c r="G48" s="169">
        <f>IF($O$37="","",IF(COUNTIFS(Tabela3[Período],$O$37,Tabela3[Curso],$A48)=0,"",IFERROR((SUMIFS(Tabela3[Promotores (9-10)],Tabela3[Período],$O$37,Tabela3[Curso],$A48)-SUMIFS(Tabela3[Detratores (0-6)],Tabela3[Período],$O$37,Tabela3[Curso],$A48))/SUMIFS(Tabela3[Respondentes],Tabela3[Período],$O$37,Tabela3[Curso],$A48)*100,"")))</f>
        <v/>
      </c>
      <c r="H48" s="203">
        <f>IF(OR(F48="",G48=""),"",F48-G48)</f>
        <v/>
      </c>
      <c r="I48" s="169">
        <f>IFERROR(INDEX(CALC!$B$8:$B$17,MATCH($A48,CALC!$A$8:$A$17,0)),"")</f>
        <v/>
      </c>
      <c r="J48" s="169">
        <f>IFERROR(INDEX(CALC!$C$8:$C$17,MATCH($A48,CALC!$A$8:$A$17,0)),"")</f>
        <v/>
      </c>
      <c r="K48" s="171">
        <f>IF(OR(F48="",I48=""),"",IF(ROUND(F48,6)&gt;=ROUND(I48,6),"Dentro da meta",IF(AND(J48&lt;&gt;"",ROUND(F48,6)&gt;=ROUND(J48,6)),"Atenção","Fora da meta")))</f>
        <v/>
      </c>
    </row>
    <row r="49" ht="15" customHeight="1" s="131">
      <c r="A49" s="167">
        <f>CURSOS!$A$13</f>
        <v/>
      </c>
      <c r="B49" s="179">
        <f>IF($N$37="","",SUMIFS(Tabela3[Respondentes],Tabela3[Período],$N$37,Tabela3[Curso],$A49))</f>
        <v/>
      </c>
      <c r="C49" s="179">
        <f>IF($N$37="","",SUMIFS(Tabela3[Promotores (9-10)],Tabela3[Período],$N$37,Tabela3[Curso],$A49))</f>
        <v/>
      </c>
      <c r="D49" s="179">
        <f>IF($N$37="","",SUMIFS(Tabela3[Neutros (7-8)],Tabela3[Período],$N$37,Tabela3[Curso],$A49))</f>
        <v/>
      </c>
      <c r="E49" s="179">
        <f>IF($N$37="","",SUMIFS(Tabela3[Detratores (0-6)],Tabela3[Período],$N$37,Tabela3[Curso],$A49))</f>
        <v/>
      </c>
      <c r="F49" s="249">
        <f>IF($N$37="","",IF(COUNTIFS(Tabela3[Período],$N$37,Tabela3[Curso],$A49)=0,"",IFERROR((SUMIFS(Tabela3[Promotores (9-10)],Tabela3[Período],$N$37,Tabela3[Curso],$A49)-SUMIFS(Tabela3[Detratores (0-6)],Tabela3[Período],$N$37,Tabela3[Curso],$A49))/SUMIFS(Tabela3[Respondentes],Tabela3[Período],$N$37,Tabela3[Curso],$A49)*100,"")))</f>
        <v/>
      </c>
      <c r="G49" s="169">
        <f>IF($O$37="","",IF(COUNTIFS(Tabela3[Período],$O$37,Tabela3[Curso],$A49)=0,"",IFERROR((SUMIFS(Tabela3[Promotores (9-10)],Tabela3[Período],$O$37,Tabela3[Curso],$A49)-SUMIFS(Tabela3[Detratores (0-6)],Tabela3[Período],$O$37,Tabela3[Curso],$A49))/SUMIFS(Tabela3[Respondentes],Tabela3[Período],$O$37,Tabela3[Curso],$A49)*100,"")))</f>
        <v/>
      </c>
      <c r="H49" s="203">
        <f>IF(OR(F49="",G49=""),"",F49-G49)</f>
        <v/>
      </c>
      <c r="I49" s="169">
        <f>IFERROR(INDEX(CALC!$B$8:$B$17,MATCH($A49,CALC!$A$8:$A$17,0)),"")</f>
        <v/>
      </c>
      <c r="J49" s="169">
        <f>IFERROR(INDEX(CALC!$C$8:$C$17,MATCH($A49,CALC!$A$8:$A$17,0)),"")</f>
        <v/>
      </c>
      <c r="K49" s="171">
        <f>IF(OR(F49="",I49=""),"",IF(ROUND(F49,6)&gt;=ROUND(I49,6),"Dentro da meta",IF(AND(J49&lt;&gt;"",ROUND(F49,6)&gt;=ROUND(J49,6)),"Atenção","Fora da meta")))</f>
        <v/>
      </c>
    </row>
    <row r="53" ht="32.25" customHeight="1" s="131">
      <c r="A53" s="198" t="inlineStr">
        <is>
          <t>DTNH-02 — Matrículas Ativas por Curso</t>
        </is>
      </c>
      <c r="C53" s="140" t="inlineStr">
        <is>
          <t>alimentação: Mensal · detalhe: Curso</t>
        </is>
      </c>
    </row>
    <row r="54" ht="31.5" customHeight="1" s="131">
      <c r="A54" s="199" t="inlineStr">
        <is>
          <t>Mês da janela</t>
        </is>
      </c>
      <c r="B54" s="199" t="inlineStr">
        <is>
          <t>Critério de período</t>
        </is>
      </c>
      <c r="C54" s="199" t="inlineStr">
        <is>
          <t>Total: Matrículas Ativas</t>
        </is>
      </c>
      <c r="D54" s="199" t="inlineStr">
        <is>
          <t>Lançamentos</t>
        </is>
      </c>
      <c r="E54" s="199" t="inlineStr">
        <is>
          <t>Valor apurado</t>
        </is>
      </c>
      <c r="F54" s="199" t="inlineStr">
        <is>
          <t>Meta no mês</t>
        </is>
      </c>
      <c r="G54" s="199" t="inlineStr">
        <is>
          <t>Variação vs mês anterior</t>
        </is>
      </c>
    </row>
    <row r="55" ht="15" customHeight="1" s="131">
      <c r="A55" s="242">
        <f>IF(OR(PARAMETROS!$B$18="",PARAMETROS!$B$19=0),"",IF(YEAR(EDATE(PARAMETROS!$B$18,0))*100+MONTH(EDATE(PARAMETROS!$B$18,0))&gt;PARAMETROS!$B$19,"",YEAR(EDATE(PARAMETROS!$B$18,0))&amp;"-"&amp;IF(MONTH(EDATE(PARAMETROS!$B$18,0))&lt;10,"0","")&amp;MONTH(EDATE(PARAMETROS!$B$18,0))))</f>
        <v/>
      </c>
      <c r="B55" s="243">
        <f>IF($A55="","",IF(INDEX(INDICADORES!$I$5:$I$24,MATCH("DTNH-02",INDICADORES!$A$5:$A$24,0))="Semestral",LEFT($A55,4)&amp;"-SEM"&amp;IF(VALUE(RIGHT($A55,2))&lt;=6,1,2),$A55&amp;"*"))</f>
        <v/>
      </c>
      <c r="C55" s="179">
        <f>IF($A55="","",SUMIFS(Tabela36[Matrículas Ativas],Tabela36[Período],$B55))</f>
        <v/>
      </c>
      <c r="D55" s="244">
        <f>IF($A55="","",COUNTIFS(Tabela36[Período],$B55))</f>
        <v/>
      </c>
      <c r="E55" s="205">
        <f>IF($A55="","",IF(D55=0,"",IFERROR(C55,"")))</f>
        <v/>
      </c>
      <c r="F55" s="250">
        <f>IF($A55="","",IFERROR(IF(SUMPRODUCT(MAX((METAS!$A$5:$A$404="DTNH-02")*(METAS!$B$5:$B$404="TOTAL")*(METAS!$D$5:$D$404&lt;=IFERROR(VALUE(SUBSTITUTE($A55,"-","")),0))*METAS!$D$5:$D$404))=0,IF(SUMPRODUCT(MAX((METAS!$A$5:$A$404="DTNH-02")*(METAS!$B$5:$B$404="TOTAL")*(METAS!$D$5:$D$404&lt;=IFERROR(VALUE(SUBSTITUTE($A55,"-","")),0))*METAS!$D$5:$D$404))=0,"",SUMPRODUCT((METAS!$A$5:$A$404="DTNH-02")*(METAS!$B$5:$B$404="TOTAL")*(METAS!$D$5:$D$404=SUMPRODUCT(MAX((METAS!$A$5:$A$404="DTNH-02")*(METAS!$B$5:$B$404="TOTAL")*(METAS!$D$5:$D$404&lt;=IFERROR(VALUE(SUBSTITUTE($A55,"-","")),0))*METAS!$D$5:$D$404)))*METAS!$E$5:$E$404)),SUMPRODUCT((METAS!$A$5:$A$404="DTNH-02")*(METAS!$B$5:$B$404="TOTAL")*(METAS!$D$5:$D$404=SUMPRODUCT(MAX((METAS!$A$5:$A$404="DTNH-02")*(METAS!$B$5:$B$404="TOTAL")*(METAS!$D$5:$D$404&lt;=IFERROR(VALUE(SUBSTITUTE($A55,"-","")),0))*METAS!$D$5:$D$404)))*METAS!$E$5:$E$404)),""))</f>
        <v/>
      </c>
      <c r="G55" s="251">
        <f>""</f>
        <v/>
      </c>
    </row>
    <row r="56" ht="15" customHeight="1" s="131">
      <c r="A56" s="242">
        <f>IF(OR(PARAMETROS!$B$18="",PARAMETROS!$B$19=0),"",IF(YEAR(EDATE(PARAMETROS!$B$18,1))*100+MONTH(EDATE(PARAMETROS!$B$18,1))&gt;PARAMETROS!$B$19,"",YEAR(EDATE(PARAMETROS!$B$18,1))&amp;"-"&amp;IF(MONTH(EDATE(PARAMETROS!$B$18,1))&lt;10,"0","")&amp;MONTH(EDATE(PARAMETROS!$B$18,1))))</f>
        <v/>
      </c>
      <c r="B56" s="243">
        <f>IF($A56="","",IF(INDEX(INDICADORES!$I$5:$I$24,MATCH("DTNH-02",INDICADORES!$A$5:$A$24,0))="Semestral",LEFT($A56,4)&amp;"-SEM"&amp;IF(VALUE(RIGHT($A56,2))&lt;=6,1,2),$A56&amp;"*"))</f>
        <v/>
      </c>
      <c r="C56" s="179">
        <f>IF($A56="","",SUMIFS(Tabela36[Matrículas Ativas],Tabela36[Período],$B56))</f>
        <v/>
      </c>
      <c r="D56" s="244">
        <f>IF($A56="","",COUNTIFS(Tabela36[Período],$B56))</f>
        <v/>
      </c>
      <c r="E56" s="205">
        <f>IF($A56="","",IF(D56=0,"",IFERROR(C56,"")))</f>
        <v/>
      </c>
      <c r="F56" s="250">
        <f>IF($A56="","",IFERROR(IF(SUMPRODUCT(MAX((METAS!$A$5:$A$404="DTNH-02")*(METAS!$B$5:$B$404="TOTAL")*(METAS!$D$5:$D$404&lt;=IFERROR(VALUE(SUBSTITUTE($A56,"-","")),0))*METAS!$D$5:$D$404))=0,IF(SUMPRODUCT(MAX((METAS!$A$5:$A$404="DTNH-02")*(METAS!$B$5:$B$404="TOTAL")*(METAS!$D$5:$D$404&lt;=IFERROR(VALUE(SUBSTITUTE($A56,"-","")),0))*METAS!$D$5:$D$404))=0,"",SUMPRODUCT((METAS!$A$5:$A$404="DTNH-02")*(METAS!$B$5:$B$404="TOTAL")*(METAS!$D$5:$D$404=SUMPRODUCT(MAX((METAS!$A$5:$A$404="DTNH-02")*(METAS!$B$5:$B$404="TOTAL")*(METAS!$D$5:$D$404&lt;=IFERROR(VALUE(SUBSTITUTE($A56,"-","")),0))*METAS!$D$5:$D$404)))*METAS!$E$5:$E$404)),SUMPRODUCT((METAS!$A$5:$A$404="DTNH-02")*(METAS!$B$5:$B$404="TOTAL")*(METAS!$D$5:$D$404=SUMPRODUCT(MAX((METAS!$A$5:$A$404="DTNH-02")*(METAS!$B$5:$B$404="TOTAL")*(METAS!$D$5:$D$404&lt;=IFERROR(VALUE(SUBSTITUTE($A56,"-","")),0))*METAS!$D$5:$D$404)))*METAS!$E$5:$E$404)),""))</f>
        <v/>
      </c>
      <c r="G56" s="251">
        <f>IF(OR($A56="",E56="",E55=""),"",IFERROR(E56/E55-1,""))</f>
        <v/>
      </c>
    </row>
    <row r="57" ht="15" customHeight="1" s="131">
      <c r="A57" s="242">
        <f>IF(OR(PARAMETROS!$B$18="",PARAMETROS!$B$19=0),"",IF(YEAR(EDATE(PARAMETROS!$B$18,2))*100+MONTH(EDATE(PARAMETROS!$B$18,2))&gt;PARAMETROS!$B$19,"",YEAR(EDATE(PARAMETROS!$B$18,2))&amp;"-"&amp;IF(MONTH(EDATE(PARAMETROS!$B$18,2))&lt;10,"0","")&amp;MONTH(EDATE(PARAMETROS!$B$18,2))))</f>
        <v/>
      </c>
      <c r="B57" s="243">
        <f>IF($A57="","",IF(INDEX(INDICADORES!$I$5:$I$24,MATCH("DTNH-02",INDICADORES!$A$5:$A$24,0))="Semestral",LEFT($A57,4)&amp;"-SEM"&amp;IF(VALUE(RIGHT($A57,2))&lt;=6,1,2),$A57&amp;"*"))</f>
        <v/>
      </c>
      <c r="C57" s="179">
        <f>IF($A57="","",SUMIFS(Tabela36[Matrículas Ativas],Tabela36[Período],$B57))</f>
        <v/>
      </c>
      <c r="D57" s="244">
        <f>IF($A57="","",COUNTIFS(Tabela36[Período],$B57))</f>
        <v/>
      </c>
      <c r="E57" s="205">
        <f>IF($A57="","",IF(D57=0,"",IFERROR(C57,"")))</f>
        <v/>
      </c>
      <c r="F57" s="250">
        <f>IF($A57="","",IFERROR(IF(SUMPRODUCT(MAX((METAS!$A$5:$A$404="DTNH-02")*(METAS!$B$5:$B$404="TOTAL")*(METAS!$D$5:$D$404&lt;=IFERROR(VALUE(SUBSTITUTE($A57,"-","")),0))*METAS!$D$5:$D$404))=0,IF(SUMPRODUCT(MAX((METAS!$A$5:$A$404="DTNH-02")*(METAS!$B$5:$B$404="TOTAL")*(METAS!$D$5:$D$404&lt;=IFERROR(VALUE(SUBSTITUTE($A57,"-","")),0))*METAS!$D$5:$D$404))=0,"",SUMPRODUCT((METAS!$A$5:$A$404="DTNH-02")*(METAS!$B$5:$B$404="TOTAL")*(METAS!$D$5:$D$404=SUMPRODUCT(MAX((METAS!$A$5:$A$404="DTNH-02")*(METAS!$B$5:$B$404="TOTAL")*(METAS!$D$5:$D$404&lt;=IFERROR(VALUE(SUBSTITUTE($A57,"-","")),0))*METAS!$D$5:$D$404)))*METAS!$E$5:$E$404)),SUMPRODUCT((METAS!$A$5:$A$404="DTNH-02")*(METAS!$B$5:$B$404="TOTAL")*(METAS!$D$5:$D$404=SUMPRODUCT(MAX((METAS!$A$5:$A$404="DTNH-02")*(METAS!$B$5:$B$404="TOTAL")*(METAS!$D$5:$D$404&lt;=IFERROR(VALUE(SUBSTITUTE($A57,"-","")),0))*METAS!$D$5:$D$404)))*METAS!$E$5:$E$404)),""))</f>
        <v/>
      </c>
      <c r="G57" s="251">
        <f>IF(OR($A57="",E57="",E56=""),"",IFERROR(E57/E56-1,""))</f>
        <v/>
      </c>
    </row>
    <row r="58" ht="15" customHeight="1" s="131">
      <c r="A58" s="242">
        <f>IF(OR(PARAMETROS!$B$18="",PARAMETROS!$B$19=0),"",IF(YEAR(EDATE(PARAMETROS!$B$18,3))*100+MONTH(EDATE(PARAMETROS!$B$18,3))&gt;PARAMETROS!$B$19,"",YEAR(EDATE(PARAMETROS!$B$18,3))&amp;"-"&amp;IF(MONTH(EDATE(PARAMETROS!$B$18,3))&lt;10,"0","")&amp;MONTH(EDATE(PARAMETROS!$B$18,3))))</f>
        <v/>
      </c>
      <c r="B58" s="243">
        <f>IF($A58="","",IF(INDEX(INDICADORES!$I$5:$I$24,MATCH("DTNH-02",INDICADORES!$A$5:$A$24,0))="Semestral",LEFT($A58,4)&amp;"-SEM"&amp;IF(VALUE(RIGHT($A58,2))&lt;=6,1,2),$A58&amp;"*"))</f>
        <v/>
      </c>
      <c r="C58" s="179">
        <f>IF($A58="","",SUMIFS(Tabela36[Matrículas Ativas],Tabela36[Período],$B58))</f>
        <v/>
      </c>
      <c r="D58" s="244">
        <f>IF($A58="","",COUNTIFS(Tabela36[Período],$B58))</f>
        <v/>
      </c>
      <c r="E58" s="205">
        <f>IF($A58="","",IF(D58=0,"",IFERROR(C58,"")))</f>
        <v/>
      </c>
      <c r="F58" s="250">
        <f>IF($A58="","",IFERROR(IF(SUMPRODUCT(MAX((METAS!$A$5:$A$404="DTNH-02")*(METAS!$B$5:$B$404="TOTAL")*(METAS!$D$5:$D$404&lt;=IFERROR(VALUE(SUBSTITUTE($A58,"-","")),0))*METAS!$D$5:$D$404))=0,IF(SUMPRODUCT(MAX((METAS!$A$5:$A$404="DTNH-02")*(METAS!$B$5:$B$404="TOTAL")*(METAS!$D$5:$D$404&lt;=IFERROR(VALUE(SUBSTITUTE($A58,"-","")),0))*METAS!$D$5:$D$404))=0,"",SUMPRODUCT((METAS!$A$5:$A$404="DTNH-02")*(METAS!$B$5:$B$404="TOTAL")*(METAS!$D$5:$D$404=SUMPRODUCT(MAX((METAS!$A$5:$A$404="DTNH-02")*(METAS!$B$5:$B$404="TOTAL")*(METAS!$D$5:$D$404&lt;=IFERROR(VALUE(SUBSTITUTE($A58,"-","")),0))*METAS!$D$5:$D$404)))*METAS!$E$5:$E$404)),SUMPRODUCT((METAS!$A$5:$A$404="DTNH-02")*(METAS!$B$5:$B$404="TOTAL")*(METAS!$D$5:$D$404=SUMPRODUCT(MAX((METAS!$A$5:$A$404="DTNH-02")*(METAS!$B$5:$B$404="TOTAL")*(METAS!$D$5:$D$404&lt;=IFERROR(VALUE(SUBSTITUTE($A58,"-","")),0))*METAS!$D$5:$D$404)))*METAS!$E$5:$E$404)),""))</f>
        <v/>
      </c>
      <c r="G58" s="251">
        <f>IF(OR($A58="",E58="",E57=""),"",IFERROR(E58/E57-1,""))</f>
        <v/>
      </c>
    </row>
    <row r="59" ht="15" customHeight="1" s="131">
      <c r="A59" s="242">
        <f>IF(OR(PARAMETROS!$B$18="",PARAMETROS!$B$19=0),"",IF(YEAR(EDATE(PARAMETROS!$B$18,4))*100+MONTH(EDATE(PARAMETROS!$B$18,4))&gt;PARAMETROS!$B$19,"",YEAR(EDATE(PARAMETROS!$B$18,4))&amp;"-"&amp;IF(MONTH(EDATE(PARAMETROS!$B$18,4))&lt;10,"0","")&amp;MONTH(EDATE(PARAMETROS!$B$18,4))))</f>
        <v/>
      </c>
      <c r="B59" s="243">
        <f>IF($A59="","",IF(INDEX(INDICADORES!$I$5:$I$24,MATCH("DTNH-02",INDICADORES!$A$5:$A$24,0))="Semestral",LEFT($A59,4)&amp;"-SEM"&amp;IF(VALUE(RIGHT($A59,2))&lt;=6,1,2),$A59&amp;"*"))</f>
        <v/>
      </c>
      <c r="C59" s="179">
        <f>IF($A59="","",SUMIFS(Tabela36[Matrículas Ativas],Tabela36[Período],$B59))</f>
        <v/>
      </c>
      <c r="D59" s="244">
        <f>IF($A59="","",COUNTIFS(Tabela36[Período],$B59))</f>
        <v/>
      </c>
      <c r="E59" s="205">
        <f>IF($A59="","",IF(D59=0,"",IFERROR(C59,"")))</f>
        <v/>
      </c>
      <c r="F59" s="250">
        <f>IF($A59="","",IFERROR(IF(SUMPRODUCT(MAX((METAS!$A$5:$A$404="DTNH-02")*(METAS!$B$5:$B$404="TOTAL")*(METAS!$D$5:$D$404&lt;=IFERROR(VALUE(SUBSTITUTE($A59,"-","")),0))*METAS!$D$5:$D$404))=0,IF(SUMPRODUCT(MAX((METAS!$A$5:$A$404="DTNH-02")*(METAS!$B$5:$B$404="TOTAL")*(METAS!$D$5:$D$404&lt;=IFERROR(VALUE(SUBSTITUTE($A59,"-","")),0))*METAS!$D$5:$D$404))=0,"",SUMPRODUCT((METAS!$A$5:$A$404="DTNH-02")*(METAS!$B$5:$B$404="TOTAL")*(METAS!$D$5:$D$404=SUMPRODUCT(MAX((METAS!$A$5:$A$404="DTNH-02")*(METAS!$B$5:$B$404="TOTAL")*(METAS!$D$5:$D$404&lt;=IFERROR(VALUE(SUBSTITUTE($A59,"-","")),0))*METAS!$D$5:$D$404)))*METAS!$E$5:$E$404)),SUMPRODUCT((METAS!$A$5:$A$404="DTNH-02")*(METAS!$B$5:$B$404="TOTAL")*(METAS!$D$5:$D$404=SUMPRODUCT(MAX((METAS!$A$5:$A$404="DTNH-02")*(METAS!$B$5:$B$404="TOTAL")*(METAS!$D$5:$D$404&lt;=IFERROR(VALUE(SUBSTITUTE($A59,"-","")),0))*METAS!$D$5:$D$404)))*METAS!$E$5:$E$404)),""))</f>
        <v/>
      </c>
      <c r="G59" s="251">
        <f>IF(OR($A59="",E59="",E58=""),"",IFERROR(E59/E58-1,""))</f>
        <v/>
      </c>
    </row>
    <row r="60" ht="15" customHeight="1" s="131">
      <c r="A60" s="242">
        <f>IF(OR(PARAMETROS!$B$18="",PARAMETROS!$B$19=0),"",IF(YEAR(EDATE(PARAMETROS!$B$18,5))*100+MONTH(EDATE(PARAMETROS!$B$18,5))&gt;PARAMETROS!$B$19,"",YEAR(EDATE(PARAMETROS!$B$18,5))&amp;"-"&amp;IF(MONTH(EDATE(PARAMETROS!$B$18,5))&lt;10,"0","")&amp;MONTH(EDATE(PARAMETROS!$B$18,5))))</f>
        <v/>
      </c>
      <c r="B60" s="243">
        <f>IF($A60="","",IF(INDEX(INDICADORES!$I$5:$I$24,MATCH("DTNH-02",INDICADORES!$A$5:$A$24,0))="Semestral",LEFT($A60,4)&amp;"-SEM"&amp;IF(VALUE(RIGHT($A60,2))&lt;=6,1,2),$A60&amp;"*"))</f>
        <v/>
      </c>
      <c r="C60" s="179">
        <f>IF($A60="","",SUMIFS(Tabela36[Matrículas Ativas],Tabela36[Período],$B60))</f>
        <v/>
      </c>
      <c r="D60" s="244">
        <f>IF($A60="","",COUNTIFS(Tabela36[Período],$B60))</f>
        <v/>
      </c>
      <c r="E60" s="205">
        <f>IF($A60="","",IF(D60=0,"",IFERROR(C60,"")))</f>
        <v/>
      </c>
      <c r="F60" s="250">
        <f>IF($A60="","",IFERROR(IF(SUMPRODUCT(MAX((METAS!$A$5:$A$404="DTNH-02")*(METAS!$B$5:$B$404="TOTAL")*(METAS!$D$5:$D$404&lt;=IFERROR(VALUE(SUBSTITUTE($A60,"-","")),0))*METAS!$D$5:$D$404))=0,IF(SUMPRODUCT(MAX((METAS!$A$5:$A$404="DTNH-02")*(METAS!$B$5:$B$404="TOTAL")*(METAS!$D$5:$D$404&lt;=IFERROR(VALUE(SUBSTITUTE($A60,"-","")),0))*METAS!$D$5:$D$404))=0,"",SUMPRODUCT((METAS!$A$5:$A$404="DTNH-02")*(METAS!$B$5:$B$404="TOTAL")*(METAS!$D$5:$D$404=SUMPRODUCT(MAX((METAS!$A$5:$A$404="DTNH-02")*(METAS!$B$5:$B$404="TOTAL")*(METAS!$D$5:$D$404&lt;=IFERROR(VALUE(SUBSTITUTE($A60,"-","")),0))*METAS!$D$5:$D$404)))*METAS!$E$5:$E$404)),SUMPRODUCT((METAS!$A$5:$A$404="DTNH-02")*(METAS!$B$5:$B$404="TOTAL")*(METAS!$D$5:$D$404=SUMPRODUCT(MAX((METAS!$A$5:$A$404="DTNH-02")*(METAS!$B$5:$B$404="TOTAL")*(METAS!$D$5:$D$404&lt;=IFERROR(VALUE(SUBSTITUTE($A60,"-","")),0))*METAS!$D$5:$D$404)))*METAS!$E$5:$E$404)),""))</f>
        <v/>
      </c>
      <c r="G60" s="251">
        <f>IF(OR($A60="",E60="",E59=""),"",IFERROR(E60/E59-1,""))</f>
        <v/>
      </c>
    </row>
    <row r="61" ht="15" customHeight="1" s="131">
      <c r="A61" s="242">
        <f>IF(OR(PARAMETROS!$B$18="",PARAMETROS!$B$19=0),"",IF(YEAR(EDATE(PARAMETROS!$B$18,6))*100+MONTH(EDATE(PARAMETROS!$B$18,6))&gt;PARAMETROS!$B$19,"",YEAR(EDATE(PARAMETROS!$B$18,6))&amp;"-"&amp;IF(MONTH(EDATE(PARAMETROS!$B$18,6))&lt;10,"0","")&amp;MONTH(EDATE(PARAMETROS!$B$18,6))))</f>
        <v/>
      </c>
      <c r="B61" s="243">
        <f>IF($A61="","",IF(INDEX(INDICADORES!$I$5:$I$24,MATCH("DTNH-02",INDICADORES!$A$5:$A$24,0))="Semestral",LEFT($A61,4)&amp;"-SEM"&amp;IF(VALUE(RIGHT($A61,2))&lt;=6,1,2),$A61&amp;"*"))</f>
        <v/>
      </c>
      <c r="C61" s="179">
        <f>IF($A61="","",SUMIFS(Tabela36[Matrículas Ativas],Tabela36[Período],$B61))</f>
        <v/>
      </c>
      <c r="D61" s="244">
        <f>IF($A61="","",COUNTIFS(Tabela36[Período],$B61))</f>
        <v/>
      </c>
      <c r="E61" s="205">
        <f>IF($A61="","",IF(D61=0,"",IFERROR(C61,"")))</f>
        <v/>
      </c>
      <c r="F61" s="250">
        <f>IF($A61="","",IFERROR(IF(SUMPRODUCT(MAX((METAS!$A$5:$A$404="DTNH-02")*(METAS!$B$5:$B$404="TOTAL")*(METAS!$D$5:$D$404&lt;=IFERROR(VALUE(SUBSTITUTE($A61,"-","")),0))*METAS!$D$5:$D$404))=0,IF(SUMPRODUCT(MAX((METAS!$A$5:$A$404="DTNH-02")*(METAS!$B$5:$B$404="TOTAL")*(METAS!$D$5:$D$404&lt;=IFERROR(VALUE(SUBSTITUTE($A61,"-","")),0))*METAS!$D$5:$D$404))=0,"",SUMPRODUCT((METAS!$A$5:$A$404="DTNH-02")*(METAS!$B$5:$B$404="TOTAL")*(METAS!$D$5:$D$404=SUMPRODUCT(MAX((METAS!$A$5:$A$404="DTNH-02")*(METAS!$B$5:$B$404="TOTAL")*(METAS!$D$5:$D$404&lt;=IFERROR(VALUE(SUBSTITUTE($A61,"-","")),0))*METAS!$D$5:$D$404)))*METAS!$E$5:$E$404)),SUMPRODUCT((METAS!$A$5:$A$404="DTNH-02")*(METAS!$B$5:$B$404="TOTAL")*(METAS!$D$5:$D$404=SUMPRODUCT(MAX((METAS!$A$5:$A$404="DTNH-02")*(METAS!$B$5:$B$404="TOTAL")*(METAS!$D$5:$D$404&lt;=IFERROR(VALUE(SUBSTITUTE($A61,"-","")),0))*METAS!$D$5:$D$404)))*METAS!$E$5:$E$404)),""))</f>
        <v/>
      </c>
      <c r="G61" s="251">
        <f>IF(OR($A61="",E61="",E60=""),"",IFERROR(E61/E60-1,""))</f>
        <v/>
      </c>
    </row>
    <row r="62" ht="15" customHeight="1" s="131">
      <c r="A62" s="242">
        <f>IF(OR(PARAMETROS!$B$18="",PARAMETROS!$B$19=0),"",IF(YEAR(EDATE(PARAMETROS!$B$18,7))*100+MONTH(EDATE(PARAMETROS!$B$18,7))&gt;PARAMETROS!$B$19,"",YEAR(EDATE(PARAMETROS!$B$18,7))&amp;"-"&amp;IF(MONTH(EDATE(PARAMETROS!$B$18,7))&lt;10,"0","")&amp;MONTH(EDATE(PARAMETROS!$B$18,7))))</f>
        <v/>
      </c>
      <c r="B62" s="243">
        <f>IF($A62="","",IF(INDEX(INDICADORES!$I$5:$I$24,MATCH("DTNH-02",INDICADORES!$A$5:$A$24,0))="Semestral",LEFT($A62,4)&amp;"-SEM"&amp;IF(VALUE(RIGHT($A62,2))&lt;=6,1,2),$A62&amp;"*"))</f>
        <v/>
      </c>
      <c r="C62" s="179">
        <f>IF($A62="","",SUMIFS(Tabela36[Matrículas Ativas],Tabela36[Período],$B62))</f>
        <v/>
      </c>
      <c r="D62" s="244">
        <f>IF($A62="","",COUNTIFS(Tabela36[Período],$B62))</f>
        <v/>
      </c>
      <c r="E62" s="205">
        <f>IF($A62="","",IF(D62=0,"",IFERROR(C62,"")))</f>
        <v/>
      </c>
      <c r="F62" s="250">
        <f>IF($A62="","",IFERROR(IF(SUMPRODUCT(MAX((METAS!$A$5:$A$404="DTNH-02")*(METAS!$B$5:$B$404="TOTAL")*(METAS!$D$5:$D$404&lt;=IFERROR(VALUE(SUBSTITUTE($A62,"-","")),0))*METAS!$D$5:$D$404))=0,IF(SUMPRODUCT(MAX((METAS!$A$5:$A$404="DTNH-02")*(METAS!$B$5:$B$404="TOTAL")*(METAS!$D$5:$D$404&lt;=IFERROR(VALUE(SUBSTITUTE($A62,"-","")),0))*METAS!$D$5:$D$404))=0,"",SUMPRODUCT((METAS!$A$5:$A$404="DTNH-02")*(METAS!$B$5:$B$404="TOTAL")*(METAS!$D$5:$D$404=SUMPRODUCT(MAX((METAS!$A$5:$A$404="DTNH-02")*(METAS!$B$5:$B$404="TOTAL")*(METAS!$D$5:$D$404&lt;=IFERROR(VALUE(SUBSTITUTE($A62,"-","")),0))*METAS!$D$5:$D$404)))*METAS!$E$5:$E$404)),SUMPRODUCT((METAS!$A$5:$A$404="DTNH-02")*(METAS!$B$5:$B$404="TOTAL")*(METAS!$D$5:$D$404=SUMPRODUCT(MAX((METAS!$A$5:$A$404="DTNH-02")*(METAS!$B$5:$B$404="TOTAL")*(METAS!$D$5:$D$404&lt;=IFERROR(VALUE(SUBSTITUTE($A62,"-","")),0))*METAS!$D$5:$D$404)))*METAS!$E$5:$E$404)),""))</f>
        <v/>
      </c>
      <c r="G62" s="251">
        <f>IF(OR($A62="",E62="",E61=""),"",IFERROR(E62/E61-1,""))</f>
        <v/>
      </c>
    </row>
    <row r="63" ht="15" customHeight="1" s="131">
      <c r="A63" s="242">
        <f>IF(OR(PARAMETROS!$B$18="",PARAMETROS!$B$19=0),"",IF(YEAR(EDATE(PARAMETROS!$B$18,8))*100+MONTH(EDATE(PARAMETROS!$B$18,8))&gt;PARAMETROS!$B$19,"",YEAR(EDATE(PARAMETROS!$B$18,8))&amp;"-"&amp;IF(MONTH(EDATE(PARAMETROS!$B$18,8))&lt;10,"0","")&amp;MONTH(EDATE(PARAMETROS!$B$18,8))))</f>
        <v/>
      </c>
      <c r="B63" s="243">
        <f>IF($A63="","",IF(INDEX(INDICADORES!$I$5:$I$24,MATCH("DTNH-02",INDICADORES!$A$5:$A$24,0))="Semestral",LEFT($A63,4)&amp;"-SEM"&amp;IF(VALUE(RIGHT($A63,2))&lt;=6,1,2),$A63&amp;"*"))</f>
        <v/>
      </c>
      <c r="C63" s="179">
        <f>IF($A63="","",SUMIFS(Tabela36[Matrículas Ativas],Tabela36[Período],$B63))</f>
        <v/>
      </c>
      <c r="D63" s="244">
        <f>IF($A63="","",COUNTIFS(Tabela36[Período],$B63))</f>
        <v/>
      </c>
      <c r="E63" s="205">
        <f>IF($A63="","",IF(D63=0,"",IFERROR(C63,"")))</f>
        <v/>
      </c>
      <c r="F63" s="250">
        <f>IF($A63="","",IFERROR(IF(SUMPRODUCT(MAX((METAS!$A$5:$A$404="DTNH-02")*(METAS!$B$5:$B$404="TOTAL")*(METAS!$D$5:$D$404&lt;=IFERROR(VALUE(SUBSTITUTE($A63,"-","")),0))*METAS!$D$5:$D$404))=0,IF(SUMPRODUCT(MAX((METAS!$A$5:$A$404="DTNH-02")*(METAS!$B$5:$B$404="TOTAL")*(METAS!$D$5:$D$404&lt;=IFERROR(VALUE(SUBSTITUTE($A63,"-","")),0))*METAS!$D$5:$D$404))=0,"",SUMPRODUCT((METAS!$A$5:$A$404="DTNH-02")*(METAS!$B$5:$B$404="TOTAL")*(METAS!$D$5:$D$404=SUMPRODUCT(MAX((METAS!$A$5:$A$404="DTNH-02")*(METAS!$B$5:$B$404="TOTAL")*(METAS!$D$5:$D$404&lt;=IFERROR(VALUE(SUBSTITUTE($A63,"-","")),0))*METAS!$D$5:$D$404)))*METAS!$E$5:$E$404)),SUMPRODUCT((METAS!$A$5:$A$404="DTNH-02")*(METAS!$B$5:$B$404="TOTAL")*(METAS!$D$5:$D$404=SUMPRODUCT(MAX((METAS!$A$5:$A$404="DTNH-02")*(METAS!$B$5:$B$404="TOTAL")*(METAS!$D$5:$D$404&lt;=IFERROR(VALUE(SUBSTITUTE($A63,"-","")),0))*METAS!$D$5:$D$404)))*METAS!$E$5:$E$404)),""))</f>
        <v/>
      </c>
      <c r="G63" s="251">
        <f>IF(OR($A63="",E63="",E62=""),"",IFERROR(E63/E62-1,""))</f>
        <v/>
      </c>
    </row>
    <row r="64" ht="15" customHeight="1" s="131">
      <c r="A64" s="242">
        <f>IF(OR(PARAMETROS!$B$18="",PARAMETROS!$B$19=0),"",IF(YEAR(EDATE(PARAMETROS!$B$18,9))*100+MONTH(EDATE(PARAMETROS!$B$18,9))&gt;PARAMETROS!$B$19,"",YEAR(EDATE(PARAMETROS!$B$18,9))&amp;"-"&amp;IF(MONTH(EDATE(PARAMETROS!$B$18,9))&lt;10,"0","")&amp;MONTH(EDATE(PARAMETROS!$B$18,9))))</f>
        <v/>
      </c>
      <c r="B64" s="243">
        <f>IF($A64="","",IF(INDEX(INDICADORES!$I$5:$I$24,MATCH("DTNH-02",INDICADORES!$A$5:$A$24,0))="Semestral",LEFT($A64,4)&amp;"-SEM"&amp;IF(VALUE(RIGHT($A64,2))&lt;=6,1,2),$A64&amp;"*"))</f>
        <v/>
      </c>
      <c r="C64" s="179">
        <f>IF($A64="","",SUMIFS(Tabela36[Matrículas Ativas],Tabela36[Período],$B64))</f>
        <v/>
      </c>
      <c r="D64" s="244">
        <f>IF($A64="","",COUNTIFS(Tabela36[Período],$B64))</f>
        <v/>
      </c>
      <c r="E64" s="205">
        <f>IF($A64="","",IF(D64=0,"",IFERROR(C64,"")))</f>
        <v/>
      </c>
      <c r="F64" s="250">
        <f>IF($A64="","",IFERROR(IF(SUMPRODUCT(MAX((METAS!$A$5:$A$404="DTNH-02")*(METAS!$B$5:$B$404="TOTAL")*(METAS!$D$5:$D$404&lt;=IFERROR(VALUE(SUBSTITUTE($A64,"-","")),0))*METAS!$D$5:$D$404))=0,IF(SUMPRODUCT(MAX((METAS!$A$5:$A$404="DTNH-02")*(METAS!$B$5:$B$404="TOTAL")*(METAS!$D$5:$D$404&lt;=IFERROR(VALUE(SUBSTITUTE($A64,"-","")),0))*METAS!$D$5:$D$404))=0,"",SUMPRODUCT((METAS!$A$5:$A$404="DTNH-02")*(METAS!$B$5:$B$404="TOTAL")*(METAS!$D$5:$D$404=SUMPRODUCT(MAX((METAS!$A$5:$A$404="DTNH-02")*(METAS!$B$5:$B$404="TOTAL")*(METAS!$D$5:$D$404&lt;=IFERROR(VALUE(SUBSTITUTE($A64,"-","")),0))*METAS!$D$5:$D$404)))*METAS!$E$5:$E$404)),SUMPRODUCT((METAS!$A$5:$A$404="DTNH-02")*(METAS!$B$5:$B$404="TOTAL")*(METAS!$D$5:$D$404=SUMPRODUCT(MAX((METAS!$A$5:$A$404="DTNH-02")*(METAS!$B$5:$B$404="TOTAL")*(METAS!$D$5:$D$404&lt;=IFERROR(VALUE(SUBSTITUTE($A64,"-","")),0))*METAS!$D$5:$D$404)))*METAS!$E$5:$E$404)),""))</f>
        <v/>
      </c>
      <c r="G64" s="251">
        <f>IF(OR($A64="",E64="",E63=""),"",IFERROR(E64/E63-1,""))</f>
        <v/>
      </c>
    </row>
    <row r="65" ht="15" customHeight="1" s="131">
      <c r="A65" s="242">
        <f>IF(OR(PARAMETROS!$B$18="",PARAMETROS!$B$19=0),"",IF(YEAR(EDATE(PARAMETROS!$B$18,10))*100+MONTH(EDATE(PARAMETROS!$B$18,10))&gt;PARAMETROS!$B$19,"",YEAR(EDATE(PARAMETROS!$B$18,10))&amp;"-"&amp;IF(MONTH(EDATE(PARAMETROS!$B$18,10))&lt;10,"0","")&amp;MONTH(EDATE(PARAMETROS!$B$18,10))))</f>
        <v/>
      </c>
      <c r="B65" s="243">
        <f>IF($A65="","",IF(INDEX(INDICADORES!$I$5:$I$24,MATCH("DTNH-02",INDICADORES!$A$5:$A$24,0))="Semestral",LEFT($A65,4)&amp;"-SEM"&amp;IF(VALUE(RIGHT($A65,2))&lt;=6,1,2),$A65&amp;"*"))</f>
        <v/>
      </c>
      <c r="C65" s="179">
        <f>IF($A65="","",SUMIFS(Tabela36[Matrículas Ativas],Tabela36[Período],$B65))</f>
        <v/>
      </c>
      <c r="D65" s="244">
        <f>IF($A65="","",COUNTIFS(Tabela36[Período],$B65))</f>
        <v/>
      </c>
      <c r="E65" s="205">
        <f>IF($A65="","",IF(D65=0,"",IFERROR(C65,"")))</f>
        <v/>
      </c>
      <c r="F65" s="250">
        <f>IF($A65="","",IFERROR(IF(SUMPRODUCT(MAX((METAS!$A$5:$A$404="DTNH-02")*(METAS!$B$5:$B$404="TOTAL")*(METAS!$D$5:$D$404&lt;=IFERROR(VALUE(SUBSTITUTE($A65,"-","")),0))*METAS!$D$5:$D$404))=0,IF(SUMPRODUCT(MAX((METAS!$A$5:$A$404="DTNH-02")*(METAS!$B$5:$B$404="TOTAL")*(METAS!$D$5:$D$404&lt;=IFERROR(VALUE(SUBSTITUTE($A65,"-","")),0))*METAS!$D$5:$D$404))=0,"",SUMPRODUCT((METAS!$A$5:$A$404="DTNH-02")*(METAS!$B$5:$B$404="TOTAL")*(METAS!$D$5:$D$404=SUMPRODUCT(MAX((METAS!$A$5:$A$404="DTNH-02")*(METAS!$B$5:$B$404="TOTAL")*(METAS!$D$5:$D$404&lt;=IFERROR(VALUE(SUBSTITUTE($A65,"-","")),0))*METAS!$D$5:$D$404)))*METAS!$E$5:$E$404)),SUMPRODUCT((METAS!$A$5:$A$404="DTNH-02")*(METAS!$B$5:$B$404="TOTAL")*(METAS!$D$5:$D$404=SUMPRODUCT(MAX((METAS!$A$5:$A$404="DTNH-02")*(METAS!$B$5:$B$404="TOTAL")*(METAS!$D$5:$D$404&lt;=IFERROR(VALUE(SUBSTITUTE($A65,"-","")),0))*METAS!$D$5:$D$404)))*METAS!$E$5:$E$404)),""))</f>
        <v/>
      </c>
      <c r="G65" s="251">
        <f>IF(OR($A65="",E65="",E64=""),"",IFERROR(E65/E64-1,""))</f>
        <v/>
      </c>
    </row>
    <row r="66" ht="15" customHeight="1" s="131">
      <c r="A66" s="242">
        <f>IF(OR(PARAMETROS!$B$18="",PARAMETROS!$B$19=0),"",IF(YEAR(EDATE(PARAMETROS!$B$18,11))*100+MONTH(EDATE(PARAMETROS!$B$18,11))&gt;PARAMETROS!$B$19,"",YEAR(EDATE(PARAMETROS!$B$18,11))&amp;"-"&amp;IF(MONTH(EDATE(PARAMETROS!$B$18,11))&lt;10,"0","")&amp;MONTH(EDATE(PARAMETROS!$B$18,11))))</f>
        <v/>
      </c>
      <c r="B66" s="243">
        <f>IF($A66="","",IF(INDEX(INDICADORES!$I$5:$I$24,MATCH("DTNH-02",INDICADORES!$A$5:$A$24,0))="Semestral",LEFT($A66,4)&amp;"-SEM"&amp;IF(VALUE(RIGHT($A66,2))&lt;=6,1,2),$A66&amp;"*"))</f>
        <v/>
      </c>
      <c r="C66" s="179">
        <f>IF($A66="","",SUMIFS(Tabela36[Matrículas Ativas],Tabela36[Período],$B66))</f>
        <v/>
      </c>
      <c r="D66" s="244">
        <f>IF($A66="","",COUNTIFS(Tabela36[Período],$B66))</f>
        <v/>
      </c>
      <c r="E66" s="205">
        <f>IF($A66="","",IF(D66=0,"",IFERROR(C66,"")))</f>
        <v/>
      </c>
      <c r="F66" s="250">
        <f>IF($A66="","",IFERROR(IF(SUMPRODUCT(MAX((METAS!$A$5:$A$404="DTNH-02")*(METAS!$B$5:$B$404="TOTAL")*(METAS!$D$5:$D$404&lt;=IFERROR(VALUE(SUBSTITUTE($A66,"-","")),0))*METAS!$D$5:$D$404))=0,IF(SUMPRODUCT(MAX((METAS!$A$5:$A$404="DTNH-02")*(METAS!$B$5:$B$404="TOTAL")*(METAS!$D$5:$D$404&lt;=IFERROR(VALUE(SUBSTITUTE($A66,"-","")),0))*METAS!$D$5:$D$404))=0,"",SUMPRODUCT((METAS!$A$5:$A$404="DTNH-02")*(METAS!$B$5:$B$404="TOTAL")*(METAS!$D$5:$D$404=SUMPRODUCT(MAX((METAS!$A$5:$A$404="DTNH-02")*(METAS!$B$5:$B$404="TOTAL")*(METAS!$D$5:$D$404&lt;=IFERROR(VALUE(SUBSTITUTE($A66,"-","")),0))*METAS!$D$5:$D$404)))*METAS!$E$5:$E$404)),SUMPRODUCT((METAS!$A$5:$A$404="DTNH-02")*(METAS!$B$5:$B$404="TOTAL")*(METAS!$D$5:$D$404=SUMPRODUCT(MAX((METAS!$A$5:$A$404="DTNH-02")*(METAS!$B$5:$B$404="TOTAL")*(METAS!$D$5:$D$404&lt;=IFERROR(VALUE(SUBSTITUTE($A66,"-","")),0))*METAS!$D$5:$D$404)))*METAS!$E$5:$E$404)),""))</f>
        <v/>
      </c>
      <c r="G66" s="251">
        <f>IF(OR($A66="",E66="",E65=""),"",IFERROR(E66/E65-1,""))</f>
        <v/>
      </c>
    </row>
    <row r="68" ht="15" customHeight="1" s="131">
      <c r="A68" s="246" t="inlineStr">
        <is>
          <t>Resumo do mês</t>
        </is>
      </c>
    </row>
    <row r="69" ht="33.75" customHeight="1" s="131">
      <c r="A69" s="199" t="inlineStr">
        <is>
          <t>KPI</t>
        </is>
      </c>
      <c r="B69" s="199" t="inlineStr">
        <is>
          <t>Valor na referência</t>
        </is>
      </c>
      <c r="C69" s="199" t="inlineStr">
        <is>
          <t>Valor na comparação</t>
        </is>
      </c>
      <c r="D69" s="199" t="inlineStr">
        <is>
          <t>Variação</t>
        </is>
      </c>
      <c r="E69" s="199" t="inlineStr">
        <is>
          <t>Meta vigente</t>
        </is>
      </c>
      <c r="F69" s="199" t="inlineStr">
        <is>
          <t>Limiar de atenção</t>
        </is>
      </c>
      <c r="G69" s="199" t="inlineStr">
        <is>
          <t>Falta p/ a meta</t>
        </is>
      </c>
      <c r="H69" s="199" t="inlineStr">
        <is>
          <t>Falta p/ o limiar</t>
        </is>
      </c>
      <c r="I69" s="199" t="inlineStr">
        <is>
          <t>Atingimento</t>
        </is>
      </c>
      <c r="J69" s="199" t="inlineStr">
        <is>
          <t>Status</t>
        </is>
      </c>
      <c r="K69" s="199" t="inlineStr">
        <is>
          <t>Situação da apuração</t>
        </is>
      </c>
      <c r="L69" s="199" t="inlineStr">
        <is>
          <t>Lançamentos no mês</t>
        </is>
      </c>
      <c r="M69" s="199" t="inlineStr">
        <is>
          <t>Linhas fora da janela</t>
        </is>
      </c>
      <c r="N69" s="199" t="inlineStr">
        <is>
          <t>aux crit. ref.</t>
        </is>
      </c>
      <c r="O69" s="199" t="inlineStr">
        <is>
          <t>aux crit. comp.</t>
        </is>
      </c>
    </row>
    <row r="70" ht="15" customHeight="1" s="131">
      <c r="A70" s="138" t="inlineStr">
        <is>
          <t>DTNH-02</t>
        </is>
      </c>
      <c r="B70" s="252">
        <f>IF($N$70="","",IF(COUNTIFS(Tabela36[Período],$N$70)=0,"",IFERROR(SUMIFS(Tabela36[Matrículas Ativas],Tabela36[Período],$N$70),"")))</f>
        <v/>
      </c>
      <c r="C70" s="165">
        <f>IF($O$70="","",IF(COUNTIFS(Tabela36[Período],$O$70)=0,"",IFERROR(SUMIFS(Tabela36[Matrículas Ativas],Tabela36[Período],$O$70),"")))</f>
        <v/>
      </c>
      <c r="D70" s="177">
        <f>IFERROR(B70/C70-1,"")</f>
        <v/>
      </c>
      <c r="E70" s="184">
        <f>CALC!$D$8</f>
        <v/>
      </c>
      <c r="F70" s="162">
        <f>CALC!$E$8</f>
        <v/>
      </c>
      <c r="G70" s="177">
        <f>IF(OR(D70="",E70=""),"",D70-E70)</f>
        <v/>
      </c>
      <c r="H70" s="177">
        <f>IF(OR(D70="",F70=""),"",D70-F70)</f>
        <v/>
      </c>
      <c r="I70" s="162">
        <f>"—"</f>
        <v/>
      </c>
      <c r="J70" s="163">
        <f>IF(OR(B70="",C70="",C70=0,E70=""),"",IF(ROUND(B70/C70-1,6)&gt;=ROUND(E70,6),"Dentro da meta",IF(AND(F70&lt;&gt;"",ROUND(B70/C70-1,6)&gt;=ROUND(F70,6)),"Atenção","Fora da meta")))</f>
        <v/>
      </c>
      <c r="K70" s="163">
        <f>IF($F$4="","Sem mês de referência",IF(COUNTIFS(Tabela36[Período],$N$70)=0,"Não alimentado","Apurado"))</f>
        <v/>
      </c>
      <c r="L70" s="165">
        <f>COUNTIFS(Tabela36[Período],$N$70)</f>
        <v/>
      </c>
      <c r="M70" s="165">
        <f>COUNTIFS(Tabela36[Período],"&lt;"&amp;$B$4)+COUNTIFS(Tabela36[Período],"&gt;"&amp;$D$4&amp;"~*")</f>
        <v/>
      </c>
      <c r="N70" s="243">
        <f>IF($F$4="","",IF(INDEX(INDICADORES!$I$5:$I$24,MATCH("DTNH-02",INDICADORES!$A$5:$A$24,0))="Semestral",LEFT($F$4,4)&amp;"-SEM"&amp;IF(VALUE(RIGHT($F$4,2))&lt;=6,1,2),$F$4&amp;"*"))</f>
        <v/>
      </c>
      <c r="O70" s="243">
        <f>IF($H$4="","",IF(INDEX(INDICADORES!$I$5:$I$24,MATCH("DTNH-02",INDICADORES!$A$5:$A$24,0))="Semestral",LEFT($H$4,4)&amp;"-SEM"&amp;IF(VALUE(RIGHT($H$4,2))&lt;=6,1,2),$H$4&amp;"*"))</f>
        <v/>
      </c>
    </row>
    <row r="72" ht="23.25" customHeight="1" s="131">
      <c r="A72" s="246" t="inlineStr">
        <is>
          <t>Por curso — referência contra comparação</t>
        </is>
      </c>
    </row>
    <row r="73" ht="33.75" customHeight="1" s="131">
      <c r="A73" s="199" t="inlineStr">
        <is>
          <t>Curso</t>
        </is>
      </c>
      <c r="B73" s="199" t="inlineStr">
        <is>
          <t>Total: Matrículas Ativas</t>
        </is>
      </c>
      <c r="C73" s="199" t="inlineStr">
        <is>
          <t>Valor na referência</t>
        </is>
      </c>
      <c r="D73" s="199" t="inlineStr">
        <is>
          <t>Valor na comparação</t>
        </is>
      </c>
      <c r="E73" s="199" t="inlineStr">
        <is>
          <t>Variação</t>
        </is>
      </c>
      <c r="F73" s="199" t="inlineStr">
        <is>
          <t>Meta vigente</t>
        </is>
      </c>
      <c r="G73" s="199" t="inlineStr">
        <is>
          <t>Limiar de atenção</t>
        </is>
      </c>
      <c r="H73" s="199" t="inlineStr">
        <is>
          <t>Status</t>
        </is>
      </c>
    </row>
    <row r="74" ht="15" customHeight="1" s="131">
      <c r="A74" s="167">
        <f>CURSOS!$A$5</f>
        <v/>
      </c>
      <c r="B74" s="179">
        <f>IF($N$70="","",SUMIFS(Tabela36[Matrículas Ativas],Tabela36[Período],$N$70,Tabela36[Curso],$A74))</f>
        <v/>
      </c>
      <c r="C74" s="253">
        <f>IF($N$70="","",IF(COUNTIFS(Tabela36[Período],$N$70,Tabela36[Curso],$A74)=0,"",IFERROR(SUMIFS(Tabela36[Matrículas Ativas],Tabela36[Período],$N$70,Tabela36[Curso],$A74),"")))</f>
        <v/>
      </c>
      <c r="D74" s="179">
        <f>IF($O$70="","",IF(COUNTIFS(Tabela36[Período],$O$70,Tabela36[Curso],$A74)=0,"",IFERROR(SUMIFS(Tabela36[Matrículas Ativas],Tabela36[Período],$O$70,Tabela36[Curso],$A74),"")))</f>
        <v/>
      </c>
      <c r="E74" s="206">
        <f>IFERROR(C74/D74-1,"")</f>
        <v/>
      </c>
      <c r="F74" s="181">
        <f>IFERROR(INDEX(CALC!$D$8:$D$17,MATCH($A74,CALC!$A$8:$A$17,0)),"")</f>
        <v/>
      </c>
      <c r="G74" s="181">
        <f>IFERROR(INDEX(CALC!$E$8:$E$17,MATCH($A74,CALC!$A$8:$A$17,0)),"")</f>
        <v/>
      </c>
      <c r="H74" s="171">
        <f>IF(OR(C74="",D74="",D74=0,F74=""),"",IF(ROUND(C74/D74-1,6)&gt;=ROUND(F74,6),"Dentro da meta",IF(AND(G74&lt;&gt;"",ROUND(C74/D74-1,6)&gt;=ROUND(G74,6)),"Atenção","Fora da meta")))</f>
        <v/>
      </c>
    </row>
    <row r="75" ht="15" customHeight="1" s="131">
      <c r="A75" s="167">
        <f>CURSOS!$A$6</f>
        <v/>
      </c>
      <c r="B75" s="179">
        <f>IF($N$70="","",SUMIFS(Tabela36[Matrículas Ativas],Tabela36[Período],$N$70,Tabela36[Curso],$A75))</f>
        <v/>
      </c>
      <c r="C75" s="253">
        <f>IF($N$70="","",IF(COUNTIFS(Tabela36[Período],$N$70,Tabela36[Curso],$A75)=0,"",IFERROR(SUMIFS(Tabela36[Matrículas Ativas],Tabela36[Período],$N$70,Tabela36[Curso],$A75),"")))</f>
        <v/>
      </c>
      <c r="D75" s="179">
        <f>IF($O$70="","",IF(COUNTIFS(Tabela36[Período],$O$70,Tabela36[Curso],$A75)=0,"",IFERROR(SUMIFS(Tabela36[Matrículas Ativas],Tabela36[Período],$O$70,Tabela36[Curso],$A75),"")))</f>
        <v/>
      </c>
      <c r="E75" s="206">
        <f>IFERROR(C75/D75-1,"")</f>
        <v/>
      </c>
      <c r="F75" s="181">
        <f>IFERROR(INDEX(CALC!$D$8:$D$17,MATCH($A75,CALC!$A$8:$A$17,0)),"")</f>
        <v/>
      </c>
      <c r="G75" s="181">
        <f>IFERROR(INDEX(CALC!$E$8:$E$17,MATCH($A75,CALC!$A$8:$A$17,0)),"")</f>
        <v/>
      </c>
      <c r="H75" s="171">
        <f>IF(OR(C75="",D75="",D75=0,F75=""),"",IF(ROUND(C75/D75-1,6)&gt;=ROUND(F75,6),"Dentro da meta",IF(AND(G75&lt;&gt;"",ROUND(C75/D75-1,6)&gt;=ROUND(G75,6)),"Atenção","Fora da meta")))</f>
        <v/>
      </c>
    </row>
    <row r="76" ht="15" customHeight="1" s="131">
      <c r="A76" s="167">
        <f>CURSOS!$A$7</f>
        <v/>
      </c>
      <c r="B76" s="179">
        <f>IF($N$70="","",SUMIFS(Tabela36[Matrículas Ativas],Tabela36[Período],$N$70,Tabela36[Curso],$A76))</f>
        <v/>
      </c>
      <c r="C76" s="253">
        <f>IF($N$70="","",IF(COUNTIFS(Tabela36[Período],$N$70,Tabela36[Curso],$A76)=0,"",IFERROR(SUMIFS(Tabela36[Matrículas Ativas],Tabela36[Período],$N$70,Tabela36[Curso],$A76),"")))</f>
        <v/>
      </c>
      <c r="D76" s="179">
        <f>IF($O$70="","",IF(COUNTIFS(Tabela36[Período],$O$70,Tabela36[Curso],$A76)=0,"",IFERROR(SUMIFS(Tabela36[Matrículas Ativas],Tabela36[Período],$O$70,Tabela36[Curso],$A76),"")))</f>
        <v/>
      </c>
      <c r="E76" s="206">
        <f>IFERROR(C76/D76-1,"")</f>
        <v/>
      </c>
      <c r="F76" s="181">
        <f>IFERROR(INDEX(CALC!$D$8:$D$17,MATCH($A76,CALC!$A$8:$A$17,0)),"")</f>
        <v/>
      </c>
      <c r="G76" s="181">
        <f>IFERROR(INDEX(CALC!$E$8:$E$17,MATCH($A76,CALC!$A$8:$A$17,0)),"")</f>
        <v/>
      </c>
      <c r="H76" s="171">
        <f>IF(OR(C76="",D76="",D76=0,F76=""),"",IF(ROUND(C76/D76-1,6)&gt;=ROUND(F76,6),"Dentro da meta",IF(AND(G76&lt;&gt;"",ROUND(C76/D76-1,6)&gt;=ROUND(G76,6)),"Atenção","Fora da meta")))</f>
        <v/>
      </c>
    </row>
    <row r="77" ht="15" customHeight="1" s="131">
      <c r="A77" s="167">
        <f>CURSOS!$A$8</f>
        <v/>
      </c>
      <c r="B77" s="179">
        <f>IF($N$70="","",SUMIFS(Tabela36[Matrículas Ativas],Tabela36[Período],$N$70,Tabela36[Curso],$A77))</f>
        <v/>
      </c>
      <c r="C77" s="253">
        <f>IF($N$70="","",IF(COUNTIFS(Tabela36[Período],$N$70,Tabela36[Curso],$A77)=0,"",IFERROR(SUMIFS(Tabela36[Matrículas Ativas],Tabela36[Período],$N$70,Tabela36[Curso],$A77),"")))</f>
        <v/>
      </c>
      <c r="D77" s="179">
        <f>IF($O$70="","",IF(COUNTIFS(Tabela36[Período],$O$70,Tabela36[Curso],$A77)=0,"",IFERROR(SUMIFS(Tabela36[Matrículas Ativas],Tabela36[Período],$O$70,Tabela36[Curso],$A77),"")))</f>
        <v/>
      </c>
      <c r="E77" s="206">
        <f>IFERROR(C77/D77-1,"")</f>
        <v/>
      </c>
      <c r="F77" s="181">
        <f>IFERROR(INDEX(CALC!$D$8:$D$17,MATCH($A77,CALC!$A$8:$A$17,0)),"")</f>
        <v/>
      </c>
      <c r="G77" s="181">
        <f>IFERROR(INDEX(CALC!$E$8:$E$17,MATCH($A77,CALC!$A$8:$A$17,0)),"")</f>
        <v/>
      </c>
      <c r="H77" s="171">
        <f>IF(OR(C77="",D77="",D77=0,F77=""),"",IF(ROUND(C77/D77-1,6)&gt;=ROUND(F77,6),"Dentro da meta",IF(AND(G77&lt;&gt;"",ROUND(C77/D77-1,6)&gt;=ROUND(G77,6)),"Atenção","Fora da meta")))</f>
        <v/>
      </c>
    </row>
    <row r="78" ht="15" customHeight="1" s="131">
      <c r="A78" s="167">
        <f>CURSOS!$A$9</f>
        <v/>
      </c>
      <c r="B78" s="179">
        <f>IF($N$70="","",SUMIFS(Tabela36[Matrículas Ativas],Tabela36[Período],$N$70,Tabela36[Curso],$A78))</f>
        <v/>
      </c>
      <c r="C78" s="253">
        <f>IF($N$70="","",IF(COUNTIFS(Tabela36[Período],$N$70,Tabela36[Curso],$A78)=0,"",IFERROR(SUMIFS(Tabela36[Matrículas Ativas],Tabela36[Período],$N$70,Tabela36[Curso],$A78),"")))</f>
        <v/>
      </c>
      <c r="D78" s="179">
        <f>IF($O$70="","",IF(COUNTIFS(Tabela36[Período],$O$70,Tabela36[Curso],$A78)=0,"",IFERROR(SUMIFS(Tabela36[Matrículas Ativas],Tabela36[Período],$O$70,Tabela36[Curso],$A78),"")))</f>
        <v/>
      </c>
      <c r="E78" s="206">
        <f>IFERROR(C78/D78-1,"")</f>
        <v/>
      </c>
      <c r="F78" s="181">
        <f>IFERROR(INDEX(CALC!$D$8:$D$17,MATCH($A78,CALC!$A$8:$A$17,0)),"")</f>
        <v/>
      </c>
      <c r="G78" s="181">
        <f>IFERROR(INDEX(CALC!$E$8:$E$17,MATCH($A78,CALC!$A$8:$A$17,0)),"")</f>
        <v/>
      </c>
      <c r="H78" s="171">
        <f>IF(OR(C78="",D78="",D78=0,F78=""),"",IF(ROUND(C78/D78-1,6)&gt;=ROUND(F78,6),"Dentro da meta",IF(AND(G78&lt;&gt;"",ROUND(C78/D78-1,6)&gt;=ROUND(G78,6)),"Atenção","Fora da meta")))</f>
        <v/>
      </c>
    </row>
    <row r="79" ht="15" customHeight="1" s="131">
      <c r="A79" s="167">
        <f>CURSOS!$A$10</f>
        <v/>
      </c>
      <c r="B79" s="179">
        <f>IF($N$70="","",SUMIFS(Tabela36[Matrículas Ativas],Tabela36[Período],$N$70,Tabela36[Curso],$A79))</f>
        <v/>
      </c>
      <c r="C79" s="253">
        <f>IF($N$70="","",IF(COUNTIFS(Tabela36[Período],$N$70,Tabela36[Curso],$A79)=0,"",IFERROR(SUMIFS(Tabela36[Matrículas Ativas],Tabela36[Período],$N$70,Tabela36[Curso],$A79),"")))</f>
        <v/>
      </c>
      <c r="D79" s="179">
        <f>IF($O$70="","",IF(COUNTIFS(Tabela36[Período],$O$70,Tabela36[Curso],$A79)=0,"",IFERROR(SUMIFS(Tabela36[Matrículas Ativas],Tabela36[Período],$O$70,Tabela36[Curso],$A79),"")))</f>
        <v/>
      </c>
      <c r="E79" s="206">
        <f>IFERROR(C79/D79-1,"")</f>
        <v/>
      </c>
      <c r="F79" s="181">
        <f>IFERROR(INDEX(CALC!$D$8:$D$17,MATCH($A79,CALC!$A$8:$A$17,0)),"")</f>
        <v/>
      </c>
      <c r="G79" s="181">
        <f>IFERROR(INDEX(CALC!$E$8:$E$17,MATCH($A79,CALC!$A$8:$A$17,0)),"")</f>
        <v/>
      </c>
      <c r="H79" s="171">
        <f>IF(OR(C79="",D79="",D79=0,F79=""),"",IF(ROUND(C79/D79-1,6)&gt;=ROUND(F79,6),"Dentro da meta",IF(AND(G79&lt;&gt;"",ROUND(C79/D79-1,6)&gt;=ROUND(G79,6)),"Atenção","Fora da meta")))</f>
        <v/>
      </c>
    </row>
    <row r="80" ht="15" customHeight="1" s="131">
      <c r="A80" s="167">
        <f>CURSOS!$A$11</f>
        <v/>
      </c>
      <c r="B80" s="179">
        <f>IF($N$70="","",SUMIFS(Tabela36[Matrículas Ativas],Tabela36[Período],$N$70,Tabela36[Curso],$A80))</f>
        <v/>
      </c>
      <c r="C80" s="253">
        <f>IF($N$70="","",IF(COUNTIFS(Tabela36[Período],$N$70,Tabela36[Curso],$A80)=0,"",IFERROR(SUMIFS(Tabela36[Matrículas Ativas],Tabela36[Período],$N$70,Tabela36[Curso],$A80),"")))</f>
        <v/>
      </c>
      <c r="D80" s="179">
        <f>IF($O$70="","",IF(COUNTIFS(Tabela36[Período],$O$70,Tabela36[Curso],$A80)=0,"",IFERROR(SUMIFS(Tabela36[Matrículas Ativas],Tabela36[Período],$O$70,Tabela36[Curso],$A80),"")))</f>
        <v/>
      </c>
      <c r="E80" s="206">
        <f>IFERROR(C80/D80-1,"")</f>
        <v/>
      </c>
      <c r="F80" s="181">
        <f>IFERROR(INDEX(CALC!$D$8:$D$17,MATCH($A80,CALC!$A$8:$A$17,0)),"")</f>
        <v/>
      </c>
      <c r="G80" s="181">
        <f>IFERROR(INDEX(CALC!$E$8:$E$17,MATCH($A80,CALC!$A$8:$A$17,0)),"")</f>
        <v/>
      </c>
      <c r="H80" s="171">
        <f>IF(OR(C80="",D80="",D80=0,F80=""),"",IF(ROUND(C80/D80-1,6)&gt;=ROUND(F80,6),"Dentro da meta",IF(AND(G80&lt;&gt;"",ROUND(C80/D80-1,6)&gt;=ROUND(G80,6)),"Atenção","Fora da meta")))</f>
        <v/>
      </c>
    </row>
    <row r="81" ht="15" customHeight="1" s="131">
      <c r="A81" s="167">
        <f>CURSOS!$A$12</f>
        <v/>
      </c>
      <c r="B81" s="179">
        <f>IF($N$70="","",SUMIFS(Tabela36[Matrículas Ativas],Tabela36[Período],$N$70,Tabela36[Curso],$A81))</f>
        <v/>
      </c>
      <c r="C81" s="253">
        <f>IF($N$70="","",IF(COUNTIFS(Tabela36[Período],$N$70,Tabela36[Curso],$A81)=0,"",IFERROR(SUMIFS(Tabela36[Matrículas Ativas],Tabela36[Período],$N$70,Tabela36[Curso],$A81),"")))</f>
        <v/>
      </c>
      <c r="D81" s="179">
        <f>IF($O$70="","",IF(COUNTIFS(Tabela36[Período],$O$70,Tabela36[Curso],$A81)=0,"",IFERROR(SUMIFS(Tabela36[Matrículas Ativas],Tabela36[Período],$O$70,Tabela36[Curso],$A81),"")))</f>
        <v/>
      </c>
      <c r="E81" s="206">
        <f>IFERROR(C81/D81-1,"")</f>
        <v/>
      </c>
      <c r="F81" s="181">
        <f>IFERROR(INDEX(CALC!$D$8:$D$17,MATCH($A81,CALC!$A$8:$A$17,0)),"")</f>
        <v/>
      </c>
      <c r="G81" s="181">
        <f>IFERROR(INDEX(CALC!$E$8:$E$17,MATCH($A81,CALC!$A$8:$A$17,0)),"")</f>
        <v/>
      </c>
      <c r="H81" s="171">
        <f>IF(OR(C81="",D81="",D81=0,F81=""),"",IF(ROUND(C81/D81-1,6)&gt;=ROUND(F81,6),"Dentro da meta",IF(AND(G81&lt;&gt;"",ROUND(C81/D81-1,6)&gt;=ROUND(G81,6)),"Atenção","Fora da meta")))</f>
        <v/>
      </c>
    </row>
    <row r="82" ht="15" customHeight="1" s="131">
      <c r="A82" s="167">
        <f>CURSOS!$A$13</f>
        <v/>
      </c>
      <c r="B82" s="179">
        <f>IF($N$70="","",SUMIFS(Tabela36[Matrículas Ativas],Tabela36[Período],$N$70,Tabela36[Curso],$A82))</f>
        <v/>
      </c>
      <c r="C82" s="253">
        <f>IF($N$70="","",IF(COUNTIFS(Tabela36[Período],$N$70,Tabela36[Curso],$A82)=0,"",IFERROR(SUMIFS(Tabela36[Matrículas Ativas],Tabela36[Período],$N$70,Tabela36[Curso],$A82),"")))</f>
        <v/>
      </c>
      <c r="D82" s="179">
        <f>IF($O$70="","",IF(COUNTIFS(Tabela36[Período],$O$70,Tabela36[Curso],$A82)=0,"",IFERROR(SUMIFS(Tabela36[Matrículas Ativas],Tabela36[Período],$O$70,Tabela36[Curso],$A82),"")))</f>
        <v/>
      </c>
      <c r="E82" s="206">
        <f>IFERROR(C82/D82-1,"")</f>
        <v/>
      </c>
      <c r="F82" s="181">
        <f>IFERROR(INDEX(CALC!$D$8:$D$17,MATCH($A82,CALC!$A$8:$A$17,0)),"")</f>
        <v/>
      </c>
      <c r="G82" s="181">
        <f>IFERROR(INDEX(CALC!$E$8:$E$17,MATCH($A82,CALC!$A$8:$A$17,0)),"")</f>
        <v/>
      </c>
      <c r="H82" s="171">
        <f>IF(OR(C82="",D82="",D82=0,F82=""),"",IF(ROUND(C82/D82-1,6)&gt;=ROUND(F82,6),"Dentro da meta",IF(AND(G82&lt;&gt;"",ROUND(C82/D82-1,6)&gt;=ROUND(G82,6)),"Atenção","Fora da meta")))</f>
        <v/>
      </c>
    </row>
    <row r="86" ht="42.75" customHeight="1" s="131">
      <c r="A86" s="198" t="inlineStr">
        <is>
          <t>DTNH-03 — Frequência Média Discente</t>
        </is>
      </c>
      <c r="C86" s="140" t="inlineStr">
        <is>
          <t>alimentação: Mensal · detalhe: Curso e disciplina</t>
        </is>
      </c>
    </row>
    <row r="87" ht="31.5" customHeight="1" s="131">
      <c r="A87" s="199" t="inlineStr">
        <is>
          <t>Mês da janela</t>
        </is>
      </c>
      <c r="B87" s="199" t="inlineStr">
        <is>
          <t>Critério de período</t>
        </is>
      </c>
      <c r="C87" s="199" t="inlineStr">
        <is>
          <t>Total: Presenças Previstas</t>
        </is>
      </c>
      <c r="D87" s="199" t="inlineStr">
        <is>
          <t>Total: Presenças Registradas</t>
        </is>
      </c>
      <c r="E87" s="199" t="inlineStr">
        <is>
          <t>Lançamentos</t>
        </is>
      </c>
      <c r="F87" s="199" t="inlineStr">
        <is>
          <t>Valor apurado</t>
        </is>
      </c>
      <c r="G87" s="199" t="inlineStr">
        <is>
          <t>Meta no mês</t>
        </is>
      </c>
    </row>
    <row r="88" ht="15" customHeight="1" s="131">
      <c r="A88" s="242">
        <f>IF(OR(PARAMETROS!$B$18="",PARAMETROS!$B$19=0),"",IF(YEAR(EDATE(PARAMETROS!$B$18,0))*100+MONTH(EDATE(PARAMETROS!$B$18,0))&gt;PARAMETROS!$B$19,"",YEAR(EDATE(PARAMETROS!$B$18,0))&amp;"-"&amp;IF(MONTH(EDATE(PARAMETROS!$B$18,0))&lt;10,"0","")&amp;MONTH(EDATE(PARAMETROS!$B$18,0))))</f>
        <v/>
      </c>
      <c r="B88" s="243">
        <f>IF($A88="","",IF(INDEX(INDICADORES!$I$5:$I$24,MATCH("DTNH-03",INDICADORES!$A$5:$A$24,0))="Semestral",LEFT($A88,4)&amp;"-SEM"&amp;IF(VALUE(RIGHT($A88,2))&lt;=6,1,2),$A88&amp;"*"))</f>
        <v/>
      </c>
      <c r="C88" s="179">
        <f>IF($A88="","",SUMIFS(Tabela367[Presenças Previstas],Tabela367[Período],$B88))</f>
        <v/>
      </c>
      <c r="D88" s="179">
        <f>IF($A88="","",SUMIFS(Tabela367[Presenças Registradas],Tabela367[Período],$B88))</f>
        <v/>
      </c>
      <c r="E88" s="244">
        <f>IF($A88="","",COUNTIFS(Tabela367[Período],$B88))</f>
        <v/>
      </c>
      <c r="F88" s="208">
        <f>IF($A88="","",IF(E88=0,"",IFERROR(D88/C88,"")))</f>
        <v/>
      </c>
      <c r="G88" s="250">
        <f>IF($A88="","",IFERROR(IF(SUMPRODUCT(MAX((METAS!$A$5:$A$404="DTNH-03")*(METAS!$B$5:$B$404="TOTAL")*(METAS!$D$5:$D$404&lt;=IFERROR(VALUE(SUBSTITUTE($A88,"-","")),0))*METAS!$D$5:$D$404))=0,IF(SUMPRODUCT(MAX((METAS!$A$5:$A$404="DTNH-03")*(METAS!$B$5:$B$404="TOTAL")*(METAS!$D$5:$D$404&lt;=IFERROR(VALUE(SUBSTITUTE($A88,"-","")),0))*METAS!$D$5:$D$404))=0,"",SUMPRODUCT((METAS!$A$5:$A$404="DTNH-03")*(METAS!$B$5:$B$404="TOTAL")*(METAS!$D$5:$D$404=SUMPRODUCT(MAX((METAS!$A$5:$A$404="DTNH-03")*(METAS!$B$5:$B$404="TOTAL")*(METAS!$D$5:$D$404&lt;=IFERROR(VALUE(SUBSTITUTE($A88,"-","")),0))*METAS!$D$5:$D$404)))*METAS!$E$5:$E$404)),SUMPRODUCT((METAS!$A$5:$A$404="DTNH-03")*(METAS!$B$5:$B$404="TOTAL")*(METAS!$D$5:$D$404=SUMPRODUCT(MAX((METAS!$A$5:$A$404="DTNH-03")*(METAS!$B$5:$B$404="TOTAL")*(METAS!$D$5:$D$404&lt;=IFERROR(VALUE(SUBSTITUTE($A88,"-","")),0))*METAS!$D$5:$D$404)))*METAS!$E$5:$E$404)),""))</f>
        <v/>
      </c>
    </row>
    <row r="89" ht="15" customHeight="1" s="131">
      <c r="A89" s="242">
        <f>IF(OR(PARAMETROS!$B$18="",PARAMETROS!$B$19=0),"",IF(YEAR(EDATE(PARAMETROS!$B$18,1))*100+MONTH(EDATE(PARAMETROS!$B$18,1))&gt;PARAMETROS!$B$19,"",YEAR(EDATE(PARAMETROS!$B$18,1))&amp;"-"&amp;IF(MONTH(EDATE(PARAMETROS!$B$18,1))&lt;10,"0","")&amp;MONTH(EDATE(PARAMETROS!$B$18,1))))</f>
        <v/>
      </c>
      <c r="B89" s="243">
        <f>IF($A89="","",IF(INDEX(INDICADORES!$I$5:$I$24,MATCH("DTNH-03",INDICADORES!$A$5:$A$24,0))="Semestral",LEFT($A89,4)&amp;"-SEM"&amp;IF(VALUE(RIGHT($A89,2))&lt;=6,1,2),$A89&amp;"*"))</f>
        <v/>
      </c>
      <c r="C89" s="179">
        <f>IF($A89="","",SUMIFS(Tabela367[Presenças Previstas],Tabela367[Período],$B89))</f>
        <v/>
      </c>
      <c r="D89" s="179">
        <f>IF($A89="","",SUMIFS(Tabela367[Presenças Registradas],Tabela367[Período],$B89))</f>
        <v/>
      </c>
      <c r="E89" s="244">
        <f>IF($A89="","",COUNTIFS(Tabela367[Período],$B89))</f>
        <v/>
      </c>
      <c r="F89" s="208">
        <f>IF($A89="","",IF(E89=0,"",IFERROR(D89/C89,"")))</f>
        <v/>
      </c>
      <c r="G89" s="250">
        <f>IF($A89="","",IFERROR(IF(SUMPRODUCT(MAX((METAS!$A$5:$A$404="DTNH-03")*(METAS!$B$5:$B$404="TOTAL")*(METAS!$D$5:$D$404&lt;=IFERROR(VALUE(SUBSTITUTE($A89,"-","")),0))*METAS!$D$5:$D$404))=0,IF(SUMPRODUCT(MAX((METAS!$A$5:$A$404="DTNH-03")*(METAS!$B$5:$B$404="TOTAL")*(METAS!$D$5:$D$404&lt;=IFERROR(VALUE(SUBSTITUTE($A89,"-","")),0))*METAS!$D$5:$D$404))=0,"",SUMPRODUCT((METAS!$A$5:$A$404="DTNH-03")*(METAS!$B$5:$B$404="TOTAL")*(METAS!$D$5:$D$404=SUMPRODUCT(MAX((METAS!$A$5:$A$404="DTNH-03")*(METAS!$B$5:$B$404="TOTAL")*(METAS!$D$5:$D$404&lt;=IFERROR(VALUE(SUBSTITUTE($A89,"-","")),0))*METAS!$D$5:$D$404)))*METAS!$E$5:$E$404)),SUMPRODUCT((METAS!$A$5:$A$404="DTNH-03")*(METAS!$B$5:$B$404="TOTAL")*(METAS!$D$5:$D$404=SUMPRODUCT(MAX((METAS!$A$5:$A$404="DTNH-03")*(METAS!$B$5:$B$404="TOTAL")*(METAS!$D$5:$D$404&lt;=IFERROR(VALUE(SUBSTITUTE($A89,"-","")),0))*METAS!$D$5:$D$404)))*METAS!$E$5:$E$404)),""))</f>
        <v/>
      </c>
    </row>
    <row r="90" ht="15" customHeight="1" s="131">
      <c r="A90" s="242">
        <f>IF(OR(PARAMETROS!$B$18="",PARAMETROS!$B$19=0),"",IF(YEAR(EDATE(PARAMETROS!$B$18,2))*100+MONTH(EDATE(PARAMETROS!$B$18,2))&gt;PARAMETROS!$B$19,"",YEAR(EDATE(PARAMETROS!$B$18,2))&amp;"-"&amp;IF(MONTH(EDATE(PARAMETROS!$B$18,2))&lt;10,"0","")&amp;MONTH(EDATE(PARAMETROS!$B$18,2))))</f>
        <v/>
      </c>
      <c r="B90" s="243">
        <f>IF($A90="","",IF(INDEX(INDICADORES!$I$5:$I$24,MATCH("DTNH-03",INDICADORES!$A$5:$A$24,0))="Semestral",LEFT($A90,4)&amp;"-SEM"&amp;IF(VALUE(RIGHT($A90,2))&lt;=6,1,2),$A90&amp;"*"))</f>
        <v/>
      </c>
      <c r="C90" s="179">
        <f>IF($A90="","",SUMIFS(Tabela367[Presenças Previstas],Tabela367[Período],$B90))</f>
        <v/>
      </c>
      <c r="D90" s="179">
        <f>IF($A90="","",SUMIFS(Tabela367[Presenças Registradas],Tabela367[Período],$B90))</f>
        <v/>
      </c>
      <c r="E90" s="244">
        <f>IF($A90="","",COUNTIFS(Tabela367[Período],$B90))</f>
        <v/>
      </c>
      <c r="F90" s="208">
        <f>IF($A90="","",IF(E90=0,"",IFERROR(D90/C90,"")))</f>
        <v/>
      </c>
      <c r="G90" s="250">
        <f>IF($A90="","",IFERROR(IF(SUMPRODUCT(MAX((METAS!$A$5:$A$404="DTNH-03")*(METAS!$B$5:$B$404="TOTAL")*(METAS!$D$5:$D$404&lt;=IFERROR(VALUE(SUBSTITUTE($A90,"-","")),0))*METAS!$D$5:$D$404))=0,IF(SUMPRODUCT(MAX((METAS!$A$5:$A$404="DTNH-03")*(METAS!$B$5:$B$404="TOTAL")*(METAS!$D$5:$D$404&lt;=IFERROR(VALUE(SUBSTITUTE($A90,"-","")),0))*METAS!$D$5:$D$404))=0,"",SUMPRODUCT((METAS!$A$5:$A$404="DTNH-03")*(METAS!$B$5:$B$404="TOTAL")*(METAS!$D$5:$D$404=SUMPRODUCT(MAX((METAS!$A$5:$A$404="DTNH-03")*(METAS!$B$5:$B$404="TOTAL")*(METAS!$D$5:$D$404&lt;=IFERROR(VALUE(SUBSTITUTE($A90,"-","")),0))*METAS!$D$5:$D$404)))*METAS!$E$5:$E$404)),SUMPRODUCT((METAS!$A$5:$A$404="DTNH-03")*(METAS!$B$5:$B$404="TOTAL")*(METAS!$D$5:$D$404=SUMPRODUCT(MAX((METAS!$A$5:$A$404="DTNH-03")*(METAS!$B$5:$B$404="TOTAL")*(METAS!$D$5:$D$404&lt;=IFERROR(VALUE(SUBSTITUTE($A90,"-","")),0))*METAS!$D$5:$D$404)))*METAS!$E$5:$E$404)),""))</f>
        <v/>
      </c>
    </row>
    <row r="91" ht="15" customHeight="1" s="131">
      <c r="A91" s="242">
        <f>IF(OR(PARAMETROS!$B$18="",PARAMETROS!$B$19=0),"",IF(YEAR(EDATE(PARAMETROS!$B$18,3))*100+MONTH(EDATE(PARAMETROS!$B$18,3))&gt;PARAMETROS!$B$19,"",YEAR(EDATE(PARAMETROS!$B$18,3))&amp;"-"&amp;IF(MONTH(EDATE(PARAMETROS!$B$18,3))&lt;10,"0","")&amp;MONTH(EDATE(PARAMETROS!$B$18,3))))</f>
        <v/>
      </c>
      <c r="B91" s="243">
        <f>IF($A91="","",IF(INDEX(INDICADORES!$I$5:$I$24,MATCH("DTNH-03",INDICADORES!$A$5:$A$24,0))="Semestral",LEFT($A91,4)&amp;"-SEM"&amp;IF(VALUE(RIGHT($A91,2))&lt;=6,1,2),$A91&amp;"*"))</f>
        <v/>
      </c>
      <c r="C91" s="179">
        <f>IF($A91="","",SUMIFS(Tabela367[Presenças Previstas],Tabela367[Período],$B91))</f>
        <v/>
      </c>
      <c r="D91" s="179">
        <f>IF($A91="","",SUMIFS(Tabela367[Presenças Registradas],Tabela367[Período],$B91))</f>
        <v/>
      </c>
      <c r="E91" s="244">
        <f>IF($A91="","",COUNTIFS(Tabela367[Período],$B91))</f>
        <v/>
      </c>
      <c r="F91" s="208">
        <f>IF($A91="","",IF(E91=0,"",IFERROR(D91/C91,"")))</f>
        <v/>
      </c>
      <c r="G91" s="250">
        <f>IF($A91="","",IFERROR(IF(SUMPRODUCT(MAX((METAS!$A$5:$A$404="DTNH-03")*(METAS!$B$5:$B$404="TOTAL")*(METAS!$D$5:$D$404&lt;=IFERROR(VALUE(SUBSTITUTE($A91,"-","")),0))*METAS!$D$5:$D$404))=0,IF(SUMPRODUCT(MAX((METAS!$A$5:$A$404="DTNH-03")*(METAS!$B$5:$B$404="TOTAL")*(METAS!$D$5:$D$404&lt;=IFERROR(VALUE(SUBSTITUTE($A91,"-","")),0))*METAS!$D$5:$D$404))=0,"",SUMPRODUCT((METAS!$A$5:$A$404="DTNH-03")*(METAS!$B$5:$B$404="TOTAL")*(METAS!$D$5:$D$404=SUMPRODUCT(MAX((METAS!$A$5:$A$404="DTNH-03")*(METAS!$B$5:$B$404="TOTAL")*(METAS!$D$5:$D$404&lt;=IFERROR(VALUE(SUBSTITUTE($A91,"-","")),0))*METAS!$D$5:$D$404)))*METAS!$E$5:$E$404)),SUMPRODUCT((METAS!$A$5:$A$404="DTNH-03")*(METAS!$B$5:$B$404="TOTAL")*(METAS!$D$5:$D$404=SUMPRODUCT(MAX((METAS!$A$5:$A$404="DTNH-03")*(METAS!$B$5:$B$404="TOTAL")*(METAS!$D$5:$D$404&lt;=IFERROR(VALUE(SUBSTITUTE($A91,"-","")),0))*METAS!$D$5:$D$404)))*METAS!$E$5:$E$404)),""))</f>
        <v/>
      </c>
    </row>
    <row r="92" ht="15" customHeight="1" s="131">
      <c r="A92" s="242">
        <f>IF(OR(PARAMETROS!$B$18="",PARAMETROS!$B$19=0),"",IF(YEAR(EDATE(PARAMETROS!$B$18,4))*100+MONTH(EDATE(PARAMETROS!$B$18,4))&gt;PARAMETROS!$B$19,"",YEAR(EDATE(PARAMETROS!$B$18,4))&amp;"-"&amp;IF(MONTH(EDATE(PARAMETROS!$B$18,4))&lt;10,"0","")&amp;MONTH(EDATE(PARAMETROS!$B$18,4))))</f>
        <v/>
      </c>
      <c r="B92" s="243">
        <f>IF($A92="","",IF(INDEX(INDICADORES!$I$5:$I$24,MATCH("DTNH-03",INDICADORES!$A$5:$A$24,0))="Semestral",LEFT($A92,4)&amp;"-SEM"&amp;IF(VALUE(RIGHT($A92,2))&lt;=6,1,2),$A92&amp;"*"))</f>
        <v/>
      </c>
      <c r="C92" s="179">
        <f>IF($A92="","",SUMIFS(Tabela367[Presenças Previstas],Tabela367[Período],$B92))</f>
        <v/>
      </c>
      <c r="D92" s="179">
        <f>IF($A92="","",SUMIFS(Tabela367[Presenças Registradas],Tabela367[Período],$B92))</f>
        <v/>
      </c>
      <c r="E92" s="244">
        <f>IF($A92="","",COUNTIFS(Tabela367[Período],$B92))</f>
        <v/>
      </c>
      <c r="F92" s="208">
        <f>IF($A92="","",IF(E92=0,"",IFERROR(D92/C92,"")))</f>
        <v/>
      </c>
      <c r="G92" s="250">
        <f>IF($A92="","",IFERROR(IF(SUMPRODUCT(MAX((METAS!$A$5:$A$404="DTNH-03")*(METAS!$B$5:$B$404="TOTAL")*(METAS!$D$5:$D$404&lt;=IFERROR(VALUE(SUBSTITUTE($A92,"-","")),0))*METAS!$D$5:$D$404))=0,IF(SUMPRODUCT(MAX((METAS!$A$5:$A$404="DTNH-03")*(METAS!$B$5:$B$404="TOTAL")*(METAS!$D$5:$D$404&lt;=IFERROR(VALUE(SUBSTITUTE($A92,"-","")),0))*METAS!$D$5:$D$404))=0,"",SUMPRODUCT((METAS!$A$5:$A$404="DTNH-03")*(METAS!$B$5:$B$404="TOTAL")*(METAS!$D$5:$D$404=SUMPRODUCT(MAX((METAS!$A$5:$A$404="DTNH-03")*(METAS!$B$5:$B$404="TOTAL")*(METAS!$D$5:$D$404&lt;=IFERROR(VALUE(SUBSTITUTE($A92,"-","")),0))*METAS!$D$5:$D$404)))*METAS!$E$5:$E$404)),SUMPRODUCT((METAS!$A$5:$A$404="DTNH-03")*(METAS!$B$5:$B$404="TOTAL")*(METAS!$D$5:$D$404=SUMPRODUCT(MAX((METAS!$A$5:$A$404="DTNH-03")*(METAS!$B$5:$B$404="TOTAL")*(METAS!$D$5:$D$404&lt;=IFERROR(VALUE(SUBSTITUTE($A92,"-","")),0))*METAS!$D$5:$D$404)))*METAS!$E$5:$E$404)),""))</f>
        <v/>
      </c>
    </row>
    <row r="93" ht="15" customHeight="1" s="131">
      <c r="A93" s="242">
        <f>IF(OR(PARAMETROS!$B$18="",PARAMETROS!$B$19=0),"",IF(YEAR(EDATE(PARAMETROS!$B$18,5))*100+MONTH(EDATE(PARAMETROS!$B$18,5))&gt;PARAMETROS!$B$19,"",YEAR(EDATE(PARAMETROS!$B$18,5))&amp;"-"&amp;IF(MONTH(EDATE(PARAMETROS!$B$18,5))&lt;10,"0","")&amp;MONTH(EDATE(PARAMETROS!$B$18,5))))</f>
        <v/>
      </c>
      <c r="B93" s="243">
        <f>IF($A93="","",IF(INDEX(INDICADORES!$I$5:$I$24,MATCH("DTNH-03",INDICADORES!$A$5:$A$24,0))="Semestral",LEFT($A93,4)&amp;"-SEM"&amp;IF(VALUE(RIGHT($A93,2))&lt;=6,1,2),$A93&amp;"*"))</f>
        <v/>
      </c>
      <c r="C93" s="179">
        <f>IF($A93="","",SUMIFS(Tabela367[Presenças Previstas],Tabela367[Período],$B93))</f>
        <v/>
      </c>
      <c r="D93" s="179">
        <f>IF($A93="","",SUMIFS(Tabela367[Presenças Registradas],Tabela367[Período],$B93))</f>
        <v/>
      </c>
      <c r="E93" s="244">
        <f>IF($A93="","",COUNTIFS(Tabela367[Período],$B93))</f>
        <v/>
      </c>
      <c r="F93" s="208">
        <f>IF($A93="","",IF(E93=0,"",IFERROR(D93/C93,"")))</f>
        <v/>
      </c>
      <c r="G93" s="250">
        <f>IF($A93="","",IFERROR(IF(SUMPRODUCT(MAX((METAS!$A$5:$A$404="DTNH-03")*(METAS!$B$5:$B$404="TOTAL")*(METAS!$D$5:$D$404&lt;=IFERROR(VALUE(SUBSTITUTE($A93,"-","")),0))*METAS!$D$5:$D$404))=0,IF(SUMPRODUCT(MAX((METAS!$A$5:$A$404="DTNH-03")*(METAS!$B$5:$B$404="TOTAL")*(METAS!$D$5:$D$404&lt;=IFERROR(VALUE(SUBSTITUTE($A93,"-","")),0))*METAS!$D$5:$D$404))=0,"",SUMPRODUCT((METAS!$A$5:$A$404="DTNH-03")*(METAS!$B$5:$B$404="TOTAL")*(METAS!$D$5:$D$404=SUMPRODUCT(MAX((METAS!$A$5:$A$404="DTNH-03")*(METAS!$B$5:$B$404="TOTAL")*(METAS!$D$5:$D$404&lt;=IFERROR(VALUE(SUBSTITUTE($A93,"-","")),0))*METAS!$D$5:$D$404)))*METAS!$E$5:$E$404)),SUMPRODUCT((METAS!$A$5:$A$404="DTNH-03")*(METAS!$B$5:$B$404="TOTAL")*(METAS!$D$5:$D$404=SUMPRODUCT(MAX((METAS!$A$5:$A$404="DTNH-03")*(METAS!$B$5:$B$404="TOTAL")*(METAS!$D$5:$D$404&lt;=IFERROR(VALUE(SUBSTITUTE($A93,"-","")),0))*METAS!$D$5:$D$404)))*METAS!$E$5:$E$404)),""))</f>
        <v/>
      </c>
    </row>
    <row r="94" ht="15" customHeight="1" s="131">
      <c r="A94" s="242">
        <f>IF(OR(PARAMETROS!$B$18="",PARAMETROS!$B$19=0),"",IF(YEAR(EDATE(PARAMETROS!$B$18,6))*100+MONTH(EDATE(PARAMETROS!$B$18,6))&gt;PARAMETROS!$B$19,"",YEAR(EDATE(PARAMETROS!$B$18,6))&amp;"-"&amp;IF(MONTH(EDATE(PARAMETROS!$B$18,6))&lt;10,"0","")&amp;MONTH(EDATE(PARAMETROS!$B$18,6))))</f>
        <v/>
      </c>
      <c r="B94" s="243">
        <f>IF($A94="","",IF(INDEX(INDICADORES!$I$5:$I$24,MATCH("DTNH-03",INDICADORES!$A$5:$A$24,0))="Semestral",LEFT($A94,4)&amp;"-SEM"&amp;IF(VALUE(RIGHT($A94,2))&lt;=6,1,2),$A94&amp;"*"))</f>
        <v/>
      </c>
      <c r="C94" s="179">
        <f>IF($A94="","",SUMIFS(Tabela367[Presenças Previstas],Tabela367[Período],$B94))</f>
        <v/>
      </c>
      <c r="D94" s="179">
        <f>IF($A94="","",SUMIFS(Tabela367[Presenças Registradas],Tabela367[Período],$B94))</f>
        <v/>
      </c>
      <c r="E94" s="244">
        <f>IF($A94="","",COUNTIFS(Tabela367[Período],$B94))</f>
        <v/>
      </c>
      <c r="F94" s="208">
        <f>IF($A94="","",IF(E94=0,"",IFERROR(D94/C94,"")))</f>
        <v/>
      </c>
      <c r="G94" s="250">
        <f>IF($A94="","",IFERROR(IF(SUMPRODUCT(MAX((METAS!$A$5:$A$404="DTNH-03")*(METAS!$B$5:$B$404="TOTAL")*(METAS!$D$5:$D$404&lt;=IFERROR(VALUE(SUBSTITUTE($A94,"-","")),0))*METAS!$D$5:$D$404))=0,IF(SUMPRODUCT(MAX((METAS!$A$5:$A$404="DTNH-03")*(METAS!$B$5:$B$404="TOTAL")*(METAS!$D$5:$D$404&lt;=IFERROR(VALUE(SUBSTITUTE($A94,"-","")),0))*METAS!$D$5:$D$404))=0,"",SUMPRODUCT((METAS!$A$5:$A$404="DTNH-03")*(METAS!$B$5:$B$404="TOTAL")*(METAS!$D$5:$D$404=SUMPRODUCT(MAX((METAS!$A$5:$A$404="DTNH-03")*(METAS!$B$5:$B$404="TOTAL")*(METAS!$D$5:$D$404&lt;=IFERROR(VALUE(SUBSTITUTE($A94,"-","")),0))*METAS!$D$5:$D$404)))*METAS!$E$5:$E$404)),SUMPRODUCT((METAS!$A$5:$A$404="DTNH-03")*(METAS!$B$5:$B$404="TOTAL")*(METAS!$D$5:$D$404=SUMPRODUCT(MAX((METAS!$A$5:$A$404="DTNH-03")*(METAS!$B$5:$B$404="TOTAL")*(METAS!$D$5:$D$404&lt;=IFERROR(VALUE(SUBSTITUTE($A94,"-","")),0))*METAS!$D$5:$D$404)))*METAS!$E$5:$E$404)),""))</f>
        <v/>
      </c>
    </row>
    <row r="95" ht="15" customHeight="1" s="131">
      <c r="A95" s="242">
        <f>IF(OR(PARAMETROS!$B$18="",PARAMETROS!$B$19=0),"",IF(YEAR(EDATE(PARAMETROS!$B$18,7))*100+MONTH(EDATE(PARAMETROS!$B$18,7))&gt;PARAMETROS!$B$19,"",YEAR(EDATE(PARAMETROS!$B$18,7))&amp;"-"&amp;IF(MONTH(EDATE(PARAMETROS!$B$18,7))&lt;10,"0","")&amp;MONTH(EDATE(PARAMETROS!$B$18,7))))</f>
        <v/>
      </c>
      <c r="B95" s="243">
        <f>IF($A95="","",IF(INDEX(INDICADORES!$I$5:$I$24,MATCH("DTNH-03",INDICADORES!$A$5:$A$24,0))="Semestral",LEFT($A95,4)&amp;"-SEM"&amp;IF(VALUE(RIGHT($A95,2))&lt;=6,1,2),$A95&amp;"*"))</f>
        <v/>
      </c>
      <c r="C95" s="179">
        <f>IF($A95="","",SUMIFS(Tabela367[Presenças Previstas],Tabela367[Período],$B95))</f>
        <v/>
      </c>
      <c r="D95" s="179">
        <f>IF($A95="","",SUMIFS(Tabela367[Presenças Registradas],Tabela367[Período],$B95))</f>
        <v/>
      </c>
      <c r="E95" s="244">
        <f>IF($A95="","",COUNTIFS(Tabela367[Período],$B95))</f>
        <v/>
      </c>
      <c r="F95" s="208">
        <f>IF($A95="","",IF(E95=0,"",IFERROR(D95/C95,"")))</f>
        <v/>
      </c>
      <c r="G95" s="250">
        <f>IF($A95="","",IFERROR(IF(SUMPRODUCT(MAX((METAS!$A$5:$A$404="DTNH-03")*(METAS!$B$5:$B$404="TOTAL")*(METAS!$D$5:$D$404&lt;=IFERROR(VALUE(SUBSTITUTE($A95,"-","")),0))*METAS!$D$5:$D$404))=0,IF(SUMPRODUCT(MAX((METAS!$A$5:$A$404="DTNH-03")*(METAS!$B$5:$B$404="TOTAL")*(METAS!$D$5:$D$404&lt;=IFERROR(VALUE(SUBSTITUTE($A95,"-","")),0))*METAS!$D$5:$D$404))=0,"",SUMPRODUCT((METAS!$A$5:$A$404="DTNH-03")*(METAS!$B$5:$B$404="TOTAL")*(METAS!$D$5:$D$404=SUMPRODUCT(MAX((METAS!$A$5:$A$404="DTNH-03")*(METAS!$B$5:$B$404="TOTAL")*(METAS!$D$5:$D$404&lt;=IFERROR(VALUE(SUBSTITUTE($A95,"-","")),0))*METAS!$D$5:$D$404)))*METAS!$E$5:$E$404)),SUMPRODUCT((METAS!$A$5:$A$404="DTNH-03")*(METAS!$B$5:$B$404="TOTAL")*(METAS!$D$5:$D$404=SUMPRODUCT(MAX((METAS!$A$5:$A$404="DTNH-03")*(METAS!$B$5:$B$404="TOTAL")*(METAS!$D$5:$D$404&lt;=IFERROR(VALUE(SUBSTITUTE($A95,"-","")),0))*METAS!$D$5:$D$404)))*METAS!$E$5:$E$404)),""))</f>
        <v/>
      </c>
    </row>
    <row r="96" ht="15" customHeight="1" s="131">
      <c r="A96" s="242">
        <f>IF(OR(PARAMETROS!$B$18="",PARAMETROS!$B$19=0),"",IF(YEAR(EDATE(PARAMETROS!$B$18,8))*100+MONTH(EDATE(PARAMETROS!$B$18,8))&gt;PARAMETROS!$B$19,"",YEAR(EDATE(PARAMETROS!$B$18,8))&amp;"-"&amp;IF(MONTH(EDATE(PARAMETROS!$B$18,8))&lt;10,"0","")&amp;MONTH(EDATE(PARAMETROS!$B$18,8))))</f>
        <v/>
      </c>
      <c r="B96" s="243">
        <f>IF($A96="","",IF(INDEX(INDICADORES!$I$5:$I$24,MATCH("DTNH-03",INDICADORES!$A$5:$A$24,0))="Semestral",LEFT($A96,4)&amp;"-SEM"&amp;IF(VALUE(RIGHT($A96,2))&lt;=6,1,2),$A96&amp;"*"))</f>
        <v/>
      </c>
      <c r="C96" s="179">
        <f>IF($A96="","",SUMIFS(Tabela367[Presenças Previstas],Tabela367[Período],$B96))</f>
        <v/>
      </c>
      <c r="D96" s="179">
        <f>IF($A96="","",SUMIFS(Tabela367[Presenças Registradas],Tabela367[Período],$B96))</f>
        <v/>
      </c>
      <c r="E96" s="244">
        <f>IF($A96="","",COUNTIFS(Tabela367[Período],$B96))</f>
        <v/>
      </c>
      <c r="F96" s="208">
        <f>IF($A96="","",IF(E96=0,"",IFERROR(D96/C96,"")))</f>
        <v/>
      </c>
      <c r="G96" s="250">
        <f>IF($A96="","",IFERROR(IF(SUMPRODUCT(MAX((METAS!$A$5:$A$404="DTNH-03")*(METAS!$B$5:$B$404="TOTAL")*(METAS!$D$5:$D$404&lt;=IFERROR(VALUE(SUBSTITUTE($A96,"-","")),0))*METAS!$D$5:$D$404))=0,IF(SUMPRODUCT(MAX((METAS!$A$5:$A$404="DTNH-03")*(METAS!$B$5:$B$404="TOTAL")*(METAS!$D$5:$D$404&lt;=IFERROR(VALUE(SUBSTITUTE($A96,"-","")),0))*METAS!$D$5:$D$404))=0,"",SUMPRODUCT((METAS!$A$5:$A$404="DTNH-03")*(METAS!$B$5:$B$404="TOTAL")*(METAS!$D$5:$D$404=SUMPRODUCT(MAX((METAS!$A$5:$A$404="DTNH-03")*(METAS!$B$5:$B$404="TOTAL")*(METAS!$D$5:$D$404&lt;=IFERROR(VALUE(SUBSTITUTE($A96,"-","")),0))*METAS!$D$5:$D$404)))*METAS!$E$5:$E$404)),SUMPRODUCT((METAS!$A$5:$A$404="DTNH-03")*(METAS!$B$5:$B$404="TOTAL")*(METAS!$D$5:$D$404=SUMPRODUCT(MAX((METAS!$A$5:$A$404="DTNH-03")*(METAS!$B$5:$B$404="TOTAL")*(METAS!$D$5:$D$404&lt;=IFERROR(VALUE(SUBSTITUTE($A96,"-","")),0))*METAS!$D$5:$D$404)))*METAS!$E$5:$E$404)),""))</f>
        <v/>
      </c>
    </row>
    <row r="97" ht="15" customHeight="1" s="131">
      <c r="A97" s="242">
        <f>IF(OR(PARAMETROS!$B$18="",PARAMETROS!$B$19=0),"",IF(YEAR(EDATE(PARAMETROS!$B$18,9))*100+MONTH(EDATE(PARAMETROS!$B$18,9))&gt;PARAMETROS!$B$19,"",YEAR(EDATE(PARAMETROS!$B$18,9))&amp;"-"&amp;IF(MONTH(EDATE(PARAMETROS!$B$18,9))&lt;10,"0","")&amp;MONTH(EDATE(PARAMETROS!$B$18,9))))</f>
        <v/>
      </c>
      <c r="B97" s="243">
        <f>IF($A97="","",IF(INDEX(INDICADORES!$I$5:$I$24,MATCH("DTNH-03",INDICADORES!$A$5:$A$24,0))="Semestral",LEFT($A97,4)&amp;"-SEM"&amp;IF(VALUE(RIGHT($A97,2))&lt;=6,1,2),$A97&amp;"*"))</f>
        <v/>
      </c>
      <c r="C97" s="179">
        <f>IF($A97="","",SUMIFS(Tabela367[Presenças Previstas],Tabela367[Período],$B97))</f>
        <v/>
      </c>
      <c r="D97" s="179">
        <f>IF($A97="","",SUMIFS(Tabela367[Presenças Registradas],Tabela367[Período],$B97))</f>
        <v/>
      </c>
      <c r="E97" s="244">
        <f>IF($A97="","",COUNTIFS(Tabela367[Período],$B97))</f>
        <v/>
      </c>
      <c r="F97" s="208">
        <f>IF($A97="","",IF(E97=0,"",IFERROR(D97/C97,"")))</f>
        <v/>
      </c>
      <c r="G97" s="250">
        <f>IF($A97="","",IFERROR(IF(SUMPRODUCT(MAX((METAS!$A$5:$A$404="DTNH-03")*(METAS!$B$5:$B$404="TOTAL")*(METAS!$D$5:$D$404&lt;=IFERROR(VALUE(SUBSTITUTE($A97,"-","")),0))*METAS!$D$5:$D$404))=0,IF(SUMPRODUCT(MAX((METAS!$A$5:$A$404="DTNH-03")*(METAS!$B$5:$B$404="TOTAL")*(METAS!$D$5:$D$404&lt;=IFERROR(VALUE(SUBSTITUTE($A97,"-","")),0))*METAS!$D$5:$D$404))=0,"",SUMPRODUCT((METAS!$A$5:$A$404="DTNH-03")*(METAS!$B$5:$B$404="TOTAL")*(METAS!$D$5:$D$404=SUMPRODUCT(MAX((METAS!$A$5:$A$404="DTNH-03")*(METAS!$B$5:$B$404="TOTAL")*(METAS!$D$5:$D$404&lt;=IFERROR(VALUE(SUBSTITUTE($A97,"-","")),0))*METAS!$D$5:$D$404)))*METAS!$E$5:$E$404)),SUMPRODUCT((METAS!$A$5:$A$404="DTNH-03")*(METAS!$B$5:$B$404="TOTAL")*(METAS!$D$5:$D$404=SUMPRODUCT(MAX((METAS!$A$5:$A$404="DTNH-03")*(METAS!$B$5:$B$404="TOTAL")*(METAS!$D$5:$D$404&lt;=IFERROR(VALUE(SUBSTITUTE($A97,"-","")),0))*METAS!$D$5:$D$404)))*METAS!$E$5:$E$404)),""))</f>
        <v/>
      </c>
    </row>
    <row r="98" ht="15" customHeight="1" s="131">
      <c r="A98" s="242">
        <f>IF(OR(PARAMETROS!$B$18="",PARAMETROS!$B$19=0),"",IF(YEAR(EDATE(PARAMETROS!$B$18,10))*100+MONTH(EDATE(PARAMETROS!$B$18,10))&gt;PARAMETROS!$B$19,"",YEAR(EDATE(PARAMETROS!$B$18,10))&amp;"-"&amp;IF(MONTH(EDATE(PARAMETROS!$B$18,10))&lt;10,"0","")&amp;MONTH(EDATE(PARAMETROS!$B$18,10))))</f>
        <v/>
      </c>
      <c r="B98" s="243">
        <f>IF($A98="","",IF(INDEX(INDICADORES!$I$5:$I$24,MATCH("DTNH-03",INDICADORES!$A$5:$A$24,0))="Semestral",LEFT($A98,4)&amp;"-SEM"&amp;IF(VALUE(RIGHT($A98,2))&lt;=6,1,2),$A98&amp;"*"))</f>
        <v/>
      </c>
      <c r="C98" s="179">
        <f>IF($A98="","",SUMIFS(Tabela367[Presenças Previstas],Tabela367[Período],$B98))</f>
        <v/>
      </c>
      <c r="D98" s="179">
        <f>IF($A98="","",SUMIFS(Tabela367[Presenças Registradas],Tabela367[Período],$B98))</f>
        <v/>
      </c>
      <c r="E98" s="244">
        <f>IF($A98="","",COUNTIFS(Tabela367[Período],$B98))</f>
        <v/>
      </c>
      <c r="F98" s="208">
        <f>IF($A98="","",IF(E98=0,"",IFERROR(D98/C98,"")))</f>
        <v/>
      </c>
      <c r="G98" s="250">
        <f>IF($A98="","",IFERROR(IF(SUMPRODUCT(MAX((METAS!$A$5:$A$404="DTNH-03")*(METAS!$B$5:$B$404="TOTAL")*(METAS!$D$5:$D$404&lt;=IFERROR(VALUE(SUBSTITUTE($A98,"-","")),0))*METAS!$D$5:$D$404))=0,IF(SUMPRODUCT(MAX((METAS!$A$5:$A$404="DTNH-03")*(METAS!$B$5:$B$404="TOTAL")*(METAS!$D$5:$D$404&lt;=IFERROR(VALUE(SUBSTITUTE($A98,"-","")),0))*METAS!$D$5:$D$404))=0,"",SUMPRODUCT((METAS!$A$5:$A$404="DTNH-03")*(METAS!$B$5:$B$404="TOTAL")*(METAS!$D$5:$D$404=SUMPRODUCT(MAX((METAS!$A$5:$A$404="DTNH-03")*(METAS!$B$5:$B$404="TOTAL")*(METAS!$D$5:$D$404&lt;=IFERROR(VALUE(SUBSTITUTE($A98,"-","")),0))*METAS!$D$5:$D$404)))*METAS!$E$5:$E$404)),SUMPRODUCT((METAS!$A$5:$A$404="DTNH-03")*(METAS!$B$5:$B$404="TOTAL")*(METAS!$D$5:$D$404=SUMPRODUCT(MAX((METAS!$A$5:$A$404="DTNH-03")*(METAS!$B$5:$B$404="TOTAL")*(METAS!$D$5:$D$404&lt;=IFERROR(VALUE(SUBSTITUTE($A98,"-","")),0))*METAS!$D$5:$D$404)))*METAS!$E$5:$E$404)),""))</f>
        <v/>
      </c>
    </row>
    <row r="99" ht="15" customHeight="1" s="131">
      <c r="A99" s="242">
        <f>IF(OR(PARAMETROS!$B$18="",PARAMETROS!$B$19=0),"",IF(YEAR(EDATE(PARAMETROS!$B$18,11))*100+MONTH(EDATE(PARAMETROS!$B$18,11))&gt;PARAMETROS!$B$19,"",YEAR(EDATE(PARAMETROS!$B$18,11))&amp;"-"&amp;IF(MONTH(EDATE(PARAMETROS!$B$18,11))&lt;10,"0","")&amp;MONTH(EDATE(PARAMETROS!$B$18,11))))</f>
        <v/>
      </c>
      <c r="B99" s="243">
        <f>IF($A99="","",IF(INDEX(INDICADORES!$I$5:$I$24,MATCH("DTNH-03",INDICADORES!$A$5:$A$24,0))="Semestral",LEFT($A99,4)&amp;"-SEM"&amp;IF(VALUE(RIGHT($A99,2))&lt;=6,1,2),$A99&amp;"*"))</f>
        <v/>
      </c>
      <c r="C99" s="179">
        <f>IF($A99="","",SUMIFS(Tabela367[Presenças Previstas],Tabela367[Período],$B99))</f>
        <v/>
      </c>
      <c r="D99" s="179">
        <f>IF($A99="","",SUMIFS(Tabela367[Presenças Registradas],Tabela367[Período],$B99))</f>
        <v/>
      </c>
      <c r="E99" s="244">
        <f>IF($A99="","",COUNTIFS(Tabela367[Período],$B99))</f>
        <v/>
      </c>
      <c r="F99" s="208">
        <f>IF($A99="","",IF(E99=0,"",IFERROR(D99/C99,"")))</f>
        <v/>
      </c>
      <c r="G99" s="250">
        <f>IF($A99="","",IFERROR(IF(SUMPRODUCT(MAX((METAS!$A$5:$A$404="DTNH-03")*(METAS!$B$5:$B$404="TOTAL")*(METAS!$D$5:$D$404&lt;=IFERROR(VALUE(SUBSTITUTE($A99,"-","")),0))*METAS!$D$5:$D$404))=0,IF(SUMPRODUCT(MAX((METAS!$A$5:$A$404="DTNH-03")*(METAS!$B$5:$B$404="TOTAL")*(METAS!$D$5:$D$404&lt;=IFERROR(VALUE(SUBSTITUTE($A99,"-","")),0))*METAS!$D$5:$D$404))=0,"",SUMPRODUCT((METAS!$A$5:$A$404="DTNH-03")*(METAS!$B$5:$B$404="TOTAL")*(METAS!$D$5:$D$404=SUMPRODUCT(MAX((METAS!$A$5:$A$404="DTNH-03")*(METAS!$B$5:$B$404="TOTAL")*(METAS!$D$5:$D$404&lt;=IFERROR(VALUE(SUBSTITUTE($A99,"-","")),0))*METAS!$D$5:$D$404)))*METAS!$E$5:$E$404)),SUMPRODUCT((METAS!$A$5:$A$404="DTNH-03")*(METAS!$B$5:$B$404="TOTAL")*(METAS!$D$5:$D$404=SUMPRODUCT(MAX((METAS!$A$5:$A$404="DTNH-03")*(METAS!$B$5:$B$404="TOTAL")*(METAS!$D$5:$D$404&lt;=IFERROR(VALUE(SUBSTITUTE($A99,"-","")),0))*METAS!$D$5:$D$404)))*METAS!$E$5:$E$404)),""))</f>
        <v/>
      </c>
    </row>
    <row r="101" ht="15" customHeight="1" s="131">
      <c r="A101" s="246" t="inlineStr">
        <is>
          <t>Resumo do mês</t>
        </is>
      </c>
    </row>
    <row r="102" ht="33.75" customHeight="1" s="131">
      <c r="A102" s="199" t="inlineStr">
        <is>
          <t>KPI</t>
        </is>
      </c>
      <c r="B102" s="199" t="inlineStr">
        <is>
          <t>Valor na referência</t>
        </is>
      </c>
      <c r="C102" s="199" t="inlineStr">
        <is>
          <t>Valor na comparação</t>
        </is>
      </c>
      <c r="D102" s="199" t="inlineStr">
        <is>
          <t>Variação</t>
        </is>
      </c>
      <c r="E102" s="199" t="inlineStr">
        <is>
          <t>Meta vigente</t>
        </is>
      </c>
      <c r="F102" s="199" t="inlineStr">
        <is>
          <t>Limiar de atenção</t>
        </is>
      </c>
      <c r="G102" s="199" t="inlineStr">
        <is>
          <t>Falta p/ a meta</t>
        </is>
      </c>
      <c r="H102" s="199" t="inlineStr">
        <is>
          <t>Falta p/ o limiar</t>
        </is>
      </c>
      <c r="I102" s="199" t="inlineStr">
        <is>
          <t>Atingimento</t>
        </is>
      </c>
      <c r="J102" s="199" t="inlineStr">
        <is>
          <t>Status</t>
        </is>
      </c>
      <c r="K102" s="199" t="inlineStr">
        <is>
          <t>Situação da apuração</t>
        </is>
      </c>
      <c r="L102" s="199" t="inlineStr">
        <is>
          <t>Lançamentos no mês</t>
        </is>
      </c>
      <c r="M102" s="199" t="inlineStr">
        <is>
          <t>Linhas fora da janela</t>
        </is>
      </c>
      <c r="N102" s="199" t="inlineStr">
        <is>
          <t>aux crit. ref.</t>
        </is>
      </c>
      <c r="O102" s="199" t="inlineStr">
        <is>
          <t>aux crit. comp.</t>
        </is>
      </c>
    </row>
    <row r="103" ht="15" customHeight="1" s="131">
      <c r="A103" s="138" t="inlineStr">
        <is>
          <t>DTNH-03</t>
        </is>
      </c>
      <c r="B103" s="254">
        <f>IF($N$103="","",IF(COUNTIFS(Tabela367[Período],$N$103)=0,"",IFERROR(SUMIFS(Tabela367[Presenças Registradas],Tabela367[Período],$N$103)/SUMIFS(Tabela367[Presenças Previstas],Tabela367[Período],$N$103),"")))</f>
        <v/>
      </c>
      <c r="C103" s="162">
        <f>IF($O$103="","",IF(COUNTIFS(Tabela367[Período],$O$103)=0,"",IFERROR(SUMIFS(Tabela367[Presenças Registradas],Tabela367[Período],$O$103)/SUMIFS(Tabela367[Presenças Previstas],Tabela367[Período],$O$103),"")))</f>
        <v/>
      </c>
      <c r="D103" s="177">
        <f>IF(OR(B103="",C103=""),"",B103-C103)</f>
        <v/>
      </c>
      <c r="E103" s="184">
        <f>CALC!$F$8</f>
        <v/>
      </c>
      <c r="F103" s="162">
        <f>CALC!$G$8</f>
        <v/>
      </c>
      <c r="G103" s="177">
        <f>IF(OR(B103="",E103=""),"",B103-E103)</f>
        <v/>
      </c>
      <c r="H103" s="177">
        <f>IF(OR(B103="",F103=""),"",B103-F103)</f>
        <v/>
      </c>
      <c r="I103" s="162">
        <f>IFERROR(B103/E103,"")</f>
        <v/>
      </c>
      <c r="J103" s="163">
        <f>IF(OR(B103="",E103=""),"",IF(ROUND(B103,6)&gt;=ROUND(E103,6),"Dentro da meta",IF(AND(F103&lt;&gt;"",ROUND(B103,6)&gt;=ROUND(F103,6)),"Atenção","Fora da meta")))</f>
        <v/>
      </c>
      <c r="K103" s="163">
        <f>IF($F$4="","Sem mês de referência",IF(COUNTIFS(Tabela367[Período],$N$103)=0,"Não alimentado","Apurado"))</f>
        <v/>
      </c>
      <c r="L103" s="165">
        <f>COUNTIFS(Tabela367[Período],$N$103)</f>
        <v/>
      </c>
      <c r="M103" s="165">
        <f>COUNTIFS(Tabela367[Período],"&lt;"&amp;$B$4)+COUNTIFS(Tabela367[Período],"&gt;"&amp;$D$4&amp;"~*")</f>
        <v/>
      </c>
      <c r="N103" s="243">
        <f>IF($F$4="","",IF(INDEX(INDICADORES!$I$5:$I$24,MATCH("DTNH-03",INDICADORES!$A$5:$A$24,0))="Semestral",LEFT($F$4,4)&amp;"-SEM"&amp;IF(VALUE(RIGHT($F$4,2))&lt;=6,1,2),$F$4&amp;"*"))</f>
        <v/>
      </c>
      <c r="O103" s="243">
        <f>IF($H$4="","",IF(INDEX(INDICADORES!$I$5:$I$24,MATCH("DTNH-03",INDICADORES!$A$5:$A$24,0))="Semestral",LEFT($H$4,4)&amp;"-SEM"&amp;IF(VALUE(RIGHT($H$4,2))&lt;=6,1,2),$H$4&amp;"*"))</f>
        <v/>
      </c>
    </row>
    <row r="105" ht="23.25" customHeight="1" s="131">
      <c r="A105" s="246" t="inlineStr">
        <is>
          <t>Por curso — referência contra comparação</t>
        </is>
      </c>
    </row>
    <row r="106" ht="33.75" customHeight="1" s="131">
      <c r="A106" s="199" t="inlineStr">
        <is>
          <t>Curso</t>
        </is>
      </c>
      <c r="B106" s="199" t="inlineStr">
        <is>
          <t>Total: Presenças Previstas</t>
        </is>
      </c>
      <c r="C106" s="199" t="inlineStr">
        <is>
          <t>Total: Presenças Registradas</t>
        </is>
      </c>
      <c r="D106" s="199" t="inlineStr">
        <is>
          <t>Valor na referência</t>
        </is>
      </c>
      <c r="E106" s="199" t="inlineStr">
        <is>
          <t>Valor na comparação</t>
        </is>
      </c>
      <c r="F106" s="199" t="inlineStr">
        <is>
          <t>Variação</t>
        </is>
      </c>
      <c r="G106" s="199" t="inlineStr">
        <is>
          <t>Meta vigente</t>
        </is>
      </c>
      <c r="H106" s="199" t="inlineStr">
        <is>
          <t>Limiar de atenção</t>
        </is>
      </c>
      <c r="I106" s="199" t="inlineStr">
        <is>
          <t>Status</t>
        </is>
      </c>
    </row>
    <row r="107" ht="15" customHeight="1" s="131">
      <c r="A107" s="167">
        <f>CURSOS!$A$5</f>
        <v/>
      </c>
      <c r="B107" s="179">
        <f>IF($N$103="","",SUMIFS(Tabela367[Presenças Previstas],Tabela367[Período],$N$103,Tabela367[Curso],$A107))</f>
        <v/>
      </c>
      <c r="C107" s="179">
        <f>IF($N$103="","",SUMIFS(Tabela367[Presenças Registradas],Tabela367[Período],$N$103,Tabela367[Curso],$A107))</f>
        <v/>
      </c>
      <c r="D107" s="185">
        <f>IF($N$103="","",IF(COUNTIFS(Tabela367[Período],$N$103,Tabela367[Curso],$A107)=0,"",IFERROR(SUMIFS(Tabela367[Presenças Registradas],Tabela367[Período],$N$103,Tabela367[Curso],$A107)/SUMIFS(Tabela367[Presenças Previstas],Tabela367[Período],$N$103,Tabela367[Curso],$A107),"")))</f>
        <v/>
      </c>
      <c r="E107" s="181">
        <f>IF($O$103="","",IF(COUNTIFS(Tabela367[Período],$O$103,Tabela367[Curso],$A107)=0,"",IFERROR(SUMIFS(Tabela367[Presenças Registradas],Tabela367[Período],$O$103,Tabela367[Curso],$A107)/SUMIFS(Tabela367[Presenças Previstas],Tabela367[Período],$O$103,Tabela367[Curso],$A107),"")))</f>
        <v/>
      </c>
      <c r="F107" s="206">
        <f>IF(OR(D107="",E107=""),"",D107-E107)</f>
        <v/>
      </c>
      <c r="G107" s="181">
        <f>IFERROR(INDEX(CALC!$F$8:$F$17,MATCH($A107,CALC!$A$8:$A$17,0)),"")</f>
        <v/>
      </c>
      <c r="H107" s="181">
        <f>IFERROR(INDEX(CALC!$G$8:$G$17,MATCH($A107,CALC!$A$8:$A$17,0)),"")</f>
        <v/>
      </c>
      <c r="I107" s="171">
        <f>IF(OR(D107="",G107=""),"",IF(ROUND(D107,6)&gt;=ROUND(G107,6),"Dentro da meta",IF(AND(H107&lt;&gt;"",ROUND(D107,6)&gt;=ROUND(H107,6)),"Atenção","Fora da meta")))</f>
        <v/>
      </c>
    </row>
    <row r="108" ht="15" customHeight="1" s="131">
      <c r="A108" s="167">
        <f>CURSOS!$A$6</f>
        <v/>
      </c>
      <c r="B108" s="179">
        <f>IF($N$103="","",SUMIFS(Tabela367[Presenças Previstas],Tabela367[Período],$N$103,Tabela367[Curso],$A108))</f>
        <v/>
      </c>
      <c r="C108" s="179">
        <f>IF($N$103="","",SUMIFS(Tabela367[Presenças Registradas],Tabela367[Período],$N$103,Tabela367[Curso],$A108))</f>
        <v/>
      </c>
      <c r="D108" s="185">
        <f>IF($N$103="","",IF(COUNTIFS(Tabela367[Período],$N$103,Tabela367[Curso],$A108)=0,"",IFERROR(SUMIFS(Tabela367[Presenças Registradas],Tabela367[Período],$N$103,Tabela367[Curso],$A108)/SUMIFS(Tabela367[Presenças Previstas],Tabela367[Período],$N$103,Tabela367[Curso],$A108),"")))</f>
        <v/>
      </c>
      <c r="E108" s="181">
        <f>IF($O$103="","",IF(COUNTIFS(Tabela367[Período],$O$103,Tabela367[Curso],$A108)=0,"",IFERROR(SUMIFS(Tabela367[Presenças Registradas],Tabela367[Período],$O$103,Tabela367[Curso],$A108)/SUMIFS(Tabela367[Presenças Previstas],Tabela367[Período],$O$103,Tabela367[Curso],$A108),"")))</f>
        <v/>
      </c>
      <c r="F108" s="206">
        <f>IF(OR(D108="",E108=""),"",D108-E108)</f>
        <v/>
      </c>
      <c r="G108" s="181">
        <f>IFERROR(INDEX(CALC!$F$8:$F$17,MATCH($A108,CALC!$A$8:$A$17,0)),"")</f>
        <v/>
      </c>
      <c r="H108" s="181">
        <f>IFERROR(INDEX(CALC!$G$8:$G$17,MATCH($A108,CALC!$A$8:$A$17,0)),"")</f>
        <v/>
      </c>
      <c r="I108" s="171">
        <f>IF(OR(D108="",G108=""),"",IF(ROUND(D108,6)&gt;=ROUND(G108,6),"Dentro da meta",IF(AND(H108&lt;&gt;"",ROUND(D108,6)&gt;=ROUND(H108,6)),"Atenção","Fora da meta")))</f>
        <v/>
      </c>
    </row>
    <row r="109" ht="15" customHeight="1" s="131">
      <c r="A109" s="167">
        <f>CURSOS!$A$7</f>
        <v/>
      </c>
      <c r="B109" s="179">
        <f>IF($N$103="","",SUMIFS(Tabela367[Presenças Previstas],Tabela367[Período],$N$103,Tabela367[Curso],$A109))</f>
        <v/>
      </c>
      <c r="C109" s="179">
        <f>IF($N$103="","",SUMIFS(Tabela367[Presenças Registradas],Tabela367[Período],$N$103,Tabela367[Curso],$A109))</f>
        <v/>
      </c>
      <c r="D109" s="185">
        <f>IF($N$103="","",IF(COUNTIFS(Tabela367[Período],$N$103,Tabela367[Curso],$A109)=0,"",IFERROR(SUMIFS(Tabela367[Presenças Registradas],Tabela367[Período],$N$103,Tabela367[Curso],$A109)/SUMIFS(Tabela367[Presenças Previstas],Tabela367[Período],$N$103,Tabela367[Curso],$A109),"")))</f>
        <v/>
      </c>
      <c r="E109" s="181">
        <f>IF($O$103="","",IF(COUNTIFS(Tabela367[Período],$O$103,Tabela367[Curso],$A109)=0,"",IFERROR(SUMIFS(Tabela367[Presenças Registradas],Tabela367[Período],$O$103,Tabela367[Curso],$A109)/SUMIFS(Tabela367[Presenças Previstas],Tabela367[Período],$O$103,Tabela367[Curso],$A109),"")))</f>
        <v/>
      </c>
      <c r="F109" s="206">
        <f>IF(OR(D109="",E109=""),"",D109-E109)</f>
        <v/>
      </c>
      <c r="G109" s="181">
        <f>IFERROR(INDEX(CALC!$F$8:$F$17,MATCH($A109,CALC!$A$8:$A$17,0)),"")</f>
        <v/>
      </c>
      <c r="H109" s="181">
        <f>IFERROR(INDEX(CALC!$G$8:$G$17,MATCH($A109,CALC!$A$8:$A$17,0)),"")</f>
        <v/>
      </c>
      <c r="I109" s="171">
        <f>IF(OR(D109="",G109=""),"",IF(ROUND(D109,6)&gt;=ROUND(G109,6),"Dentro da meta",IF(AND(H109&lt;&gt;"",ROUND(D109,6)&gt;=ROUND(H109,6)),"Atenção","Fora da meta")))</f>
        <v/>
      </c>
    </row>
    <row r="110" ht="15" customHeight="1" s="131">
      <c r="A110" s="167">
        <f>CURSOS!$A$8</f>
        <v/>
      </c>
      <c r="B110" s="179">
        <f>IF($N$103="","",SUMIFS(Tabela367[Presenças Previstas],Tabela367[Período],$N$103,Tabela367[Curso],$A110))</f>
        <v/>
      </c>
      <c r="C110" s="179">
        <f>IF($N$103="","",SUMIFS(Tabela367[Presenças Registradas],Tabela367[Período],$N$103,Tabela367[Curso],$A110))</f>
        <v/>
      </c>
      <c r="D110" s="185">
        <f>IF($N$103="","",IF(COUNTIFS(Tabela367[Período],$N$103,Tabela367[Curso],$A110)=0,"",IFERROR(SUMIFS(Tabela367[Presenças Registradas],Tabela367[Período],$N$103,Tabela367[Curso],$A110)/SUMIFS(Tabela367[Presenças Previstas],Tabela367[Período],$N$103,Tabela367[Curso],$A110),"")))</f>
        <v/>
      </c>
      <c r="E110" s="181">
        <f>IF($O$103="","",IF(COUNTIFS(Tabela367[Período],$O$103,Tabela367[Curso],$A110)=0,"",IFERROR(SUMIFS(Tabela367[Presenças Registradas],Tabela367[Período],$O$103,Tabela367[Curso],$A110)/SUMIFS(Tabela367[Presenças Previstas],Tabela367[Período],$O$103,Tabela367[Curso],$A110),"")))</f>
        <v/>
      </c>
      <c r="F110" s="206">
        <f>IF(OR(D110="",E110=""),"",D110-E110)</f>
        <v/>
      </c>
      <c r="G110" s="181">
        <f>IFERROR(INDEX(CALC!$F$8:$F$17,MATCH($A110,CALC!$A$8:$A$17,0)),"")</f>
        <v/>
      </c>
      <c r="H110" s="181">
        <f>IFERROR(INDEX(CALC!$G$8:$G$17,MATCH($A110,CALC!$A$8:$A$17,0)),"")</f>
        <v/>
      </c>
      <c r="I110" s="171">
        <f>IF(OR(D110="",G110=""),"",IF(ROUND(D110,6)&gt;=ROUND(G110,6),"Dentro da meta",IF(AND(H110&lt;&gt;"",ROUND(D110,6)&gt;=ROUND(H110,6)),"Atenção","Fora da meta")))</f>
        <v/>
      </c>
    </row>
    <row r="111" ht="15" customHeight="1" s="131">
      <c r="A111" s="167">
        <f>CURSOS!$A$9</f>
        <v/>
      </c>
      <c r="B111" s="179">
        <f>IF($N$103="","",SUMIFS(Tabela367[Presenças Previstas],Tabela367[Período],$N$103,Tabela367[Curso],$A111))</f>
        <v/>
      </c>
      <c r="C111" s="179">
        <f>IF($N$103="","",SUMIFS(Tabela367[Presenças Registradas],Tabela367[Período],$N$103,Tabela367[Curso],$A111))</f>
        <v/>
      </c>
      <c r="D111" s="185">
        <f>IF($N$103="","",IF(COUNTIFS(Tabela367[Período],$N$103,Tabela367[Curso],$A111)=0,"",IFERROR(SUMIFS(Tabela367[Presenças Registradas],Tabela367[Período],$N$103,Tabela367[Curso],$A111)/SUMIFS(Tabela367[Presenças Previstas],Tabela367[Período],$N$103,Tabela367[Curso],$A111),"")))</f>
        <v/>
      </c>
      <c r="E111" s="181">
        <f>IF($O$103="","",IF(COUNTIFS(Tabela367[Período],$O$103,Tabela367[Curso],$A111)=0,"",IFERROR(SUMIFS(Tabela367[Presenças Registradas],Tabela367[Período],$O$103,Tabela367[Curso],$A111)/SUMIFS(Tabela367[Presenças Previstas],Tabela367[Período],$O$103,Tabela367[Curso],$A111),"")))</f>
        <v/>
      </c>
      <c r="F111" s="206">
        <f>IF(OR(D111="",E111=""),"",D111-E111)</f>
        <v/>
      </c>
      <c r="G111" s="181">
        <f>IFERROR(INDEX(CALC!$F$8:$F$17,MATCH($A111,CALC!$A$8:$A$17,0)),"")</f>
        <v/>
      </c>
      <c r="H111" s="181">
        <f>IFERROR(INDEX(CALC!$G$8:$G$17,MATCH($A111,CALC!$A$8:$A$17,0)),"")</f>
        <v/>
      </c>
      <c r="I111" s="171">
        <f>IF(OR(D111="",G111=""),"",IF(ROUND(D111,6)&gt;=ROUND(G111,6),"Dentro da meta",IF(AND(H111&lt;&gt;"",ROUND(D111,6)&gt;=ROUND(H111,6)),"Atenção","Fora da meta")))</f>
        <v/>
      </c>
    </row>
    <row r="112" ht="15" customHeight="1" s="131">
      <c r="A112" s="167">
        <f>CURSOS!$A$10</f>
        <v/>
      </c>
      <c r="B112" s="179">
        <f>IF($N$103="","",SUMIFS(Tabela367[Presenças Previstas],Tabela367[Período],$N$103,Tabela367[Curso],$A112))</f>
        <v/>
      </c>
      <c r="C112" s="179">
        <f>IF($N$103="","",SUMIFS(Tabela367[Presenças Registradas],Tabela367[Período],$N$103,Tabela367[Curso],$A112))</f>
        <v/>
      </c>
      <c r="D112" s="185">
        <f>IF($N$103="","",IF(COUNTIFS(Tabela367[Período],$N$103,Tabela367[Curso],$A112)=0,"",IFERROR(SUMIFS(Tabela367[Presenças Registradas],Tabela367[Período],$N$103,Tabela367[Curso],$A112)/SUMIFS(Tabela367[Presenças Previstas],Tabela367[Período],$N$103,Tabela367[Curso],$A112),"")))</f>
        <v/>
      </c>
      <c r="E112" s="181">
        <f>IF($O$103="","",IF(COUNTIFS(Tabela367[Período],$O$103,Tabela367[Curso],$A112)=0,"",IFERROR(SUMIFS(Tabela367[Presenças Registradas],Tabela367[Período],$O$103,Tabela367[Curso],$A112)/SUMIFS(Tabela367[Presenças Previstas],Tabela367[Período],$O$103,Tabela367[Curso],$A112),"")))</f>
        <v/>
      </c>
      <c r="F112" s="206">
        <f>IF(OR(D112="",E112=""),"",D112-E112)</f>
        <v/>
      </c>
      <c r="G112" s="181">
        <f>IFERROR(INDEX(CALC!$F$8:$F$17,MATCH($A112,CALC!$A$8:$A$17,0)),"")</f>
        <v/>
      </c>
      <c r="H112" s="181">
        <f>IFERROR(INDEX(CALC!$G$8:$G$17,MATCH($A112,CALC!$A$8:$A$17,0)),"")</f>
        <v/>
      </c>
      <c r="I112" s="171">
        <f>IF(OR(D112="",G112=""),"",IF(ROUND(D112,6)&gt;=ROUND(G112,6),"Dentro da meta",IF(AND(H112&lt;&gt;"",ROUND(D112,6)&gt;=ROUND(H112,6)),"Atenção","Fora da meta")))</f>
        <v/>
      </c>
    </row>
    <row r="113" ht="15" customHeight="1" s="131">
      <c r="A113" s="167">
        <f>CURSOS!$A$11</f>
        <v/>
      </c>
      <c r="B113" s="179">
        <f>IF($N$103="","",SUMIFS(Tabela367[Presenças Previstas],Tabela367[Período],$N$103,Tabela367[Curso],$A113))</f>
        <v/>
      </c>
      <c r="C113" s="179">
        <f>IF($N$103="","",SUMIFS(Tabela367[Presenças Registradas],Tabela367[Período],$N$103,Tabela367[Curso],$A113))</f>
        <v/>
      </c>
      <c r="D113" s="185">
        <f>IF($N$103="","",IF(COUNTIFS(Tabela367[Período],$N$103,Tabela367[Curso],$A113)=0,"",IFERROR(SUMIFS(Tabela367[Presenças Registradas],Tabela367[Período],$N$103,Tabela367[Curso],$A113)/SUMIFS(Tabela367[Presenças Previstas],Tabela367[Período],$N$103,Tabela367[Curso],$A113),"")))</f>
        <v/>
      </c>
      <c r="E113" s="181">
        <f>IF($O$103="","",IF(COUNTIFS(Tabela367[Período],$O$103,Tabela367[Curso],$A113)=0,"",IFERROR(SUMIFS(Tabela367[Presenças Registradas],Tabela367[Período],$O$103,Tabela367[Curso],$A113)/SUMIFS(Tabela367[Presenças Previstas],Tabela367[Período],$O$103,Tabela367[Curso],$A113),"")))</f>
        <v/>
      </c>
      <c r="F113" s="206">
        <f>IF(OR(D113="",E113=""),"",D113-E113)</f>
        <v/>
      </c>
      <c r="G113" s="181">
        <f>IFERROR(INDEX(CALC!$F$8:$F$17,MATCH($A113,CALC!$A$8:$A$17,0)),"")</f>
        <v/>
      </c>
      <c r="H113" s="181">
        <f>IFERROR(INDEX(CALC!$G$8:$G$17,MATCH($A113,CALC!$A$8:$A$17,0)),"")</f>
        <v/>
      </c>
      <c r="I113" s="171">
        <f>IF(OR(D113="",G113=""),"",IF(ROUND(D113,6)&gt;=ROUND(G113,6),"Dentro da meta",IF(AND(H113&lt;&gt;"",ROUND(D113,6)&gt;=ROUND(H113,6)),"Atenção","Fora da meta")))</f>
        <v/>
      </c>
    </row>
    <row r="114" ht="15" customHeight="1" s="131">
      <c r="A114" s="167">
        <f>CURSOS!$A$12</f>
        <v/>
      </c>
      <c r="B114" s="179">
        <f>IF($N$103="","",SUMIFS(Tabela367[Presenças Previstas],Tabela367[Período],$N$103,Tabela367[Curso],$A114))</f>
        <v/>
      </c>
      <c r="C114" s="179">
        <f>IF($N$103="","",SUMIFS(Tabela367[Presenças Registradas],Tabela367[Período],$N$103,Tabela367[Curso],$A114))</f>
        <v/>
      </c>
      <c r="D114" s="185">
        <f>IF($N$103="","",IF(COUNTIFS(Tabela367[Período],$N$103,Tabela367[Curso],$A114)=0,"",IFERROR(SUMIFS(Tabela367[Presenças Registradas],Tabela367[Período],$N$103,Tabela367[Curso],$A114)/SUMIFS(Tabela367[Presenças Previstas],Tabela367[Período],$N$103,Tabela367[Curso],$A114),"")))</f>
        <v/>
      </c>
      <c r="E114" s="181">
        <f>IF($O$103="","",IF(COUNTIFS(Tabela367[Período],$O$103,Tabela367[Curso],$A114)=0,"",IFERROR(SUMIFS(Tabela367[Presenças Registradas],Tabela367[Período],$O$103,Tabela367[Curso],$A114)/SUMIFS(Tabela367[Presenças Previstas],Tabela367[Período],$O$103,Tabela367[Curso],$A114),"")))</f>
        <v/>
      </c>
      <c r="F114" s="206">
        <f>IF(OR(D114="",E114=""),"",D114-E114)</f>
        <v/>
      </c>
      <c r="G114" s="181">
        <f>IFERROR(INDEX(CALC!$F$8:$F$17,MATCH($A114,CALC!$A$8:$A$17,0)),"")</f>
        <v/>
      </c>
      <c r="H114" s="181">
        <f>IFERROR(INDEX(CALC!$G$8:$G$17,MATCH($A114,CALC!$A$8:$A$17,0)),"")</f>
        <v/>
      </c>
      <c r="I114" s="171">
        <f>IF(OR(D114="",G114=""),"",IF(ROUND(D114,6)&gt;=ROUND(G114,6),"Dentro da meta",IF(AND(H114&lt;&gt;"",ROUND(D114,6)&gt;=ROUND(H114,6)),"Atenção","Fora da meta")))</f>
        <v/>
      </c>
    </row>
    <row r="115" ht="15" customHeight="1" s="131">
      <c r="A115" s="167">
        <f>CURSOS!$A$13</f>
        <v/>
      </c>
      <c r="B115" s="179">
        <f>IF($N$103="","",SUMIFS(Tabela367[Presenças Previstas],Tabela367[Período],$N$103,Tabela367[Curso],$A115))</f>
        <v/>
      </c>
      <c r="C115" s="179">
        <f>IF($N$103="","",SUMIFS(Tabela367[Presenças Registradas],Tabela367[Período],$N$103,Tabela367[Curso],$A115))</f>
        <v/>
      </c>
      <c r="D115" s="185">
        <f>IF($N$103="","",IF(COUNTIFS(Tabela367[Período],$N$103,Tabela367[Curso],$A115)=0,"",IFERROR(SUMIFS(Tabela367[Presenças Registradas],Tabela367[Período],$N$103,Tabela367[Curso],$A115)/SUMIFS(Tabela367[Presenças Previstas],Tabela367[Período],$N$103,Tabela367[Curso],$A115),"")))</f>
        <v/>
      </c>
      <c r="E115" s="181">
        <f>IF($O$103="","",IF(COUNTIFS(Tabela367[Período],$O$103,Tabela367[Curso],$A115)=0,"",IFERROR(SUMIFS(Tabela367[Presenças Registradas],Tabela367[Período],$O$103,Tabela367[Curso],$A115)/SUMIFS(Tabela367[Presenças Previstas],Tabela367[Período],$O$103,Tabela367[Curso],$A115),"")))</f>
        <v/>
      </c>
      <c r="F115" s="206">
        <f>IF(OR(D115="",E115=""),"",D115-E115)</f>
        <v/>
      </c>
      <c r="G115" s="181">
        <f>IFERROR(INDEX(CALC!$F$8:$F$17,MATCH($A115,CALC!$A$8:$A$17,0)),"")</f>
        <v/>
      </c>
      <c r="H115" s="181">
        <f>IFERROR(INDEX(CALC!$G$8:$G$17,MATCH($A115,CALC!$A$8:$A$17,0)),"")</f>
        <v/>
      </c>
      <c r="I115" s="171">
        <f>IF(OR(D115="",G115=""),"",IF(ROUND(D115,6)&gt;=ROUND(G115,6),"Dentro da meta",IF(AND(H115&lt;&gt;"",ROUND(D115,6)&gt;=ROUND(H115,6)),"Atenção","Fora da meta")))</f>
        <v/>
      </c>
    </row>
    <row r="119" ht="32.25" customHeight="1" s="131">
      <c r="A119" s="246" t="inlineStr">
        <is>
          <t>Por disciplina — mês de referência</t>
        </is>
      </c>
      <c r="D119" s="140" t="inlineStr">
        <is>
          <t>respeita o Curso em foco de PARAMETROS</t>
        </is>
      </c>
    </row>
    <row r="120" ht="31.5" customHeight="1" s="131">
      <c r="A120" s="199" t="inlineStr">
        <is>
          <t>Curso</t>
        </is>
      </c>
      <c r="B120" s="199" t="inlineStr">
        <is>
          <t>Disciplina</t>
        </is>
      </c>
      <c r="C120" s="199" t="inlineStr">
        <is>
          <t>Total: Presenças Previstas</t>
        </is>
      </c>
      <c r="D120" s="199" t="inlineStr">
        <is>
          <t>Total: Presenças Registradas</t>
        </is>
      </c>
      <c r="E120" s="199" t="inlineStr">
        <is>
          <t>Valor</t>
        </is>
      </c>
      <c r="F120" s="199" t="inlineStr">
        <is>
          <t>Meta vigente</t>
        </is>
      </c>
      <c r="G120" s="199" t="inlineStr">
        <is>
          <t>Limiar</t>
        </is>
      </c>
      <c r="H120" s="199" t="inlineStr">
        <is>
          <t>Status</t>
        </is>
      </c>
    </row>
    <row r="121" ht="21.75" customHeight="1" s="131">
      <c r="A121" s="167">
        <f>DISCIPLINAS!$A$5</f>
        <v/>
      </c>
      <c r="B121" s="167">
        <f>DISCIPLINAS!$B$5</f>
        <v/>
      </c>
      <c r="C121" s="179">
        <f>IF(OR($N$103="",AND($J$4&lt;&gt;"(todos)",$J$4&lt;&gt;$A121)),"",SUMIFS(Tabela367[Presenças Previstas],Tabela367[Período],$N$103,Tabela367[Curso],$A121,Tabela367[Disciplina],$B121))</f>
        <v/>
      </c>
      <c r="D121" s="179">
        <f>IF(OR($N$103="",AND($J$4&lt;&gt;"(todos)",$J$4&lt;&gt;$A121)),"",SUMIFS(Tabela367[Presenças Registradas],Tabela367[Período],$N$103,Tabela367[Curso],$A121,Tabela367[Disciplina],$B121))</f>
        <v/>
      </c>
      <c r="E121" s="208">
        <f>IF(OR($N$103="",AND($J$4&lt;&gt;"(todos)",$J$4&lt;&gt;$A121)),"",IF(COUNTIFS(Tabela367[Período],$N$103,Tabela367[Curso],$A121,Tabela367[Disciplina],$B121)=0,"",IFERROR(D121/C121,"")))</f>
        <v/>
      </c>
      <c r="F121" s="181">
        <f>IFERROR(IF(SUMPRODUCT(MAX((METAS!$A$5:$A$404="DTNH-03")*(METAS!$B$5:$B$404=IF($A121="","",$A121&amp;" » "&amp;$B121))*(METAS!$D$5:$D$404&lt;=IFERROR(VALUE(SUBSTITUTE($F$4,"-","")),0))*METAS!$D$5:$D$404))&lt;&gt;0,SUMPRODUCT((METAS!$A$5:$A$404="DTNH-03")*(METAS!$B$5:$B$404=IF($A121="","",$A121&amp;" » "&amp;$B121))*(METAS!$D$5:$D$404=SUMPRODUCT(MAX((METAS!$A$5:$A$404="DTNH-03")*(METAS!$B$5:$B$404=IF($A121="","",$A121&amp;" » "&amp;$B121))*(METAS!$D$5:$D$404&lt;=IFERROR(VALUE(SUBSTITUTE($F$4,"-","")),0))*METAS!$D$5:$D$404)))*METAS!$E$5:$E$404),IF(SUMPRODUCT(MAX((METAS!$A$5:$A$404="DTNH-03")*(METAS!$B$5:$B$404=$A121)*(METAS!$D$5:$D$404&lt;=IFERROR(VALUE(SUBSTITUTE($F$4,"-","")),0))*METAS!$D$5:$D$404))&lt;&gt;0,SUMPRODUCT((METAS!$A$5:$A$404="DTNH-03")*(METAS!$B$5:$B$404=$A121)*(METAS!$D$5:$D$404=SUMPRODUCT(MAX((METAS!$A$5:$A$404="DTNH-03")*(METAS!$B$5:$B$404=$A121)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1" s="181">
        <f>IFERROR(IF(SUMPRODUCT(MAX((METAS!$A$5:$A$404="DTNH-03")*(METAS!$B$5:$B$404=IF($A121="","",$A121&amp;" » "&amp;$B121))*(METAS!$D$5:$D$404&lt;=IFERROR(VALUE(SUBSTITUTE($F$4,"-","")),0))*METAS!$D$5:$D$404))&lt;&gt;0,SUMPRODUCT((METAS!$A$5:$A$404="DTNH-03")*(METAS!$B$5:$B$404=IF($A121="","",$A121&amp;" » "&amp;$B121))*(METAS!$D$5:$D$404=SUMPRODUCT(MAX((METAS!$A$5:$A$404="DTNH-03")*(METAS!$B$5:$B$404=IF($A121="","",$A121&amp;" » "&amp;$B121))*(METAS!$D$5:$D$404&lt;=IFERROR(VALUE(SUBSTITUTE($F$4,"-","")),0))*METAS!$D$5:$D$404)))*METAS!$F$5:$F$404),IF(SUMPRODUCT(MAX((METAS!$A$5:$A$404="DTNH-03")*(METAS!$B$5:$B$404=$A121)*(METAS!$D$5:$D$404&lt;=IFERROR(VALUE(SUBSTITUTE($F$4,"-","")),0))*METAS!$D$5:$D$404))&lt;&gt;0,SUMPRODUCT((METAS!$A$5:$A$404="DTNH-03")*(METAS!$B$5:$B$404=$A121)*(METAS!$D$5:$D$404=SUMPRODUCT(MAX((METAS!$A$5:$A$404="DTNH-03")*(METAS!$B$5:$B$404=$A121)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1" s="171">
        <f>IF(OR(E121="",F121=""),"",IF(ROUND(E121,6)&gt;=ROUND(F121,6),"Dentro da meta",IF(AND(G121&lt;&gt;"",ROUND(E121,6)&gt;=ROUND(G121,6)),"Atenção","Fora da meta")))</f>
        <v/>
      </c>
    </row>
    <row r="122" ht="15" customHeight="1" s="131">
      <c r="A122" s="167">
        <f>DISCIPLINAS!$A$6</f>
        <v/>
      </c>
      <c r="B122" s="167">
        <f>DISCIPLINAS!$B$6</f>
        <v/>
      </c>
      <c r="C122" s="179">
        <f>IF(OR($N$103="",AND($J$4&lt;&gt;"(todos)",$J$4&lt;&gt;$A122)),"",SUMIFS(Tabela367[Presenças Previstas],Tabela367[Período],$N$103,Tabela367[Curso],$A122,Tabela367[Disciplina],$B122))</f>
        <v/>
      </c>
      <c r="D122" s="179">
        <f>IF(OR($N$103="",AND($J$4&lt;&gt;"(todos)",$J$4&lt;&gt;$A122)),"",SUMIFS(Tabela367[Presenças Registradas],Tabela367[Período],$N$103,Tabela367[Curso],$A122,Tabela367[Disciplina],$B122))</f>
        <v/>
      </c>
      <c r="E122" s="208">
        <f>IF(OR($N$103="",AND($J$4&lt;&gt;"(todos)",$J$4&lt;&gt;$A122)),"",IF(COUNTIFS(Tabela367[Período],$N$103,Tabela367[Curso],$A122,Tabela367[Disciplina],$B122)=0,"",IFERROR(D122/C122,"")))</f>
        <v/>
      </c>
      <c r="F122" s="181">
        <f>IFERROR(IF(SUMPRODUCT(MAX((METAS!$A$5:$A$404="DTNH-03")*(METAS!$B$5:$B$404=IF($A122="","",$A122&amp;" » "&amp;$B122))*(METAS!$D$5:$D$404&lt;=IFERROR(VALUE(SUBSTITUTE($F$4,"-","")),0))*METAS!$D$5:$D$404))&lt;&gt;0,SUMPRODUCT((METAS!$A$5:$A$404="DTNH-03")*(METAS!$B$5:$B$404=IF($A122="","",$A122&amp;" » "&amp;$B122))*(METAS!$D$5:$D$404=SUMPRODUCT(MAX((METAS!$A$5:$A$404="DTNH-03")*(METAS!$B$5:$B$404=IF($A122="","",$A122&amp;" » "&amp;$B122))*(METAS!$D$5:$D$404&lt;=IFERROR(VALUE(SUBSTITUTE($F$4,"-","")),0))*METAS!$D$5:$D$404)))*METAS!$E$5:$E$404),IF(SUMPRODUCT(MAX((METAS!$A$5:$A$404="DTNH-03")*(METAS!$B$5:$B$404=$A122)*(METAS!$D$5:$D$404&lt;=IFERROR(VALUE(SUBSTITUTE($F$4,"-","")),0))*METAS!$D$5:$D$404))&lt;&gt;0,SUMPRODUCT((METAS!$A$5:$A$404="DTNH-03")*(METAS!$B$5:$B$404=$A122)*(METAS!$D$5:$D$404=SUMPRODUCT(MAX((METAS!$A$5:$A$404="DTNH-03")*(METAS!$B$5:$B$404=$A122)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2" s="181">
        <f>IFERROR(IF(SUMPRODUCT(MAX((METAS!$A$5:$A$404="DTNH-03")*(METAS!$B$5:$B$404=IF($A122="","",$A122&amp;" » "&amp;$B122))*(METAS!$D$5:$D$404&lt;=IFERROR(VALUE(SUBSTITUTE($F$4,"-","")),0))*METAS!$D$5:$D$404))&lt;&gt;0,SUMPRODUCT((METAS!$A$5:$A$404="DTNH-03")*(METAS!$B$5:$B$404=IF($A122="","",$A122&amp;" » "&amp;$B122))*(METAS!$D$5:$D$404=SUMPRODUCT(MAX((METAS!$A$5:$A$404="DTNH-03")*(METAS!$B$5:$B$404=IF($A122="","",$A122&amp;" » "&amp;$B122))*(METAS!$D$5:$D$404&lt;=IFERROR(VALUE(SUBSTITUTE($F$4,"-","")),0))*METAS!$D$5:$D$404)))*METAS!$F$5:$F$404),IF(SUMPRODUCT(MAX((METAS!$A$5:$A$404="DTNH-03")*(METAS!$B$5:$B$404=$A122)*(METAS!$D$5:$D$404&lt;=IFERROR(VALUE(SUBSTITUTE($F$4,"-","")),0))*METAS!$D$5:$D$404))&lt;&gt;0,SUMPRODUCT((METAS!$A$5:$A$404="DTNH-03")*(METAS!$B$5:$B$404=$A122)*(METAS!$D$5:$D$404=SUMPRODUCT(MAX((METAS!$A$5:$A$404="DTNH-03")*(METAS!$B$5:$B$404=$A122)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2" s="171">
        <f>IF(OR(E122="",F122=""),"",IF(ROUND(E122,6)&gt;=ROUND(F122,6),"Dentro da meta",IF(AND(G122&lt;&gt;"",ROUND(E122,6)&gt;=ROUND(G122,6)),"Atenção","Fora da meta")))</f>
        <v/>
      </c>
    </row>
    <row r="123" ht="15" customHeight="1" s="131">
      <c r="A123" s="167">
        <f>DISCIPLINAS!$A$7</f>
        <v/>
      </c>
      <c r="B123" s="167">
        <f>DISCIPLINAS!$B$7</f>
        <v/>
      </c>
      <c r="C123" s="179">
        <f>IF(OR($N$103="",AND($J$4&lt;&gt;"(todos)",$J$4&lt;&gt;$A123)),"",SUMIFS(Tabela367[Presenças Previstas],Tabela367[Período],$N$103,Tabela367[Curso],$A123,Tabela367[Disciplina],$B123))</f>
        <v/>
      </c>
      <c r="D123" s="179">
        <f>IF(OR($N$103="",AND($J$4&lt;&gt;"(todos)",$J$4&lt;&gt;$A123)),"",SUMIFS(Tabela367[Presenças Registradas],Tabela367[Período],$N$103,Tabela367[Curso],$A123,Tabela367[Disciplina],$B123))</f>
        <v/>
      </c>
      <c r="E123" s="208">
        <f>IF(OR($N$103="",AND($J$4&lt;&gt;"(todos)",$J$4&lt;&gt;$A123)),"",IF(COUNTIFS(Tabela367[Período],$N$103,Tabela367[Curso],$A123,Tabela367[Disciplina],$B123)=0,"",IFERROR(D123/C123,"")))</f>
        <v/>
      </c>
      <c r="F123" s="181">
        <f>IFERROR(IF(SUMPRODUCT(MAX((METAS!$A$5:$A$404="DTNH-03")*(METAS!$B$5:$B$404=IF($A123="","",$A123&amp;" » "&amp;$B123))*(METAS!$D$5:$D$404&lt;=IFERROR(VALUE(SUBSTITUTE($F$4,"-","")),0))*METAS!$D$5:$D$404))&lt;&gt;0,SUMPRODUCT((METAS!$A$5:$A$404="DTNH-03")*(METAS!$B$5:$B$404=IF($A123="","",$A123&amp;" » "&amp;$B123))*(METAS!$D$5:$D$404=SUMPRODUCT(MAX((METAS!$A$5:$A$404="DTNH-03")*(METAS!$B$5:$B$404=IF($A123="","",$A123&amp;" » "&amp;$B123))*(METAS!$D$5:$D$404&lt;=IFERROR(VALUE(SUBSTITUTE($F$4,"-","")),0))*METAS!$D$5:$D$404)))*METAS!$E$5:$E$404),IF(SUMPRODUCT(MAX((METAS!$A$5:$A$404="DTNH-03")*(METAS!$B$5:$B$404=$A123)*(METAS!$D$5:$D$404&lt;=IFERROR(VALUE(SUBSTITUTE($F$4,"-","")),0))*METAS!$D$5:$D$404))&lt;&gt;0,SUMPRODUCT((METAS!$A$5:$A$404="DTNH-03")*(METAS!$B$5:$B$404=$A123)*(METAS!$D$5:$D$404=SUMPRODUCT(MAX((METAS!$A$5:$A$404="DTNH-03")*(METAS!$B$5:$B$404=$A123)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3" s="181">
        <f>IFERROR(IF(SUMPRODUCT(MAX((METAS!$A$5:$A$404="DTNH-03")*(METAS!$B$5:$B$404=IF($A123="","",$A123&amp;" » "&amp;$B123))*(METAS!$D$5:$D$404&lt;=IFERROR(VALUE(SUBSTITUTE($F$4,"-","")),0))*METAS!$D$5:$D$404))&lt;&gt;0,SUMPRODUCT((METAS!$A$5:$A$404="DTNH-03")*(METAS!$B$5:$B$404=IF($A123="","",$A123&amp;" » "&amp;$B123))*(METAS!$D$5:$D$404=SUMPRODUCT(MAX((METAS!$A$5:$A$404="DTNH-03")*(METAS!$B$5:$B$404=IF($A123="","",$A123&amp;" » "&amp;$B123))*(METAS!$D$5:$D$404&lt;=IFERROR(VALUE(SUBSTITUTE($F$4,"-","")),0))*METAS!$D$5:$D$404)))*METAS!$F$5:$F$404),IF(SUMPRODUCT(MAX((METAS!$A$5:$A$404="DTNH-03")*(METAS!$B$5:$B$404=$A123)*(METAS!$D$5:$D$404&lt;=IFERROR(VALUE(SUBSTITUTE($F$4,"-","")),0))*METAS!$D$5:$D$404))&lt;&gt;0,SUMPRODUCT((METAS!$A$5:$A$404="DTNH-03")*(METAS!$B$5:$B$404=$A123)*(METAS!$D$5:$D$404=SUMPRODUCT(MAX((METAS!$A$5:$A$404="DTNH-03")*(METAS!$B$5:$B$404=$A123)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3" s="171">
        <f>IF(OR(E123="",F123=""),"",IF(ROUND(E123,6)&gt;=ROUND(F123,6),"Dentro da meta",IF(AND(G123&lt;&gt;"",ROUND(E123,6)&gt;=ROUND(G123,6)),"Atenção","Fora da meta")))</f>
        <v/>
      </c>
    </row>
    <row r="124" ht="21.75" customHeight="1" s="131">
      <c r="A124" s="167">
        <f>DISCIPLINAS!$A$8</f>
        <v/>
      </c>
      <c r="B124" s="167">
        <f>DISCIPLINAS!$B$8</f>
        <v/>
      </c>
      <c r="C124" s="179">
        <f>IF(OR($N$103="",AND($J$4&lt;&gt;"(todos)",$J$4&lt;&gt;$A124)),"",SUMIFS(Tabela367[Presenças Previstas],Tabela367[Período],$N$103,Tabela367[Curso],$A124,Tabela367[Disciplina],$B124))</f>
        <v/>
      </c>
      <c r="D124" s="179">
        <f>IF(OR($N$103="",AND($J$4&lt;&gt;"(todos)",$J$4&lt;&gt;$A124)),"",SUMIFS(Tabela367[Presenças Registradas],Tabela367[Período],$N$103,Tabela367[Curso],$A124,Tabela367[Disciplina],$B124))</f>
        <v/>
      </c>
      <c r="E124" s="208">
        <f>IF(OR($N$103="",AND($J$4&lt;&gt;"(todos)",$J$4&lt;&gt;$A124)),"",IF(COUNTIFS(Tabela367[Período],$N$103,Tabela367[Curso],$A124,Tabela367[Disciplina],$B124)=0,"",IFERROR(D124/C124,"")))</f>
        <v/>
      </c>
      <c r="F124" s="181">
        <f>IFERROR(IF(SUMPRODUCT(MAX((METAS!$A$5:$A$404="DTNH-03")*(METAS!$B$5:$B$404=IF($A124="","",$A124&amp;" » "&amp;$B124))*(METAS!$D$5:$D$404&lt;=IFERROR(VALUE(SUBSTITUTE($F$4,"-","")),0))*METAS!$D$5:$D$404))&lt;&gt;0,SUMPRODUCT((METAS!$A$5:$A$404="DTNH-03")*(METAS!$B$5:$B$404=IF($A124="","",$A124&amp;" » "&amp;$B124))*(METAS!$D$5:$D$404=SUMPRODUCT(MAX((METAS!$A$5:$A$404="DTNH-03")*(METAS!$B$5:$B$404=IF($A124="","",$A124&amp;" » "&amp;$B124))*(METAS!$D$5:$D$404&lt;=IFERROR(VALUE(SUBSTITUTE($F$4,"-","")),0))*METAS!$D$5:$D$404)))*METAS!$E$5:$E$404),IF(SUMPRODUCT(MAX((METAS!$A$5:$A$404="DTNH-03")*(METAS!$B$5:$B$404=$A124)*(METAS!$D$5:$D$404&lt;=IFERROR(VALUE(SUBSTITUTE($F$4,"-","")),0))*METAS!$D$5:$D$404))&lt;&gt;0,SUMPRODUCT((METAS!$A$5:$A$404="DTNH-03")*(METAS!$B$5:$B$404=$A124)*(METAS!$D$5:$D$404=SUMPRODUCT(MAX((METAS!$A$5:$A$404="DTNH-03")*(METAS!$B$5:$B$404=$A124)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4" s="181">
        <f>IFERROR(IF(SUMPRODUCT(MAX((METAS!$A$5:$A$404="DTNH-03")*(METAS!$B$5:$B$404=IF($A124="","",$A124&amp;" » "&amp;$B124))*(METAS!$D$5:$D$404&lt;=IFERROR(VALUE(SUBSTITUTE($F$4,"-","")),0))*METAS!$D$5:$D$404))&lt;&gt;0,SUMPRODUCT((METAS!$A$5:$A$404="DTNH-03")*(METAS!$B$5:$B$404=IF($A124="","",$A124&amp;" » "&amp;$B124))*(METAS!$D$5:$D$404=SUMPRODUCT(MAX((METAS!$A$5:$A$404="DTNH-03")*(METAS!$B$5:$B$404=IF($A124="","",$A124&amp;" » "&amp;$B124))*(METAS!$D$5:$D$404&lt;=IFERROR(VALUE(SUBSTITUTE($F$4,"-","")),0))*METAS!$D$5:$D$404)))*METAS!$F$5:$F$404),IF(SUMPRODUCT(MAX((METAS!$A$5:$A$404="DTNH-03")*(METAS!$B$5:$B$404=$A124)*(METAS!$D$5:$D$404&lt;=IFERROR(VALUE(SUBSTITUTE($F$4,"-","")),0))*METAS!$D$5:$D$404))&lt;&gt;0,SUMPRODUCT((METAS!$A$5:$A$404="DTNH-03")*(METAS!$B$5:$B$404=$A124)*(METAS!$D$5:$D$404=SUMPRODUCT(MAX((METAS!$A$5:$A$404="DTNH-03")*(METAS!$B$5:$B$404=$A124)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4" s="171">
        <f>IF(OR(E124="",F124=""),"",IF(ROUND(E124,6)&gt;=ROUND(F124,6),"Dentro da meta",IF(AND(G124&lt;&gt;"",ROUND(E124,6)&gt;=ROUND(G124,6)),"Atenção","Fora da meta")))</f>
        <v/>
      </c>
    </row>
    <row r="125" ht="15" customHeight="1" s="131">
      <c r="A125" s="167">
        <f>DISCIPLINAS!$A$9</f>
        <v/>
      </c>
      <c r="B125" s="167">
        <f>DISCIPLINAS!$B$9</f>
        <v/>
      </c>
      <c r="C125" s="179">
        <f>IF(OR($N$103="",AND($J$4&lt;&gt;"(todos)",$J$4&lt;&gt;$A125)),"",SUMIFS(Tabela367[Presenças Previstas],Tabela367[Período],$N$103,Tabela367[Curso],$A125,Tabela367[Disciplina],$B125))</f>
        <v/>
      </c>
      <c r="D125" s="179">
        <f>IF(OR($N$103="",AND($J$4&lt;&gt;"(todos)",$J$4&lt;&gt;$A125)),"",SUMIFS(Tabela367[Presenças Registradas],Tabela367[Período],$N$103,Tabela367[Curso],$A125,Tabela367[Disciplina],$B125))</f>
        <v/>
      </c>
      <c r="E125" s="208">
        <f>IF(OR($N$103="",AND($J$4&lt;&gt;"(todos)",$J$4&lt;&gt;$A125)),"",IF(COUNTIFS(Tabela367[Período],$N$103,Tabela367[Curso],$A125,Tabela367[Disciplina],$B125)=0,"",IFERROR(D125/C125,"")))</f>
        <v/>
      </c>
      <c r="F125" s="181">
        <f>IFERROR(IF(SUMPRODUCT(MAX((METAS!$A$5:$A$404="DTNH-03")*(METAS!$B$5:$B$404=IF($A125="","",$A125&amp;" » "&amp;$B125))*(METAS!$D$5:$D$404&lt;=IFERROR(VALUE(SUBSTITUTE($F$4,"-","")),0))*METAS!$D$5:$D$404))&lt;&gt;0,SUMPRODUCT((METAS!$A$5:$A$404="DTNH-03")*(METAS!$B$5:$B$404=IF($A125="","",$A125&amp;" » "&amp;$B125))*(METAS!$D$5:$D$404=SUMPRODUCT(MAX((METAS!$A$5:$A$404="DTNH-03")*(METAS!$B$5:$B$404=IF($A125="","",$A125&amp;" » "&amp;$B125))*(METAS!$D$5:$D$404&lt;=IFERROR(VALUE(SUBSTITUTE($F$4,"-","")),0))*METAS!$D$5:$D$404)))*METAS!$E$5:$E$404),IF(SUMPRODUCT(MAX((METAS!$A$5:$A$404="DTNH-03")*(METAS!$B$5:$B$404=$A125)*(METAS!$D$5:$D$404&lt;=IFERROR(VALUE(SUBSTITUTE($F$4,"-","")),0))*METAS!$D$5:$D$404))&lt;&gt;0,SUMPRODUCT((METAS!$A$5:$A$404="DTNH-03")*(METAS!$B$5:$B$404=$A125)*(METAS!$D$5:$D$404=SUMPRODUCT(MAX((METAS!$A$5:$A$404="DTNH-03")*(METAS!$B$5:$B$404=$A125)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5" s="181">
        <f>IFERROR(IF(SUMPRODUCT(MAX((METAS!$A$5:$A$404="DTNH-03")*(METAS!$B$5:$B$404=IF($A125="","",$A125&amp;" » "&amp;$B125))*(METAS!$D$5:$D$404&lt;=IFERROR(VALUE(SUBSTITUTE($F$4,"-","")),0))*METAS!$D$5:$D$404))&lt;&gt;0,SUMPRODUCT((METAS!$A$5:$A$404="DTNH-03")*(METAS!$B$5:$B$404=IF($A125="","",$A125&amp;" » "&amp;$B125))*(METAS!$D$5:$D$404=SUMPRODUCT(MAX((METAS!$A$5:$A$404="DTNH-03")*(METAS!$B$5:$B$404=IF($A125="","",$A125&amp;" » "&amp;$B125))*(METAS!$D$5:$D$404&lt;=IFERROR(VALUE(SUBSTITUTE($F$4,"-","")),0))*METAS!$D$5:$D$404)))*METAS!$F$5:$F$404),IF(SUMPRODUCT(MAX((METAS!$A$5:$A$404="DTNH-03")*(METAS!$B$5:$B$404=$A125)*(METAS!$D$5:$D$404&lt;=IFERROR(VALUE(SUBSTITUTE($F$4,"-","")),0))*METAS!$D$5:$D$404))&lt;&gt;0,SUMPRODUCT((METAS!$A$5:$A$404="DTNH-03")*(METAS!$B$5:$B$404=$A125)*(METAS!$D$5:$D$404=SUMPRODUCT(MAX((METAS!$A$5:$A$404="DTNH-03")*(METAS!$B$5:$B$404=$A125)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5" s="171">
        <f>IF(OR(E125="",F125=""),"",IF(ROUND(E125,6)&gt;=ROUND(F125,6),"Dentro da meta",IF(AND(G125&lt;&gt;"",ROUND(E125,6)&gt;=ROUND(G125,6)),"Atenção","Fora da meta")))</f>
        <v/>
      </c>
    </row>
    <row r="126" ht="21.75" customHeight="1" s="131">
      <c r="A126" s="167">
        <f>DISCIPLINAS!$A$10</f>
        <v/>
      </c>
      <c r="B126" s="167">
        <f>DISCIPLINAS!$B$10</f>
        <v/>
      </c>
      <c r="C126" s="179">
        <f>IF(OR($N$103="",AND($J$4&lt;&gt;"(todos)",$J$4&lt;&gt;$A126)),"",SUMIFS(Tabela367[Presenças Previstas],Tabela367[Período],$N$103,Tabela367[Curso],$A126,Tabela367[Disciplina],$B126))</f>
        <v/>
      </c>
      <c r="D126" s="179">
        <f>IF(OR($N$103="",AND($J$4&lt;&gt;"(todos)",$J$4&lt;&gt;$A126)),"",SUMIFS(Tabela367[Presenças Registradas],Tabela367[Período],$N$103,Tabela367[Curso],$A126,Tabela367[Disciplina],$B126))</f>
        <v/>
      </c>
      <c r="E126" s="208">
        <f>IF(OR($N$103="",AND($J$4&lt;&gt;"(todos)",$J$4&lt;&gt;$A126)),"",IF(COUNTIFS(Tabela367[Período],$N$103,Tabela367[Curso],$A126,Tabela367[Disciplina],$B126)=0,"",IFERROR(D126/C126,"")))</f>
        <v/>
      </c>
      <c r="F126" s="181">
        <f>IFERROR(IF(SUMPRODUCT(MAX((METAS!$A$5:$A$404="DTNH-03")*(METAS!$B$5:$B$404=IF($A126="","",$A126&amp;" » "&amp;$B126))*(METAS!$D$5:$D$404&lt;=IFERROR(VALUE(SUBSTITUTE($F$4,"-","")),0))*METAS!$D$5:$D$404))&lt;&gt;0,SUMPRODUCT((METAS!$A$5:$A$404="DTNH-03")*(METAS!$B$5:$B$404=IF($A126="","",$A126&amp;" » "&amp;$B126))*(METAS!$D$5:$D$404=SUMPRODUCT(MAX((METAS!$A$5:$A$404="DTNH-03")*(METAS!$B$5:$B$404=IF($A126="","",$A126&amp;" » "&amp;$B126))*(METAS!$D$5:$D$404&lt;=IFERROR(VALUE(SUBSTITUTE($F$4,"-","")),0))*METAS!$D$5:$D$404)))*METAS!$E$5:$E$404),IF(SUMPRODUCT(MAX((METAS!$A$5:$A$404="DTNH-03")*(METAS!$B$5:$B$404=$A126)*(METAS!$D$5:$D$404&lt;=IFERROR(VALUE(SUBSTITUTE($F$4,"-","")),0))*METAS!$D$5:$D$404))&lt;&gt;0,SUMPRODUCT((METAS!$A$5:$A$404="DTNH-03")*(METAS!$B$5:$B$404=$A126)*(METAS!$D$5:$D$404=SUMPRODUCT(MAX((METAS!$A$5:$A$404="DTNH-03")*(METAS!$B$5:$B$404=$A126)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6" s="181">
        <f>IFERROR(IF(SUMPRODUCT(MAX((METAS!$A$5:$A$404="DTNH-03")*(METAS!$B$5:$B$404=IF($A126="","",$A126&amp;" » "&amp;$B126))*(METAS!$D$5:$D$404&lt;=IFERROR(VALUE(SUBSTITUTE($F$4,"-","")),0))*METAS!$D$5:$D$404))&lt;&gt;0,SUMPRODUCT((METAS!$A$5:$A$404="DTNH-03")*(METAS!$B$5:$B$404=IF($A126="","",$A126&amp;" » "&amp;$B126))*(METAS!$D$5:$D$404=SUMPRODUCT(MAX((METAS!$A$5:$A$404="DTNH-03")*(METAS!$B$5:$B$404=IF($A126="","",$A126&amp;" » "&amp;$B126))*(METAS!$D$5:$D$404&lt;=IFERROR(VALUE(SUBSTITUTE($F$4,"-","")),0))*METAS!$D$5:$D$404)))*METAS!$F$5:$F$404),IF(SUMPRODUCT(MAX((METAS!$A$5:$A$404="DTNH-03")*(METAS!$B$5:$B$404=$A126)*(METAS!$D$5:$D$404&lt;=IFERROR(VALUE(SUBSTITUTE($F$4,"-","")),0))*METAS!$D$5:$D$404))&lt;&gt;0,SUMPRODUCT((METAS!$A$5:$A$404="DTNH-03")*(METAS!$B$5:$B$404=$A126)*(METAS!$D$5:$D$404=SUMPRODUCT(MAX((METAS!$A$5:$A$404="DTNH-03")*(METAS!$B$5:$B$404=$A126)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6" s="171">
        <f>IF(OR(E126="",F126=""),"",IF(ROUND(E126,6)&gt;=ROUND(F126,6),"Dentro da meta",IF(AND(G126&lt;&gt;"",ROUND(E126,6)&gt;=ROUND(G126,6)),"Atenção","Fora da meta")))</f>
        <v/>
      </c>
    </row>
    <row r="127" ht="15" customHeight="1" s="131">
      <c r="A127" s="167">
        <f>DISCIPLINAS!$A$11</f>
        <v/>
      </c>
      <c r="B127" s="167">
        <f>DISCIPLINAS!$B$11</f>
        <v/>
      </c>
      <c r="C127" s="179">
        <f>IF(OR($N$103="",AND($J$4&lt;&gt;"(todos)",$J$4&lt;&gt;$A127)),"",SUMIFS(Tabela367[Presenças Previstas],Tabela367[Período],$N$103,Tabela367[Curso],$A127,Tabela367[Disciplina],$B127))</f>
        <v/>
      </c>
      <c r="D127" s="179">
        <f>IF(OR($N$103="",AND($J$4&lt;&gt;"(todos)",$J$4&lt;&gt;$A127)),"",SUMIFS(Tabela367[Presenças Registradas],Tabela367[Período],$N$103,Tabela367[Curso],$A127,Tabela367[Disciplina],$B127))</f>
        <v/>
      </c>
      <c r="E127" s="208">
        <f>IF(OR($N$103="",AND($J$4&lt;&gt;"(todos)",$J$4&lt;&gt;$A127)),"",IF(COUNTIFS(Tabela367[Período],$N$103,Tabela367[Curso],$A127,Tabela367[Disciplina],$B127)=0,"",IFERROR(D127/C127,"")))</f>
        <v/>
      </c>
      <c r="F127" s="181">
        <f>IFERROR(IF(SUMPRODUCT(MAX((METAS!$A$5:$A$404="DTNH-03")*(METAS!$B$5:$B$404=IF($A127="","",$A127&amp;" » "&amp;$B127))*(METAS!$D$5:$D$404&lt;=IFERROR(VALUE(SUBSTITUTE($F$4,"-","")),0))*METAS!$D$5:$D$404))&lt;&gt;0,SUMPRODUCT((METAS!$A$5:$A$404="DTNH-03")*(METAS!$B$5:$B$404=IF($A127="","",$A127&amp;" » "&amp;$B127))*(METAS!$D$5:$D$404=SUMPRODUCT(MAX((METAS!$A$5:$A$404="DTNH-03")*(METAS!$B$5:$B$404=IF($A127="","",$A127&amp;" » "&amp;$B127))*(METAS!$D$5:$D$404&lt;=IFERROR(VALUE(SUBSTITUTE($F$4,"-","")),0))*METAS!$D$5:$D$404)))*METAS!$E$5:$E$404),IF(SUMPRODUCT(MAX((METAS!$A$5:$A$404="DTNH-03")*(METAS!$B$5:$B$404=$A127)*(METAS!$D$5:$D$404&lt;=IFERROR(VALUE(SUBSTITUTE($F$4,"-","")),0))*METAS!$D$5:$D$404))&lt;&gt;0,SUMPRODUCT((METAS!$A$5:$A$404="DTNH-03")*(METAS!$B$5:$B$404=$A127)*(METAS!$D$5:$D$404=SUMPRODUCT(MAX((METAS!$A$5:$A$404="DTNH-03")*(METAS!$B$5:$B$404=$A127)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7" s="181">
        <f>IFERROR(IF(SUMPRODUCT(MAX((METAS!$A$5:$A$404="DTNH-03")*(METAS!$B$5:$B$404=IF($A127="","",$A127&amp;" » "&amp;$B127))*(METAS!$D$5:$D$404&lt;=IFERROR(VALUE(SUBSTITUTE($F$4,"-","")),0))*METAS!$D$5:$D$404))&lt;&gt;0,SUMPRODUCT((METAS!$A$5:$A$404="DTNH-03")*(METAS!$B$5:$B$404=IF($A127="","",$A127&amp;" » "&amp;$B127))*(METAS!$D$5:$D$404=SUMPRODUCT(MAX((METAS!$A$5:$A$404="DTNH-03")*(METAS!$B$5:$B$404=IF($A127="","",$A127&amp;" » "&amp;$B127))*(METAS!$D$5:$D$404&lt;=IFERROR(VALUE(SUBSTITUTE($F$4,"-","")),0))*METAS!$D$5:$D$404)))*METAS!$F$5:$F$404),IF(SUMPRODUCT(MAX((METAS!$A$5:$A$404="DTNH-03")*(METAS!$B$5:$B$404=$A127)*(METAS!$D$5:$D$404&lt;=IFERROR(VALUE(SUBSTITUTE($F$4,"-","")),0))*METAS!$D$5:$D$404))&lt;&gt;0,SUMPRODUCT((METAS!$A$5:$A$404="DTNH-03")*(METAS!$B$5:$B$404=$A127)*(METAS!$D$5:$D$404=SUMPRODUCT(MAX((METAS!$A$5:$A$404="DTNH-03")*(METAS!$B$5:$B$404=$A127)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7" s="171">
        <f>IF(OR(E127="",F127=""),"",IF(ROUND(E127,6)&gt;=ROUND(F127,6),"Dentro da meta",IF(AND(G127&lt;&gt;"",ROUND(E127,6)&gt;=ROUND(G127,6)),"Atenção","Fora da meta")))</f>
        <v/>
      </c>
    </row>
    <row r="128" ht="21.75" customHeight="1" s="131">
      <c r="A128" s="167">
        <f>DISCIPLINAS!$A$12</f>
        <v/>
      </c>
      <c r="B128" s="167">
        <f>DISCIPLINAS!$B$12</f>
        <v/>
      </c>
      <c r="C128" s="179">
        <f>IF(OR($N$103="",AND($J$4&lt;&gt;"(todos)",$J$4&lt;&gt;$A128)),"",SUMIFS(Tabela367[Presenças Previstas],Tabela367[Período],$N$103,Tabela367[Curso],$A128,Tabela367[Disciplina],$B128))</f>
        <v/>
      </c>
      <c r="D128" s="179">
        <f>IF(OR($N$103="",AND($J$4&lt;&gt;"(todos)",$J$4&lt;&gt;$A128)),"",SUMIFS(Tabela367[Presenças Registradas],Tabela367[Período],$N$103,Tabela367[Curso],$A128,Tabela367[Disciplina],$B128))</f>
        <v/>
      </c>
      <c r="E128" s="208">
        <f>IF(OR($N$103="",AND($J$4&lt;&gt;"(todos)",$J$4&lt;&gt;$A128)),"",IF(COUNTIFS(Tabela367[Período],$N$103,Tabela367[Curso],$A128,Tabela367[Disciplina],$B128)=0,"",IFERROR(D128/C128,"")))</f>
        <v/>
      </c>
      <c r="F128" s="181">
        <f>IFERROR(IF(SUMPRODUCT(MAX((METAS!$A$5:$A$404="DTNH-03")*(METAS!$B$5:$B$404=IF($A128="","",$A128&amp;" » "&amp;$B128))*(METAS!$D$5:$D$404&lt;=IFERROR(VALUE(SUBSTITUTE($F$4,"-","")),0))*METAS!$D$5:$D$404))&lt;&gt;0,SUMPRODUCT((METAS!$A$5:$A$404="DTNH-03")*(METAS!$B$5:$B$404=IF($A128="","",$A128&amp;" » "&amp;$B128))*(METAS!$D$5:$D$404=SUMPRODUCT(MAX((METAS!$A$5:$A$404="DTNH-03")*(METAS!$B$5:$B$404=IF($A128="","",$A128&amp;" » "&amp;$B128))*(METAS!$D$5:$D$404&lt;=IFERROR(VALUE(SUBSTITUTE($F$4,"-","")),0))*METAS!$D$5:$D$404)))*METAS!$E$5:$E$404),IF(SUMPRODUCT(MAX((METAS!$A$5:$A$404="DTNH-03")*(METAS!$B$5:$B$404=$A128)*(METAS!$D$5:$D$404&lt;=IFERROR(VALUE(SUBSTITUTE($F$4,"-","")),0))*METAS!$D$5:$D$404))&lt;&gt;0,SUMPRODUCT((METAS!$A$5:$A$404="DTNH-03")*(METAS!$B$5:$B$404=$A128)*(METAS!$D$5:$D$404=SUMPRODUCT(MAX((METAS!$A$5:$A$404="DTNH-03")*(METAS!$B$5:$B$404=$A128)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8" s="181">
        <f>IFERROR(IF(SUMPRODUCT(MAX((METAS!$A$5:$A$404="DTNH-03")*(METAS!$B$5:$B$404=IF($A128="","",$A128&amp;" » "&amp;$B128))*(METAS!$D$5:$D$404&lt;=IFERROR(VALUE(SUBSTITUTE($F$4,"-","")),0))*METAS!$D$5:$D$404))&lt;&gt;0,SUMPRODUCT((METAS!$A$5:$A$404="DTNH-03")*(METAS!$B$5:$B$404=IF($A128="","",$A128&amp;" » "&amp;$B128))*(METAS!$D$5:$D$404=SUMPRODUCT(MAX((METAS!$A$5:$A$404="DTNH-03")*(METAS!$B$5:$B$404=IF($A128="","",$A128&amp;" » "&amp;$B128))*(METAS!$D$5:$D$404&lt;=IFERROR(VALUE(SUBSTITUTE($F$4,"-","")),0))*METAS!$D$5:$D$404)))*METAS!$F$5:$F$404),IF(SUMPRODUCT(MAX((METAS!$A$5:$A$404="DTNH-03")*(METAS!$B$5:$B$404=$A128)*(METAS!$D$5:$D$404&lt;=IFERROR(VALUE(SUBSTITUTE($F$4,"-","")),0))*METAS!$D$5:$D$404))&lt;&gt;0,SUMPRODUCT((METAS!$A$5:$A$404="DTNH-03")*(METAS!$B$5:$B$404=$A128)*(METAS!$D$5:$D$404=SUMPRODUCT(MAX((METAS!$A$5:$A$404="DTNH-03")*(METAS!$B$5:$B$404=$A128)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8" s="171">
        <f>IF(OR(E128="",F128=""),"",IF(ROUND(E128,6)&gt;=ROUND(F128,6),"Dentro da meta",IF(AND(G128&lt;&gt;"",ROUND(E128,6)&gt;=ROUND(G128,6)),"Atenção","Fora da meta")))</f>
        <v/>
      </c>
    </row>
    <row r="129" ht="32.25" customHeight="1" s="131">
      <c r="A129" s="167">
        <f>DISCIPLINAS!$A$13</f>
        <v/>
      </c>
      <c r="B129" s="167">
        <f>DISCIPLINAS!$B$13</f>
        <v/>
      </c>
      <c r="C129" s="179">
        <f>IF(OR($N$103="",AND($J$4&lt;&gt;"(todos)",$J$4&lt;&gt;$A129)),"",SUMIFS(Tabela367[Presenças Previstas],Tabela367[Período],$N$103,Tabela367[Curso],$A129,Tabela367[Disciplina],$B129))</f>
        <v/>
      </c>
      <c r="D129" s="179">
        <f>IF(OR($N$103="",AND($J$4&lt;&gt;"(todos)",$J$4&lt;&gt;$A129)),"",SUMIFS(Tabela367[Presenças Registradas],Tabela367[Período],$N$103,Tabela367[Curso],$A129,Tabela367[Disciplina],$B129))</f>
        <v/>
      </c>
      <c r="E129" s="208">
        <f>IF(OR($N$103="",AND($J$4&lt;&gt;"(todos)",$J$4&lt;&gt;$A129)),"",IF(COUNTIFS(Tabela367[Período],$N$103,Tabela367[Curso],$A129,Tabela367[Disciplina],$B129)=0,"",IFERROR(D129/C129,"")))</f>
        <v/>
      </c>
      <c r="F129" s="181">
        <f>IFERROR(IF(SUMPRODUCT(MAX((METAS!$A$5:$A$404="DTNH-03")*(METAS!$B$5:$B$404=IF($A129="","",$A129&amp;" » "&amp;$B129))*(METAS!$D$5:$D$404&lt;=IFERROR(VALUE(SUBSTITUTE($F$4,"-","")),0))*METAS!$D$5:$D$404))&lt;&gt;0,SUMPRODUCT((METAS!$A$5:$A$404="DTNH-03")*(METAS!$B$5:$B$404=IF($A129="","",$A129&amp;" » "&amp;$B129))*(METAS!$D$5:$D$404=SUMPRODUCT(MAX((METAS!$A$5:$A$404="DTNH-03")*(METAS!$B$5:$B$404=IF($A129="","",$A129&amp;" » "&amp;$B129))*(METAS!$D$5:$D$404&lt;=IFERROR(VALUE(SUBSTITUTE($F$4,"-","")),0))*METAS!$D$5:$D$404)))*METAS!$E$5:$E$404),IF(SUMPRODUCT(MAX((METAS!$A$5:$A$404="DTNH-03")*(METAS!$B$5:$B$404=$A129)*(METAS!$D$5:$D$404&lt;=IFERROR(VALUE(SUBSTITUTE($F$4,"-","")),0))*METAS!$D$5:$D$404))&lt;&gt;0,SUMPRODUCT((METAS!$A$5:$A$404="DTNH-03")*(METAS!$B$5:$B$404=$A129)*(METAS!$D$5:$D$404=SUMPRODUCT(MAX((METAS!$A$5:$A$404="DTNH-03")*(METAS!$B$5:$B$404=$A129)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29" s="181">
        <f>IFERROR(IF(SUMPRODUCT(MAX((METAS!$A$5:$A$404="DTNH-03")*(METAS!$B$5:$B$404=IF($A129="","",$A129&amp;" » "&amp;$B129))*(METAS!$D$5:$D$404&lt;=IFERROR(VALUE(SUBSTITUTE($F$4,"-","")),0))*METAS!$D$5:$D$404))&lt;&gt;0,SUMPRODUCT((METAS!$A$5:$A$404="DTNH-03")*(METAS!$B$5:$B$404=IF($A129="","",$A129&amp;" » "&amp;$B129))*(METAS!$D$5:$D$404=SUMPRODUCT(MAX((METAS!$A$5:$A$404="DTNH-03")*(METAS!$B$5:$B$404=IF($A129="","",$A129&amp;" » "&amp;$B129))*(METAS!$D$5:$D$404&lt;=IFERROR(VALUE(SUBSTITUTE($F$4,"-","")),0))*METAS!$D$5:$D$404)))*METAS!$F$5:$F$404),IF(SUMPRODUCT(MAX((METAS!$A$5:$A$404="DTNH-03")*(METAS!$B$5:$B$404=$A129)*(METAS!$D$5:$D$404&lt;=IFERROR(VALUE(SUBSTITUTE($F$4,"-","")),0))*METAS!$D$5:$D$404))&lt;&gt;0,SUMPRODUCT((METAS!$A$5:$A$404="DTNH-03")*(METAS!$B$5:$B$404=$A129)*(METAS!$D$5:$D$404=SUMPRODUCT(MAX((METAS!$A$5:$A$404="DTNH-03")*(METAS!$B$5:$B$404=$A129)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29" s="171">
        <f>IF(OR(E129="",F129=""),"",IF(ROUND(E129,6)&gt;=ROUND(F129,6),"Dentro da meta",IF(AND(G129&lt;&gt;"",ROUND(E129,6)&gt;=ROUND(G129,6)),"Atenção","Fora da meta")))</f>
        <v/>
      </c>
    </row>
    <row r="130" ht="15" customHeight="1" s="131">
      <c r="A130" s="167">
        <f>DISCIPLINAS!$A$14</f>
        <v/>
      </c>
      <c r="B130" s="167">
        <f>DISCIPLINAS!$B$14</f>
        <v/>
      </c>
      <c r="C130" s="179">
        <f>IF(OR($N$103="",AND($J$4&lt;&gt;"(todos)",$J$4&lt;&gt;$A130)),"",SUMIFS(Tabela367[Presenças Previstas],Tabela367[Período],$N$103,Tabela367[Curso],$A130,Tabela367[Disciplina],$B130))</f>
        <v/>
      </c>
      <c r="D130" s="179">
        <f>IF(OR($N$103="",AND($J$4&lt;&gt;"(todos)",$J$4&lt;&gt;$A130)),"",SUMIFS(Tabela367[Presenças Registradas],Tabela367[Período],$N$103,Tabela367[Curso],$A130,Tabela367[Disciplina],$B130))</f>
        <v/>
      </c>
      <c r="E130" s="208">
        <f>IF(OR($N$103="",AND($J$4&lt;&gt;"(todos)",$J$4&lt;&gt;$A130)),"",IF(COUNTIFS(Tabela367[Período],$N$103,Tabela367[Curso],$A130,Tabela367[Disciplina],$B130)=0,"",IFERROR(D130/C130,"")))</f>
        <v/>
      </c>
      <c r="F130" s="181">
        <f>IFERROR(IF(SUMPRODUCT(MAX((METAS!$A$5:$A$404="DTNH-03")*(METAS!$B$5:$B$404=IF($A130="","",$A130&amp;" » "&amp;$B130))*(METAS!$D$5:$D$404&lt;=IFERROR(VALUE(SUBSTITUTE($F$4,"-","")),0))*METAS!$D$5:$D$404))&lt;&gt;0,SUMPRODUCT((METAS!$A$5:$A$404="DTNH-03")*(METAS!$B$5:$B$404=IF($A130="","",$A130&amp;" » "&amp;$B130))*(METAS!$D$5:$D$404=SUMPRODUCT(MAX((METAS!$A$5:$A$404="DTNH-03")*(METAS!$B$5:$B$404=IF($A130="","",$A130&amp;" » "&amp;$B130))*(METAS!$D$5:$D$404&lt;=IFERROR(VALUE(SUBSTITUTE($F$4,"-","")),0))*METAS!$D$5:$D$404)))*METAS!$E$5:$E$404),IF(SUMPRODUCT(MAX((METAS!$A$5:$A$404="DTNH-03")*(METAS!$B$5:$B$404=$A130)*(METAS!$D$5:$D$404&lt;=IFERROR(VALUE(SUBSTITUTE($F$4,"-","")),0))*METAS!$D$5:$D$404))&lt;&gt;0,SUMPRODUCT((METAS!$A$5:$A$404="DTNH-03")*(METAS!$B$5:$B$404=$A130)*(METAS!$D$5:$D$404=SUMPRODUCT(MAX((METAS!$A$5:$A$404="DTNH-03")*(METAS!$B$5:$B$404=$A130)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0" s="181">
        <f>IFERROR(IF(SUMPRODUCT(MAX((METAS!$A$5:$A$404="DTNH-03")*(METAS!$B$5:$B$404=IF($A130="","",$A130&amp;" » "&amp;$B130))*(METAS!$D$5:$D$404&lt;=IFERROR(VALUE(SUBSTITUTE($F$4,"-","")),0))*METAS!$D$5:$D$404))&lt;&gt;0,SUMPRODUCT((METAS!$A$5:$A$404="DTNH-03")*(METAS!$B$5:$B$404=IF($A130="","",$A130&amp;" » "&amp;$B130))*(METAS!$D$5:$D$404=SUMPRODUCT(MAX((METAS!$A$5:$A$404="DTNH-03")*(METAS!$B$5:$B$404=IF($A130="","",$A130&amp;" » "&amp;$B130))*(METAS!$D$5:$D$404&lt;=IFERROR(VALUE(SUBSTITUTE($F$4,"-","")),0))*METAS!$D$5:$D$404)))*METAS!$F$5:$F$404),IF(SUMPRODUCT(MAX((METAS!$A$5:$A$404="DTNH-03")*(METAS!$B$5:$B$404=$A130)*(METAS!$D$5:$D$404&lt;=IFERROR(VALUE(SUBSTITUTE($F$4,"-","")),0))*METAS!$D$5:$D$404))&lt;&gt;0,SUMPRODUCT((METAS!$A$5:$A$404="DTNH-03")*(METAS!$B$5:$B$404=$A130)*(METAS!$D$5:$D$404=SUMPRODUCT(MAX((METAS!$A$5:$A$404="DTNH-03")*(METAS!$B$5:$B$404=$A130)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0" s="171">
        <f>IF(OR(E130="",F130=""),"",IF(ROUND(E130,6)&gt;=ROUND(F130,6),"Dentro da meta",IF(AND(G130&lt;&gt;"",ROUND(E130,6)&gt;=ROUND(G130,6)),"Atenção","Fora da meta")))</f>
        <v/>
      </c>
    </row>
    <row r="131" ht="21.75" customHeight="1" s="131">
      <c r="A131" s="167">
        <f>DISCIPLINAS!$A$15</f>
        <v/>
      </c>
      <c r="B131" s="167">
        <f>DISCIPLINAS!$B$15</f>
        <v/>
      </c>
      <c r="C131" s="179">
        <f>IF(OR($N$103="",AND($J$4&lt;&gt;"(todos)",$J$4&lt;&gt;$A131)),"",SUMIFS(Tabela367[Presenças Previstas],Tabela367[Período],$N$103,Tabela367[Curso],$A131,Tabela367[Disciplina],$B131))</f>
        <v/>
      </c>
      <c r="D131" s="179">
        <f>IF(OR($N$103="",AND($J$4&lt;&gt;"(todos)",$J$4&lt;&gt;$A131)),"",SUMIFS(Tabela367[Presenças Registradas],Tabela367[Período],$N$103,Tabela367[Curso],$A131,Tabela367[Disciplina],$B131))</f>
        <v/>
      </c>
      <c r="E131" s="208">
        <f>IF(OR($N$103="",AND($J$4&lt;&gt;"(todos)",$J$4&lt;&gt;$A131)),"",IF(COUNTIFS(Tabela367[Período],$N$103,Tabela367[Curso],$A131,Tabela367[Disciplina],$B131)=0,"",IFERROR(D131/C131,"")))</f>
        <v/>
      </c>
      <c r="F131" s="181">
        <f>IFERROR(IF(SUMPRODUCT(MAX((METAS!$A$5:$A$404="DTNH-03")*(METAS!$B$5:$B$404=IF($A131="","",$A131&amp;" » "&amp;$B131))*(METAS!$D$5:$D$404&lt;=IFERROR(VALUE(SUBSTITUTE($F$4,"-","")),0))*METAS!$D$5:$D$404))&lt;&gt;0,SUMPRODUCT((METAS!$A$5:$A$404="DTNH-03")*(METAS!$B$5:$B$404=IF($A131="","",$A131&amp;" » "&amp;$B131))*(METAS!$D$5:$D$404=SUMPRODUCT(MAX((METAS!$A$5:$A$404="DTNH-03")*(METAS!$B$5:$B$404=IF($A131="","",$A131&amp;" » "&amp;$B131))*(METAS!$D$5:$D$404&lt;=IFERROR(VALUE(SUBSTITUTE($F$4,"-","")),0))*METAS!$D$5:$D$404)))*METAS!$E$5:$E$404),IF(SUMPRODUCT(MAX((METAS!$A$5:$A$404="DTNH-03")*(METAS!$B$5:$B$404=$A131)*(METAS!$D$5:$D$404&lt;=IFERROR(VALUE(SUBSTITUTE($F$4,"-","")),0))*METAS!$D$5:$D$404))&lt;&gt;0,SUMPRODUCT((METAS!$A$5:$A$404="DTNH-03")*(METAS!$B$5:$B$404=$A131)*(METAS!$D$5:$D$404=SUMPRODUCT(MAX((METAS!$A$5:$A$404="DTNH-03")*(METAS!$B$5:$B$404=$A131)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1" s="181">
        <f>IFERROR(IF(SUMPRODUCT(MAX((METAS!$A$5:$A$404="DTNH-03")*(METAS!$B$5:$B$404=IF($A131="","",$A131&amp;" » "&amp;$B131))*(METAS!$D$5:$D$404&lt;=IFERROR(VALUE(SUBSTITUTE($F$4,"-","")),0))*METAS!$D$5:$D$404))&lt;&gt;0,SUMPRODUCT((METAS!$A$5:$A$404="DTNH-03")*(METAS!$B$5:$B$404=IF($A131="","",$A131&amp;" » "&amp;$B131))*(METAS!$D$5:$D$404=SUMPRODUCT(MAX((METAS!$A$5:$A$404="DTNH-03")*(METAS!$B$5:$B$404=IF($A131="","",$A131&amp;" » "&amp;$B131))*(METAS!$D$5:$D$404&lt;=IFERROR(VALUE(SUBSTITUTE($F$4,"-","")),0))*METAS!$D$5:$D$404)))*METAS!$F$5:$F$404),IF(SUMPRODUCT(MAX((METAS!$A$5:$A$404="DTNH-03")*(METAS!$B$5:$B$404=$A131)*(METAS!$D$5:$D$404&lt;=IFERROR(VALUE(SUBSTITUTE($F$4,"-","")),0))*METAS!$D$5:$D$404))&lt;&gt;0,SUMPRODUCT((METAS!$A$5:$A$404="DTNH-03")*(METAS!$B$5:$B$404=$A131)*(METAS!$D$5:$D$404=SUMPRODUCT(MAX((METAS!$A$5:$A$404="DTNH-03")*(METAS!$B$5:$B$404=$A131)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1" s="171">
        <f>IF(OR(E131="",F131=""),"",IF(ROUND(E131,6)&gt;=ROUND(F131,6),"Dentro da meta",IF(AND(G131&lt;&gt;"",ROUND(E131,6)&gt;=ROUND(G131,6)),"Atenção","Fora da meta")))</f>
        <v/>
      </c>
    </row>
    <row r="132" ht="21.75" customHeight="1" s="131">
      <c r="A132" s="167">
        <f>DISCIPLINAS!$A$16</f>
        <v/>
      </c>
      <c r="B132" s="167">
        <f>DISCIPLINAS!$B$16</f>
        <v/>
      </c>
      <c r="C132" s="179">
        <f>IF(OR($N$103="",AND($J$4&lt;&gt;"(todos)",$J$4&lt;&gt;$A132)),"",SUMIFS(Tabela367[Presenças Previstas],Tabela367[Período],$N$103,Tabela367[Curso],$A132,Tabela367[Disciplina],$B132))</f>
        <v/>
      </c>
      <c r="D132" s="179">
        <f>IF(OR($N$103="",AND($J$4&lt;&gt;"(todos)",$J$4&lt;&gt;$A132)),"",SUMIFS(Tabela367[Presenças Registradas],Tabela367[Período],$N$103,Tabela367[Curso],$A132,Tabela367[Disciplina],$B132))</f>
        <v/>
      </c>
      <c r="E132" s="208">
        <f>IF(OR($N$103="",AND($J$4&lt;&gt;"(todos)",$J$4&lt;&gt;$A132)),"",IF(COUNTIFS(Tabela367[Período],$N$103,Tabela367[Curso],$A132,Tabela367[Disciplina],$B132)=0,"",IFERROR(D132/C132,"")))</f>
        <v/>
      </c>
      <c r="F132" s="181">
        <f>IFERROR(IF(SUMPRODUCT(MAX((METAS!$A$5:$A$404="DTNH-03")*(METAS!$B$5:$B$404=IF($A132="","",$A132&amp;" » "&amp;$B132))*(METAS!$D$5:$D$404&lt;=IFERROR(VALUE(SUBSTITUTE($F$4,"-","")),0))*METAS!$D$5:$D$404))&lt;&gt;0,SUMPRODUCT((METAS!$A$5:$A$404="DTNH-03")*(METAS!$B$5:$B$404=IF($A132="","",$A132&amp;" » "&amp;$B132))*(METAS!$D$5:$D$404=SUMPRODUCT(MAX((METAS!$A$5:$A$404="DTNH-03")*(METAS!$B$5:$B$404=IF($A132="","",$A132&amp;" » "&amp;$B132))*(METAS!$D$5:$D$404&lt;=IFERROR(VALUE(SUBSTITUTE($F$4,"-","")),0))*METAS!$D$5:$D$404)))*METAS!$E$5:$E$404),IF(SUMPRODUCT(MAX((METAS!$A$5:$A$404="DTNH-03")*(METAS!$B$5:$B$404=$A132)*(METAS!$D$5:$D$404&lt;=IFERROR(VALUE(SUBSTITUTE($F$4,"-","")),0))*METAS!$D$5:$D$404))&lt;&gt;0,SUMPRODUCT((METAS!$A$5:$A$404="DTNH-03")*(METAS!$B$5:$B$404=$A132)*(METAS!$D$5:$D$404=SUMPRODUCT(MAX((METAS!$A$5:$A$404="DTNH-03")*(METAS!$B$5:$B$404=$A132)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2" s="181">
        <f>IFERROR(IF(SUMPRODUCT(MAX((METAS!$A$5:$A$404="DTNH-03")*(METAS!$B$5:$B$404=IF($A132="","",$A132&amp;" » "&amp;$B132))*(METAS!$D$5:$D$404&lt;=IFERROR(VALUE(SUBSTITUTE($F$4,"-","")),0))*METAS!$D$5:$D$404))&lt;&gt;0,SUMPRODUCT((METAS!$A$5:$A$404="DTNH-03")*(METAS!$B$5:$B$404=IF($A132="","",$A132&amp;" » "&amp;$B132))*(METAS!$D$5:$D$404=SUMPRODUCT(MAX((METAS!$A$5:$A$404="DTNH-03")*(METAS!$B$5:$B$404=IF($A132="","",$A132&amp;" » "&amp;$B132))*(METAS!$D$5:$D$404&lt;=IFERROR(VALUE(SUBSTITUTE($F$4,"-","")),0))*METAS!$D$5:$D$404)))*METAS!$F$5:$F$404),IF(SUMPRODUCT(MAX((METAS!$A$5:$A$404="DTNH-03")*(METAS!$B$5:$B$404=$A132)*(METAS!$D$5:$D$404&lt;=IFERROR(VALUE(SUBSTITUTE($F$4,"-","")),0))*METAS!$D$5:$D$404))&lt;&gt;0,SUMPRODUCT((METAS!$A$5:$A$404="DTNH-03")*(METAS!$B$5:$B$404=$A132)*(METAS!$D$5:$D$404=SUMPRODUCT(MAX((METAS!$A$5:$A$404="DTNH-03")*(METAS!$B$5:$B$404=$A132)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2" s="171">
        <f>IF(OR(E132="",F132=""),"",IF(ROUND(E132,6)&gt;=ROUND(F132,6),"Dentro da meta",IF(AND(G132&lt;&gt;"",ROUND(E132,6)&gt;=ROUND(G132,6)),"Atenção","Fora da meta")))</f>
        <v/>
      </c>
    </row>
    <row r="133" ht="21.75" customHeight="1" s="131">
      <c r="A133" s="167">
        <f>DISCIPLINAS!$A$17</f>
        <v/>
      </c>
      <c r="B133" s="167">
        <f>DISCIPLINAS!$B$17</f>
        <v/>
      </c>
      <c r="C133" s="179">
        <f>IF(OR($N$103="",AND($J$4&lt;&gt;"(todos)",$J$4&lt;&gt;$A133)),"",SUMIFS(Tabela367[Presenças Previstas],Tabela367[Período],$N$103,Tabela367[Curso],$A133,Tabela367[Disciplina],$B133))</f>
        <v/>
      </c>
      <c r="D133" s="179">
        <f>IF(OR($N$103="",AND($J$4&lt;&gt;"(todos)",$J$4&lt;&gt;$A133)),"",SUMIFS(Tabela367[Presenças Registradas],Tabela367[Período],$N$103,Tabela367[Curso],$A133,Tabela367[Disciplina],$B133))</f>
        <v/>
      </c>
      <c r="E133" s="208">
        <f>IF(OR($N$103="",AND($J$4&lt;&gt;"(todos)",$J$4&lt;&gt;$A133)),"",IF(COUNTIFS(Tabela367[Período],$N$103,Tabela367[Curso],$A133,Tabela367[Disciplina],$B133)=0,"",IFERROR(D133/C133,"")))</f>
        <v/>
      </c>
      <c r="F133" s="181">
        <f>IFERROR(IF(SUMPRODUCT(MAX((METAS!$A$5:$A$404="DTNH-03")*(METAS!$B$5:$B$404=IF($A133="","",$A133&amp;" » "&amp;$B133))*(METAS!$D$5:$D$404&lt;=IFERROR(VALUE(SUBSTITUTE($F$4,"-","")),0))*METAS!$D$5:$D$404))&lt;&gt;0,SUMPRODUCT((METAS!$A$5:$A$404="DTNH-03")*(METAS!$B$5:$B$404=IF($A133="","",$A133&amp;" » "&amp;$B133))*(METAS!$D$5:$D$404=SUMPRODUCT(MAX((METAS!$A$5:$A$404="DTNH-03")*(METAS!$B$5:$B$404=IF($A133="","",$A133&amp;" » "&amp;$B133))*(METAS!$D$5:$D$404&lt;=IFERROR(VALUE(SUBSTITUTE($F$4,"-","")),0))*METAS!$D$5:$D$404)))*METAS!$E$5:$E$404),IF(SUMPRODUCT(MAX((METAS!$A$5:$A$404="DTNH-03")*(METAS!$B$5:$B$404=$A133)*(METAS!$D$5:$D$404&lt;=IFERROR(VALUE(SUBSTITUTE($F$4,"-","")),0))*METAS!$D$5:$D$404))&lt;&gt;0,SUMPRODUCT((METAS!$A$5:$A$404="DTNH-03")*(METAS!$B$5:$B$404=$A133)*(METAS!$D$5:$D$404=SUMPRODUCT(MAX((METAS!$A$5:$A$404="DTNH-03")*(METAS!$B$5:$B$404=$A133)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3" s="181">
        <f>IFERROR(IF(SUMPRODUCT(MAX((METAS!$A$5:$A$404="DTNH-03")*(METAS!$B$5:$B$404=IF($A133="","",$A133&amp;" » "&amp;$B133))*(METAS!$D$5:$D$404&lt;=IFERROR(VALUE(SUBSTITUTE($F$4,"-","")),0))*METAS!$D$5:$D$404))&lt;&gt;0,SUMPRODUCT((METAS!$A$5:$A$404="DTNH-03")*(METAS!$B$5:$B$404=IF($A133="","",$A133&amp;" » "&amp;$B133))*(METAS!$D$5:$D$404=SUMPRODUCT(MAX((METAS!$A$5:$A$404="DTNH-03")*(METAS!$B$5:$B$404=IF($A133="","",$A133&amp;" » "&amp;$B133))*(METAS!$D$5:$D$404&lt;=IFERROR(VALUE(SUBSTITUTE($F$4,"-","")),0))*METAS!$D$5:$D$404)))*METAS!$F$5:$F$404),IF(SUMPRODUCT(MAX((METAS!$A$5:$A$404="DTNH-03")*(METAS!$B$5:$B$404=$A133)*(METAS!$D$5:$D$404&lt;=IFERROR(VALUE(SUBSTITUTE($F$4,"-","")),0))*METAS!$D$5:$D$404))&lt;&gt;0,SUMPRODUCT((METAS!$A$5:$A$404="DTNH-03")*(METAS!$B$5:$B$404=$A133)*(METAS!$D$5:$D$404=SUMPRODUCT(MAX((METAS!$A$5:$A$404="DTNH-03")*(METAS!$B$5:$B$404=$A133)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3" s="171">
        <f>IF(OR(E133="",F133=""),"",IF(ROUND(E133,6)&gt;=ROUND(F133,6),"Dentro da meta",IF(AND(G133&lt;&gt;"",ROUND(E133,6)&gt;=ROUND(G133,6)),"Atenção","Fora da meta")))</f>
        <v/>
      </c>
    </row>
    <row r="134" ht="21.75" customHeight="1" s="131">
      <c r="A134" s="167">
        <f>DISCIPLINAS!$A$18</f>
        <v/>
      </c>
      <c r="B134" s="167">
        <f>DISCIPLINAS!$B$18</f>
        <v/>
      </c>
      <c r="C134" s="179">
        <f>IF(OR($N$103="",AND($J$4&lt;&gt;"(todos)",$J$4&lt;&gt;$A134)),"",SUMIFS(Tabela367[Presenças Previstas],Tabela367[Período],$N$103,Tabela367[Curso],$A134,Tabela367[Disciplina],$B134))</f>
        <v/>
      </c>
      <c r="D134" s="179">
        <f>IF(OR($N$103="",AND($J$4&lt;&gt;"(todos)",$J$4&lt;&gt;$A134)),"",SUMIFS(Tabela367[Presenças Registradas],Tabela367[Período],$N$103,Tabela367[Curso],$A134,Tabela367[Disciplina],$B134))</f>
        <v/>
      </c>
      <c r="E134" s="208">
        <f>IF(OR($N$103="",AND($J$4&lt;&gt;"(todos)",$J$4&lt;&gt;$A134)),"",IF(COUNTIFS(Tabela367[Período],$N$103,Tabela367[Curso],$A134,Tabela367[Disciplina],$B134)=0,"",IFERROR(D134/C134,"")))</f>
        <v/>
      </c>
      <c r="F134" s="181">
        <f>IFERROR(IF(SUMPRODUCT(MAX((METAS!$A$5:$A$404="DTNH-03")*(METAS!$B$5:$B$404=IF($A134="","",$A134&amp;" » "&amp;$B134))*(METAS!$D$5:$D$404&lt;=IFERROR(VALUE(SUBSTITUTE($F$4,"-","")),0))*METAS!$D$5:$D$404))&lt;&gt;0,SUMPRODUCT((METAS!$A$5:$A$404="DTNH-03")*(METAS!$B$5:$B$404=IF($A134="","",$A134&amp;" » "&amp;$B134))*(METAS!$D$5:$D$404=SUMPRODUCT(MAX((METAS!$A$5:$A$404="DTNH-03")*(METAS!$B$5:$B$404=IF($A134="","",$A134&amp;" » "&amp;$B134))*(METAS!$D$5:$D$404&lt;=IFERROR(VALUE(SUBSTITUTE($F$4,"-","")),0))*METAS!$D$5:$D$404)))*METAS!$E$5:$E$404),IF(SUMPRODUCT(MAX((METAS!$A$5:$A$404="DTNH-03")*(METAS!$B$5:$B$404=$A134)*(METAS!$D$5:$D$404&lt;=IFERROR(VALUE(SUBSTITUTE($F$4,"-","")),0))*METAS!$D$5:$D$404))&lt;&gt;0,SUMPRODUCT((METAS!$A$5:$A$404="DTNH-03")*(METAS!$B$5:$B$404=$A134)*(METAS!$D$5:$D$404=SUMPRODUCT(MAX((METAS!$A$5:$A$404="DTNH-03")*(METAS!$B$5:$B$404=$A134)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4" s="181">
        <f>IFERROR(IF(SUMPRODUCT(MAX((METAS!$A$5:$A$404="DTNH-03")*(METAS!$B$5:$B$404=IF($A134="","",$A134&amp;" » "&amp;$B134))*(METAS!$D$5:$D$404&lt;=IFERROR(VALUE(SUBSTITUTE($F$4,"-","")),0))*METAS!$D$5:$D$404))&lt;&gt;0,SUMPRODUCT((METAS!$A$5:$A$404="DTNH-03")*(METAS!$B$5:$B$404=IF($A134="","",$A134&amp;" » "&amp;$B134))*(METAS!$D$5:$D$404=SUMPRODUCT(MAX((METAS!$A$5:$A$404="DTNH-03")*(METAS!$B$5:$B$404=IF($A134="","",$A134&amp;" » "&amp;$B134))*(METAS!$D$5:$D$404&lt;=IFERROR(VALUE(SUBSTITUTE($F$4,"-","")),0))*METAS!$D$5:$D$404)))*METAS!$F$5:$F$404),IF(SUMPRODUCT(MAX((METAS!$A$5:$A$404="DTNH-03")*(METAS!$B$5:$B$404=$A134)*(METAS!$D$5:$D$404&lt;=IFERROR(VALUE(SUBSTITUTE($F$4,"-","")),0))*METAS!$D$5:$D$404))&lt;&gt;0,SUMPRODUCT((METAS!$A$5:$A$404="DTNH-03")*(METAS!$B$5:$B$404=$A134)*(METAS!$D$5:$D$404=SUMPRODUCT(MAX((METAS!$A$5:$A$404="DTNH-03")*(METAS!$B$5:$B$404=$A134)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4" s="171">
        <f>IF(OR(E134="",F134=""),"",IF(ROUND(E134,6)&gt;=ROUND(F134,6),"Dentro da meta",IF(AND(G134&lt;&gt;"",ROUND(E134,6)&gt;=ROUND(G134,6)),"Atenção","Fora da meta")))</f>
        <v/>
      </c>
    </row>
    <row r="135" ht="15" customHeight="1" s="131">
      <c r="A135" s="167">
        <f>DISCIPLINAS!$A$19</f>
        <v/>
      </c>
      <c r="B135" s="167">
        <f>DISCIPLINAS!$B$19</f>
        <v/>
      </c>
      <c r="C135" s="179">
        <f>IF(OR($N$103="",AND($J$4&lt;&gt;"(todos)",$J$4&lt;&gt;$A135)),"",SUMIFS(Tabela367[Presenças Previstas],Tabela367[Período],$N$103,Tabela367[Curso],$A135,Tabela367[Disciplina],$B135))</f>
        <v/>
      </c>
      <c r="D135" s="179">
        <f>IF(OR($N$103="",AND($J$4&lt;&gt;"(todos)",$J$4&lt;&gt;$A135)),"",SUMIFS(Tabela367[Presenças Registradas],Tabela367[Período],$N$103,Tabela367[Curso],$A135,Tabela367[Disciplina],$B135))</f>
        <v/>
      </c>
      <c r="E135" s="208">
        <f>IF(OR($N$103="",AND($J$4&lt;&gt;"(todos)",$J$4&lt;&gt;$A135)),"",IF(COUNTIFS(Tabela367[Período],$N$103,Tabela367[Curso],$A135,Tabela367[Disciplina],$B135)=0,"",IFERROR(D135/C135,"")))</f>
        <v/>
      </c>
      <c r="F135" s="181">
        <f>IFERROR(IF(SUMPRODUCT(MAX((METAS!$A$5:$A$404="DTNH-03")*(METAS!$B$5:$B$404=IF($A135="","",$A135&amp;" » "&amp;$B135))*(METAS!$D$5:$D$404&lt;=IFERROR(VALUE(SUBSTITUTE($F$4,"-","")),0))*METAS!$D$5:$D$404))&lt;&gt;0,SUMPRODUCT((METAS!$A$5:$A$404="DTNH-03")*(METAS!$B$5:$B$404=IF($A135="","",$A135&amp;" » "&amp;$B135))*(METAS!$D$5:$D$404=SUMPRODUCT(MAX((METAS!$A$5:$A$404="DTNH-03")*(METAS!$B$5:$B$404=IF($A135="","",$A135&amp;" » "&amp;$B135))*(METAS!$D$5:$D$404&lt;=IFERROR(VALUE(SUBSTITUTE($F$4,"-","")),0))*METAS!$D$5:$D$404)))*METAS!$E$5:$E$404),IF(SUMPRODUCT(MAX((METAS!$A$5:$A$404="DTNH-03")*(METAS!$B$5:$B$404=$A135)*(METAS!$D$5:$D$404&lt;=IFERROR(VALUE(SUBSTITUTE($F$4,"-","")),0))*METAS!$D$5:$D$404))&lt;&gt;0,SUMPRODUCT((METAS!$A$5:$A$404="DTNH-03")*(METAS!$B$5:$B$404=$A135)*(METAS!$D$5:$D$404=SUMPRODUCT(MAX((METAS!$A$5:$A$404="DTNH-03")*(METAS!$B$5:$B$404=$A135)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5" s="181">
        <f>IFERROR(IF(SUMPRODUCT(MAX((METAS!$A$5:$A$404="DTNH-03")*(METAS!$B$5:$B$404=IF($A135="","",$A135&amp;" » "&amp;$B135))*(METAS!$D$5:$D$404&lt;=IFERROR(VALUE(SUBSTITUTE($F$4,"-","")),0))*METAS!$D$5:$D$404))&lt;&gt;0,SUMPRODUCT((METAS!$A$5:$A$404="DTNH-03")*(METAS!$B$5:$B$404=IF($A135="","",$A135&amp;" » "&amp;$B135))*(METAS!$D$5:$D$404=SUMPRODUCT(MAX((METAS!$A$5:$A$404="DTNH-03")*(METAS!$B$5:$B$404=IF($A135="","",$A135&amp;" » "&amp;$B135))*(METAS!$D$5:$D$404&lt;=IFERROR(VALUE(SUBSTITUTE($F$4,"-","")),0))*METAS!$D$5:$D$404)))*METAS!$F$5:$F$404),IF(SUMPRODUCT(MAX((METAS!$A$5:$A$404="DTNH-03")*(METAS!$B$5:$B$404=$A135)*(METAS!$D$5:$D$404&lt;=IFERROR(VALUE(SUBSTITUTE($F$4,"-","")),0))*METAS!$D$5:$D$404))&lt;&gt;0,SUMPRODUCT((METAS!$A$5:$A$404="DTNH-03")*(METAS!$B$5:$B$404=$A135)*(METAS!$D$5:$D$404=SUMPRODUCT(MAX((METAS!$A$5:$A$404="DTNH-03")*(METAS!$B$5:$B$404=$A135)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5" s="171">
        <f>IF(OR(E135="",F135=""),"",IF(ROUND(E135,6)&gt;=ROUND(F135,6),"Dentro da meta",IF(AND(G135&lt;&gt;"",ROUND(E135,6)&gt;=ROUND(G135,6)),"Atenção","Fora da meta")))</f>
        <v/>
      </c>
    </row>
    <row r="136" ht="15" customHeight="1" s="131">
      <c r="A136" s="167">
        <f>DISCIPLINAS!$A$20</f>
        <v/>
      </c>
      <c r="B136" s="167">
        <f>DISCIPLINAS!$B$20</f>
        <v/>
      </c>
      <c r="C136" s="179">
        <f>IF(OR($N$103="",AND($J$4&lt;&gt;"(todos)",$J$4&lt;&gt;$A136)),"",SUMIFS(Tabela367[Presenças Previstas],Tabela367[Período],$N$103,Tabela367[Curso],$A136,Tabela367[Disciplina],$B136))</f>
        <v/>
      </c>
      <c r="D136" s="179">
        <f>IF(OR($N$103="",AND($J$4&lt;&gt;"(todos)",$J$4&lt;&gt;$A136)),"",SUMIFS(Tabela367[Presenças Registradas],Tabela367[Período],$N$103,Tabela367[Curso],$A136,Tabela367[Disciplina],$B136))</f>
        <v/>
      </c>
      <c r="E136" s="208">
        <f>IF(OR($N$103="",AND($J$4&lt;&gt;"(todos)",$J$4&lt;&gt;$A136)),"",IF(COUNTIFS(Tabela367[Período],$N$103,Tabela367[Curso],$A136,Tabela367[Disciplina],$B136)=0,"",IFERROR(D136/C136,"")))</f>
        <v/>
      </c>
      <c r="F136" s="181">
        <f>IFERROR(IF(SUMPRODUCT(MAX((METAS!$A$5:$A$404="DTNH-03")*(METAS!$B$5:$B$404=IF($A136="","",$A136&amp;" » "&amp;$B136))*(METAS!$D$5:$D$404&lt;=IFERROR(VALUE(SUBSTITUTE($F$4,"-","")),0))*METAS!$D$5:$D$404))&lt;&gt;0,SUMPRODUCT((METAS!$A$5:$A$404="DTNH-03")*(METAS!$B$5:$B$404=IF($A136="","",$A136&amp;" » "&amp;$B136))*(METAS!$D$5:$D$404=SUMPRODUCT(MAX((METAS!$A$5:$A$404="DTNH-03")*(METAS!$B$5:$B$404=IF($A136="","",$A136&amp;" » "&amp;$B136))*(METAS!$D$5:$D$404&lt;=IFERROR(VALUE(SUBSTITUTE($F$4,"-","")),0))*METAS!$D$5:$D$404)))*METAS!$E$5:$E$404),IF(SUMPRODUCT(MAX((METAS!$A$5:$A$404="DTNH-03")*(METAS!$B$5:$B$404=$A136)*(METAS!$D$5:$D$404&lt;=IFERROR(VALUE(SUBSTITUTE($F$4,"-","")),0))*METAS!$D$5:$D$404))&lt;&gt;0,SUMPRODUCT((METAS!$A$5:$A$404="DTNH-03")*(METAS!$B$5:$B$404=$A136)*(METAS!$D$5:$D$404=SUMPRODUCT(MAX((METAS!$A$5:$A$404="DTNH-03")*(METAS!$B$5:$B$404=$A136)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6" s="181">
        <f>IFERROR(IF(SUMPRODUCT(MAX((METAS!$A$5:$A$404="DTNH-03")*(METAS!$B$5:$B$404=IF($A136="","",$A136&amp;" » "&amp;$B136))*(METAS!$D$5:$D$404&lt;=IFERROR(VALUE(SUBSTITUTE($F$4,"-","")),0))*METAS!$D$5:$D$404))&lt;&gt;0,SUMPRODUCT((METAS!$A$5:$A$404="DTNH-03")*(METAS!$B$5:$B$404=IF($A136="","",$A136&amp;" » "&amp;$B136))*(METAS!$D$5:$D$404=SUMPRODUCT(MAX((METAS!$A$5:$A$404="DTNH-03")*(METAS!$B$5:$B$404=IF($A136="","",$A136&amp;" » "&amp;$B136))*(METAS!$D$5:$D$404&lt;=IFERROR(VALUE(SUBSTITUTE($F$4,"-","")),0))*METAS!$D$5:$D$404)))*METAS!$F$5:$F$404),IF(SUMPRODUCT(MAX((METAS!$A$5:$A$404="DTNH-03")*(METAS!$B$5:$B$404=$A136)*(METAS!$D$5:$D$404&lt;=IFERROR(VALUE(SUBSTITUTE($F$4,"-","")),0))*METAS!$D$5:$D$404))&lt;&gt;0,SUMPRODUCT((METAS!$A$5:$A$404="DTNH-03")*(METAS!$B$5:$B$404=$A136)*(METAS!$D$5:$D$404=SUMPRODUCT(MAX((METAS!$A$5:$A$404="DTNH-03")*(METAS!$B$5:$B$404=$A136)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6" s="171">
        <f>IF(OR(E136="",F136=""),"",IF(ROUND(E136,6)&gt;=ROUND(F136,6),"Dentro da meta",IF(AND(G136&lt;&gt;"",ROUND(E136,6)&gt;=ROUND(G136,6)),"Atenção","Fora da meta")))</f>
        <v/>
      </c>
    </row>
    <row r="137" ht="21.75" customHeight="1" s="131">
      <c r="A137" s="167">
        <f>DISCIPLINAS!$A$21</f>
        <v/>
      </c>
      <c r="B137" s="167">
        <f>DISCIPLINAS!$B$21</f>
        <v/>
      </c>
      <c r="C137" s="179">
        <f>IF(OR($N$103="",AND($J$4&lt;&gt;"(todos)",$J$4&lt;&gt;$A137)),"",SUMIFS(Tabela367[Presenças Previstas],Tabela367[Período],$N$103,Tabela367[Curso],$A137,Tabela367[Disciplina],$B137))</f>
        <v/>
      </c>
      <c r="D137" s="179">
        <f>IF(OR($N$103="",AND($J$4&lt;&gt;"(todos)",$J$4&lt;&gt;$A137)),"",SUMIFS(Tabela367[Presenças Registradas],Tabela367[Período],$N$103,Tabela367[Curso],$A137,Tabela367[Disciplina],$B137))</f>
        <v/>
      </c>
      <c r="E137" s="208">
        <f>IF(OR($N$103="",AND($J$4&lt;&gt;"(todos)",$J$4&lt;&gt;$A137)),"",IF(COUNTIFS(Tabela367[Período],$N$103,Tabela367[Curso],$A137,Tabela367[Disciplina],$B137)=0,"",IFERROR(D137/C137,"")))</f>
        <v/>
      </c>
      <c r="F137" s="181">
        <f>IFERROR(IF(SUMPRODUCT(MAX((METAS!$A$5:$A$404="DTNH-03")*(METAS!$B$5:$B$404=IF($A137="","",$A137&amp;" » "&amp;$B137))*(METAS!$D$5:$D$404&lt;=IFERROR(VALUE(SUBSTITUTE($F$4,"-","")),0))*METAS!$D$5:$D$404))&lt;&gt;0,SUMPRODUCT((METAS!$A$5:$A$404="DTNH-03")*(METAS!$B$5:$B$404=IF($A137="","",$A137&amp;" » "&amp;$B137))*(METAS!$D$5:$D$404=SUMPRODUCT(MAX((METAS!$A$5:$A$404="DTNH-03")*(METAS!$B$5:$B$404=IF($A137="","",$A137&amp;" » "&amp;$B137))*(METAS!$D$5:$D$404&lt;=IFERROR(VALUE(SUBSTITUTE($F$4,"-","")),0))*METAS!$D$5:$D$404)))*METAS!$E$5:$E$404),IF(SUMPRODUCT(MAX((METAS!$A$5:$A$404="DTNH-03")*(METAS!$B$5:$B$404=$A137)*(METAS!$D$5:$D$404&lt;=IFERROR(VALUE(SUBSTITUTE($F$4,"-","")),0))*METAS!$D$5:$D$404))&lt;&gt;0,SUMPRODUCT((METAS!$A$5:$A$404="DTNH-03")*(METAS!$B$5:$B$404=$A137)*(METAS!$D$5:$D$404=SUMPRODUCT(MAX((METAS!$A$5:$A$404="DTNH-03")*(METAS!$B$5:$B$404=$A137)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7" s="181">
        <f>IFERROR(IF(SUMPRODUCT(MAX((METAS!$A$5:$A$404="DTNH-03")*(METAS!$B$5:$B$404=IF($A137="","",$A137&amp;" » "&amp;$B137))*(METAS!$D$5:$D$404&lt;=IFERROR(VALUE(SUBSTITUTE($F$4,"-","")),0))*METAS!$D$5:$D$404))&lt;&gt;0,SUMPRODUCT((METAS!$A$5:$A$404="DTNH-03")*(METAS!$B$5:$B$404=IF($A137="","",$A137&amp;" » "&amp;$B137))*(METAS!$D$5:$D$404=SUMPRODUCT(MAX((METAS!$A$5:$A$404="DTNH-03")*(METAS!$B$5:$B$404=IF($A137="","",$A137&amp;" » "&amp;$B137))*(METAS!$D$5:$D$404&lt;=IFERROR(VALUE(SUBSTITUTE($F$4,"-","")),0))*METAS!$D$5:$D$404)))*METAS!$F$5:$F$404),IF(SUMPRODUCT(MAX((METAS!$A$5:$A$404="DTNH-03")*(METAS!$B$5:$B$404=$A137)*(METAS!$D$5:$D$404&lt;=IFERROR(VALUE(SUBSTITUTE($F$4,"-","")),0))*METAS!$D$5:$D$404))&lt;&gt;0,SUMPRODUCT((METAS!$A$5:$A$404="DTNH-03")*(METAS!$B$5:$B$404=$A137)*(METAS!$D$5:$D$404=SUMPRODUCT(MAX((METAS!$A$5:$A$404="DTNH-03")*(METAS!$B$5:$B$404=$A137)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7" s="171">
        <f>IF(OR(E137="",F137=""),"",IF(ROUND(E137,6)&gt;=ROUND(F137,6),"Dentro da meta",IF(AND(G137&lt;&gt;"",ROUND(E137,6)&gt;=ROUND(G137,6)),"Atenção","Fora da meta")))</f>
        <v/>
      </c>
    </row>
    <row r="138" ht="21.75" customHeight="1" s="131">
      <c r="A138" s="167">
        <f>DISCIPLINAS!$A$22</f>
        <v/>
      </c>
      <c r="B138" s="167">
        <f>DISCIPLINAS!$B$22</f>
        <v/>
      </c>
      <c r="C138" s="179">
        <f>IF(OR($N$103="",AND($J$4&lt;&gt;"(todos)",$J$4&lt;&gt;$A138)),"",SUMIFS(Tabela367[Presenças Previstas],Tabela367[Período],$N$103,Tabela367[Curso],$A138,Tabela367[Disciplina],$B138))</f>
        <v/>
      </c>
      <c r="D138" s="179">
        <f>IF(OR($N$103="",AND($J$4&lt;&gt;"(todos)",$J$4&lt;&gt;$A138)),"",SUMIFS(Tabela367[Presenças Registradas],Tabela367[Período],$N$103,Tabela367[Curso],$A138,Tabela367[Disciplina],$B138))</f>
        <v/>
      </c>
      <c r="E138" s="208">
        <f>IF(OR($N$103="",AND($J$4&lt;&gt;"(todos)",$J$4&lt;&gt;$A138)),"",IF(COUNTIFS(Tabela367[Período],$N$103,Tabela367[Curso],$A138,Tabela367[Disciplina],$B138)=0,"",IFERROR(D138/C138,"")))</f>
        <v/>
      </c>
      <c r="F138" s="181">
        <f>IFERROR(IF(SUMPRODUCT(MAX((METAS!$A$5:$A$404="DTNH-03")*(METAS!$B$5:$B$404=IF($A138="","",$A138&amp;" » "&amp;$B138))*(METAS!$D$5:$D$404&lt;=IFERROR(VALUE(SUBSTITUTE($F$4,"-","")),0))*METAS!$D$5:$D$404))&lt;&gt;0,SUMPRODUCT((METAS!$A$5:$A$404="DTNH-03")*(METAS!$B$5:$B$404=IF($A138="","",$A138&amp;" » "&amp;$B138))*(METAS!$D$5:$D$404=SUMPRODUCT(MAX((METAS!$A$5:$A$404="DTNH-03")*(METAS!$B$5:$B$404=IF($A138="","",$A138&amp;" » "&amp;$B138))*(METAS!$D$5:$D$404&lt;=IFERROR(VALUE(SUBSTITUTE($F$4,"-","")),0))*METAS!$D$5:$D$404)))*METAS!$E$5:$E$404),IF(SUMPRODUCT(MAX((METAS!$A$5:$A$404="DTNH-03")*(METAS!$B$5:$B$404=$A138)*(METAS!$D$5:$D$404&lt;=IFERROR(VALUE(SUBSTITUTE($F$4,"-","")),0))*METAS!$D$5:$D$404))&lt;&gt;0,SUMPRODUCT((METAS!$A$5:$A$404="DTNH-03")*(METAS!$B$5:$B$404=$A138)*(METAS!$D$5:$D$404=SUMPRODUCT(MAX((METAS!$A$5:$A$404="DTNH-03")*(METAS!$B$5:$B$404=$A138)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8" s="181">
        <f>IFERROR(IF(SUMPRODUCT(MAX((METAS!$A$5:$A$404="DTNH-03")*(METAS!$B$5:$B$404=IF($A138="","",$A138&amp;" » "&amp;$B138))*(METAS!$D$5:$D$404&lt;=IFERROR(VALUE(SUBSTITUTE($F$4,"-","")),0))*METAS!$D$5:$D$404))&lt;&gt;0,SUMPRODUCT((METAS!$A$5:$A$404="DTNH-03")*(METAS!$B$5:$B$404=IF($A138="","",$A138&amp;" » "&amp;$B138))*(METAS!$D$5:$D$404=SUMPRODUCT(MAX((METAS!$A$5:$A$404="DTNH-03")*(METAS!$B$5:$B$404=IF($A138="","",$A138&amp;" » "&amp;$B138))*(METAS!$D$5:$D$404&lt;=IFERROR(VALUE(SUBSTITUTE($F$4,"-","")),0))*METAS!$D$5:$D$404)))*METAS!$F$5:$F$404),IF(SUMPRODUCT(MAX((METAS!$A$5:$A$404="DTNH-03")*(METAS!$B$5:$B$404=$A138)*(METAS!$D$5:$D$404&lt;=IFERROR(VALUE(SUBSTITUTE($F$4,"-","")),0))*METAS!$D$5:$D$404))&lt;&gt;0,SUMPRODUCT((METAS!$A$5:$A$404="DTNH-03")*(METAS!$B$5:$B$404=$A138)*(METAS!$D$5:$D$404=SUMPRODUCT(MAX((METAS!$A$5:$A$404="DTNH-03")*(METAS!$B$5:$B$404=$A138)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8" s="171">
        <f>IF(OR(E138="",F138=""),"",IF(ROUND(E138,6)&gt;=ROUND(F138,6),"Dentro da meta",IF(AND(G138&lt;&gt;"",ROUND(E138,6)&gt;=ROUND(G138,6)),"Atenção","Fora da meta")))</f>
        <v/>
      </c>
    </row>
    <row r="139" ht="15" customHeight="1" s="131">
      <c r="A139" s="167">
        <f>DISCIPLINAS!$A$23</f>
        <v/>
      </c>
      <c r="B139" s="167">
        <f>DISCIPLINAS!$B$23</f>
        <v/>
      </c>
      <c r="C139" s="179">
        <f>IF(OR($N$103="",AND($J$4&lt;&gt;"(todos)",$J$4&lt;&gt;$A139)),"",SUMIFS(Tabela367[Presenças Previstas],Tabela367[Período],$N$103,Tabela367[Curso],$A139,Tabela367[Disciplina],$B139))</f>
        <v/>
      </c>
      <c r="D139" s="179">
        <f>IF(OR($N$103="",AND($J$4&lt;&gt;"(todos)",$J$4&lt;&gt;$A139)),"",SUMIFS(Tabela367[Presenças Registradas],Tabela367[Período],$N$103,Tabela367[Curso],$A139,Tabela367[Disciplina],$B139))</f>
        <v/>
      </c>
      <c r="E139" s="208">
        <f>IF(OR($N$103="",AND($J$4&lt;&gt;"(todos)",$J$4&lt;&gt;$A139)),"",IF(COUNTIFS(Tabela367[Período],$N$103,Tabela367[Curso],$A139,Tabela367[Disciplina],$B139)=0,"",IFERROR(D139/C139,"")))</f>
        <v/>
      </c>
      <c r="F139" s="181">
        <f>IFERROR(IF(SUMPRODUCT(MAX((METAS!$A$5:$A$404="DTNH-03")*(METAS!$B$5:$B$404=IF($A139="","",$A139&amp;" » "&amp;$B139))*(METAS!$D$5:$D$404&lt;=IFERROR(VALUE(SUBSTITUTE($F$4,"-","")),0))*METAS!$D$5:$D$404))&lt;&gt;0,SUMPRODUCT((METAS!$A$5:$A$404="DTNH-03")*(METAS!$B$5:$B$404=IF($A139="","",$A139&amp;" » "&amp;$B139))*(METAS!$D$5:$D$404=SUMPRODUCT(MAX((METAS!$A$5:$A$404="DTNH-03")*(METAS!$B$5:$B$404=IF($A139="","",$A139&amp;" » "&amp;$B139))*(METAS!$D$5:$D$404&lt;=IFERROR(VALUE(SUBSTITUTE($F$4,"-","")),0))*METAS!$D$5:$D$404)))*METAS!$E$5:$E$404),IF(SUMPRODUCT(MAX((METAS!$A$5:$A$404="DTNH-03")*(METAS!$B$5:$B$404=$A139)*(METAS!$D$5:$D$404&lt;=IFERROR(VALUE(SUBSTITUTE($F$4,"-","")),0))*METAS!$D$5:$D$404))&lt;&gt;0,SUMPRODUCT((METAS!$A$5:$A$404="DTNH-03")*(METAS!$B$5:$B$404=$A139)*(METAS!$D$5:$D$404=SUMPRODUCT(MAX((METAS!$A$5:$A$404="DTNH-03")*(METAS!$B$5:$B$404=$A139)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39" s="181">
        <f>IFERROR(IF(SUMPRODUCT(MAX((METAS!$A$5:$A$404="DTNH-03")*(METAS!$B$5:$B$404=IF($A139="","",$A139&amp;" » "&amp;$B139))*(METAS!$D$5:$D$404&lt;=IFERROR(VALUE(SUBSTITUTE($F$4,"-","")),0))*METAS!$D$5:$D$404))&lt;&gt;0,SUMPRODUCT((METAS!$A$5:$A$404="DTNH-03")*(METAS!$B$5:$B$404=IF($A139="","",$A139&amp;" » "&amp;$B139))*(METAS!$D$5:$D$404=SUMPRODUCT(MAX((METAS!$A$5:$A$404="DTNH-03")*(METAS!$B$5:$B$404=IF($A139="","",$A139&amp;" » "&amp;$B139))*(METAS!$D$5:$D$404&lt;=IFERROR(VALUE(SUBSTITUTE($F$4,"-","")),0))*METAS!$D$5:$D$404)))*METAS!$F$5:$F$404),IF(SUMPRODUCT(MAX((METAS!$A$5:$A$404="DTNH-03")*(METAS!$B$5:$B$404=$A139)*(METAS!$D$5:$D$404&lt;=IFERROR(VALUE(SUBSTITUTE($F$4,"-","")),0))*METAS!$D$5:$D$404))&lt;&gt;0,SUMPRODUCT((METAS!$A$5:$A$404="DTNH-03")*(METAS!$B$5:$B$404=$A139)*(METAS!$D$5:$D$404=SUMPRODUCT(MAX((METAS!$A$5:$A$404="DTNH-03")*(METAS!$B$5:$B$404=$A139)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39" s="171">
        <f>IF(OR(E139="",F139=""),"",IF(ROUND(E139,6)&gt;=ROUND(F139,6),"Dentro da meta",IF(AND(G139&lt;&gt;"",ROUND(E139,6)&gt;=ROUND(G139,6)),"Atenção","Fora da meta")))</f>
        <v/>
      </c>
    </row>
    <row r="140" ht="21.75" customHeight="1" s="131">
      <c r="A140" s="167">
        <f>DISCIPLINAS!$A$24</f>
        <v/>
      </c>
      <c r="B140" s="167">
        <f>DISCIPLINAS!$B$24</f>
        <v/>
      </c>
      <c r="C140" s="179">
        <f>IF(OR($N$103="",AND($J$4&lt;&gt;"(todos)",$J$4&lt;&gt;$A140)),"",SUMIFS(Tabela367[Presenças Previstas],Tabela367[Período],$N$103,Tabela367[Curso],$A140,Tabela367[Disciplina],$B140))</f>
        <v/>
      </c>
      <c r="D140" s="179">
        <f>IF(OR($N$103="",AND($J$4&lt;&gt;"(todos)",$J$4&lt;&gt;$A140)),"",SUMIFS(Tabela367[Presenças Registradas],Tabela367[Período],$N$103,Tabela367[Curso],$A140,Tabela367[Disciplina],$B140))</f>
        <v/>
      </c>
      <c r="E140" s="208">
        <f>IF(OR($N$103="",AND($J$4&lt;&gt;"(todos)",$J$4&lt;&gt;$A140)),"",IF(COUNTIFS(Tabela367[Período],$N$103,Tabela367[Curso],$A140,Tabela367[Disciplina],$B140)=0,"",IFERROR(D140/C140,"")))</f>
        <v/>
      </c>
      <c r="F140" s="181">
        <f>IFERROR(IF(SUMPRODUCT(MAX((METAS!$A$5:$A$404="DTNH-03")*(METAS!$B$5:$B$404=IF($A140="","",$A140&amp;" » "&amp;$B140))*(METAS!$D$5:$D$404&lt;=IFERROR(VALUE(SUBSTITUTE($F$4,"-","")),0))*METAS!$D$5:$D$404))&lt;&gt;0,SUMPRODUCT((METAS!$A$5:$A$404="DTNH-03")*(METAS!$B$5:$B$404=IF($A140="","",$A140&amp;" » "&amp;$B140))*(METAS!$D$5:$D$404=SUMPRODUCT(MAX((METAS!$A$5:$A$404="DTNH-03")*(METAS!$B$5:$B$404=IF($A140="","",$A140&amp;" » "&amp;$B140))*(METAS!$D$5:$D$404&lt;=IFERROR(VALUE(SUBSTITUTE($F$4,"-","")),0))*METAS!$D$5:$D$404)))*METAS!$E$5:$E$404),IF(SUMPRODUCT(MAX((METAS!$A$5:$A$404="DTNH-03")*(METAS!$B$5:$B$404=$A140)*(METAS!$D$5:$D$404&lt;=IFERROR(VALUE(SUBSTITUTE($F$4,"-","")),0))*METAS!$D$5:$D$404))&lt;&gt;0,SUMPRODUCT((METAS!$A$5:$A$404="DTNH-03")*(METAS!$B$5:$B$404=$A140)*(METAS!$D$5:$D$404=SUMPRODUCT(MAX((METAS!$A$5:$A$404="DTNH-03")*(METAS!$B$5:$B$404=$A140)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0" s="181">
        <f>IFERROR(IF(SUMPRODUCT(MAX((METAS!$A$5:$A$404="DTNH-03")*(METAS!$B$5:$B$404=IF($A140="","",$A140&amp;" » "&amp;$B140))*(METAS!$D$5:$D$404&lt;=IFERROR(VALUE(SUBSTITUTE($F$4,"-","")),0))*METAS!$D$5:$D$404))&lt;&gt;0,SUMPRODUCT((METAS!$A$5:$A$404="DTNH-03")*(METAS!$B$5:$B$404=IF($A140="","",$A140&amp;" » "&amp;$B140))*(METAS!$D$5:$D$404=SUMPRODUCT(MAX((METAS!$A$5:$A$404="DTNH-03")*(METAS!$B$5:$B$404=IF($A140="","",$A140&amp;" » "&amp;$B140))*(METAS!$D$5:$D$404&lt;=IFERROR(VALUE(SUBSTITUTE($F$4,"-","")),0))*METAS!$D$5:$D$404)))*METAS!$F$5:$F$404),IF(SUMPRODUCT(MAX((METAS!$A$5:$A$404="DTNH-03")*(METAS!$B$5:$B$404=$A140)*(METAS!$D$5:$D$404&lt;=IFERROR(VALUE(SUBSTITUTE($F$4,"-","")),0))*METAS!$D$5:$D$404))&lt;&gt;0,SUMPRODUCT((METAS!$A$5:$A$404="DTNH-03")*(METAS!$B$5:$B$404=$A140)*(METAS!$D$5:$D$404=SUMPRODUCT(MAX((METAS!$A$5:$A$404="DTNH-03")*(METAS!$B$5:$B$404=$A140)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0" s="171">
        <f>IF(OR(E140="",F140=""),"",IF(ROUND(E140,6)&gt;=ROUND(F140,6),"Dentro da meta",IF(AND(G140&lt;&gt;"",ROUND(E140,6)&gt;=ROUND(G140,6)),"Atenção","Fora da meta")))</f>
        <v/>
      </c>
    </row>
    <row r="141" ht="21.75" customHeight="1" s="131">
      <c r="A141" s="167">
        <f>DISCIPLINAS!$A$25</f>
        <v/>
      </c>
      <c r="B141" s="167">
        <f>DISCIPLINAS!$B$25</f>
        <v/>
      </c>
      <c r="C141" s="179">
        <f>IF(OR($N$103="",AND($J$4&lt;&gt;"(todos)",$J$4&lt;&gt;$A141)),"",SUMIFS(Tabela367[Presenças Previstas],Tabela367[Período],$N$103,Tabela367[Curso],$A141,Tabela367[Disciplina],$B141))</f>
        <v/>
      </c>
      <c r="D141" s="179">
        <f>IF(OR($N$103="",AND($J$4&lt;&gt;"(todos)",$J$4&lt;&gt;$A141)),"",SUMIFS(Tabela367[Presenças Registradas],Tabela367[Período],$N$103,Tabela367[Curso],$A141,Tabela367[Disciplina],$B141))</f>
        <v/>
      </c>
      <c r="E141" s="208">
        <f>IF(OR($N$103="",AND($J$4&lt;&gt;"(todos)",$J$4&lt;&gt;$A141)),"",IF(COUNTIFS(Tabela367[Período],$N$103,Tabela367[Curso],$A141,Tabela367[Disciplina],$B141)=0,"",IFERROR(D141/C141,"")))</f>
        <v/>
      </c>
      <c r="F141" s="181">
        <f>IFERROR(IF(SUMPRODUCT(MAX((METAS!$A$5:$A$404="DTNH-03")*(METAS!$B$5:$B$404=IF($A141="","",$A141&amp;" » "&amp;$B141))*(METAS!$D$5:$D$404&lt;=IFERROR(VALUE(SUBSTITUTE($F$4,"-","")),0))*METAS!$D$5:$D$404))&lt;&gt;0,SUMPRODUCT((METAS!$A$5:$A$404="DTNH-03")*(METAS!$B$5:$B$404=IF($A141="","",$A141&amp;" » "&amp;$B141))*(METAS!$D$5:$D$404=SUMPRODUCT(MAX((METAS!$A$5:$A$404="DTNH-03")*(METAS!$B$5:$B$404=IF($A141="","",$A141&amp;" » "&amp;$B141))*(METAS!$D$5:$D$404&lt;=IFERROR(VALUE(SUBSTITUTE($F$4,"-","")),0))*METAS!$D$5:$D$404)))*METAS!$E$5:$E$404),IF(SUMPRODUCT(MAX((METAS!$A$5:$A$404="DTNH-03")*(METAS!$B$5:$B$404=$A141)*(METAS!$D$5:$D$404&lt;=IFERROR(VALUE(SUBSTITUTE($F$4,"-","")),0))*METAS!$D$5:$D$404))&lt;&gt;0,SUMPRODUCT((METAS!$A$5:$A$404="DTNH-03")*(METAS!$B$5:$B$404=$A141)*(METAS!$D$5:$D$404=SUMPRODUCT(MAX((METAS!$A$5:$A$404="DTNH-03")*(METAS!$B$5:$B$404=$A141)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1" s="181">
        <f>IFERROR(IF(SUMPRODUCT(MAX((METAS!$A$5:$A$404="DTNH-03")*(METAS!$B$5:$B$404=IF($A141="","",$A141&amp;" » "&amp;$B141))*(METAS!$D$5:$D$404&lt;=IFERROR(VALUE(SUBSTITUTE($F$4,"-","")),0))*METAS!$D$5:$D$404))&lt;&gt;0,SUMPRODUCT((METAS!$A$5:$A$404="DTNH-03")*(METAS!$B$5:$B$404=IF($A141="","",$A141&amp;" » "&amp;$B141))*(METAS!$D$5:$D$404=SUMPRODUCT(MAX((METAS!$A$5:$A$404="DTNH-03")*(METAS!$B$5:$B$404=IF($A141="","",$A141&amp;" » "&amp;$B141))*(METAS!$D$5:$D$404&lt;=IFERROR(VALUE(SUBSTITUTE($F$4,"-","")),0))*METAS!$D$5:$D$404)))*METAS!$F$5:$F$404),IF(SUMPRODUCT(MAX((METAS!$A$5:$A$404="DTNH-03")*(METAS!$B$5:$B$404=$A141)*(METAS!$D$5:$D$404&lt;=IFERROR(VALUE(SUBSTITUTE($F$4,"-","")),0))*METAS!$D$5:$D$404))&lt;&gt;0,SUMPRODUCT((METAS!$A$5:$A$404="DTNH-03")*(METAS!$B$5:$B$404=$A141)*(METAS!$D$5:$D$404=SUMPRODUCT(MAX((METAS!$A$5:$A$404="DTNH-03")*(METAS!$B$5:$B$404=$A141)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1" s="171">
        <f>IF(OR(E141="",F141=""),"",IF(ROUND(E141,6)&gt;=ROUND(F141,6),"Dentro da meta",IF(AND(G141&lt;&gt;"",ROUND(E141,6)&gt;=ROUND(G141,6)),"Atenção","Fora da meta")))</f>
        <v/>
      </c>
    </row>
    <row r="142" ht="21.75" customHeight="1" s="131">
      <c r="A142" s="167">
        <f>DISCIPLINAS!$A$26</f>
        <v/>
      </c>
      <c r="B142" s="167">
        <f>DISCIPLINAS!$B$26</f>
        <v/>
      </c>
      <c r="C142" s="179">
        <f>IF(OR($N$103="",AND($J$4&lt;&gt;"(todos)",$J$4&lt;&gt;$A142)),"",SUMIFS(Tabela367[Presenças Previstas],Tabela367[Período],$N$103,Tabela367[Curso],$A142,Tabela367[Disciplina],$B142))</f>
        <v/>
      </c>
      <c r="D142" s="179">
        <f>IF(OR($N$103="",AND($J$4&lt;&gt;"(todos)",$J$4&lt;&gt;$A142)),"",SUMIFS(Tabela367[Presenças Registradas],Tabela367[Período],$N$103,Tabela367[Curso],$A142,Tabela367[Disciplina],$B142))</f>
        <v/>
      </c>
      <c r="E142" s="208">
        <f>IF(OR($N$103="",AND($J$4&lt;&gt;"(todos)",$J$4&lt;&gt;$A142)),"",IF(COUNTIFS(Tabela367[Período],$N$103,Tabela367[Curso],$A142,Tabela367[Disciplina],$B142)=0,"",IFERROR(D142/C142,"")))</f>
        <v/>
      </c>
      <c r="F142" s="181">
        <f>IFERROR(IF(SUMPRODUCT(MAX((METAS!$A$5:$A$404="DTNH-03")*(METAS!$B$5:$B$404=IF($A142="","",$A142&amp;" » "&amp;$B142))*(METAS!$D$5:$D$404&lt;=IFERROR(VALUE(SUBSTITUTE($F$4,"-","")),0))*METAS!$D$5:$D$404))&lt;&gt;0,SUMPRODUCT((METAS!$A$5:$A$404="DTNH-03")*(METAS!$B$5:$B$404=IF($A142="","",$A142&amp;" » "&amp;$B142))*(METAS!$D$5:$D$404=SUMPRODUCT(MAX((METAS!$A$5:$A$404="DTNH-03")*(METAS!$B$5:$B$404=IF($A142="","",$A142&amp;" » "&amp;$B142))*(METAS!$D$5:$D$404&lt;=IFERROR(VALUE(SUBSTITUTE($F$4,"-","")),0))*METAS!$D$5:$D$404)))*METAS!$E$5:$E$404),IF(SUMPRODUCT(MAX((METAS!$A$5:$A$404="DTNH-03")*(METAS!$B$5:$B$404=$A142)*(METAS!$D$5:$D$404&lt;=IFERROR(VALUE(SUBSTITUTE($F$4,"-","")),0))*METAS!$D$5:$D$404))&lt;&gt;0,SUMPRODUCT((METAS!$A$5:$A$404="DTNH-03")*(METAS!$B$5:$B$404=$A142)*(METAS!$D$5:$D$404=SUMPRODUCT(MAX((METAS!$A$5:$A$404="DTNH-03")*(METAS!$B$5:$B$404=$A142)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2" s="181">
        <f>IFERROR(IF(SUMPRODUCT(MAX((METAS!$A$5:$A$404="DTNH-03")*(METAS!$B$5:$B$404=IF($A142="","",$A142&amp;" » "&amp;$B142))*(METAS!$D$5:$D$404&lt;=IFERROR(VALUE(SUBSTITUTE($F$4,"-","")),0))*METAS!$D$5:$D$404))&lt;&gt;0,SUMPRODUCT((METAS!$A$5:$A$404="DTNH-03")*(METAS!$B$5:$B$404=IF($A142="","",$A142&amp;" » "&amp;$B142))*(METAS!$D$5:$D$404=SUMPRODUCT(MAX((METAS!$A$5:$A$404="DTNH-03")*(METAS!$B$5:$B$404=IF($A142="","",$A142&amp;" » "&amp;$B142))*(METAS!$D$5:$D$404&lt;=IFERROR(VALUE(SUBSTITUTE($F$4,"-","")),0))*METAS!$D$5:$D$404)))*METAS!$F$5:$F$404),IF(SUMPRODUCT(MAX((METAS!$A$5:$A$404="DTNH-03")*(METAS!$B$5:$B$404=$A142)*(METAS!$D$5:$D$404&lt;=IFERROR(VALUE(SUBSTITUTE($F$4,"-","")),0))*METAS!$D$5:$D$404))&lt;&gt;0,SUMPRODUCT((METAS!$A$5:$A$404="DTNH-03")*(METAS!$B$5:$B$404=$A142)*(METAS!$D$5:$D$404=SUMPRODUCT(MAX((METAS!$A$5:$A$404="DTNH-03")*(METAS!$B$5:$B$404=$A142)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2" s="171">
        <f>IF(OR(E142="",F142=""),"",IF(ROUND(E142,6)&gt;=ROUND(F142,6),"Dentro da meta",IF(AND(G142&lt;&gt;"",ROUND(E142,6)&gt;=ROUND(G142,6)),"Atenção","Fora da meta")))</f>
        <v/>
      </c>
    </row>
    <row r="143" ht="21.75" customHeight="1" s="131">
      <c r="A143" s="167">
        <f>DISCIPLINAS!$A$27</f>
        <v/>
      </c>
      <c r="B143" s="167">
        <f>DISCIPLINAS!$B$27</f>
        <v/>
      </c>
      <c r="C143" s="179">
        <f>IF(OR($N$103="",AND($J$4&lt;&gt;"(todos)",$J$4&lt;&gt;$A143)),"",SUMIFS(Tabela367[Presenças Previstas],Tabela367[Período],$N$103,Tabela367[Curso],$A143,Tabela367[Disciplina],$B143))</f>
        <v/>
      </c>
      <c r="D143" s="179">
        <f>IF(OR($N$103="",AND($J$4&lt;&gt;"(todos)",$J$4&lt;&gt;$A143)),"",SUMIFS(Tabela367[Presenças Registradas],Tabela367[Período],$N$103,Tabela367[Curso],$A143,Tabela367[Disciplina],$B143))</f>
        <v/>
      </c>
      <c r="E143" s="208">
        <f>IF(OR($N$103="",AND($J$4&lt;&gt;"(todos)",$J$4&lt;&gt;$A143)),"",IF(COUNTIFS(Tabela367[Período],$N$103,Tabela367[Curso],$A143,Tabela367[Disciplina],$B143)=0,"",IFERROR(D143/C143,"")))</f>
        <v/>
      </c>
      <c r="F143" s="181">
        <f>IFERROR(IF(SUMPRODUCT(MAX((METAS!$A$5:$A$404="DTNH-03")*(METAS!$B$5:$B$404=IF($A143="","",$A143&amp;" » "&amp;$B143))*(METAS!$D$5:$D$404&lt;=IFERROR(VALUE(SUBSTITUTE($F$4,"-","")),0))*METAS!$D$5:$D$404))&lt;&gt;0,SUMPRODUCT((METAS!$A$5:$A$404="DTNH-03")*(METAS!$B$5:$B$404=IF($A143="","",$A143&amp;" » "&amp;$B143))*(METAS!$D$5:$D$404=SUMPRODUCT(MAX((METAS!$A$5:$A$404="DTNH-03")*(METAS!$B$5:$B$404=IF($A143="","",$A143&amp;" » "&amp;$B143))*(METAS!$D$5:$D$404&lt;=IFERROR(VALUE(SUBSTITUTE($F$4,"-","")),0))*METAS!$D$5:$D$404)))*METAS!$E$5:$E$404),IF(SUMPRODUCT(MAX((METAS!$A$5:$A$404="DTNH-03")*(METAS!$B$5:$B$404=$A143)*(METAS!$D$5:$D$404&lt;=IFERROR(VALUE(SUBSTITUTE($F$4,"-","")),0))*METAS!$D$5:$D$404))&lt;&gt;0,SUMPRODUCT((METAS!$A$5:$A$404="DTNH-03")*(METAS!$B$5:$B$404=$A143)*(METAS!$D$5:$D$404=SUMPRODUCT(MAX((METAS!$A$5:$A$404="DTNH-03")*(METAS!$B$5:$B$404=$A143)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3" s="181">
        <f>IFERROR(IF(SUMPRODUCT(MAX((METAS!$A$5:$A$404="DTNH-03")*(METAS!$B$5:$B$404=IF($A143="","",$A143&amp;" » "&amp;$B143))*(METAS!$D$5:$D$404&lt;=IFERROR(VALUE(SUBSTITUTE($F$4,"-","")),0))*METAS!$D$5:$D$404))&lt;&gt;0,SUMPRODUCT((METAS!$A$5:$A$404="DTNH-03")*(METAS!$B$5:$B$404=IF($A143="","",$A143&amp;" » "&amp;$B143))*(METAS!$D$5:$D$404=SUMPRODUCT(MAX((METAS!$A$5:$A$404="DTNH-03")*(METAS!$B$5:$B$404=IF($A143="","",$A143&amp;" » "&amp;$B143))*(METAS!$D$5:$D$404&lt;=IFERROR(VALUE(SUBSTITUTE($F$4,"-","")),0))*METAS!$D$5:$D$404)))*METAS!$F$5:$F$404),IF(SUMPRODUCT(MAX((METAS!$A$5:$A$404="DTNH-03")*(METAS!$B$5:$B$404=$A143)*(METAS!$D$5:$D$404&lt;=IFERROR(VALUE(SUBSTITUTE($F$4,"-","")),0))*METAS!$D$5:$D$404))&lt;&gt;0,SUMPRODUCT((METAS!$A$5:$A$404="DTNH-03")*(METAS!$B$5:$B$404=$A143)*(METAS!$D$5:$D$404=SUMPRODUCT(MAX((METAS!$A$5:$A$404="DTNH-03")*(METAS!$B$5:$B$404=$A143)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3" s="171">
        <f>IF(OR(E143="",F143=""),"",IF(ROUND(E143,6)&gt;=ROUND(F143,6),"Dentro da meta",IF(AND(G143&lt;&gt;"",ROUND(E143,6)&gt;=ROUND(G143,6)),"Atenção","Fora da meta")))</f>
        <v/>
      </c>
    </row>
    <row r="144" ht="21.75" customHeight="1" s="131">
      <c r="A144" s="167">
        <f>DISCIPLINAS!$A$28</f>
        <v/>
      </c>
      <c r="B144" s="167">
        <f>DISCIPLINAS!$B$28</f>
        <v/>
      </c>
      <c r="C144" s="179">
        <f>IF(OR($N$103="",AND($J$4&lt;&gt;"(todos)",$J$4&lt;&gt;$A144)),"",SUMIFS(Tabela367[Presenças Previstas],Tabela367[Período],$N$103,Tabela367[Curso],$A144,Tabela367[Disciplina],$B144))</f>
        <v/>
      </c>
      <c r="D144" s="179">
        <f>IF(OR($N$103="",AND($J$4&lt;&gt;"(todos)",$J$4&lt;&gt;$A144)),"",SUMIFS(Tabela367[Presenças Registradas],Tabela367[Período],$N$103,Tabela367[Curso],$A144,Tabela367[Disciplina],$B144))</f>
        <v/>
      </c>
      <c r="E144" s="208">
        <f>IF(OR($N$103="",AND($J$4&lt;&gt;"(todos)",$J$4&lt;&gt;$A144)),"",IF(COUNTIFS(Tabela367[Período],$N$103,Tabela367[Curso],$A144,Tabela367[Disciplina],$B144)=0,"",IFERROR(D144/C144,"")))</f>
        <v/>
      </c>
      <c r="F144" s="181">
        <f>IFERROR(IF(SUMPRODUCT(MAX((METAS!$A$5:$A$404="DTNH-03")*(METAS!$B$5:$B$404=IF($A144="","",$A144&amp;" » "&amp;$B144))*(METAS!$D$5:$D$404&lt;=IFERROR(VALUE(SUBSTITUTE($F$4,"-","")),0))*METAS!$D$5:$D$404))&lt;&gt;0,SUMPRODUCT((METAS!$A$5:$A$404="DTNH-03")*(METAS!$B$5:$B$404=IF($A144="","",$A144&amp;" » "&amp;$B144))*(METAS!$D$5:$D$404=SUMPRODUCT(MAX((METAS!$A$5:$A$404="DTNH-03")*(METAS!$B$5:$B$404=IF($A144="","",$A144&amp;" » "&amp;$B144))*(METAS!$D$5:$D$404&lt;=IFERROR(VALUE(SUBSTITUTE($F$4,"-","")),0))*METAS!$D$5:$D$404)))*METAS!$E$5:$E$404),IF(SUMPRODUCT(MAX((METAS!$A$5:$A$404="DTNH-03")*(METAS!$B$5:$B$404=$A144)*(METAS!$D$5:$D$404&lt;=IFERROR(VALUE(SUBSTITUTE($F$4,"-","")),0))*METAS!$D$5:$D$404))&lt;&gt;0,SUMPRODUCT((METAS!$A$5:$A$404="DTNH-03")*(METAS!$B$5:$B$404=$A144)*(METAS!$D$5:$D$404=SUMPRODUCT(MAX((METAS!$A$5:$A$404="DTNH-03")*(METAS!$B$5:$B$404=$A144)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4" s="181">
        <f>IFERROR(IF(SUMPRODUCT(MAX((METAS!$A$5:$A$404="DTNH-03")*(METAS!$B$5:$B$404=IF($A144="","",$A144&amp;" » "&amp;$B144))*(METAS!$D$5:$D$404&lt;=IFERROR(VALUE(SUBSTITUTE($F$4,"-","")),0))*METAS!$D$5:$D$404))&lt;&gt;0,SUMPRODUCT((METAS!$A$5:$A$404="DTNH-03")*(METAS!$B$5:$B$404=IF($A144="","",$A144&amp;" » "&amp;$B144))*(METAS!$D$5:$D$404=SUMPRODUCT(MAX((METAS!$A$5:$A$404="DTNH-03")*(METAS!$B$5:$B$404=IF($A144="","",$A144&amp;" » "&amp;$B144))*(METAS!$D$5:$D$404&lt;=IFERROR(VALUE(SUBSTITUTE($F$4,"-","")),0))*METAS!$D$5:$D$404)))*METAS!$F$5:$F$404),IF(SUMPRODUCT(MAX((METAS!$A$5:$A$404="DTNH-03")*(METAS!$B$5:$B$404=$A144)*(METAS!$D$5:$D$404&lt;=IFERROR(VALUE(SUBSTITUTE($F$4,"-","")),0))*METAS!$D$5:$D$404))&lt;&gt;0,SUMPRODUCT((METAS!$A$5:$A$404="DTNH-03")*(METAS!$B$5:$B$404=$A144)*(METAS!$D$5:$D$404=SUMPRODUCT(MAX((METAS!$A$5:$A$404="DTNH-03")*(METAS!$B$5:$B$404=$A144)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4" s="171">
        <f>IF(OR(E144="",F144=""),"",IF(ROUND(E144,6)&gt;=ROUND(F144,6),"Dentro da meta",IF(AND(G144&lt;&gt;"",ROUND(E144,6)&gt;=ROUND(G144,6)),"Atenção","Fora da meta")))</f>
        <v/>
      </c>
    </row>
    <row r="145" ht="21.75" customHeight="1" s="131">
      <c r="A145" s="167">
        <f>DISCIPLINAS!$A$29</f>
        <v/>
      </c>
      <c r="B145" s="167">
        <f>DISCIPLINAS!$B$29</f>
        <v/>
      </c>
      <c r="C145" s="179">
        <f>IF(OR($N$103="",AND($J$4&lt;&gt;"(todos)",$J$4&lt;&gt;$A145)),"",SUMIFS(Tabela367[Presenças Previstas],Tabela367[Período],$N$103,Tabela367[Curso],$A145,Tabela367[Disciplina],$B145))</f>
        <v/>
      </c>
      <c r="D145" s="179">
        <f>IF(OR($N$103="",AND($J$4&lt;&gt;"(todos)",$J$4&lt;&gt;$A145)),"",SUMIFS(Tabela367[Presenças Registradas],Tabela367[Período],$N$103,Tabela367[Curso],$A145,Tabela367[Disciplina],$B145))</f>
        <v/>
      </c>
      <c r="E145" s="208">
        <f>IF(OR($N$103="",AND($J$4&lt;&gt;"(todos)",$J$4&lt;&gt;$A145)),"",IF(COUNTIFS(Tabela367[Período],$N$103,Tabela367[Curso],$A145,Tabela367[Disciplina],$B145)=0,"",IFERROR(D145/C145,"")))</f>
        <v/>
      </c>
      <c r="F145" s="181">
        <f>IFERROR(IF(SUMPRODUCT(MAX((METAS!$A$5:$A$404="DTNH-03")*(METAS!$B$5:$B$404=IF($A145="","",$A145&amp;" » "&amp;$B145))*(METAS!$D$5:$D$404&lt;=IFERROR(VALUE(SUBSTITUTE($F$4,"-","")),0))*METAS!$D$5:$D$404))&lt;&gt;0,SUMPRODUCT((METAS!$A$5:$A$404="DTNH-03")*(METAS!$B$5:$B$404=IF($A145="","",$A145&amp;" » "&amp;$B145))*(METAS!$D$5:$D$404=SUMPRODUCT(MAX((METAS!$A$5:$A$404="DTNH-03")*(METAS!$B$5:$B$404=IF($A145="","",$A145&amp;" » "&amp;$B145))*(METAS!$D$5:$D$404&lt;=IFERROR(VALUE(SUBSTITUTE($F$4,"-","")),0))*METAS!$D$5:$D$404)))*METAS!$E$5:$E$404),IF(SUMPRODUCT(MAX((METAS!$A$5:$A$404="DTNH-03")*(METAS!$B$5:$B$404=$A145)*(METAS!$D$5:$D$404&lt;=IFERROR(VALUE(SUBSTITUTE($F$4,"-","")),0))*METAS!$D$5:$D$404))&lt;&gt;0,SUMPRODUCT((METAS!$A$5:$A$404="DTNH-03")*(METAS!$B$5:$B$404=$A145)*(METAS!$D$5:$D$404=SUMPRODUCT(MAX((METAS!$A$5:$A$404="DTNH-03")*(METAS!$B$5:$B$404=$A145)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5" s="181">
        <f>IFERROR(IF(SUMPRODUCT(MAX((METAS!$A$5:$A$404="DTNH-03")*(METAS!$B$5:$B$404=IF($A145="","",$A145&amp;" » "&amp;$B145))*(METAS!$D$5:$D$404&lt;=IFERROR(VALUE(SUBSTITUTE($F$4,"-","")),0))*METAS!$D$5:$D$404))&lt;&gt;0,SUMPRODUCT((METAS!$A$5:$A$404="DTNH-03")*(METAS!$B$5:$B$404=IF($A145="","",$A145&amp;" » "&amp;$B145))*(METAS!$D$5:$D$404=SUMPRODUCT(MAX((METAS!$A$5:$A$404="DTNH-03")*(METAS!$B$5:$B$404=IF($A145="","",$A145&amp;" » "&amp;$B145))*(METAS!$D$5:$D$404&lt;=IFERROR(VALUE(SUBSTITUTE($F$4,"-","")),0))*METAS!$D$5:$D$404)))*METAS!$F$5:$F$404),IF(SUMPRODUCT(MAX((METAS!$A$5:$A$404="DTNH-03")*(METAS!$B$5:$B$404=$A145)*(METAS!$D$5:$D$404&lt;=IFERROR(VALUE(SUBSTITUTE($F$4,"-","")),0))*METAS!$D$5:$D$404))&lt;&gt;0,SUMPRODUCT((METAS!$A$5:$A$404="DTNH-03")*(METAS!$B$5:$B$404=$A145)*(METAS!$D$5:$D$404=SUMPRODUCT(MAX((METAS!$A$5:$A$404="DTNH-03")*(METAS!$B$5:$B$404=$A145)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5" s="171">
        <f>IF(OR(E145="",F145=""),"",IF(ROUND(E145,6)&gt;=ROUND(F145,6),"Dentro da meta",IF(AND(G145&lt;&gt;"",ROUND(E145,6)&gt;=ROUND(G145,6)),"Atenção","Fora da meta")))</f>
        <v/>
      </c>
    </row>
    <row r="146" ht="15" customHeight="1" s="131">
      <c r="A146" s="167">
        <f>DISCIPLINAS!$A$30</f>
        <v/>
      </c>
      <c r="B146" s="167">
        <f>DISCIPLINAS!$B$30</f>
        <v/>
      </c>
      <c r="C146" s="179">
        <f>IF(OR($N$103="",AND($J$4&lt;&gt;"(todos)",$J$4&lt;&gt;$A146)),"",SUMIFS(Tabela367[Presenças Previstas],Tabela367[Período],$N$103,Tabela367[Curso],$A146,Tabela367[Disciplina],$B146))</f>
        <v/>
      </c>
      <c r="D146" s="179">
        <f>IF(OR($N$103="",AND($J$4&lt;&gt;"(todos)",$J$4&lt;&gt;$A146)),"",SUMIFS(Tabela367[Presenças Registradas],Tabela367[Período],$N$103,Tabela367[Curso],$A146,Tabela367[Disciplina],$B146))</f>
        <v/>
      </c>
      <c r="E146" s="208">
        <f>IF(OR($N$103="",AND($J$4&lt;&gt;"(todos)",$J$4&lt;&gt;$A146)),"",IF(COUNTIFS(Tabela367[Período],$N$103,Tabela367[Curso],$A146,Tabela367[Disciplina],$B146)=0,"",IFERROR(D146/C146,"")))</f>
        <v/>
      </c>
      <c r="F146" s="181">
        <f>IFERROR(IF(SUMPRODUCT(MAX((METAS!$A$5:$A$404="DTNH-03")*(METAS!$B$5:$B$404=IF($A146="","",$A146&amp;" » "&amp;$B146))*(METAS!$D$5:$D$404&lt;=IFERROR(VALUE(SUBSTITUTE($F$4,"-","")),0))*METAS!$D$5:$D$404))&lt;&gt;0,SUMPRODUCT((METAS!$A$5:$A$404="DTNH-03")*(METAS!$B$5:$B$404=IF($A146="","",$A146&amp;" » "&amp;$B146))*(METAS!$D$5:$D$404=SUMPRODUCT(MAX((METAS!$A$5:$A$404="DTNH-03")*(METAS!$B$5:$B$404=IF($A146="","",$A146&amp;" » "&amp;$B146))*(METAS!$D$5:$D$404&lt;=IFERROR(VALUE(SUBSTITUTE($F$4,"-","")),0))*METAS!$D$5:$D$404)))*METAS!$E$5:$E$404),IF(SUMPRODUCT(MAX((METAS!$A$5:$A$404="DTNH-03")*(METAS!$B$5:$B$404=$A146)*(METAS!$D$5:$D$404&lt;=IFERROR(VALUE(SUBSTITUTE($F$4,"-","")),0))*METAS!$D$5:$D$404))&lt;&gt;0,SUMPRODUCT((METAS!$A$5:$A$404="DTNH-03")*(METAS!$B$5:$B$404=$A146)*(METAS!$D$5:$D$404=SUMPRODUCT(MAX((METAS!$A$5:$A$404="DTNH-03")*(METAS!$B$5:$B$404=$A146)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6" s="181">
        <f>IFERROR(IF(SUMPRODUCT(MAX((METAS!$A$5:$A$404="DTNH-03")*(METAS!$B$5:$B$404=IF($A146="","",$A146&amp;" » "&amp;$B146))*(METAS!$D$5:$D$404&lt;=IFERROR(VALUE(SUBSTITUTE($F$4,"-","")),0))*METAS!$D$5:$D$404))&lt;&gt;0,SUMPRODUCT((METAS!$A$5:$A$404="DTNH-03")*(METAS!$B$5:$B$404=IF($A146="","",$A146&amp;" » "&amp;$B146))*(METAS!$D$5:$D$404=SUMPRODUCT(MAX((METAS!$A$5:$A$404="DTNH-03")*(METAS!$B$5:$B$404=IF($A146="","",$A146&amp;" » "&amp;$B146))*(METAS!$D$5:$D$404&lt;=IFERROR(VALUE(SUBSTITUTE($F$4,"-","")),0))*METAS!$D$5:$D$404)))*METAS!$F$5:$F$404),IF(SUMPRODUCT(MAX((METAS!$A$5:$A$404="DTNH-03")*(METAS!$B$5:$B$404=$A146)*(METAS!$D$5:$D$404&lt;=IFERROR(VALUE(SUBSTITUTE($F$4,"-","")),0))*METAS!$D$5:$D$404))&lt;&gt;0,SUMPRODUCT((METAS!$A$5:$A$404="DTNH-03")*(METAS!$B$5:$B$404=$A146)*(METAS!$D$5:$D$404=SUMPRODUCT(MAX((METAS!$A$5:$A$404="DTNH-03")*(METAS!$B$5:$B$404=$A146)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6" s="171">
        <f>IF(OR(E146="",F146=""),"",IF(ROUND(E146,6)&gt;=ROUND(F146,6),"Dentro da meta",IF(AND(G146&lt;&gt;"",ROUND(E146,6)&gt;=ROUND(G146,6)),"Atenção","Fora da meta")))</f>
        <v/>
      </c>
    </row>
    <row r="147" ht="15" customHeight="1" s="131">
      <c r="A147" s="167">
        <f>DISCIPLINAS!$A$31</f>
        <v/>
      </c>
      <c r="B147" s="167">
        <f>DISCIPLINAS!$B$31</f>
        <v/>
      </c>
      <c r="C147" s="179">
        <f>IF(OR($N$103="",AND($J$4&lt;&gt;"(todos)",$J$4&lt;&gt;$A147)),"",SUMIFS(Tabela367[Presenças Previstas],Tabela367[Período],$N$103,Tabela367[Curso],$A147,Tabela367[Disciplina],$B147))</f>
        <v/>
      </c>
      <c r="D147" s="179">
        <f>IF(OR($N$103="",AND($J$4&lt;&gt;"(todos)",$J$4&lt;&gt;$A147)),"",SUMIFS(Tabela367[Presenças Registradas],Tabela367[Período],$N$103,Tabela367[Curso],$A147,Tabela367[Disciplina],$B147))</f>
        <v/>
      </c>
      <c r="E147" s="208">
        <f>IF(OR($N$103="",AND($J$4&lt;&gt;"(todos)",$J$4&lt;&gt;$A147)),"",IF(COUNTIFS(Tabela367[Período],$N$103,Tabela367[Curso],$A147,Tabela367[Disciplina],$B147)=0,"",IFERROR(D147/C147,"")))</f>
        <v/>
      </c>
      <c r="F147" s="181">
        <f>IFERROR(IF(SUMPRODUCT(MAX((METAS!$A$5:$A$404="DTNH-03")*(METAS!$B$5:$B$404=IF($A147="","",$A147&amp;" » "&amp;$B147))*(METAS!$D$5:$D$404&lt;=IFERROR(VALUE(SUBSTITUTE($F$4,"-","")),0))*METAS!$D$5:$D$404))&lt;&gt;0,SUMPRODUCT((METAS!$A$5:$A$404="DTNH-03")*(METAS!$B$5:$B$404=IF($A147="","",$A147&amp;" » "&amp;$B147))*(METAS!$D$5:$D$404=SUMPRODUCT(MAX((METAS!$A$5:$A$404="DTNH-03")*(METAS!$B$5:$B$404=IF($A147="","",$A147&amp;" » "&amp;$B147))*(METAS!$D$5:$D$404&lt;=IFERROR(VALUE(SUBSTITUTE($F$4,"-","")),0))*METAS!$D$5:$D$404)))*METAS!$E$5:$E$404),IF(SUMPRODUCT(MAX((METAS!$A$5:$A$404="DTNH-03")*(METAS!$B$5:$B$404=$A147)*(METAS!$D$5:$D$404&lt;=IFERROR(VALUE(SUBSTITUTE($F$4,"-","")),0))*METAS!$D$5:$D$404))&lt;&gt;0,SUMPRODUCT((METAS!$A$5:$A$404="DTNH-03")*(METAS!$B$5:$B$404=$A147)*(METAS!$D$5:$D$404=SUMPRODUCT(MAX((METAS!$A$5:$A$404="DTNH-03")*(METAS!$B$5:$B$404=$A147)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7" s="181">
        <f>IFERROR(IF(SUMPRODUCT(MAX((METAS!$A$5:$A$404="DTNH-03")*(METAS!$B$5:$B$404=IF($A147="","",$A147&amp;" » "&amp;$B147))*(METAS!$D$5:$D$404&lt;=IFERROR(VALUE(SUBSTITUTE($F$4,"-","")),0))*METAS!$D$5:$D$404))&lt;&gt;0,SUMPRODUCT((METAS!$A$5:$A$404="DTNH-03")*(METAS!$B$5:$B$404=IF($A147="","",$A147&amp;" » "&amp;$B147))*(METAS!$D$5:$D$404=SUMPRODUCT(MAX((METAS!$A$5:$A$404="DTNH-03")*(METAS!$B$5:$B$404=IF($A147="","",$A147&amp;" » "&amp;$B147))*(METAS!$D$5:$D$404&lt;=IFERROR(VALUE(SUBSTITUTE($F$4,"-","")),0))*METAS!$D$5:$D$404)))*METAS!$F$5:$F$404),IF(SUMPRODUCT(MAX((METAS!$A$5:$A$404="DTNH-03")*(METAS!$B$5:$B$404=$A147)*(METAS!$D$5:$D$404&lt;=IFERROR(VALUE(SUBSTITUTE($F$4,"-","")),0))*METAS!$D$5:$D$404))&lt;&gt;0,SUMPRODUCT((METAS!$A$5:$A$404="DTNH-03")*(METAS!$B$5:$B$404=$A147)*(METAS!$D$5:$D$404=SUMPRODUCT(MAX((METAS!$A$5:$A$404="DTNH-03")*(METAS!$B$5:$B$404=$A147)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7" s="171">
        <f>IF(OR(E147="",F147=""),"",IF(ROUND(E147,6)&gt;=ROUND(F147,6),"Dentro da meta",IF(AND(G147&lt;&gt;"",ROUND(E147,6)&gt;=ROUND(G147,6)),"Atenção","Fora da meta")))</f>
        <v/>
      </c>
    </row>
    <row r="148" ht="21.75" customHeight="1" s="131">
      <c r="A148" s="167">
        <f>DISCIPLINAS!$A$32</f>
        <v/>
      </c>
      <c r="B148" s="167">
        <f>DISCIPLINAS!$B$32</f>
        <v/>
      </c>
      <c r="C148" s="179">
        <f>IF(OR($N$103="",AND($J$4&lt;&gt;"(todos)",$J$4&lt;&gt;$A148)),"",SUMIFS(Tabela367[Presenças Previstas],Tabela367[Período],$N$103,Tabela367[Curso],$A148,Tabela367[Disciplina],$B148))</f>
        <v/>
      </c>
      <c r="D148" s="179">
        <f>IF(OR($N$103="",AND($J$4&lt;&gt;"(todos)",$J$4&lt;&gt;$A148)),"",SUMIFS(Tabela367[Presenças Registradas],Tabela367[Período],$N$103,Tabela367[Curso],$A148,Tabela367[Disciplina],$B148))</f>
        <v/>
      </c>
      <c r="E148" s="208">
        <f>IF(OR($N$103="",AND($J$4&lt;&gt;"(todos)",$J$4&lt;&gt;$A148)),"",IF(COUNTIFS(Tabela367[Período],$N$103,Tabela367[Curso],$A148,Tabela367[Disciplina],$B148)=0,"",IFERROR(D148/C148,"")))</f>
        <v/>
      </c>
      <c r="F148" s="181">
        <f>IFERROR(IF(SUMPRODUCT(MAX((METAS!$A$5:$A$404="DTNH-03")*(METAS!$B$5:$B$404=IF($A148="","",$A148&amp;" » "&amp;$B148))*(METAS!$D$5:$D$404&lt;=IFERROR(VALUE(SUBSTITUTE($F$4,"-","")),0))*METAS!$D$5:$D$404))&lt;&gt;0,SUMPRODUCT((METAS!$A$5:$A$404="DTNH-03")*(METAS!$B$5:$B$404=IF($A148="","",$A148&amp;" » "&amp;$B148))*(METAS!$D$5:$D$404=SUMPRODUCT(MAX((METAS!$A$5:$A$404="DTNH-03")*(METAS!$B$5:$B$404=IF($A148="","",$A148&amp;" » "&amp;$B148))*(METAS!$D$5:$D$404&lt;=IFERROR(VALUE(SUBSTITUTE($F$4,"-","")),0))*METAS!$D$5:$D$404)))*METAS!$E$5:$E$404),IF(SUMPRODUCT(MAX((METAS!$A$5:$A$404="DTNH-03")*(METAS!$B$5:$B$404=$A148)*(METAS!$D$5:$D$404&lt;=IFERROR(VALUE(SUBSTITUTE($F$4,"-","")),0))*METAS!$D$5:$D$404))&lt;&gt;0,SUMPRODUCT((METAS!$A$5:$A$404="DTNH-03")*(METAS!$B$5:$B$404=$A148)*(METAS!$D$5:$D$404=SUMPRODUCT(MAX((METAS!$A$5:$A$404="DTNH-03")*(METAS!$B$5:$B$404=$A148)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8" s="181">
        <f>IFERROR(IF(SUMPRODUCT(MAX((METAS!$A$5:$A$404="DTNH-03")*(METAS!$B$5:$B$404=IF($A148="","",$A148&amp;" » "&amp;$B148))*(METAS!$D$5:$D$404&lt;=IFERROR(VALUE(SUBSTITUTE($F$4,"-","")),0))*METAS!$D$5:$D$404))&lt;&gt;0,SUMPRODUCT((METAS!$A$5:$A$404="DTNH-03")*(METAS!$B$5:$B$404=IF($A148="","",$A148&amp;" » "&amp;$B148))*(METAS!$D$5:$D$404=SUMPRODUCT(MAX((METAS!$A$5:$A$404="DTNH-03")*(METAS!$B$5:$B$404=IF($A148="","",$A148&amp;" » "&amp;$B148))*(METAS!$D$5:$D$404&lt;=IFERROR(VALUE(SUBSTITUTE($F$4,"-","")),0))*METAS!$D$5:$D$404)))*METAS!$F$5:$F$404),IF(SUMPRODUCT(MAX((METAS!$A$5:$A$404="DTNH-03")*(METAS!$B$5:$B$404=$A148)*(METAS!$D$5:$D$404&lt;=IFERROR(VALUE(SUBSTITUTE($F$4,"-","")),0))*METAS!$D$5:$D$404))&lt;&gt;0,SUMPRODUCT((METAS!$A$5:$A$404="DTNH-03")*(METAS!$B$5:$B$404=$A148)*(METAS!$D$5:$D$404=SUMPRODUCT(MAX((METAS!$A$5:$A$404="DTNH-03")*(METAS!$B$5:$B$404=$A148)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8" s="171">
        <f>IF(OR(E148="",F148=""),"",IF(ROUND(E148,6)&gt;=ROUND(F148,6),"Dentro da meta",IF(AND(G148&lt;&gt;"",ROUND(E148,6)&gt;=ROUND(G148,6)),"Atenção","Fora da meta")))</f>
        <v/>
      </c>
    </row>
    <row r="149" ht="15" customHeight="1" s="131">
      <c r="A149" s="167">
        <f>DISCIPLINAS!$A$33</f>
        <v/>
      </c>
      <c r="B149" s="167">
        <f>DISCIPLINAS!$B$33</f>
        <v/>
      </c>
      <c r="C149" s="179">
        <f>IF(OR($N$103="",AND($J$4&lt;&gt;"(todos)",$J$4&lt;&gt;$A149)),"",SUMIFS(Tabela367[Presenças Previstas],Tabela367[Período],$N$103,Tabela367[Curso],$A149,Tabela367[Disciplina],$B149))</f>
        <v/>
      </c>
      <c r="D149" s="179">
        <f>IF(OR($N$103="",AND($J$4&lt;&gt;"(todos)",$J$4&lt;&gt;$A149)),"",SUMIFS(Tabela367[Presenças Registradas],Tabela367[Período],$N$103,Tabela367[Curso],$A149,Tabela367[Disciplina],$B149))</f>
        <v/>
      </c>
      <c r="E149" s="208">
        <f>IF(OR($N$103="",AND($J$4&lt;&gt;"(todos)",$J$4&lt;&gt;$A149)),"",IF(COUNTIFS(Tabela367[Período],$N$103,Tabela367[Curso],$A149,Tabela367[Disciplina],$B149)=0,"",IFERROR(D149/C149,"")))</f>
        <v/>
      </c>
      <c r="F149" s="181">
        <f>IFERROR(IF(SUMPRODUCT(MAX((METAS!$A$5:$A$404="DTNH-03")*(METAS!$B$5:$B$404=IF($A149="","",$A149&amp;" » "&amp;$B149))*(METAS!$D$5:$D$404&lt;=IFERROR(VALUE(SUBSTITUTE($F$4,"-","")),0))*METAS!$D$5:$D$404))&lt;&gt;0,SUMPRODUCT((METAS!$A$5:$A$404="DTNH-03")*(METAS!$B$5:$B$404=IF($A149="","",$A149&amp;" » "&amp;$B149))*(METAS!$D$5:$D$404=SUMPRODUCT(MAX((METAS!$A$5:$A$404="DTNH-03")*(METAS!$B$5:$B$404=IF($A149="","",$A149&amp;" » "&amp;$B149))*(METAS!$D$5:$D$404&lt;=IFERROR(VALUE(SUBSTITUTE($F$4,"-","")),0))*METAS!$D$5:$D$404)))*METAS!$E$5:$E$404),IF(SUMPRODUCT(MAX((METAS!$A$5:$A$404="DTNH-03")*(METAS!$B$5:$B$404=$A149)*(METAS!$D$5:$D$404&lt;=IFERROR(VALUE(SUBSTITUTE($F$4,"-","")),0))*METAS!$D$5:$D$404))&lt;&gt;0,SUMPRODUCT((METAS!$A$5:$A$404="DTNH-03")*(METAS!$B$5:$B$404=$A149)*(METAS!$D$5:$D$404=SUMPRODUCT(MAX((METAS!$A$5:$A$404="DTNH-03")*(METAS!$B$5:$B$404=$A149)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49" s="181">
        <f>IFERROR(IF(SUMPRODUCT(MAX((METAS!$A$5:$A$404="DTNH-03")*(METAS!$B$5:$B$404=IF($A149="","",$A149&amp;" » "&amp;$B149))*(METAS!$D$5:$D$404&lt;=IFERROR(VALUE(SUBSTITUTE($F$4,"-","")),0))*METAS!$D$5:$D$404))&lt;&gt;0,SUMPRODUCT((METAS!$A$5:$A$404="DTNH-03")*(METAS!$B$5:$B$404=IF($A149="","",$A149&amp;" » "&amp;$B149))*(METAS!$D$5:$D$404=SUMPRODUCT(MAX((METAS!$A$5:$A$404="DTNH-03")*(METAS!$B$5:$B$404=IF($A149="","",$A149&amp;" » "&amp;$B149))*(METAS!$D$5:$D$404&lt;=IFERROR(VALUE(SUBSTITUTE($F$4,"-","")),0))*METAS!$D$5:$D$404)))*METAS!$F$5:$F$404),IF(SUMPRODUCT(MAX((METAS!$A$5:$A$404="DTNH-03")*(METAS!$B$5:$B$404=$A149)*(METAS!$D$5:$D$404&lt;=IFERROR(VALUE(SUBSTITUTE($F$4,"-","")),0))*METAS!$D$5:$D$404))&lt;&gt;0,SUMPRODUCT((METAS!$A$5:$A$404="DTNH-03")*(METAS!$B$5:$B$404=$A149)*(METAS!$D$5:$D$404=SUMPRODUCT(MAX((METAS!$A$5:$A$404="DTNH-03")*(METAS!$B$5:$B$404=$A149)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49" s="171">
        <f>IF(OR(E149="",F149=""),"",IF(ROUND(E149,6)&gt;=ROUND(F149,6),"Dentro da meta",IF(AND(G149&lt;&gt;"",ROUND(E149,6)&gt;=ROUND(G149,6)),"Atenção","Fora da meta")))</f>
        <v/>
      </c>
    </row>
    <row r="150" ht="21.75" customHeight="1" s="131">
      <c r="A150" s="167">
        <f>DISCIPLINAS!$A$34</f>
        <v/>
      </c>
      <c r="B150" s="167">
        <f>DISCIPLINAS!$B$34</f>
        <v/>
      </c>
      <c r="C150" s="179">
        <f>IF(OR($N$103="",AND($J$4&lt;&gt;"(todos)",$J$4&lt;&gt;$A150)),"",SUMIFS(Tabela367[Presenças Previstas],Tabela367[Período],$N$103,Tabela367[Curso],$A150,Tabela367[Disciplina],$B150))</f>
        <v/>
      </c>
      <c r="D150" s="179">
        <f>IF(OR($N$103="",AND($J$4&lt;&gt;"(todos)",$J$4&lt;&gt;$A150)),"",SUMIFS(Tabela367[Presenças Registradas],Tabela367[Período],$N$103,Tabela367[Curso],$A150,Tabela367[Disciplina],$B150))</f>
        <v/>
      </c>
      <c r="E150" s="208">
        <f>IF(OR($N$103="",AND($J$4&lt;&gt;"(todos)",$J$4&lt;&gt;$A150)),"",IF(COUNTIFS(Tabela367[Período],$N$103,Tabela367[Curso],$A150,Tabela367[Disciplina],$B150)=0,"",IFERROR(D150/C150,"")))</f>
        <v/>
      </c>
      <c r="F150" s="181">
        <f>IFERROR(IF(SUMPRODUCT(MAX((METAS!$A$5:$A$404="DTNH-03")*(METAS!$B$5:$B$404=IF($A150="","",$A150&amp;" » "&amp;$B150))*(METAS!$D$5:$D$404&lt;=IFERROR(VALUE(SUBSTITUTE($F$4,"-","")),0))*METAS!$D$5:$D$404))&lt;&gt;0,SUMPRODUCT((METAS!$A$5:$A$404="DTNH-03")*(METAS!$B$5:$B$404=IF($A150="","",$A150&amp;" » "&amp;$B150))*(METAS!$D$5:$D$404=SUMPRODUCT(MAX((METAS!$A$5:$A$404="DTNH-03")*(METAS!$B$5:$B$404=IF($A150="","",$A150&amp;" » "&amp;$B150))*(METAS!$D$5:$D$404&lt;=IFERROR(VALUE(SUBSTITUTE($F$4,"-","")),0))*METAS!$D$5:$D$404)))*METAS!$E$5:$E$404),IF(SUMPRODUCT(MAX((METAS!$A$5:$A$404="DTNH-03")*(METAS!$B$5:$B$404=$A150)*(METAS!$D$5:$D$404&lt;=IFERROR(VALUE(SUBSTITUTE($F$4,"-","")),0))*METAS!$D$5:$D$404))&lt;&gt;0,SUMPRODUCT((METAS!$A$5:$A$404="DTNH-03")*(METAS!$B$5:$B$404=$A150)*(METAS!$D$5:$D$404=SUMPRODUCT(MAX((METAS!$A$5:$A$404="DTNH-03")*(METAS!$B$5:$B$404=$A150)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50" s="181">
        <f>IFERROR(IF(SUMPRODUCT(MAX((METAS!$A$5:$A$404="DTNH-03")*(METAS!$B$5:$B$404=IF($A150="","",$A150&amp;" » "&amp;$B150))*(METAS!$D$5:$D$404&lt;=IFERROR(VALUE(SUBSTITUTE($F$4,"-","")),0))*METAS!$D$5:$D$404))&lt;&gt;0,SUMPRODUCT((METAS!$A$5:$A$404="DTNH-03")*(METAS!$B$5:$B$404=IF($A150="","",$A150&amp;" » "&amp;$B150))*(METAS!$D$5:$D$404=SUMPRODUCT(MAX((METAS!$A$5:$A$404="DTNH-03")*(METAS!$B$5:$B$404=IF($A150="","",$A150&amp;" » "&amp;$B150))*(METAS!$D$5:$D$404&lt;=IFERROR(VALUE(SUBSTITUTE($F$4,"-","")),0))*METAS!$D$5:$D$404)))*METAS!$F$5:$F$404),IF(SUMPRODUCT(MAX((METAS!$A$5:$A$404="DTNH-03")*(METAS!$B$5:$B$404=$A150)*(METAS!$D$5:$D$404&lt;=IFERROR(VALUE(SUBSTITUTE($F$4,"-","")),0))*METAS!$D$5:$D$404))&lt;&gt;0,SUMPRODUCT((METAS!$A$5:$A$404="DTNH-03")*(METAS!$B$5:$B$404=$A150)*(METAS!$D$5:$D$404=SUMPRODUCT(MAX((METAS!$A$5:$A$404="DTNH-03")*(METAS!$B$5:$B$404=$A150)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50" s="171">
        <f>IF(OR(E150="",F150=""),"",IF(ROUND(E150,6)&gt;=ROUND(F150,6),"Dentro da meta",IF(AND(G150&lt;&gt;"",ROUND(E150,6)&gt;=ROUND(G150,6)),"Atenção","Fora da meta")))</f>
        <v/>
      </c>
    </row>
    <row r="151" ht="32.25" customHeight="1" s="131">
      <c r="A151" s="167">
        <f>DISCIPLINAS!$A$35</f>
        <v/>
      </c>
      <c r="B151" s="167">
        <f>DISCIPLINAS!$B$35</f>
        <v/>
      </c>
      <c r="C151" s="179">
        <f>IF(OR($N$103="",AND($J$4&lt;&gt;"(todos)",$J$4&lt;&gt;$A151)),"",SUMIFS(Tabela367[Presenças Previstas],Tabela367[Período],$N$103,Tabela367[Curso],$A151,Tabela367[Disciplina],$B151))</f>
        <v/>
      </c>
      <c r="D151" s="179">
        <f>IF(OR($N$103="",AND($J$4&lt;&gt;"(todos)",$J$4&lt;&gt;$A151)),"",SUMIFS(Tabela367[Presenças Registradas],Tabela367[Período],$N$103,Tabela367[Curso],$A151,Tabela367[Disciplina],$B151))</f>
        <v/>
      </c>
      <c r="E151" s="208">
        <f>IF(OR($N$103="",AND($J$4&lt;&gt;"(todos)",$J$4&lt;&gt;$A151)),"",IF(COUNTIFS(Tabela367[Período],$N$103,Tabela367[Curso],$A151,Tabela367[Disciplina],$B151)=0,"",IFERROR(D151/C151,"")))</f>
        <v/>
      </c>
      <c r="F151" s="181">
        <f>IFERROR(IF(SUMPRODUCT(MAX((METAS!$A$5:$A$404="DTNH-03")*(METAS!$B$5:$B$404=IF($A151="","",$A151&amp;" » "&amp;$B151))*(METAS!$D$5:$D$404&lt;=IFERROR(VALUE(SUBSTITUTE($F$4,"-","")),0))*METAS!$D$5:$D$404))&lt;&gt;0,SUMPRODUCT((METAS!$A$5:$A$404="DTNH-03")*(METAS!$B$5:$B$404=IF($A151="","",$A151&amp;" » "&amp;$B151))*(METAS!$D$5:$D$404=SUMPRODUCT(MAX((METAS!$A$5:$A$404="DTNH-03")*(METAS!$B$5:$B$404=IF($A151="","",$A151&amp;" » "&amp;$B151))*(METAS!$D$5:$D$404&lt;=IFERROR(VALUE(SUBSTITUTE($F$4,"-","")),0))*METAS!$D$5:$D$404)))*METAS!$E$5:$E$404),IF(SUMPRODUCT(MAX((METAS!$A$5:$A$404="DTNH-03")*(METAS!$B$5:$B$404=$A151)*(METAS!$D$5:$D$404&lt;=IFERROR(VALUE(SUBSTITUTE($F$4,"-","")),0))*METAS!$D$5:$D$404))&lt;&gt;0,SUMPRODUCT((METAS!$A$5:$A$404="DTNH-03")*(METAS!$B$5:$B$404=$A151)*(METAS!$D$5:$D$404=SUMPRODUCT(MAX((METAS!$A$5:$A$404="DTNH-03")*(METAS!$B$5:$B$404=$A151)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51" s="181">
        <f>IFERROR(IF(SUMPRODUCT(MAX((METAS!$A$5:$A$404="DTNH-03")*(METAS!$B$5:$B$404=IF($A151="","",$A151&amp;" » "&amp;$B151))*(METAS!$D$5:$D$404&lt;=IFERROR(VALUE(SUBSTITUTE($F$4,"-","")),0))*METAS!$D$5:$D$404))&lt;&gt;0,SUMPRODUCT((METAS!$A$5:$A$404="DTNH-03")*(METAS!$B$5:$B$404=IF($A151="","",$A151&amp;" » "&amp;$B151))*(METAS!$D$5:$D$404=SUMPRODUCT(MAX((METAS!$A$5:$A$404="DTNH-03")*(METAS!$B$5:$B$404=IF($A151="","",$A151&amp;" » "&amp;$B151))*(METAS!$D$5:$D$404&lt;=IFERROR(VALUE(SUBSTITUTE($F$4,"-","")),0))*METAS!$D$5:$D$404)))*METAS!$F$5:$F$404),IF(SUMPRODUCT(MAX((METAS!$A$5:$A$404="DTNH-03")*(METAS!$B$5:$B$404=$A151)*(METAS!$D$5:$D$404&lt;=IFERROR(VALUE(SUBSTITUTE($F$4,"-","")),0))*METAS!$D$5:$D$404))&lt;&gt;0,SUMPRODUCT((METAS!$A$5:$A$404="DTNH-03")*(METAS!$B$5:$B$404=$A151)*(METAS!$D$5:$D$404=SUMPRODUCT(MAX((METAS!$A$5:$A$404="DTNH-03")*(METAS!$B$5:$B$404=$A151)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51" s="171">
        <f>IF(OR(E151="",F151=""),"",IF(ROUND(E151,6)&gt;=ROUND(F151,6),"Dentro da meta",IF(AND(G151&lt;&gt;"",ROUND(E151,6)&gt;=ROUND(G151,6)),"Atenção","Fora da meta")))</f>
        <v/>
      </c>
    </row>
    <row r="152" ht="21.75" customHeight="1" s="131">
      <c r="A152" s="167">
        <f>DISCIPLINAS!$A$36</f>
        <v/>
      </c>
      <c r="B152" s="167">
        <f>DISCIPLINAS!$B$36</f>
        <v/>
      </c>
      <c r="C152" s="179">
        <f>IF(OR($N$103="",AND($J$4&lt;&gt;"(todos)",$J$4&lt;&gt;$A152)),"",SUMIFS(Tabela367[Presenças Previstas],Tabela367[Período],$N$103,Tabela367[Curso],$A152,Tabela367[Disciplina],$B152))</f>
        <v/>
      </c>
      <c r="D152" s="179">
        <f>IF(OR($N$103="",AND($J$4&lt;&gt;"(todos)",$J$4&lt;&gt;$A152)),"",SUMIFS(Tabela367[Presenças Registradas],Tabela367[Período],$N$103,Tabela367[Curso],$A152,Tabela367[Disciplina],$B152))</f>
        <v/>
      </c>
      <c r="E152" s="208">
        <f>IF(OR($N$103="",AND($J$4&lt;&gt;"(todos)",$J$4&lt;&gt;$A152)),"",IF(COUNTIFS(Tabela367[Período],$N$103,Tabela367[Curso],$A152,Tabela367[Disciplina],$B152)=0,"",IFERROR(D152/C152,"")))</f>
        <v/>
      </c>
      <c r="F152" s="181">
        <f>IFERROR(IF(SUMPRODUCT(MAX((METAS!$A$5:$A$404="DTNH-03")*(METAS!$B$5:$B$404=IF($A152="","",$A152&amp;" » "&amp;$B152))*(METAS!$D$5:$D$404&lt;=IFERROR(VALUE(SUBSTITUTE($F$4,"-","")),0))*METAS!$D$5:$D$404))&lt;&gt;0,SUMPRODUCT((METAS!$A$5:$A$404="DTNH-03")*(METAS!$B$5:$B$404=IF($A152="","",$A152&amp;" » "&amp;$B152))*(METAS!$D$5:$D$404=SUMPRODUCT(MAX((METAS!$A$5:$A$404="DTNH-03")*(METAS!$B$5:$B$404=IF($A152="","",$A152&amp;" » "&amp;$B152))*(METAS!$D$5:$D$404&lt;=IFERROR(VALUE(SUBSTITUTE($F$4,"-","")),0))*METAS!$D$5:$D$404)))*METAS!$E$5:$E$404),IF(SUMPRODUCT(MAX((METAS!$A$5:$A$404="DTNH-03")*(METAS!$B$5:$B$404=$A152)*(METAS!$D$5:$D$404&lt;=IFERROR(VALUE(SUBSTITUTE($F$4,"-","")),0))*METAS!$D$5:$D$404))&lt;&gt;0,SUMPRODUCT((METAS!$A$5:$A$404="DTNH-03")*(METAS!$B$5:$B$404=$A152)*(METAS!$D$5:$D$404=SUMPRODUCT(MAX((METAS!$A$5:$A$404="DTNH-03")*(METAS!$B$5:$B$404=$A152)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52" s="181">
        <f>IFERROR(IF(SUMPRODUCT(MAX((METAS!$A$5:$A$404="DTNH-03")*(METAS!$B$5:$B$404=IF($A152="","",$A152&amp;" » "&amp;$B152))*(METAS!$D$5:$D$404&lt;=IFERROR(VALUE(SUBSTITUTE($F$4,"-","")),0))*METAS!$D$5:$D$404))&lt;&gt;0,SUMPRODUCT((METAS!$A$5:$A$404="DTNH-03")*(METAS!$B$5:$B$404=IF($A152="","",$A152&amp;" » "&amp;$B152))*(METAS!$D$5:$D$404=SUMPRODUCT(MAX((METAS!$A$5:$A$404="DTNH-03")*(METAS!$B$5:$B$404=IF($A152="","",$A152&amp;" » "&amp;$B152))*(METAS!$D$5:$D$404&lt;=IFERROR(VALUE(SUBSTITUTE($F$4,"-","")),0))*METAS!$D$5:$D$404)))*METAS!$F$5:$F$404),IF(SUMPRODUCT(MAX((METAS!$A$5:$A$404="DTNH-03")*(METAS!$B$5:$B$404=$A152)*(METAS!$D$5:$D$404&lt;=IFERROR(VALUE(SUBSTITUTE($F$4,"-","")),0))*METAS!$D$5:$D$404))&lt;&gt;0,SUMPRODUCT((METAS!$A$5:$A$404="DTNH-03")*(METAS!$B$5:$B$404=$A152)*(METAS!$D$5:$D$404=SUMPRODUCT(MAX((METAS!$A$5:$A$404="DTNH-03")*(METAS!$B$5:$B$404=$A152)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52" s="171">
        <f>IF(OR(E152="",F152=""),"",IF(ROUND(E152,6)&gt;=ROUND(F152,6),"Dentro da meta",IF(AND(G152&lt;&gt;"",ROUND(E152,6)&gt;=ROUND(G152,6)),"Atenção","Fora da meta")))</f>
        <v/>
      </c>
    </row>
    <row r="153" ht="15" customHeight="1" s="131">
      <c r="A153" s="167">
        <f>DISCIPLINAS!$A$37</f>
        <v/>
      </c>
      <c r="B153" s="167">
        <f>DISCIPLINAS!$B$37</f>
        <v/>
      </c>
      <c r="C153" s="179">
        <f>IF(OR($N$103="",AND($J$4&lt;&gt;"(todos)",$J$4&lt;&gt;$A153)),"",SUMIFS(Tabela367[Presenças Previstas],Tabela367[Período],$N$103,Tabela367[Curso],$A153,Tabela367[Disciplina],$B153))</f>
        <v/>
      </c>
      <c r="D153" s="179">
        <f>IF(OR($N$103="",AND($J$4&lt;&gt;"(todos)",$J$4&lt;&gt;$A153)),"",SUMIFS(Tabela367[Presenças Registradas],Tabela367[Período],$N$103,Tabela367[Curso],$A153,Tabela367[Disciplina],$B153))</f>
        <v/>
      </c>
      <c r="E153" s="208">
        <f>IF(OR($N$103="",AND($J$4&lt;&gt;"(todos)",$J$4&lt;&gt;$A153)),"",IF(COUNTIFS(Tabela367[Período],$N$103,Tabela367[Curso],$A153,Tabela367[Disciplina],$B153)=0,"",IFERROR(D153/C153,"")))</f>
        <v/>
      </c>
      <c r="F153" s="181">
        <f>IFERROR(IF(SUMPRODUCT(MAX((METAS!$A$5:$A$404="DTNH-03")*(METAS!$B$5:$B$404=IF($A153="","",$A153&amp;" » "&amp;$B153))*(METAS!$D$5:$D$404&lt;=IFERROR(VALUE(SUBSTITUTE($F$4,"-","")),0))*METAS!$D$5:$D$404))&lt;&gt;0,SUMPRODUCT((METAS!$A$5:$A$404="DTNH-03")*(METAS!$B$5:$B$404=IF($A153="","",$A153&amp;" » "&amp;$B153))*(METAS!$D$5:$D$404=SUMPRODUCT(MAX((METAS!$A$5:$A$404="DTNH-03")*(METAS!$B$5:$B$404=IF($A153="","",$A153&amp;" » "&amp;$B153))*(METAS!$D$5:$D$404&lt;=IFERROR(VALUE(SUBSTITUTE($F$4,"-","")),0))*METAS!$D$5:$D$404)))*METAS!$E$5:$E$404),IF(SUMPRODUCT(MAX((METAS!$A$5:$A$404="DTNH-03")*(METAS!$B$5:$B$404=$A153)*(METAS!$D$5:$D$404&lt;=IFERROR(VALUE(SUBSTITUTE($F$4,"-","")),0))*METAS!$D$5:$D$404))&lt;&gt;0,SUMPRODUCT((METAS!$A$5:$A$404="DTNH-03")*(METAS!$B$5:$B$404=$A153)*(METAS!$D$5:$D$404=SUMPRODUCT(MAX((METAS!$A$5:$A$404="DTNH-03")*(METAS!$B$5:$B$404=$A153)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53" s="181">
        <f>IFERROR(IF(SUMPRODUCT(MAX((METAS!$A$5:$A$404="DTNH-03")*(METAS!$B$5:$B$404=IF($A153="","",$A153&amp;" » "&amp;$B153))*(METAS!$D$5:$D$404&lt;=IFERROR(VALUE(SUBSTITUTE($F$4,"-","")),0))*METAS!$D$5:$D$404))&lt;&gt;0,SUMPRODUCT((METAS!$A$5:$A$404="DTNH-03")*(METAS!$B$5:$B$404=IF($A153="","",$A153&amp;" » "&amp;$B153))*(METAS!$D$5:$D$404=SUMPRODUCT(MAX((METAS!$A$5:$A$404="DTNH-03")*(METAS!$B$5:$B$404=IF($A153="","",$A153&amp;" » "&amp;$B153))*(METAS!$D$5:$D$404&lt;=IFERROR(VALUE(SUBSTITUTE($F$4,"-","")),0))*METAS!$D$5:$D$404)))*METAS!$F$5:$F$404),IF(SUMPRODUCT(MAX((METAS!$A$5:$A$404="DTNH-03")*(METAS!$B$5:$B$404=$A153)*(METAS!$D$5:$D$404&lt;=IFERROR(VALUE(SUBSTITUTE($F$4,"-","")),0))*METAS!$D$5:$D$404))&lt;&gt;0,SUMPRODUCT((METAS!$A$5:$A$404="DTNH-03")*(METAS!$B$5:$B$404=$A153)*(METAS!$D$5:$D$404=SUMPRODUCT(MAX((METAS!$A$5:$A$404="DTNH-03")*(METAS!$B$5:$B$404=$A153)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53" s="171">
        <f>IF(OR(E153="",F153=""),"",IF(ROUND(E153,6)&gt;=ROUND(F153,6),"Dentro da meta",IF(AND(G153&lt;&gt;"",ROUND(E153,6)&gt;=ROUND(G153,6)),"Atenção","Fora da meta")))</f>
        <v/>
      </c>
    </row>
    <row r="154" ht="21.75" customHeight="1" s="131">
      <c r="A154" s="167">
        <f>DISCIPLINAS!$A$38</f>
        <v/>
      </c>
      <c r="B154" s="167">
        <f>DISCIPLINAS!$B$38</f>
        <v/>
      </c>
      <c r="C154" s="179">
        <f>IF(OR($N$103="",AND($J$4&lt;&gt;"(todos)",$J$4&lt;&gt;$A154)),"",SUMIFS(Tabela367[Presenças Previstas],Tabela367[Período],$N$103,Tabela367[Curso],$A154,Tabela367[Disciplina],$B154))</f>
        <v/>
      </c>
      <c r="D154" s="179">
        <f>IF(OR($N$103="",AND($J$4&lt;&gt;"(todos)",$J$4&lt;&gt;$A154)),"",SUMIFS(Tabela367[Presenças Registradas],Tabela367[Período],$N$103,Tabela367[Curso],$A154,Tabela367[Disciplina],$B154))</f>
        <v/>
      </c>
      <c r="E154" s="208">
        <f>IF(OR($N$103="",AND($J$4&lt;&gt;"(todos)",$J$4&lt;&gt;$A154)),"",IF(COUNTIFS(Tabela367[Período],$N$103,Tabela367[Curso],$A154,Tabela367[Disciplina],$B154)=0,"",IFERROR(D154/C154,"")))</f>
        <v/>
      </c>
      <c r="F154" s="181">
        <f>IFERROR(IF(SUMPRODUCT(MAX((METAS!$A$5:$A$404="DTNH-03")*(METAS!$B$5:$B$404=IF($A154="","",$A154&amp;" » "&amp;$B154))*(METAS!$D$5:$D$404&lt;=IFERROR(VALUE(SUBSTITUTE($F$4,"-","")),0))*METAS!$D$5:$D$404))&lt;&gt;0,SUMPRODUCT((METAS!$A$5:$A$404="DTNH-03")*(METAS!$B$5:$B$404=IF($A154="","",$A154&amp;" » "&amp;$B154))*(METAS!$D$5:$D$404=SUMPRODUCT(MAX((METAS!$A$5:$A$404="DTNH-03")*(METAS!$B$5:$B$404=IF($A154="","",$A154&amp;" » "&amp;$B154))*(METAS!$D$5:$D$404&lt;=IFERROR(VALUE(SUBSTITUTE($F$4,"-","")),0))*METAS!$D$5:$D$404)))*METAS!$E$5:$E$404),IF(SUMPRODUCT(MAX((METAS!$A$5:$A$404="DTNH-03")*(METAS!$B$5:$B$404=$A154)*(METAS!$D$5:$D$404&lt;=IFERROR(VALUE(SUBSTITUTE($F$4,"-","")),0))*METAS!$D$5:$D$404))&lt;&gt;0,SUMPRODUCT((METAS!$A$5:$A$404="DTNH-03")*(METAS!$B$5:$B$404=$A154)*(METAS!$D$5:$D$404=SUMPRODUCT(MAX((METAS!$A$5:$A$404="DTNH-03")*(METAS!$B$5:$B$404=$A154)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54" s="181">
        <f>IFERROR(IF(SUMPRODUCT(MAX((METAS!$A$5:$A$404="DTNH-03")*(METAS!$B$5:$B$404=IF($A154="","",$A154&amp;" » "&amp;$B154))*(METAS!$D$5:$D$404&lt;=IFERROR(VALUE(SUBSTITUTE($F$4,"-","")),0))*METAS!$D$5:$D$404))&lt;&gt;0,SUMPRODUCT((METAS!$A$5:$A$404="DTNH-03")*(METAS!$B$5:$B$404=IF($A154="","",$A154&amp;" » "&amp;$B154))*(METAS!$D$5:$D$404=SUMPRODUCT(MAX((METAS!$A$5:$A$404="DTNH-03")*(METAS!$B$5:$B$404=IF($A154="","",$A154&amp;" » "&amp;$B154))*(METAS!$D$5:$D$404&lt;=IFERROR(VALUE(SUBSTITUTE($F$4,"-","")),0))*METAS!$D$5:$D$404)))*METAS!$F$5:$F$404),IF(SUMPRODUCT(MAX((METAS!$A$5:$A$404="DTNH-03")*(METAS!$B$5:$B$404=$A154)*(METAS!$D$5:$D$404&lt;=IFERROR(VALUE(SUBSTITUTE($F$4,"-","")),0))*METAS!$D$5:$D$404))&lt;&gt;0,SUMPRODUCT((METAS!$A$5:$A$404="DTNH-03")*(METAS!$B$5:$B$404=$A154)*(METAS!$D$5:$D$404=SUMPRODUCT(MAX((METAS!$A$5:$A$404="DTNH-03")*(METAS!$B$5:$B$404=$A154)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54" s="171">
        <f>IF(OR(E154="",F154=""),"",IF(ROUND(E154,6)&gt;=ROUND(F154,6),"Dentro da meta",IF(AND(G154&lt;&gt;"",ROUND(E154,6)&gt;=ROUND(G154,6)),"Atenção","Fora da meta")))</f>
        <v/>
      </c>
    </row>
    <row r="155" ht="15" customHeight="1" s="131">
      <c r="A155" s="167">
        <f>DISCIPLINAS!$A$39</f>
        <v/>
      </c>
      <c r="B155" s="167">
        <f>DISCIPLINAS!$B$39</f>
        <v/>
      </c>
      <c r="C155" s="179">
        <f>IF(OR($N$103="",AND($J$4&lt;&gt;"(todos)",$J$4&lt;&gt;$A155)),"",SUMIFS(Tabela367[Presenças Previstas],Tabela367[Período],$N$103,Tabela367[Curso],$A155,Tabela367[Disciplina],$B155))</f>
        <v/>
      </c>
      <c r="D155" s="179">
        <f>IF(OR($N$103="",AND($J$4&lt;&gt;"(todos)",$J$4&lt;&gt;$A155)),"",SUMIFS(Tabela367[Presenças Registradas],Tabela367[Período],$N$103,Tabela367[Curso],$A155,Tabela367[Disciplina],$B155))</f>
        <v/>
      </c>
      <c r="E155" s="208">
        <f>IF(OR($N$103="",AND($J$4&lt;&gt;"(todos)",$J$4&lt;&gt;$A155)),"",IF(COUNTIFS(Tabela367[Período],$N$103,Tabela367[Curso],$A155,Tabela367[Disciplina],$B155)=0,"",IFERROR(D155/C155,"")))</f>
        <v/>
      </c>
      <c r="F155" s="181">
        <f>IFERROR(IF(SUMPRODUCT(MAX((METAS!$A$5:$A$404="DTNH-03")*(METAS!$B$5:$B$404=IF($A155="","",$A155&amp;" » "&amp;$B155))*(METAS!$D$5:$D$404&lt;=IFERROR(VALUE(SUBSTITUTE($F$4,"-","")),0))*METAS!$D$5:$D$404))&lt;&gt;0,SUMPRODUCT((METAS!$A$5:$A$404="DTNH-03")*(METAS!$B$5:$B$404=IF($A155="","",$A155&amp;" » "&amp;$B155))*(METAS!$D$5:$D$404=SUMPRODUCT(MAX((METAS!$A$5:$A$404="DTNH-03")*(METAS!$B$5:$B$404=IF($A155="","",$A155&amp;" » "&amp;$B155))*(METAS!$D$5:$D$404&lt;=IFERROR(VALUE(SUBSTITUTE($F$4,"-","")),0))*METAS!$D$5:$D$404)))*METAS!$E$5:$E$404),IF(SUMPRODUCT(MAX((METAS!$A$5:$A$404="DTNH-03")*(METAS!$B$5:$B$404=$A155)*(METAS!$D$5:$D$404&lt;=IFERROR(VALUE(SUBSTITUTE($F$4,"-","")),0))*METAS!$D$5:$D$404))&lt;&gt;0,SUMPRODUCT((METAS!$A$5:$A$404="DTNH-03")*(METAS!$B$5:$B$404=$A155)*(METAS!$D$5:$D$404=SUMPRODUCT(MAX((METAS!$A$5:$A$404="DTNH-03")*(METAS!$B$5:$B$404=$A155)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55" s="181">
        <f>IFERROR(IF(SUMPRODUCT(MAX((METAS!$A$5:$A$404="DTNH-03")*(METAS!$B$5:$B$404=IF($A155="","",$A155&amp;" » "&amp;$B155))*(METAS!$D$5:$D$404&lt;=IFERROR(VALUE(SUBSTITUTE($F$4,"-","")),0))*METAS!$D$5:$D$404))&lt;&gt;0,SUMPRODUCT((METAS!$A$5:$A$404="DTNH-03")*(METAS!$B$5:$B$404=IF($A155="","",$A155&amp;" » "&amp;$B155))*(METAS!$D$5:$D$404=SUMPRODUCT(MAX((METAS!$A$5:$A$404="DTNH-03")*(METAS!$B$5:$B$404=IF($A155="","",$A155&amp;" » "&amp;$B155))*(METAS!$D$5:$D$404&lt;=IFERROR(VALUE(SUBSTITUTE($F$4,"-","")),0))*METAS!$D$5:$D$404)))*METAS!$F$5:$F$404),IF(SUMPRODUCT(MAX((METAS!$A$5:$A$404="DTNH-03")*(METAS!$B$5:$B$404=$A155)*(METAS!$D$5:$D$404&lt;=IFERROR(VALUE(SUBSTITUTE($F$4,"-","")),0))*METAS!$D$5:$D$404))&lt;&gt;0,SUMPRODUCT((METAS!$A$5:$A$404="DTNH-03")*(METAS!$B$5:$B$404=$A155)*(METAS!$D$5:$D$404=SUMPRODUCT(MAX((METAS!$A$5:$A$404="DTNH-03")*(METAS!$B$5:$B$404=$A155)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55" s="171">
        <f>IF(OR(E155="",F155=""),"",IF(ROUND(E155,6)&gt;=ROUND(F155,6),"Dentro da meta",IF(AND(G155&lt;&gt;"",ROUND(E155,6)&gt;=ROUND(G155,6)),"Atenção","Fora da meta")))</f>
        <v/>
      </c>
    </row>
    <row r="156" ht="15" customHeight="1" s="131">
      <c r="A156" s="167">
        <f>DISCIPLINAS!$A$40</f>
        <v/>
      </c>
      <c r="B156" s="167">
        <f>DISCIPLINAS!$B$40</f>
        <v/>
      </c>
      <c r="C156" s="179">
        <f>IF(OR($N$103="",AND($J$4&lt;&gt;"(todos)",$J$4&lt;&gt;$A156)),"",SUMIFS(Tabela367[Presenças Previstas],Tabela367[Período],$N$103,Tabela367[Curso],$A156,Tabela367[Disciplina],$B156))</f>
        <v/>
      </c>
      <c r="D156" s="179">
        <f>IF(OR($N$103="",AND($J$4&lt;&gt;"(todos)",$J$4&lt;&gt;$A156)),"",SUMIFS(Tabela367[Presenças Registradas],Tabela367[Período],$N$103,Tabela367[Curso],$A156,Tabela367[Disciplina],$B156))</f>
        <v/>
      </c>
      <c r="E156" s="208">
        <f>IF(OR($N$103="",AND($J$4&lt;&gt;"(todos)",$J$4&lt;&gt;$A156)),"",IF(COUNTIFS(Tabela367[Período],$N$103,Tabela367[Curso],$A156,Tabela367[Disciplina],$B156)=0,"",IFERROR(D156/C156,"")))</f>
        <v/>
      </c>
      <c r="F156" s="181">
        <f>IFERROR(IF(SUMPRODUCT(MAX((METAS!$A$5:$A$404="DTNH-03")*(METAS!$B$5:$B$404=IF($A156="","",$A156&amp;" » "&amp;$B156))*(METAS!$D$5:$D$404&lt;=IFERROR(VALUE(SUBSTITUTE($F$4,"-","")),0))*METAS!$D$5:$D$404))&lt;&gt;0,SUMPRODUCT((METAS!$A$5:$A$404="DTNH-03")*(METAS!$B$5:$B$404=IF($A156="","",$A156&amp;" » "&amp;$B156))*(METAS!$D$5:$D$404=SUMPRODUCT(MAX((METAS!$A$5:$A$404="DTNH-03")*(METAS!$B$5:$B$404=IF($A156="","",$A156&amp;" » "&amp;$B156))*(METAS!$D$5:$D$404&lt;=IFERROR(VALUE(SUBSTITUTE($F$4,"-","")),0))*METAS!$D$5:$D$404)))*METAS!$E$5:$E$404),IF(SUMPRODUCT(MAX((METAS!$A$5:$A$404="DTNH-03")*(METAS!$B$5:$B$404=$A156)*(METAS!$D$5:$D$404&lt;=IFERROR(VALUE(SUBSTITUTE($F$4,"-","")),0))*METAS!$D$5:$D$404))&lt;&gt;0,SUMPRODUCT((METAS!$A$5:$A$404="DTNH-03")*(METAS!$B$5:$B$404=$A156)*(METAS!$D$5:$D$404=SUMPRODUCT(MAX((METAS!$A$5:$A$404="DTNH-03")*(METAS!$B$5:$B$404=$A156)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56" s="181">
        <f>IFERROR(IF(SUMPRODUCT(MAX((METAS!$A$5:$A$404="DTNH-03")*(METAS!$B$5:$B$404=IF($A156="","",$A156&amp;" » "&amp;$B156))*(METAS!$D$5:$D$404&lt;=IFERROR(VALUE(SUBSTITUTE($F$4,"-","")),0))*METAS!$D$5:$D$404))&lt;&gt;0,SUMPRODUCT((METAS!$A$5:$A$404="DTNH-03")*(METAS!$B$5:$B$404=IF($A156="","",$A156&amp;" » "&amp;$B156))*(METAS!$D$5:$D$404=SUMPRODUCT(MAX((METAS!$A$5:$A$404="DTNH-03")*(METAS!$B$5:$B$404=IF($A156="","",$A156&amp;" » "&amp;$B156))*(METAS!$D$5:$D$404&lt;=IFERROR(VALUE(SUBSTITUTE($F$4,"-","")),0))*METAS!$D$5:$D$404)))*METAS!$F$5:$F$404),IF(SUMPRODUCT(MAX((METAS!$A$5:$A$404="DTNH-03")*(METAS!$B$5:$B$404=$A156)*(METAS!$D$5:$D$404&lt;=IFERROR(VALUE(SUBSTITUTE($F$4,"-","")),0))*METAS!$D$5:$D$404))&lt;&gt;0,SUMPRODUCT((METAS!$A$5:$A$404="DTNH-03")*(METAS!$B$5:$B$404=$A156)*(METAS!$D$5:$D$404=SUMPRODUCT(MAX((METAS!$A$5:$A$404="DTNH-03")*(METAS!$B$5:$B$404=$A156)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56" s="171">
        <f>IF(OR(E156="",F156=""),"",IF(ROUND(E156,6)&gt;=ROUND(F156,6),"Dentro da meta",IF(AND(G156&lt;&gt;"",ROUND(E156,6)&gt;=ROUND(G156,6)),"Atenção","Fora da meta")))</f>
        <v/>
      </c>
    </row>
    <row r="157" ht="21.75" customHeight="1" s="131">
      <c r="A157" s="167">
        <f>DISCIPLINAS!$A$41</f>
        <v/>
      </c>
      <c r="B157" s="167">
        <f>DISCIPLINAS!$B$41</f>
        <v/>
      </c>
      <c r="C157" s="179">
        <f>IF(OR($N$103="",AND($J$4&lt;&gt;"(todos)",$J$4&lt;&gt;$A157)),"",SUMIFS(Tabela367[Presenças Previstas],Tabela367[Período],$N$103,Tabela367[Curso],$A157,Tabela367[Disciplina],$B157))</f>
        <v/>
      </c>
      <c r="D157" s="179">
        <f>IF(OR($N$103="",AND($J$4&lt;&gt;"(todos)",$J$4&lt;&gt;$A157)),"",SUMIFS(Tabela367[Presenças Registradas],Tabela367[Período],$N$103,Tabela367[Curso],$A157,Tabela367[Disciplina],$B157))</f>
        <v/>
      </c>
      <c r="E157" s="208">
        <f>IF(OR($N$103="",AND($J$4&lt;&gt;"(todos)",$J$4&lt;&gt;$A157)),"",IF(COUNTIFS(Tabela367[Período],$N$103,Tabela367[Curso],$A157,Tabela367[Disciplina],$B157)=0,"",IFERROR(D157/C157,"")))</f>
        <v/>
      </c>
      <c r="F157" s="181">
        <f>IFERROR(IF(SUMPRODUCT(MAX((METAS!$A$5:$A$404="DTNH-03")*(METAS!$B$5:$B$404=IF($A157="","",$A157&amp;" » "&amp;$B157))*(METAS!$D$5:$D$404&lt;=IFERROR(VALUE(SUBSTITUTE($F$4,"-","")),0))*METAS!$D$5:$D$404))&lt;&gt;0,SUMPRODUCT((METAS!$A$5:$A$404="DTNH-03")*(METAS!$B$5:$B$404=IF($A157="","",$A157&amp;" » "&amp;$B157))*(METAS!$D$5:$D$404=SUMPRODUCT(MAX((METAS!$A$5:$A$404="DTNH-03")*(METAS!$B$5:$B$404=IF($A157="","",$A157&amp;" » "&amp;$B157))*(METAS!$D$5:$D$404&lt;=IFERROR(VALUE(SUBSTITUTE($F$4,"-","")),0))*METAS!$D$5:$D$404)))*METAS!$E$5:$E$404),IF(SUMPRODUCT(MAX((METAS!$A$5:$A$404="DTNH-03")*(METAS!$B$5:$B$404=$A157)*(METAS!$D$5:$D$404&lt;=IFERROR(VALUE(SUBSTITUTE($F$4,"-","")),0))*METAS!$D$5:$D$404))&lt;&gt;0,SUMPRODUCT((METAS!$A$5:$A$404="DTNH-03")*(METAS!$B$5:$B$404=$A157)*(METAS!$D$5:$D$404=SUMPRODUCT(MAX((METAS!$A$5:$A$404="DTNH-03")*(METAS!$B$5:$B$404=$A157)*(METAS!$D$5:$D$404&lt;=IFERROR(VALUE(SUBSTITUTE($F$4,"-","")),0))*METAS!$D$5:$D$404)))*METAS!$E$5:$E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E$5:$E$404)))),"")</f>
        <v/>
      </c>
      <c r="G157" s="181">
        <f>IFERROR(IF(SUMPRODUCT(MAX((METAS!$A$5:$A$404="DTNH-03")*(METAS!$B$5:$B$404=IF($A157="","",$A157&amp;" » "&amp;$B157))*(METAS!$D$5:$D$404&lt;=IFERROR(VALUE(SUBSTITUTE($F$4,"-","")),0))*METAS!$D$5:$D$404))&lt;&gt;0,SUMPRODUCT((METAS!$A$5:$A$404="DTNH-03")*(METAS!$B$5:$B$404=IF($A157="","",$A157&amp;" » "&amp;$B157))*(METAS!$D$5:$D$404=SUMPRODUCT(MAX((METAS!$A$5:$A$404="DTNH-03")*(METAS!$B$5:$B$404=IF($A157="","",$A157&amp;" » "&amp;$B157))*(METAS!$D$5:$D$404&lt;=IFERROR(VALUE(SUBSTITUTE($F$4,"-","")),0))*METAS!$D$5:$D$404)))*METAS!$F$5:$F$404),IF(SUMPRODUCT(MAX((METAS!$A$5:$A$404="DTNH-03")*(METAS!$B$5:$B$404=$A157)*(METAS!$D$5:$D$404&lt;=IFERROR(VALUE(SUBSTITUTE($F$4,"-","")),0))*METAS!$D$5:$D$404))&lt;&gt;0,SUMPRODUCT((METAS!$A$5:$A$404="DTNH-03")*(METAS!$B$5:$B$404=$A157)*(METAS!$D$5:$D$404=SUMPRODUCT(MAX((METAS!$A$5:$A$404="DTNH-03")*(METAS!$B$5:$B$404=$A157)*(METAS!$D$5:$D$404&lt;=IFERROR(VALUE(SUBSTITUTE($F$4,"-","")),0))*METAS!$D$5:$D$404)))*METAS!$F$5:$F$404),IF(SUMPRODUCT(MAX((METAS!$A$5:$A$404="DTNH-03")*(METAS!$B$5:$B$404="TOTAL")*(METAS!$D$5:$D$404&lt;=IFERROR(VALUE(SUBSTITUTE($F$4,"-","")),0))*METAS!$D$5:$D$404))=0,"",SUMPRODUCT((METAS!$A$5:$A$404="DTNH-03")*(METAS!$B$5:$B$404="TOTAL")*(METAS!$D$5:$D$404=SUMPRODUCT(MAX((METAS!$A$5:$A$404="DTNH-03")*(METAS!$B$5:$B$404="TOTAL")*(METAS!$D$5:$D$404&lt;=IFERROR(VALUE(SUBSTITUTE($F$4,"-","")),0))*METAS!$D$5:$D$404)))*METAS!$F$5:$F$404)))),"")</f>
        <v/>
      </c>
      <c r="H157" s="171">
        <f>IF(OR(E157="",F157=""),"",IF(ROUND(E157,6)&gt;=ROUND(F157,6),"Dentro da meta",IF(AND(G157&lt;&gt;"",ROUND(E157,6)&gt;=ROUND(G157,6)),"Atenção","Fora da meta")))</f>
        <v/>
      </c>
    </row>
    <row r="158" ht="15" customHeight="1" s="131">
      <c r="A158" s="255" t="inlineStr">
        <is>
          <t>(sem disciplina informada)</t>
        </is>
      </c>
      <c r="B158" s="256" t="inlineStr">
        <is>
          <t>—</t>
        </is>
      </c>
      <c r="C158" s="179">
        <f>IF($N$103="","",SUMIFS(Tabela367[Presenças Previstas],Tabela367[Período],$N$103,Tabela367[Disciplina],""))</f>
        <v/>
      </c>
      <c r="D158" s="179">
        <f>IF($N$103="","",SUMIFS(Tabela367[Presenças Registradas],Tabela367[Período],$N$103,Tabela367[Disciplina],""))</f>
        <v/>
      </c>
      <c r="E158" s="257">
        <f>IF($N$103="","",IF(COUNTIFS(Tabela367[Período],$N$103,Tabela367[Disciplina],"")=0,"",IFERROR(D158/C158,"")))</f>
        <v/>
      </c>
      <c r="F158" s="256" t="inlineStr">
        <is>
          <t>—</t>
        </is>
      </c>
      <c r="G158" s="256" t="inlineStr">
        <is>
          <t>—</t>
        </is>
      </c>
      <c r="H158" s="256" t="inlineStr">
        <is>
          <t>—</t>
        </is>
      </c>
    </row>
    <row r="161" ht="23.25" customHeight="1" s="131">
      <c r="A161" s="246" t="inlineStr">
        <is>
          <t>De onde vem o dado do mês de referência</t>
        </is>
      </c>
    </row>
    <row r="162" ht="33.75" customHeight="1" s="131">
      <c r="A162" s="199" t="inlineStr">
        <is>
          <t>Período</t>
        </is>
      </c>
      <c r="B162" s="199" t="inlineStr">
        <is>
          <t>Rótulo</t>
        </is>
      </c>
      <c r="C162" s="199" t="inlineStr">
        <is>
          <t>Área: Presenças Previstas</t>
        </is>
      </c>
      <c r="D162" s="199" t="inlineStr">
        <is>
          <t>Área: Presenças Registradas</t>
        </is>
      </c>
      <c r="E162" s="199" t="inlineStr">
        <is>
          <t>Valor da área</t>
        </is>
      </c>
      <c r="F162" s="199" t="inlineStr">
        <is>
          <t>Lançamentos</t>
        </is>
      </c>
      <c r="G162" s="199" t="inlineStr">
        <is>
          <t>Foco: Presenças Previstas</t>
        </is>
      </c>
      <c r="H162" s="199" t="inlineStr">
        <is>
          <t>Foco: Presenças Registradas</t>
        </is>
      </c>
      <c r="I162" s="199" t="inlineStr">
        <is>
          <t>Valor do curso em foco</t>
        </is>
      </c>
    </row>
    <row r="163" ht="15" customHeight="1" s="131">
      <c r="A163" s="258">
        <f>IF($F$4="","",$F$4&amp;"-W1")</f>
        <v/>
      </c>
      <c r="B163" s="167" t="inlineStr">
        <is>
          <t>1ª semana</t>
        </is>
      </c>
      <c r="C163" s="179">
        <f>IF($A163="","",SUMIFS(Tabela367[Presenças Previstas],Tabela367[Período],$A163))</f>
        <v/>
      </c>
      <c r="D163" s="179">
        <f>IF($A163="","",SUMIFS(Tabela367[Presenças Registradas],Tabela367[Período],$A163))</f>
        <v/>
      </c>
      <c r="E163" s="208">
        <f>IF($A163="","",IF(COUNTIFS(Tabela367[Período],$A163)=0,"",IFERROR(D163/C163,"")))</f>
        <v/>
      </c>
      <c r="F163" s="244">
        <f>IF($A163="","",COUNTIFS(Tabela367[Período],$A163))</f>
        <v/>
      </c>
      <c r="G163" s="259">
        <f>IF(OR($A163="",NOT(AND($J$4&lt;&gt;"(todos)"))),"",SUMIFS(Tabela367[Presenças Previstas],Tabela367[Período],$A163,Tabela367[Curso],$J$4))</f>
        <v/>
      </c>
      <c r="H163" s="259">
        <f>IF(OR($A163="",NOT(AND($J$4&lt;&gt;"(todos)"))),"",SUMIFS(Tabela367[Presenças Registradas],Tabela367[Período],$A163,Tabela367[Curso],$J$4))</f>
        <v/>
      </c>
      <c r="I163" s="260">
        <f>IF(OR($A163="",NOT(AND($J$4&lt;&gt;"(todos)"))),"",IF(COUNTIFS(Tabela367[Período],$A163,Tabela367[Curso],$J$4)=0,"",IFERROR(H163/G163,"")))</f>
        <v/>
      </c>
    </row>
    <row r="164" ht="15" customHeight="1" s="131">
      <c r="A164" s="258">
        <f>IF($F$4="","",$F$4&amp;"-W2")</f>
        <v/>
      </c>
      <c r="B164" s="167" t="inlineStr">
        <is>
          <t>2ª semana</t>
        </is>
      </c>
      <c r="C164" s="179">
        <f>IF($A164="","",SUMIFS(Tabela367[Presenças Previstas],Tabela367[Período],$A164))</f>
        <v/>
      </c>
      <c r="D164" s="179">
        <f>IF($A164="","",SUMIFS(Tabela367[Presenças Registradas],Tabela367[Período],$A164))</f>
        <v/>
      </c>
      <c r="E164" s="208">
        <f>IF($A164="","",IF(COUNTIFS(Tabela367[Período],$A164)=0,"",IFERROR(D164/C164,"")))</f>
        <v/>
      </c>
      <c r="F164" s="244">
        <f>IF($A164="","",COUNTIFS(Tabela367[Período],$A164))</f>
        <v/>
      </c>
      <c r="G164" s="259">
        <f>IF(OR($A164="",NOT(AND($J$4&lt;&gt;"(todos)"))),"",SUMIFS(Tabela367[Presenças Previstas],Tabela367[Período],$A164,Tabela367[Curso],$J$4))</f>
        <v/>
      </c>
      <c r="H164" s="259">
        <f>IF(OR($A164="",NOT(AND($J$4&lt;&gt;"(todos)"))),"",SUMIFS(Tabela367[Presenças Registradas],Tabela367[Período],$A164,Tabela367[Curso],$J$4))</f>
        <v/>
      </c>
      <c r="I164" s="260">
        <f>IF(OR($A164="",NOT(AND($J$4&lt;&gt;"(todos)"))),"",IF(COUNTIFS(Tabela367[Período],$A164,Tabela367[Curso],$J$4)=0,"",IFERROR(H164/G164,"")))</f>
        <v/>
      </c>
    </row>
    <row r="165" ht="15" customHeight="1" s="131">
      <c r="A165" s="258">
        <f>IF($F$4="","",$F$4&amp;"-W3")</f>
        <v/>
      </c>
      <c r="B165" s="167" t="inlineStr">
        <is>
          <t>3ª semana</t>
        </is>
      </c>
      <c r="C165" s="179">
        <f>IF($A165="","",SUMIFS(Tabela367[Presenças Previstas],Tabela367[Período],$A165))</f>
        <v/>
      </c>
      <c r="D165" s="179">
        <f>IF($A165="","",SUMIFS(Tabela367[Presenças Registradas],Tabela367[Período],$A165))</f>
        <v/>
      </c>
      <c r="E165" s="208">
        <f>IF($A165="","",IF(COUNTIFS(Tabela367[Período],$A165)=0,"",IFERROR(D165/C165,"")))</f>
        <v/>
      </c>
      <c r="F165" s="244">
        <f>IF($A165="","",COUNTIFS(Tabela367[Período],$A165))</f>
        <v/>
      </c>
      <c r="G165" s="259">
        <f>IF(OR($A165="",NOT(AND($J$4&lt;&gt;"(todos)"))),"",SUMIFS(Tabela367[Presenças Previstas],Tabela367[Período],$A165,Tabela367[Curso],$J$4))</f>
        <v/>
      </c>
      <c r="H165" s="259">
        <f>IF(OR($A165="",NOT(AND($J$4&lt;&gt;"(todos)"))),"",SUMIFS(Tabela367[Presenças Registradas],Tabela367[Período],$A165,Tabela367[Curso],$J$4))</f>
        <v/>
      </c>
      <c r="I165" s="260">
        <f>IF(OR($A165="",NOT(AND($J$4&lt;&gt;"(todos)"))),"",IF(COUNTIFS(Tabela367[Período],$A165,Tabela367[Curso],$J$4)=0,"",IFERROR(H165/G165,"")))</f>
        <v/>
      </c>
    </row>
    <row r="166" ht="15" customHeight="1" s="131">
      <c r="A166" s="258">
        <f>IF($F$4="","",$F$4&amp;"-W4")</f>
        <v/>
      </c>
      <c r="B166" s="167" t="inlineStr">
        <is>
          <t>4ª semana</t>
        </is>
      </c>
      <c r="C166" s="179">
        <f>IF($A166="","",SUMIFS(Tabela367[Presenças Previstas],Tabela367[Período],$A166))</f>
        <v/>
      </c>
      <c r="D166" s="179">
        <f>IF($A166="","",SUMIFS(Tabela367[Presenças Registradas],Tabela367[Período],$A166))</f>
        <v/>
      </c>
      <c r="E166" s="208">
        <f>IF($A166="","",IF(COUNTIFS(Tabela367[Período],$A166)=0,"",IFERROR(D166/C166,"")))</f>
        <v/>
      </c>
      <c r="F166" s="244">
        <f>IF($A166="","",COUNTIFS(Tabela367[Período],$A166))</f>
        <v/>
      </c>
      <c r="G166" s="259">
        <f>IF(OR($A166="",NOT(AND($J$4&lt;&gt;"(todos)"))),"",SUMIFS(Tabela367[Presenças Previstas],Tabela367[Período],$A166,Tabela367[Curso],$J$4))</f>
        <v/>
      </c>
      <c r="H166" s="259">
        <f>IF(OR($A166="",NOT(AND($J$4&lt;&gt;"(todos)"))),"",SUMIFS(Tabela367[Presenças Registradas],Tabela367[Período],$A166,Tabela367[Curso],$J$4))</f>
        <v/>
      </c>
      <c r="I166" s="260">
        <f>IF(OR($A166="",NOT(AND($J$4&lt;&gt;"(todos)"))),"",IF(COUNTIFS(Tabela367[Período],$A166,Tabela367[Curso],$J$4)=0,"",IFERROR(H166/G166,"")))</f>
        <v/>
      </c>
    </row>
    <row r="167" ht="15" customHeight="1" s="131">
      <c r="A167" s="258">
        <f>IF($F$4="","",$F$4&amp;"-W5")</f>
        <v/>
      </c>
      <c r="B167" s="167" t="inlineStr">
        <is>
          <t>5ª semana</t>
        </is>
      </c>
      <c r="C167" s="179">
        <f>IF($A167="","",SUMIFS(Tabela367[Presenças Previstas],Tabela367[Período],$A167))</f>
        <v/>
      </c>
      <c r="D167" s="179">
        <f>IF($A167="","",SUMIFS(Tabela367[Presenças Registradas],Tabela367[Período],$A167))</f>
        <v/>
      </c>
      <c r="E167" s="208">
        <f>IF($A167="","",IF(COUNTIFS(Tabela367[Período],$A167)=0,"",IFERROR(D167/C167,"")))</f>
        <v/>
      </c>
      <c r="F167" s="244">
        <f>IF($A167="","",COUNTIFS(Tabela367[Período],$A167))</f>
        <v/>
      </c>
      <c r="G167" s="259">
        <f>IF(OR($A167="",NOT(AND($J$4&lt;&gt;"(todos)"))),"",SUMIFS(Tabela367[Presenças Previstas],Tabela367[Período],$A167,Tabela367[Curso],$J$4))</f>
        <v/>
      </c>
      <c r="H167" s="259">
        <f>IF(OR($A167="",NOT(AND($J$4&lt;&gt;"(todos)"))),"",SUMIFS(Tabela367[Presenças Registradas],Tabela367[Período],$A167,Tabela367[Curso],$J$4))</f>
        <v/>
      </c>
      <c r="I167" s="260">
        <f>IF(OR($A167="",NOT(AND($J$4&lt;&gt;"(todos)"))),"",IF(COUNTIFS(Tabela367[Período],$A167,Tabela367[Curso],$J$4)=0,"",IFERROR(H167/G167,"")))</f>
        <v/>
      </c>
    </row>
    <row r="168" ht="15" customHeight="1" s="131">
      <c r="A168" s="258">
        <f>IF($F$4="","",$F$4&amp;"-Q1")</f>
        <v/>
      </c>
      <c r="B168" s="167" t="inlineStr">
        <is>
          <t>1ª quinzena</t>
        </is>
      </c>
      <c r="C168" s="179">
        <f>IF($A168="","",SUMIFS(Tabela367[Presenças Previstas],Tabela367[Período],$A168))</f>
        <v/>
      </c>
      <c r="D168" s="179">
        <f>IF($A168="","",SUMIFS(Tabela367[Presenças Registradas],Tabela367[Período],$A168))</f>
        <v/>
      </c>
      <c r="E168" s="208">
        <f>IF($A168="","",IF(COUNTIFS(Tabela367[Período],$A168)=0,"",IFERROR(D168/C168,"")))</f>
        <v/>
      </c>
      <c r="F168" s="244">
        <f>IF($A168="","",COUNTIFS(Tabela367[Período],$A168))</f>
        <v/>
      </c>
      <c r="G168" s="259">
        <f>IF(OR($A168="",NOT(AND($J$4&lt;&gt;"(todos)"))),"",SUMIFS(Tabela367[Presenças Previstas],Tabela367[Período],$A168,Tabela367[Curso],$J$4))</f>
        <v/>
      </c>
      <c r="H168" s="259">
        <f>IF(OR($A168="",NOT(AND($J$4&lt;&gt;"(todos)"))),"",SUMIFS(Tabela367[Presenças Registradas],Tabela367[Período],$A168,Tabela367[Curso],$J$4))</f>
        <v/>
      </c>
      <c r="I168" s="260">
        <f>IF(OR($A168="",NOT(AND($J$4&lt;&gt;"(todos)"))),"",IF(COUNTIFS(Tabela367[Período],$A168,Tabela367[Curso],$J$4)=0,"",IFERROR(H168/G168,"")))</f>
        <v/>
      </c>
    </row>
    <row r="169" ht="15" customHeight="1" s="131">
      <c r="A169" s="258">
        <f>IF($F$4="","",$F$4&amp;"-Q2")</f>
        <v/>
      </c>
      <c r="B169" s="167" t="inlineStr">
        <is>
          <t>2ª quinzena</t>
        </is>
      </c>
      <c r="C169" s="179">
        <f>IF($A169="","",SUMIFS(Tabela367[Presenças Previstas],Tabela367[Período],$A169))</f>
        <v/>
      </c>
      <c r="D169" s="179">
        <f>IF($A169="","",SUMIFS(Tabela367[Presenças Registradas],Tabela367[Período],$A169))</f>
        <v/>
      </c>
      <c r="E169" s="208">
        <f>IF($A169="","",IF(COUNTIFS(Tabela367[Período],$A169)=0,"",IFERROR(D169/C169,"")))</f>
        <v/>
      </c>
      <c r="F169" s="244">
        <f>IF($A169="","",COUNTIFS(Tabela367[Período],$A169))</f>
        <v/>
      </c>
      <c r="G169" s="259">
        <f>IF(OR($A169="",NOT(AND($J$4&lt;&gt;"(todos)"))),"",SUMIFS(Tabela367[Presenças Previstas],Tabela367[Período],$A169,Tabela367[Curso],$J$4))</f>
        <v/>
      </c>
      <c r="H169" s="259">
        <f>IF(OR($A169="",NOT(AND($J$4&lt;&gt;"(todos)"))),"",SUMIFS(Tabela367[Presenças Registradas],Tabela367[Período],$A169,Tabela367[Curso],$J$4))</f>
        <v/>
      </c>
      <c r="I169" s="260">
        <f>IF(OR($A169="",NOT(AND($J$4&lt;&gt;"(todos)"))),"",IF(COUNTIFS(Tabela367[Período],$A169,Tabela367[Curso],$J$4)=0,"",IFERROR(H169/G169,"")))</f>
        <v/>
      </c>
    </row>
    <row r="170" ht="15" customHeight="1" s="131">
      <c r="A170" s="258">
        <f>IF($F$4="","",$F$4)</f>
        <v/>
      </c>
      <c r="B170" s="255" t="inlineStr">
        <is>
          <t>mês inteiro</t>
        </is>
      </c>
      <c r="C170" s="179">
        <f>IF($A170="","",SUMIFS(Tabela367[Presenças Previstas],Tabela367[Período],$A170))</f>
        <v/>
      </c>
      <c r="D170" s="179">
        <f>IF($A170="","",SUMIFS(Tabela367[Presenças Registradas],Tabela367[Período],$A170))</f>
        <v/>
      </c>
      <c r="E170" s="208">
        <f>IF($A170="","",IF(COUNTIFS(Tabela367[Período],$A170)=0,"",IFERROR(D170/C170,"")))</f>
        <v/>
      </c>
      <c r="F170" s="244">
        <f>IF($A170="","",COUNTIFS(Tabela367[Período],$A170))</f>
        <v/>
      </c>
      <c r="G170" s="259">
        <f>IF(OR($A170="",NOT(AND($J$4&lt;&gt;"(todos)"))),"",SUMIFS(Tabela367[Presenças Previstas],Tabela367[Período],$A170,Tabela367[Curso],$J$4))</f>
        <v/>
      </c>
      <c r="H170" s="259">
        <f>IF(OR($A170="",NOT(AND($J$4&lt;&gt;"(todos)"))),"",SUMIFS(Tabela367[Presenças Registradas],Tabela367[Período],$A170,Tabela367[Curso],$J$4))</f>
        <v/>
      </c>
      <c r="I170" s="260">
        <f>IF(OR($A170="",NOT(AND($J$4&lt;&gt;"(todos)"))),"",IF(COUNTIFS(Tabela367[Período],$A170,Tabela367[Curso],$J$4)=0,"",IFERROR(H170/G170,"")))</f>
        <v/>
      </c>
    </row>
    <row r="171" ht="21.75" customHeight="1" s="131">
      <c r="A171" s="258">
        <f>IF($F$4="","",LEFT($F$4,4)&amp;"-SEM"&amp;IF(VALUE(RIGHT($F$4,2))&lt;=6,1,2))</f>
        <v/>
      </c>
      <c r="B171" s="255" t="inlineStr">
        <is>
          <t>semestre (propagado)</t>
        </is>
      </c>
      <c r="C171" s="179">
        <f>IF($A171="","",SUMIFS(Tabela367[Presenças Previstas],Tabela367[Período],$A171))</f>
        <v/>
      </c>
      <c r="D171" s="179">
        <f>IF($A171="","",SUMIFS(Tabela367[Presenças Registradas],Tabela367[Período],$A171))</f>
        <v/>
      </c>
      <c r="E171" s="208">
        <f>IF($A171="","",IF(COUNTIFS(Tabela367[Período],$A171)=0,"",IFERROR(D171/C171,"")))</f>
        <v/>
      </c>
      <c r="F171" s="244">
        <f>IF($A171="","",COUNTIFS(Tabela367[Período],$A171))</f>
        <v/>
      </c>
      <c r="G171" s="259">
        <f>IF(OR($A171="",NOT(AND($J$4&lt;&gt;"(todos)"))),"",SUMIFS(Tabela367[Presenças Previstas],Tabela367[Período],$A171,Tabela367[Curso],$J$4))</f>
        <v/>
      </c>
      <c r="H171" s="259">
        <f>IF(OR($A171="",NOT(AND($J$4&lt;&gt;"(todos)"))),"",SUMIFS(Tabela367[Presenças Registradas],Tabela367[Período],$A171,Tabela367[Curso],$J$4))</f>
        <v/>
      </c>
      <c r="I171" s="260">
        <f>IF(OR($A171="",NOT(AND($J$4&lt;&gt;"(todos)"))),"",IF(COUNTIFS(Tabela367[Período],$A171,Tabela367[Curso],$J$4)=0,"",IFERROR(H171/G171,"")))</f>
        <v/>
      </c>
    </row>
  </sheetData>
  <mergeCells count="2">
    <mergeCell ref="A1:O1"/>
    <mergeCell ref="A2:O2"/>
  </mergeCells>
  <conditionalFormatting sqref="J37">
    <cfRule type="cellIs" rank="0" priority="2" equalAverage="0" operator="equal" aboveAverage="0" dxfId="1" text="" percent="0" bottom="0">
      <formula>"Dentro da meta"</formula>
    </cfRule>
    <cfRule type="cellIs" rank="0" priority="3" equalAverage="0" operator="equal" aboveAverage="0" dxfId="2" text="" percent="0" bottom="0">
      <formula>"Atenção"</formula>
    </cfRule>
    <cfRule type="cellIs" rank="0" priority="4" equalAverage="0" operator="equal" aboveAverage="0" dxfId="0" text="" percent="0" bottom="0">
      <formula>"Fora da meta"</formula>
    </cfRule>
  </conditionalFormatting>
  <conditionalFormatting sqref="K41:K49">
    <cfRule type="cellIs" rank="0" priority="5" equalAverage="0" operator="equal" aboveAverage="0" dxfId="1" text="" percent="0" bottom="0">
      <formula>"Dentro da meta"</formula>
    </cfRule>
    <cfRule type="cellIs" rank="0" priority="6" equalAverage="0" operator="equal" aboveAverage="0" dxfId="2" text="" percent="0" bottom="0">
      <formula>"Atenção"</formula>
    </cfRule>
    <cfRule type="cellIs" rank="0" priority="7" equalAverage="0" operator="equal" aboveAverage="0" dxfId="0" text="" percent="0" bottom="0">
      <formula>"Fora da meta"</formula>
    </cfRule>
  </conditionalFormatting>
  <conditionalFormatting sqref="J70">
    <cfRule type="cellIs" rank="0" priority="8" equalAverage="0" operator="equal" aboveAverage="0" dxfId="1" text="" percent="0" bottom="0">
      <formula>"Dentro da meta"</formula>
    </cfRule>
    <cfRule type="cellIs" rank="0" priority="9" equalAverage="0" operator="equal" aboveAverage="0" dxfId="2" text="" percent="0" bottom="0">
      <formula>"Atenção"</formula>
    </cfRule>
    <cfRule type="cellIs" rank="0" priority="10" equalAverage="0" operator="equal" aboveAverage="0" dxfId="0" text="" percent="0" bottom="0">
      <formula>"Fora da meta"</formula>
    </cfRule>
  </conditionalFormatting>
  <conditionalFormatting sqref="H74:H82">
    <cfRule type="cellIs" rank="0" priority="11" equalAverage="0" operator="equal" aboveAverage="0" dxfId="1" text="" percent="0" bottom="0">
      <formula>"Dentro da meta"</formula>
    </cfRule>
    <cfRule type="cellIs" rank="0" priority="12" equalAverage="0" operator="equal" aboveAverage="0" dxfId="2" text="" percent="0" bottom="0">
      <formula>"Atenção"</formula>
    </cfRule>
    <cfRule type="cellIs" rank="0" priority="13" equalAverage="0" operator="equal" aboveAverage="0" dxfId="0" text="" percent="0" bottom="0">
      <formula>"Fora da meta"</formula>
    </cfRule>
  </conditionalFormatting>
  <conditionalFormatting sqref="J103">
    <cfRule type="cellIs" rank="0" priority="14" equalAverage="0" operator="equal" aboveAverage="0" dxfId="1" text="" percent="0" bottom="0">
      <formula>"Dentro da meta"</formula>
    </cfRule>
    <cfRule type="cellIs" rank="0" priority="15" equalAverage="0" operator="equal" aboveAverage="0" dxfId="2" text="" percent="0" bottom="0">
      <formula>"Atenção"</formula>
    </cfRule>
    <cfRule type="cellIs" rank="0" priority="16" equalAverage="0" operator="equal" aboveAverage="0" dxfId="0" text="" percent="0" bottom="0">
      <formula>"Fora da meta"</formula>
    </cfRule>
  </conditionalFormatting>
  <conditionalFormatting sqref="I107:I115">
    <cfRule type="cellIs" rank="0" priority="17" equalAverage="0" operator="equal" aboveAverage="0" dxfId="1" text="" percent="0" bottom="0">
      <formula>"Dentro da meta"</formula>
    </cfRule>
    <cfRule type="cellIs" rank="0" priority="18" equalAverage="0" operator="equal" aboveAverage="0" dxfId="2" text="" percent="0" bottom="0">
      <formula>"Atenção"</formula>
    </cfRule>
    <cfRule type="cellIs" rank="0" priority="19" equalAverage="0" operator="equal" aboveAverage="0" dxfId="0" text="" percent="0" bottom="0">
      <formula>"Fora da meta"</formula>
    </cfRule>
  </conditionalFormatting>
  <conditionalFormatting sqref="H121:H157">
    <cfRule type="cellIs" rank="0" priority="20" equalAverage="0" operator="equal" aboveAverage="0" dxfId="1" text="" percent="0" bottom="0">
      <formula>"Dentro da meta"</formula>
    </cfRule>
    <cfRule type="cellIs" rank="0" priority="21" equalAverage="0" operator="equal" aboveAverage="0" dxfId="2" text="" percent="0" bottom="0">
      <formula>"Atenção"</formula>
    </cfRule>
    <cfRule type="cellIs" rank="0" priority="22" equalAverage="0" operator="equal" aboveAverage="0" dxfId="0" text="" percent="0" bottom="0">
      <formula>"Fora da meta"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I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" customWidth="1" style="130" min="1" max="1"/>
    <col width="20" customWidth="1" style="130" min="2" max="2"/>
    <col width="14" customWidth="1" style="130" min="3" max="3"/>
    <col width="10" customWidth="1" style="130" min="4" max="4"/>
    <col width="22" customWidth="1" style="130" min="5" max="5"/>
    <col width="24" customWidth="1" style="130" min="6" max="6"/>
    <col width="26" customWidth="1" style="130" min="7" max="7"/>
    <col width="40" customWidth="1" style="130" min="8" max="8"/>
    <col width="22" customWidth="1" style="130" min="9" max="9"/>
  </cols>
  <sheetData>
    <row r="1" ht="24" customHeight="1" s="131">
      <c r="A1" s="132" t="inlineStr">
        <is>
          <t>LISTAS DE APOIO</t>
        </is>
      </c>
    </row>
    <row r="2" ht="30" customHeight="1" s="131">
      <c r="A2" s="133" t="inlineStr">
        <is>
          <t>Usadas pelas validações. Não apague colunas.</t>
        </is>
      </c>
    </row>
    <row r="4" ht="30" customHeight="1" s="131">
      <c r="A4" s="199" t="inlineStr">
        <is>
          <t>Recortes (área + cursos)</t>
        </is>
      </c>
      <c r="B4" s="199" t="inlineStr">
        <is>
          <t>Códigos de KPI</t>
        </is>
      </c>
      <c r="C4" s="199" t="inlineStr">
        <is>
          <t>Sim / Não</t>
        </is>
      </c>
      <c r="D4" s="199" t="inlineStr">
        <is>
          <t>Ativo</t>
        </is>
      </c>
      <c r="E4" s="199" t="inlineStr">
        <is>
          <t>Status possíveis</t>
        </is>
      </c>
      <c r="F4" s="199" t="inlineStr">
        <is>
          <t>Status do plano de ação</t>
        </is>
      </c>
      <c r="G4" s="199" t="inlineStr">
        <is>
          <t>Periodicidade de alimentação</t>
        </is>
      </c>
      <c r="H4" s="199" t="inlineStr">
        <is>
          <t>Curso em foco</t>
        </is>
      </c>
      <c r="I4" s="199" t="inlineStr">
        <is>
          <t>Nível de detalhe</t>
        </is>
      </c>
    </row>
    <row r="5" ht="15" customHeight="1" s="131">
      <c r="A5" s="218" t="inlineStr">
        <is>
          <t>TOTAL</t>
        </is>
      </c>
      <c r="B5" s="164" t="inlineStr">
        <is>
          <t>DTNH-01</t>
        </is>
      </c>
      <c r="C5" s="164" t="inlineStr">
        <is>
          <t>Não</t>
        </is>
      </c>
      <c r="D5" s="164" t="inlineStr">
        <is>
          <t>S</t>
        </is>
      </c>
      <c r="E5" s="164" t="inlineStr">
        <is>
          <t>Dentro da meta</t>
        </is>
      </c>
      <c r="F5" s="164" t="inlineStr">
        <is>
          <t>Não iniciado</t>
        </is>
      </c>
      <c r="G5" s="164" t="inlineStr">
        <is>
          <t>Semanal</t>
        </is>
      </c>
      <c r="H5" s="164" t="inlineStr">
        <is>
          <t>(todos)</t>
        </is>
      </c>
      <c r="I5" s="164" t="inlineStr">
        <is>
          <t>Curso</t>
        </is>
      </c>
    </row>
    <row r="6" ht="15" customHeight="1" s="131">
      <c r="A6" s="218" t="inlineStr">
        <is>
          <t>Administração</t>
        </is>
      </c>
      <c r="B6" s="164" t="inlineStr">
        <is>
          <t>DTNH-02</t>
        </is>
      </c>
      <c r="C6" s="164" t="inlineStr">
        <is>
          <t>Sim</t>
        </is>
      </c>
      <c r="D6" s="164" t="inlineStr">
        <is>
          <t>N</t>
        </is>
      </c>
      <c r="E6" s="164" t="inlineStr">
        <is>
          <t>Atenção</t>
        </is>
      </c>
      <c r="F6" s="164" t="inlineStr">
        <is>
          <t>Em andamento</t>
        </is>
      </c>
      <c r="G6" s="164" t="inlineStr">
        <is>
          <t>Quinzenal</t>
        </is>
      </c>
      <c r="H6" s="164" t="inlineStr">
        <is>
          <t>Administração</t>
        </is>
      </c>
      <c r="I6" s="164" t="inlineStr">
        <is>
          <t>Curso e disciplina</t>
        </is>
      </c>
    </row>
    <row r="7" ht="15" customHeight="1" s="131">
      <c r="A7" s="218" t="inlineStr">
        <is>
          <t>Agronomia</t>
        </is>
      </c>
      <c r="B7" s="164" t="inlineStr">
        <is>
          <t>DTNH-03</t>
        </is>
      </c>
      <c r="E7" s="164" t="inlineStr">
        <is>
          <t>Fora da meta</t>
        </is>
      </c>
      <c r="F7" s="164" t="inlineStr">
        <is>
          <t>Concluído</t>
        </is>
      </c>
      <c r="G7" s="164" t="inlineStr">
        <is>
          <t>Mensal</t>
        </is>
      </c>
      <c r="H7" s="164" t="inlineStr">
        <is>
          <t>Agronomia</t>
        </is>
      </c>
    </row>
    <row r="8" ht="15" customHeight="1" s="131">
      <c r="A8" s="218" t="inlineStr">
        <is>
          <t>Análise e Desenvolvimento de Sistemas</t>
        </is>
      </c>
      <c r="F8" s="164" t="inlineStr">
        <is>
          <t>Atrasado</t>
        </is>
      </c>
      <c r="G8" s="164" t="inlineStr">
        <is>
          <t>Semestral</t>
        </is>
      </c>
      <c r="H8" s="164" t="inlineStr">
        <is>
          <t>Análise e Desenvolvimento de Sistemas</t>
        </is>
      </c>
    </row>
    <row r="9" ht="15" customHeight="1" s="131">
      <c r="A9" s="218" t="inlineStr">
        <is>
          <t>Arquitetura e Urbanismo</t>
        </is>
      </c>
      <c r="F9" s="164" t="inlineStr">
        <is>
          <t>Cancelado</t>
        </is>
      </c>
      <c r="H9" s="164" t="inlineStr">
        <is>
          <t>Arquitetura e Urbanismo</t>
        </is>
      </c>
    </row>
    <row r="10" ht="15" customHeight="1" s="131">
      <c r="A10" s="218" t="inlineStr">
        <is>
          <t>Ciências Contábeis</t>
        </is>
      </c>
      <c r="H10" s="164" t="inlineStr">
        <is>
          <t>Ciências Contábeis</t>
        </is>
      </c>
    </row>
    <row r="11" ht="15" customHeight="1" s="131">
      <c r="A11" s="218" t="inlineStr">
        <is>
          <t>Comunicação Social</t>
        </is>
      </c>
      <c r="H11" s="164" t="inlineStr">
        <is>
          <t>Comunicação Social</t>
        </is>
      </c>
    </row>
    <row r="12" ht="15" customHeight="1" s="131">
      <c r="A12" s="218" t="inlineStr">
        <is>
          <t>Direito</t>
        </is>
      </c>
      <c r="H12" s="164" t="inlineStr">
        <is>
          <t>Direito</t>
        </is>
      </c>
    </row>
    <row r="13" ht="15" customHeight="1" s="131">
      <c r="A13" s="218" t="inlineStr">
        <is>
          <t>Engenharia de Produção</t>
        </is>
      </c>
      <c r="H13" s="164" t="inlineStr">
        <is>
          <t>Engenharia de Produção</t>
        </is>
      </c>
    </row>
    <row r="14" ht="15" customHeight="1" s="131">
      <c r="A14" s="218" t="inlineStr">
        <is>
          <t>Engenharia Mecânica</t>
        </is>
      </c>
      <c r="H14" s="164" t="inlineStr">
        <is>
          <t>Engenharia Mecânica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E29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130" min="1" max="1"/>
    <col width="18" customWidth="1" style="130" min="2" max="4"/>
    <col width="34" customWidth="1" style="130" min="5" max="5"/>
  </cols>
  <sheetData>
    <row r="1" ht="24" customHeight="1" s="131">
      <c r="A1" s="132" t="inlineStr">
        <is>
          <t>DIMENSÃO DE PERÍODOS DE ALIMENTAÇÃO</t>
        </is>
      </c>
    </row>
    <row r="2" ht="30" customHeight="1" s="131">
      <c r="A2" s="133" t="inlineStr">
        <is>
          <t>Uma coluna por grão. O código do sub-período sempre começa com o código do mês, e é isso que permite ao CALC somar semanas, quinzenas e mês inteiro na mesma fórmula. Semestre tem código próprio (AAAA-SEM1/SEM2). Para estender além de 2029, continue as sequências.</t>
        </is>
      </c>
    </row>
    <row r="4" ht="30" customHeight="1" s="131">
      <c r="A4" s="199" t="inlineStr">
        <is>
          <t>Mensal</t>
        </is>
      </c>
      <c r="B4" s="199" t="inlineStr">
        <is>
          <t>Quinzenal</t>
        </is>
      </c>
      <c r="C4" s="199" t="inlineStr">
        <is>
          <t>Semanal</t>
        </is>
      </c>
      <c r="D4" s="199" t="inlineStr">
        <is>
          <t>Semestral</t>
        </is>
      </c>
      <c r="E4" s="199" t="inlineStr">
        <is>
          <t>Legado de frequência (não utilizado no fluxo mensal)</t>
        </is>
      </c>
    </row>
    <row r="5" ht="15" customHeight="1" s="131">
      <c r="A5" s="164" t="inlineStr">
        <is>
          <t>2026-01</t>
        </is>
      </c>
      <c r="B5" s="164" t="inlineStr">
        <is>
          <t>2026-01-Q1</t>
        </is>
      </c>
      <c r="C5" s="164" t="inlineStr">
        <is>
          <t>2026-01-W1</t>
        </is>
      </c>
      <c r="D5" s="164" t="inlineStr">
        <is>
          <t>2026-SEM1</t>
        </is>
      </c>
      <c r="E5" s="164" t="inlineStr">
        <is>
          <t>2026-01-W1</t>
        </is>
      </c>
    </row>
    <row r="6" ht="15" customHeight="1" s="131">
      <c r="A6" s="164" t="inlineStr">
        <is>
          <t>2026-02</t>
        </is>
      </c>
      <c r="B6" s="164" t="inlineStr">
        <is>
          <t>2026-01-Q2</t>
        </is>
      </c>
      <c r="C6" s="164" t="inlineStr">
        <is>
          <t>2026-01-W2</t>
        </is>
      </c>
      <c r="D6" s="164" t="inlineStr">
        <is>
          <t>2026-SEM2</t>
        </is>
      </c>
      <c r="E6" s="164" t="inlineStr">
        <is>
          <t>2026-01-W2</t>
        </is>
      </c>
    </row>
    <row r="7" ht="15" customHeight="1" s="131">
      <c r="A7" s="164" t="inlineStr">
        <is>
          <t>2026-03</t>
        </is>
      </c>
      <c r="B7" s="164" t="inlineStr">
        <is>
          <t>2026-02-Q1</t>
        </is>
      </c>
      <c r="C7" s="164" t="inlineStr">
        <is>
          <t>2026-01-W3</t>
        </is>
      </c>
      <c r="D7" s="164" t="inlineStr">
        <is>
          <t>2027-SEM1</t>
        </is>
      </c>
      <c r="E7" s="164" t="inlineStr">
        <is>
          <t>2026-01-W3</t>
        </is>
      </c>
    </row>
    <row r="8" ht="15" customHeight="1" s="131">
      <c r="A8" s="164" t="inlineStr">
        <is>
          <t>2026-04</t>
        </is>
      </c>
      <c r="B8" s="164" t="inlineStr">
        <is>
          <t>2026-02-Q2</t>
        </is>
      </c>
      <c r="C8" s="164" t="inlineStr">
        <is>
          <t>2026-01-W4</t>
        </is>
      </c>
      <c r="D8" s="164" t="inlineStr">
        <is>
          <t>2027-SEM2</t>
        </is>
      </c>
      <c r="E8" s="164" t="inlineStr">
        <is>
          <t>2026-01-W4</t>
        </is>
      </c>
    </row>
    <row r="9" ht="15" customHeight="1" s="131">
      <c r="A9" s="164" t="inlineStr">
        <is>
          <t>2026-05</t>
        </is>
      </c>
      <c r="B9" s="164" t="inlineStr">
        <is>
          <t>2026-03-Q1</t>
        </is>
      </c>
      <c r="C9" s="164" t="inlineStr">
        <is>
          <t>2026-01-W5</t>
        </is>
      </c>
      <c r="D9" s="164" t="inlineStr">
        <is>
          <t>2028-SEM1</t>
        </is>
      </c>
      <c r="E9" s="164" t="inlineStr">
        <is>
          <t>2026-01-W5</t>
        </is>
      </c>
    </row>
    <row r="10" ht="15" customHeight="1" s="131">
      <c r="A10" s="164" t="inlineStr">
        <is>
          <t>2026-06</t>
        </is>
      </c>
      <c r="B10" s="164" t="inlineStr">
        <is>
          <t>2026-03-Q2</t>
        </is>
      </c>
      <c r="C10" s="164" t="inlineStr">
        <is>
          <t>2026-02-W1</t>
        </is>
      </c>
      <c r="D10" s="164" t="inlineStr">
        <is>
          <t>2028-SEM2</t>
        </is>
      </c>
      <c r="E10" s="164" t="inlineStr">
        <is>
          <t>2026-02-W1</t>
        </is>
      </c>
    </row>
    <row r="11" ht="15" customHeight="1" s="131">
      <c r="A11" s="164" t="inlineStr">
        <is>
          <t>2026-07</t>
        </is>
      </c>
      <c r="B11" s="164" t="inlineStr">
        <is>
          <t>2026-04-Q1</t>
        </is>
      </c>
      <c r="C11" s="164" t="inlineStr">
        <is>
          <t>2026-02-W2</t>
        </is>
      </c>
      <c r="D11" s="164" t="inlineStr">
        <is>
          <t>2029-SEM1</t>
        </is>
      </c>
      <c r="E11" s="164" t="inlineStr">
        <is>
          <t>2026-02-W2</t>
        </is>
      </c>
    </row>
    <row r="12" ht="15" customHeight="1" s="131">
      <c r="A12" s="164" t="inlineStr">
        <is>
          <t>2026-08</t>
        </is>
      </c>
      <c r="B12" s="164" t="inlineStr">
        <is>
          <t>2026-04-Q2</t>
        </is>
      </c>
      <c r="C12" s="164" t="inlineStr">
        <is>
          <t>2026-02-W3</t>
        </is>
      </c>
      <c r="D12" s="164" t="inlineStr">
        <is>
          <t>2029-SEM2</t>
        </is>
      </c>
      <c r="E12" s="164" t="inlineStr">
        <is>
          <t>2026-02-W3</t>
        </is>
      </c>
    </row>
    <row r="13" ht="15" customHeight="1" s="131">
      <c r="A13" s="164" t="inlineStr">
        <is>
          <t>2026-09</t>
        </is>
      </c>
      <c r="B13" s="164" t="inlineStr">
        <is>
          <t>2026-05-Q1</t>
        </is>
      </c>
      <c r="C13" s="164" t="inlineStr">
        <is>
          <t>2026-02-W4</t>
        </is>
      </c>
      <c r="E13" s="164" t="inlineStr">
        <is>
          <t>2026-02-W4</t>
        </is>
      </c>
    </row>
    <row r="14" ht="15" customHeight="1" s="131">
      <c r="A14" s="164" t="inlineStr">
        <is>
          <t>2026-10</t>
        </is>
      </c>
      <c r="B14" s="164" t="inlineStr">
        <is>
          <t>2026-05-Q2</t>
        </is>
      </c>
      <c r="C14" s="164" t="inlineStr">
        <is>
          <t>2026-02-W5</t>
        </is>
      </c>
      <c r="E14" s="164" t="inlineStr">
        <is>
          <t>2026-02-W5</t>
        </is>
      </c>
    </row>
    <row r="15" ht="15" customHeight="1" s="131">
      <c r="A15" s="164" t="inlineStr">
        <is>
          <t>2026-11</t>
        </is>
      </c>
      <c r="B15" s="164" t="inlineStr">
        <is>
          <t>2026-06-Q1</t>
        </is>
      </c>
      <c r="C15" s="164" t="inlineStr">
        <is>
          <t>2026-03-W1</t>
        </is>
      </c>
      <c r="E15" s="164" t="inlineStr">
        <is>
          <t>2026-03-W1</t>
        </is>
      </c>
    </row>
    <row r="16" ht="15" customHeight="1" s="131">
      <c r="A16" s="164" t="inlineStr">
        <is>
          <t>2026-12</t>
        </is>
      </c>
      <c r="B16" s="164" t="inlineStr">
        <is>
          <t>2026-06-Q2</t>
        </is>
      </c>
      <c r="C16" s="164" t="inlineStr">
        <is>
          <t>2026-03-W2</t>
        </is>
      </c>
      <c r="E16" s="164" t="inlineStr">
        <is>
          <t>2026-03-W2</t>
        </is>
      </c>
    </row>
    <row r="17" ht="15" customHeight="1" s="131">
      <c r="A17" s="164" t="inlineStr">
        <is>
          <t>2027-01</t>
        </is>
      </c>
      <c r="B17" s="164" t="inlineStr">
        <is>
          <t>2026-07-Q1</t>
        </is>
      </c>
      <c r="C17" s="164" t="inlineStr">
        <is>
          <t>2026-03-W3</t>
        </is>
      </c>
      <c r="E17" s="164" t="inlineStr">
        <is>
          <t>2026-03-W3</t>
        </is>
      </c>
    </row>
    <row r="18" ht="15" customHeight="1" s="131">
      <c r="A18" s="164" t="inlineStr">
        <is>
          <t>2027-02</t>
        </is>
      </c>
      <c r="B18" s="164" t="inlineStr">
        <is>
          <t>2026-07-Q2</t>
        </is>
      </c>
      <c r="C18" s="164" t="inlineStr">
        <is>
          <t>2026-03-W4</t>
        </is>
      </c>
      <c r="E18" s="164" t="inlineStr">
        <is>
          <t>2026-03-W4</t>
        </is>
      </c>
    </row>
    <row r="19" ht="15" customHeight="1" s="131">
      <c r="A19" s="164" t="inlineStr">
        <is>
          <t>2027-03</t>
        </is>
      </c>
      <c r="B19" s="164" t="inlineStr">
        <is>
          <t>2026-08-Q1</t>
        </is>
      </c>
      <c r="C19" s="164" t="inlineStr">
        <is>
          <t>2026-03-W5</t>
        </is>
      </c>
      <c r="E19" s="164" t="inlineStr">
        <is>
          <t>2026-03-W5</t>
        </is>
      </c>
    </row>
    <row r="20" ht="15" customHeight="1" s="131">
      <c r="A20" s="164" t="inlineStr">
        <is>
          <t>2027-04</t>
        </is>
      </c>
      <c r="B20" s="164" t="inlineStr">
        <is>
          <t>2026-08-Q2</t>
        </is>
      </c>
      <c r="C20" s="164" t="inlineStr">
        <is>
          <t>2026-04-W1</t>
        </is>
      </c>
      <c r="E20" s="164" t="inlineStr">
        <is>
          <t>2026-04-W1</t>
        </is>
      </c>
    </row>
    <row r="21" ht="15" customHeight="1" s="131">
      <c r="A21" s="164" t="inlineStr">
        <is>
          <t>2027-05</t>
        </is>
      </c>
      <c r="B21" s="164" t="inlineStr">
        <is>
          <t>2026-09-Q1</t>
        </is>
      </c>
      <c r="C21" s="164" t="inlineStr">
        <is>
          <t>2026-04-W2</t>
        </is>
      </c>
      <c r="E21" s="164" t="inlineStr">
        <is>
          <t>2026-04-W2</t>
        </is>
      </c>
    </row>
    <row r="22" ht="15" customHeight="1" s="131">
      <c r="A22" s="164" t="inlineStr">
        <is>
          <t>2027-06</t>
        </is>
      </c>
      <c r="B22" s="164" t="inlineStr">
        <is>
          <t>2026-09-Q2</t>
        </is>
      </c>
      <c r="C22" s="164" t="inlineStr">
        <is>
          <t>2026-04-W3</t>
        </is>
      </c>
      <c r="E22" s="164" t="inlineStr">
        <is>
          <t>2026-04-W3</t>
        </is>
      </c>
    </row>
    <row r="23" ht="15" customHeight="1" s="131">
      <c r="A23" s="164" t="inlineStr">
        <is>
          <t>2027-07</t>
        </is>
      </c>
      <c r="B23" s="164" t="inlineStr">
        <is>
          <t>2026-10-Q1</t>
        </is>
      </c>
      <c r="C23" s="164" t="inlineStr">
        <is>
          <t>2026-04-W4</t>
        </is>
      </c>
      <c r="E23" s="164" t="inlineStr">
        <is>
          <t>2026-04-W4</t>
        </is>
      </c>
    </row>
    <row r="24" ht="15" customHeight="1" s="131">
      <c r="A24" s="164" t="inlineStr">
        <is>
          <t>2027-08</t>
        </is>
      </c>
      <c r="B24" s="164" t="inlineStr">
        <is>
          <t>2026-10-Q2</t>
        </is>
      </c>
      <c r="C24" s="164" t="inlineStr">
        <is>
          <t>2026-04-W5</t>
        </is>
      </c>
      <c r="E24" s="164" t="inlineStr">
        <is>
          <t>2026-04-W5</t>
        </is>
      </c>
    </row>
    <row r="25" ht="15" customHeight="1" s="131">
      <c r="A25" s="164" t="inlineStr">
        <is>
          <t>2027-09</t>
        </is>
      </c>
      <c r="B25" s="164" t="inlineStr">
        <is>
          <t>2026-11-Q1</t>
        </is>
      </c>
      <c r="C25" s="164" t="inlineStr">
        <is>
          <t>2026-05-W1</t>
        </is>
      </c>
      <c r="E25" s="164" t="inlineStr">
        <is>
          <t>2026-05-W1</t>
        </is>
      </c>
    </row>
    <row r="26" ht="15" customHeight="1" s="131">
      <c r="A26" s="164" t="inlineStr">
        <is>
          <t>2027-10</t>
        </is>
      </c>
      <c r="B26" s="164" t="inlineStr">
        <is>
          <t>2026-11-Q2</t>
        </is>
      </c>
      <c r="C26" s="164" t="inlineStr">
        <is>
          <t>2026-05-W2</t>
        </is>
      </c>
      <c r="E26" s="164" t="inlineStr">
        <is>
          <t>2026-05-W2</t>
        </is>
      </c>
    </row>
    <row r="27" ht="15" customHeight="1" s="131">
      <c r="A27" s="164" t="inlineStr">
        <is>
          <t>2027-11</t>
        </is>
      </c>
      <c r="B27" s="164" t="inlineStr">
        <is>
          <t>2026-12-Q1</t>
        </is>
      </c>
      <c r="C27" s="164" t="inlineStr">
        <is>
          <t>2026-05-W3</t>
        </is>
      </c>
      <c r="E27" s="164" t="inlineStr">
        <is>
          <t>2026-05-W3</t>
        </is>
      </c>
    </row>
    <row r="28" ht="15" customHeight="1" s="131">
      <c r="A28" s="164" t="inlineStr">
        <is>
          <t>2027-12</t>
        </is>
      </c>
      <c r="B28" s="164" t="inlineStr">
        <is>
          <t>2026-12-Q2</t>
        </is>
      </c>
      <c r="C28" s="164" t="inlineStr">
        <is>
          <t>2026-05-W4</t>
        </is>
      </c>
      <c r="E28" s="164" t="inlineStr">
        <is>
          <t>2026-05-W4</t>
        </is>
      </c>
    </row>
    <row r="29" ht="15" customHeight="1" s="131">
      <c r="A29" s="164" t="inlineStr">
        <is>
          <t>2028-01</t>
        </is>
      </c>
      <c r="B29" s="164" t="inlineStr">
        <is>
          <t>2027-01-Q1</t>
        </is>
      </c>
      <c r="C29" s="164" t="inlineStr">
        <is>
          <t>2026-05-W5</t>
        </is>
      </c>
      <c r="E29" s="164" t="inlineStr">
        <is>
          <t>2026-05-W5</t>
        </is>
      </c>
    </row>
    <row r="30" ht="15" customHeight="1" s="131">
      <c r="A30" s="164" t="inlineStr">
        <is>
          <t>2028-02</t>
        </is>
      </c>
      <c r="B30" s="164" t="inlineStr">
        <is>
          <t>2027-01-Q2</t>
        </is>
      </c>
      <c r="C30" s="164" t="inlineStr">
        <is>
          <t>2026-06-W1</t>
        </is>
      </c>
      <c r="E30" s="164" t="inlineStr">
        <is>
          <t>2026-06-W1</t>
        </is>
      </c>
    </row>
    <row r="31" ht="15" customHeight="1" s="131">
      <c r="A31" s="164" t="inlineStr">
        <is>
          <t>2028-03</t>
        </is>
      </c>
      <c r="B31" s="164" t="inlineStr">
        <is>
          <t>2027-02-Q1</t>
        </is>
      </c>
      <c r="C31" s="164" t="inlineStr">
        <is>
          <t>2026-06-W2</t>
        </is>
      </c>
      <c r="E31" s="164" t="inlineStr">
        <is>
          <t>2026-06-W2</t>
        </is>
      </c>
    </row>
    <row r="32" ht="15" customHeight="1" s="131">
      <c r="A32" s="164" t="inlineStr">
        <is>
          <t>2028-04</t>
        </is>
      </c>
      <c r="B32" s="164" t="inlineStr">
        <is>
          <t>2027-02-Q2</t>
        </is>
      </c>
      <c r="C32" s="164" t="inlineStr">
        <is>
          <t>2026-06-W3</t>
        </is>
      </c>
      <c r="E32" s="164" t="inlineStr">
        <is>
          <t>2026-06-W3</t>
        </is>
      </c>
    </row>
    <row r="33" ht="15" customHeight="1" s="131">
      <c r="A33" s="164" t="inlineStr">
        <is>
          <t>2028-05</t>
        </is>
      </c>
      <c r="B33" s="164" t="inlineStr">
        <is>
          <t>2027-03-Q1</t>
        </is>
      </c>
      <c r="C33" s="164" t="inlineStr">
        <is>
          <t>2026-06-W4</t>
        </is>
      </c>
      <c r="E33" s="164" t="inlineStr">
        <is>
          <t>2026-06-W4</t>
        </is>
      </c>
    </row>
    <row r="34" ht="15" customHeight="1" s="131">
      <c r="A34" s="164" t="inlineStr">
        <is>
          <t>2028-06</t>
        </is>
      </c>
      <c r="B34" s="164" t="inlineStr">
        <is>
          <t>2027-03-Q2</t>
        </is>
      </c>
      <c r="C34" s="164" t="inlineStr">
        <is>
          <t>2026-06-W5</t>
        </is>
      </c>
      <c r="E34" s="164" t="inlineStr">
        <is>
          <t>2026-06-W5</t>
        </is>
      </c>
    </row>
    <row r="35" ht="15" customHeight="1" s="131">
      <c r="A35" s="164" t="inlineStr">
        <is>
          <t>2028-07</t>
        </is>
      </c>
      <c r="B35" s="164" t="inlineStr">
        <is>
          <t>2027-04-Q1</t>
        </is>
      </c>
      <c r="C35" s="164" t="inlineStr">
        <is>
          <t>2026-07-W1</t>
        </is>
      </c>
      <c r="E35" s="164" t="inlineStr">
        <is>
          <t>2026-07-W1</t>
        </is>
      </c>
    </row>
    <row r="36" ht="15" customHeight="1" s="131">
      <c r="A36" s="164" t="inlineStr">
        <is>
          <t>2028-08</t>
        </is>
      </c>
      <c r="B36" s="164" t="inlineStr">
        <is>
          <t>2027-04-Q2</t>
        </is>
      </c>
      <c r="C36" s="164" t="inlineStr">
        <is>
          <t>2026-07-W2</t>
        </is>
      </c>
      <c r="E36" s="164" t="inlineStr">
        <is>
          <t>2026-07-W2</t>
        </is>
      </c>
    </row>
    <row r="37" ht="15" customHeight="1" s="131">
      <c r="A37" s="164" t="inlineStr">
        <is>
          <t>2028-09</t>
        </is>
      </c>
      <c r="B37" s="164" t="inlineStr">
        <is>
          <t>2027-05-Q1</t>
        </is>
      </c>
      <c r="C37" s="164" t="inlineStr">
        <is>
          <t>2026-07-W3</t>
        </is>
      </c>
      <c r="E37" s="164" t="inlineStr">
        <is>
          <t>2026-07-W3</t>
        </is>
      </c>
    </row>
    <row r="38" ht="15" customHeight="1" s="131">
      <c r="A38" s="164" t="inlineStr">
        <is>
          <t>2028-10</t>
        </is>
      </c>
      <c r="B38" s="164" t="inlineStr">
        <is>
          <t>2027-05-Q2</t>
        </is>
      </c>
      <c r="C38" s="164" t="inlineStr">
        <is>
          <t>2026-07-W4</t>
        </is>
      </c>
      <c r="E38" s="164" t="inlineStr">
        <is>
          <t>2026-07-W4</t>
        </is>
      </c>
    </row>
    <row r="39" ht="15" customHeight="1" s="131">
      <c r="A39" s="164" t="inlineStr">
        <is>
          <t>2028-11</t>
        </is>
      </c>
      <c r="B39" s="164" t="inlineStr">
        <is>
          <t>2027-06-Q1</t>
        </is>
      </c>
      <c r="C39" s="164" t="inlineStr">
        <is>
          <t>2026-07-W5</t>
        </is>
      </c>
      <c r="E39" s="164" t="inlineStr">
        <is>
          <t>2026-07-W5</t>
        </is>
      </c>
    </row>
    <row r="40" ht="15" customHeight="1" s="131">
      <c r="A40" s="164" t="inlineStr">
        <is>
          <t>2028-12</t>
        </is>
      </c>
      <c r="B40" s="164" t="inlineStr">
        <is>
          <t>2027-06-Q2</t>
        </is>
      </c>
      <c r="C40" s="164" t="inlineStr">
        <is>
          <t>2026-08-W1</t>
        </is>
      </c>
      <c r="E40" s="164" t="inlineStr">
        <is>
          <t>2026-08-W1</t>
        </is>
      </c>
    </row>
    <row r="41" ht="15" customHeight="1" s="131">
      <c r="A41" s="164" t="inlineStr">
        <is>
          <t>2029-01</t>
        </is>
      </c>
      <c r="B41" s="164" t="inlineStr">
        <is>
          <t>2027-07-Q1</t>
        </is>
      </c>
      <c r="C41" s="164" t="inlineStr">
        <is>
          <t>2026-08-W2</t>
        </is>
      </c>
      <c r="E41" s="164" t="inlineStr">
        <is>
          <t>2026-08-W2</t>
        </is>
      </c>
    </row>
    <row r="42" ht="15" customHeight="1" s="131">
      <c r="A42" s="164" t="inlineStr">
        <is>
          <t>2029-02</t>
        </is>
      </c>
      <c r="B42" s="164" t="inlineStr">
        <is>
          <t>2027-07-Q2</t>
        </is>
      </c>
      <c r="C42" s="164" t="inlineStr">
        <is>
          <t>2026-08-W3</t>
        </is>
      </c>
      <c r="E42" s="164" t="inlineStr">
        <is>
          <t>2026-08-W3</t>
        </is>
      </c>
    </row>
    <row r="43" ht="15" customHeight="1" s="131">
      <c r="A43" s="164" t="inlineStr">
        <is>
          <t>2029-03</t>
        </is>
      </c>
      <c r="B43" s="164" t="inlineStr">
        <is>
          <t>2027-08-Q1</t>
        </is>
      </c>
      <c r="C43" s="164" t="inlineStr">
        <is>
          <t>2026-08-W4</t>
        </is>
      </c>
      <c r="E43" s="164" t="inlineStr">
        <is>
          <t>2026-08-W4</t>
        </is>
      </c>
    </row>
    <row r="44" ht="15" customHeight="1" s="131">
      <c r="A44" s="164" t="inlineStr">
        <is>
          <t>2029-04</t>
        </is>
      </c>
      <c r="B44" s="164" t="inlineStr">
        <is>
          <t>2027-08-Q2</t>
        </is>
      </c>
      <c r="C44" s="164" t="inlineStr">
        <is>
          <t>2026-08-W5</t>
        </is>
      </c>
      <c r="E44" s="164" t="inlineStr">
        <is>
          <t>2026-08-W5</t>
        </is>
      </c>
    </row>
    <row r="45" ht="15" customHeight="1" s="131">
      <c r="A45" s="164" t="inlineStr">
        <is>
          <t>2029-05</t>
        </is>
      </c>
      <c r="B45" s="164" t="inlineStr">
        <is>
          <t>2027-09-Q1</t>
        </is>
      </c>
      <c r="C45" s="164" t="inlineStr">
        <is>
          <t>2026-09-W1</t>
        </is>
      </c>
      <c r="E45" s="164" t="inlineStr">
        <is>
          <t>2026-09-W1</t>
        </is>
      </c>
    </row>
    <row r="46" ht="15" customHeight="1" s="131">
      <c r="A46" s="164" t="inlineStr">
        <is>
          <t>2029-06</t>
        </is>
      </c>
      <c r="B46" s="164" t="inlineStr">
        <is>
          <t>2027-09-Q2</t>
        </is>
      </c>
      <c r="C46" s="164" t="inlineStr">
        <is>
          <t>2026-09-W2</t>
        </is>
      </c>
      <c r="E46" s="164" t="inlineStr">
        <is>
          <t>2026-09-W2</t>
        </is>
      </c>
    </row>
    <row r="47" ht="15" customHeight="1" s="131">
      <c r="A47" s="164" t="inlineStr">
        <is>
          <t>2029-07</t>
        </is>
      </c>
      <c r="B47" s="164" t="inlineStr">
        <is>
          <t>2027-10-Q1</t>
        </is>
      </c>
      <c r="C47" s="164" t="inlineStr">
        <is>
          <t>2026-09-W3</t>
        </is>
      </c>
      <c r="E47" s="164" t="inlineStr">
        <is>
          <t>2026-09-W3</t>
        </is>
      </c>
    </row>
    <row r="48" ht="15" customHeight="1" s="131">
      <c r="A48" s="164" t="inlineStr">
        <is>
          <t>2029-08</t>
        </is>
      </c>
      <c r="B48" s="164" t="inlineStr">
        <is>
          <t>2027-10-Q2</t>
        </is>
      </c>
      <c r="C48" s="164" t="inlineStr">
        <is>
          <t>2026-09-W4</t>
        </is>
      </c>
      <c r="E48" s="164" t="inlineStr">
        <is>
          <t>2026-09-W4</t>
        </is>
      </c>
    </row>
    <row r="49" ht="15" customHeight="1" s="131">
      <c r="A49" s="164" t="inlineStr">
        <is>
          <t>2029-09</t>
        </is>
      </c>
      <c r="B49" s="164" t="inlineStr">
        <is>
          <t>2027-11-Q1</t>
        </is>
      </c>
      <c r="C49" s="164" t="inlineStr">
        <is>
          <t>2026-09-W5</t>
        </is>
      </c>
      <c r="E49" s="164" t="inlineStr">
        <is>
          <t>2026-09-W5</t>
        </is>
      </c>
    </row>
    <row r="50" ht="15" customHeight="1" s="131">
      <c r="A50" s="164" t="inlineStr">
        <is>
          <t>2029-10</t>
        </is>
      </c>
      <c r="B50" s="164" t="inlineStr">
        <is>
          <t>2027-11-Q2</t>
        </is>
      </c>
      <c r="C50" s="164" t="inlineStr">
        <is>
          <t>2026-10-W1</t>
        </is>
      </c>
      <c r="E50" s="164" t="inlineStr">
        <is>
          <t>2026-10-W1</t>
        </is>
      </c>
    </row>
    <row r="51" ht="15" customHeight="1" s="131">
      <c r="A51" s="164" t="inlineStr">
        <is>
          <t>2029-11</t>
        </is>
      </c>
      <c r="B51" s="164" t="inlineStr">
        <is>
          <t>2027-12-Q1</t>
        </is>
      </c>
      <c r="C51" s="164" t="inlineStr">
        <is>
          <t>2026-10-W2</t>
        </is>
      </c>
      <c r="E51" s="164" t="inlineStr">
        <is>
          <t>2026-10-W2</t>
        </is>
      </c>
    </row>
    <row r="52" ht="15" customHeight="1" s="131">
      <c r="A52" s="164" t="inlineStr">
        <is>
          <t>2029-12</t>
        </is>
      </c>
      <c r="B52" s="164" t="inlineStr">
        <is>
          <t>2027-12-Q2</t>
        </is>
      </c>
      <c r="C52" s="164" t="inlineStr">
        <is>
          <t>2026-10-W3</t>
        </is>
      </c>
      <c r="E52" s="164" t="inlineStr">
        <is>
          <t>2026-10-W3</t>
        </is>
      </c>
    </row>
    <row r="53" ht="15" customHeight="1" s="131">
      <c r="B53" s="164" t="inlineStr">
        <is>
          <t>2028-01-Q1</t>
        </is>
      </c>
      <c r="C53" s="164" t="inlineStr">
        <is>
          <t>2026-10-W4</t>
        </is>
      </c>
      <c r="E53" s="164" t="inlineStr">
        <is>
          <t>2026-10-W4</t>
        </is>
      </c>
    </row>
    <row r="54" ht="15" customHeight="1" s="131">
      <c r="B54" s="164" t="inlineStr">
        <is>
          <t>2028-01-Q2</t>
        </is>
      </c>
      <c r="C54" s="164" t="inlineStr">
        <is>
          <t>2026-10-W5</t>
        </is>
      </c>
      <c r="E54" s="164" t="inlineStr">
        <is>
          <t>2026-10-W5</t>
        </is>
      </c>
    </row>
    <row r="55" ht="15" customHeight="1" s="131">
      <c r="B55" s="164" t="inlineStr">
        <is>
          <t>2028-02-Q1</t>
        </is>
      </c>
      <c r="C55" s="164" t="inlineStr">
        <is>
          <t>2026-11-W1</t>
        </is>
      </c>
      <c r="E55" s="164" t="inlineStr">
        <is>
          <t>2026-11-W1</t>
        </is>
      </c>
    </row>
    <row r="56" ht="15" customHeight="1" s="131">
      <c r="B56" s="164" t="inlineStr">
        <is>
          <t>2028-02-Q2</t>
        </is>
      </c>
      <c r="C56" s="164" t="inlineStr">
        <is>
          <t>2026-11-W2</t>
        </is>
      </c>
      <c r="E56" s="164" t="inlineStr">
        <is>
          <t>2026-11-W2</t>
        </is>
      </c>
    </row>
    <row r="57" ht="15" customHeight="1" s="131">
      <c r="B57" s="164" t="inlineStr">
        <is>
          <t>2028-03-Q1</t>
        </is>
      </c>
      <c r="C57" s="164" t="inlineStr">
        <is>
          <t>2026-11-W3</t>
        </is>
      </c>
      <c r="E57" s="164" t="inlineStr">
        <is>
          <t>2026-11-W3</t>
        </is>
      </c>
    </row>
    <row r="58" ht="15" customHeight="1" s="131">
      <c r="B58" s="164" t="inlineStr">
        <is>
          <t>2028-03-Q2</t>
        </is>
      </c>
      <c r="C58" s="164" t="inlineStr">
        <is>
          <t>2026-11-W4</t>
        </is>
      </c>
      <c r="E58" s="164" t="inlineStr">
        <is>
          <t>2026-11-W4</t>
        </is>
      </c>
    </row>
    <row r="59" ht="15" customHeight="1" s="131">
      <c r="B59" s="164" t="inlineStr">
        <is>
          <t>2028-04-Q1</t>
        </is>
      </c>
      <c r="C59" s="164" t="inlineStr">
        <is>
          <t>2026-11-W5</t>
        </is>
      </c>
      <c r="E59" s="164" t="inlineStr">
        <is>
          <t>2026-11-W5</t>
        </is>
      </c>
    </row>
    <row r="60" ht="15" customHeight="1" s="131">
      <c r="B60" s="164" t="inlineStr">
        <is>
          <t>2028-04-Q2</t>
        </is>
      </c>
      <c r="C60" s="164" t="inlineStr">
        <is>
          <t>2026-12-W1</t>
        </is>
      </c>
      <c r="E60" s="164" t="inlineStr">
        <is>
          <t>2026-12-W1</t>
        </is>
      </c>
    </row>
    <row r="61" ht="15" customHeight="1" s="131">
      <c r="B61" s="164" t="inlineStr">
        <is>
          <t>2028-05-Q1</t>
        </is>
      </c>
      <c r="C61" s="164" t="inlineStr">
        <is>
          <t>2026-12-W2</t>
        </is>
      </c>
      <c r="E61" s="164" t="inlineStr">
        <is>
          <t>2026-12-W2</t>
        </is>
      </c>
    </row>
    <row r="62" ht="15" customHeight="1" s="131">
      <c r="B62" s="164" t="inlineStr">
        <is>
          <t>2028-05-Q2</t>
        </is>
      </c>
      <c r="C62" s="164" t="inlineStr">
        <is>
          <t>2026-12-W3</t>
        </is>
      </c>
      <c r="E62" s="164" t="inlineStr">
        <is>
          <t>2026-12-W3</t>
        </is>
      </c>
    </row>
    <row r="63" ht="15" customHeight="1" s="131">
      <c r="B63" s="164" t="inlineStr">
        <is>
          <t>2028-06-Q1</t>
        </is>
      </c>
      <c r="C63" s="164" t="inlineStr">
        <is>
          <t>2026-12-W4</t>
        </is>
      </c>
      <c r="E63" s="164" t="inlineStr">
        <is>
          <t>2026-12-W4</t>
        </is>
      </c>
    </row>
    <row r="64" ht="15" customHeight="1" s="131">
      <c r="B64" s="164" t="inlineStr">
        <is>
          <t>2028-06-Q2</t>
        </is>
      </c>
      <c r="C64" s="164" t="inlineStr">
        <is>
          <t>2026-12-W5</t>
        </is>
      </c>
      <c r="E64" s="164" t="inlineStr">
        <is>
          <t>2026-12-W5</t>
        </is>
      </c>
    </row>
    <row r="65" ht="15" customHeight="1" s="131">
      <c r="B65" s="164" t="inlineStr">
        <is>
          <t>2028-07-Q1</t>
        </is>
      </c>
      <c r="C65" s="164" t="inlineStr">
        <is>
          <t>2027-01-W1</t>
        </is>
      </c>
      <c r="E65" s="164" t="inlineStr">
        <is>
          <t>2027-01-W1</t>
        </is>
      </c>
    </row>
    <row r="66" ht="15" customHeight="1" s="131">
      <c r="B66" s="164" t="inlineStr">
        <is>
          <t>2028-07-Q2</t>
        </is>
      </c>
      <c r="C66" s="164" t="inlineStr">
        <is>
          <t>2027-01-W2</t>
        </is>
      </c>
      <c r="E66" s="164" t="inlineStr">
        <is>
          <t>2027-01-W2</t>
        </is>
      </c>
    </row>
    <row r="67" ht="15" customHeight="1" s="131">
      <c r="B67" s="164" t="inlineStr">
        <is>
          <t>2028-08-Q1</t>
        </is>
      </c>
      <c r="C67" s="164" t="inlineStr">
        <is>
          <t>2027-01-W3</t>
        </is>
      </c>
      <c r="E67" s="164" t="inlineStr">
        <is>
          <t>2027-01-W3</t>
        </is>
      </c>
    </row>
    <row r="68" ht="15" customHeight="1" s="131">
      <c r="B68" s="164" t="inlineStr">
        <is>
          <t>2028-08-Q2</t>
        </is>
      </c>
      <c r="C68" s="164" t="inlineStr">
        <is>
          <t>2027-01-W4</t>
        </is>
      </c>
      <c r="E68" s="164" t="inlineStr">
        <is>
          <t>2027-01-W4</t>
        </is>
      </c>
    </row>
    <row r="69" ht="15" customHeight="1" s="131">
      <c r="B69" s="164" t="inlineStr">
        <is>
          <t>2028-09-Q1</t>
        </is>
      </c>
      <c r="C69" s="164" t="inlineStr">
        <is>
          <t>2027-01-W5</t>
        </is>
      </c>
      <c r="E69" s="164" t="inlineStr">
        <is>
          <t>2027-01-W5</t>
        </is>
      </c>
    </row>
    <row r="70" ht="15" customHeight="1" s="131">
      <c r="B70" s="164" t="inlineStr">
        <is>
          <t>2028-09-Q2</t>
        </is>
      </c>
      <c r="C70" s="164" t="inlineStr">
        <is>
          <t>2027-02-W1</t>
        </is>
      </c>
      <c r="E70" s="164" t="inlineStr">
        <is>
          <t>2027-02-W1</t>
        </is>
      </c>
    </row>
    <row r="71" ht="15" customHeight="1" s="131">
      <c r="B71" s="164" t="inlineStr">
        <is>
          <t>2028-10-Q1</t>
        </is>
      </c>
      <c r="C71" s="164" t="inlineStr">
        <is>
          <t>2027-02-W2</t>
        </is>
      </c>
      <c r="E71" s="164" t="inlineStr">
        <is>
          <t>2027-02-W2</t>
        </is>
      </c>
    </row>
    <row r="72" ht="15" customHeight="1" s="131">
      <c r="B72" s="164" t="inlineStr">
        <is>
          <t>2028-10-Q2</t>
        </is>
      </c>
      <c r="C72" s="164" t="inlineStr">
        <is>
          <t>2027-02-W3</t>
        </is>
      </c>
      <c r="E72" s="164" t="inlineStr">
        <is>
          <t>2027-02-W3</t>
        </is>
      </c>
    </row>
    <row r="73" ht="15" customHeight="1" s="131">
      <c r="B73" s="164" t="inlineStr">
        <is>
          <t>2028-11-Q1</t>
        </is>
      </c>
      <c r="C73" s="164" t="inlineStr">
        <is>
          <t>2027-02-W4</t>
        </is>
      </c>
      <c r="E73" s="164" t="inlineStr">
        <is>
          <t>2027-02-W4</t>
        </is>
      </c>
    </row>
    <row r="74" ht="15" customHeight="1" s="131">
      <c r="B74" s="164" t="inlineStr">
        <is>
          <t>2028-11-Q2</t>
        </is>
      </c>
      <c r="C74" s="164" t="inlineStr">
        <is>
          <t>2027-02-W5</t>
        </is>
      </c>
      <c r="E74" s="164" t="inlineStr">
        <is>
          <t>2027-02-W5</t>
        </is>
      </c>
    </row>
    <row r="75" ht="15" customHeight="1" s="131">
      <c r="B75" s="164" t="inlineStr">
        <is>
          <t>2028-12-Q1</t>
        </is>
      </c>
      <c r="C75" s="164" t="inlineStr">
        <is>
          <t>2027-03-W1</t>
        </is>
      </c>
      <c r="E75" s="164" t="inlineStr">
        <is>
          <t>2027-03-W1</t>
        </is>
      </c>
    </row>
    <row r="76" ht="15" customHeight="1" s="131">
      <c r="B76" s="164" t="inlineStr">
        <is>
          <t>2028-12-Q2</t>
        </is>
      </c>
      <c r="C76" s="164" t="inlineStr">
        <is>
          <t>2027-03-W2</t>
        </is>
      </c>
      <c r="E76" s="164" t="inlineStr">
        <is>
          <t>2027-03-W2</t>
        </is>
      </c>
    </row>
    <row r="77" ht="15" customHeight="1" s="131">
      <c r="B77" s="164" t="inlineStr">
        <is>
          <t>2029-01-Q1</t>
        </is>
      </c>
      <c r="C77" s="164" t="inlineStr">
        <is>
          <t>2027-03-W3</t>
        </is>
      </c>
      <c r="E77" s="164" t="inlineStr">
        <is>
          <t>2027-03-W3</t>
        </is>
      </c>
    </row>
    <row r="78" ht="15" customHeight="1" s="131">
      <c r="B78" s="164" t="inlineStr">
        <is>
          <t>2029-01-Q2</t>
        </is>
      </c>
      <c r="C78" s="164" t="inlineStr">
        <is>
          <t>2027-03-W4</t>
        </is>
      </c>
      <c r="E78" s="164" t="inlineStr">
        <is>
          <t>2027-03-W4</t>
        </is>
      </c>
    </row>
    <row r="79" ht="15" customHeight="1" s="131">
      <c r="B79" s="164" t="inlineStr">
        <is>
          <t>2029-02-Q1</t>
        </is>
      </c>
      <c r="C79" s="164" t="inlineStr">
        <is>
          <t>2027-03-W5</t>
        </is>
      </c>
      <c r="E79" s="164" t="inlineStr">
        <is>
          <t>2027-03-W5</t>
        </is>
      </c>
    </row>
    <row r="80" ht="15" customHeight="1" s="131">
      <c r="B80" s="164" t="inlineStr">
        <is>
          <t>2029-02-Q2</t>
        </is>
      </c>
      <c r="C80" s="164" t="inlineStr">
        <is>
          <t>2027-04-W1</t>
        </is>
      </c>
      <c r="E80" s="164" t="inlineStr">
        <is>
          <t>2027-04-W1</t>
        </is>
      </c>
    </row>
    <row r="81" ht="15" customHeight="1" s="131">
      <c r="B81" s="164" t="inlineStr">
        <is>
          <t>2029-03-Q1</t>
        </is>
      </c>
      <c r="C81" s="164" t="inlineStr">
        <is>
          <t>2027-04-W2</t>
        </is>
      </c>
      <c r="E81" s="164" t="inlineStr">
        <is>
          <t>2027-04-W2</t>
        </is>
      </c>
    </row>
    <row r="82" ht="15" customHeight="1" s="131">
      <c r="B82" s="164" t="inlineStr">
        <is>
          <t>2029-03-Q2</t>
        </is>
      </c>
      <c r="C82" s="164" t="inlineStr">
        <is>
          <t>2027-04-W3</t>
        </is>
      </c>
      <c r="E82" s="164" t="inlineStr">
        <is>
          <t>2027-04-W3</t>
        </is>
      </c>
    </row>
    <row r="83" ht="15" customHeight="1" s="131">
      <c r="B83" s="164" t="inlineStr">
        <is>
          <t>2029-04-Q1</t>
        </is>
      </c>
      <c r="C83" s="164" t="inlineStr">
        <is>
          <t>2027-04-W4</t>
        </is>
      </c>
      <c r="E83" s="164" t="inlineStr">
        <is>
          <t>2027-04-W4</t>
        </is>
      </c>
    </row>
    <row r="84" ht="15" customHeight="1" s="131">
      <c r="B84" s="164" t="inlineStr">
        <is>
          <t>2029-04-Q2</t>
        </is>
      </c>
      <c r="C84" s="164" t="inlineStr">
        <is>
          <t>2027-04-W5</t>
        </is>
      </c>
      <c r="E84" s="164" t="inlineStr">
        <is>
          <t>2027-04-W5</t>
        </is>
      </c>
    </row>
    <row r="85" ht="15" customHeight="1" s="131">
      <c r="B85" s="164" t="inlineStr">
        <is>
          <t>2029-05-Q1</t>
        </is>
      </c>
      <c r="C85" s="164" t="inlineStr">
        <is>
          <t>2027-05-W1</t>
        </is>
      </c>
      <c r="E85" s="164" t="inlineStr">
        <is>
          <t>2027-05-W1</t>
        </is>
      </c>
    </row>
    <row r="86" ht="15" customHeight="1" s="131">
      <c r="B86" s="164" t="inlineStr">
        <is>
          <t>2029-05-Q2</t>
        </is>
      </c>
      <c r="C86" s="164" t="inlineStr">
        <is>
          <t>2027-05-W2</t>
        </is>
      </c>
      <c r="E86" s="164" t="inlineStr">
        <is>
          <t>2027-05-W2</t>
        </is>
      </c>
    </row>
    <row r="87" ht="15" customHeight="1" s="131">
      <c r="B87" s="164" t="inlineStr">
        <is>
          <t>2029-06-Q1</t>
        </is>
      </c>
      <c r="C87" s="164" t="inlineStr">
        <is>
          <t>2027-05-W3</t>
        </is>
      </c>
      <c r="E87" s="164" t="inlineStr">
        <is>
          <t>2027-05-W3</t>
        </is>
      </c>
    </row>
    <row r="88" ht="15" customHeight="1" s="131">
      <c r="B88" s="164" t="inlineStr">
        <is>
          <t>2029-06-Q2</t>
        </is>
      </c>
      <c r="C88" s="164" t="inlineStr">
        <is>
          <t>2027-05-W4</t>
        </is>
      </c>
      <c r="E88" s="164" t="inlineStr">
        <is>
          <t>2027-05-W4</t>
        </is>
      </c>
    </row>
    <row r="89" ht="15" customHeight="1" s="131">
      <c r="B89" s="164" t="inlineStr">
        <is>
          <t>2029-07-Q1</t>
        </is>
      </c>
      <c r="C89" s="164" t="inlineStr">
        <is>
          <t>2027-05-W5</t>
        </is>
      </c>
      <c r="E89" s="164" t="inlineStr">
        <is>
          <t>2027-05-W5</t>
        </is>
      </c>
    </row>
    <row r="90" ht="15" customHeight="1" s="131">
      <c r="B90" s="164" t="inlineStr">
        <is>
          <t>2029-07-Q2</t>
        </is>
      </c>
      <c r="C90" s="164" t="inlineStr">
        <is>
          <t>2027-06-W1</t>
        </is>
      </c>
      <c r="E90" s="164" t="inlineStr">
        <is>
          <t>2027-06-W1</t>
        </is>
      </c>
    </row>
    <row r="91" ht="15" customHeight="1" s="131">
      <c r="B91" s="164" t="inlineStr">
        <is>
          <t>2029-08-Q1</t>
        </is>
      </c>
      <c r="C91" s="164" t="inlineStr">
        <is>
          <t>2027-06-W2</t>
        </is>
      </c>
      <c r="E91" s="164" t="inlineStr">
        <is>
          <t>2027-06-W2</t>
        </is>
      </c>
    </row>
    <row r="92" ht="15" customHeight="1" s="131">
      <c r="B92" s="164" t="inlineStr">
        <is>
          <t>2029-08-Q2</t>
        </is>
      </c>
      <c r="C92" s="164" t="inlineStr">
        <is>
          <t>2027-06-W3</t>
        </is>
      </c>
      <c r="E92" s="164" t="inlineStr">
        <is>
          <t>2027-06-W3</t>
        </is>
      </c>
    </row>
    <row r="93" ht="15" customHeight="1" s="131">
      <c r="B93" s="164" t="inlineStr">
        <is>
          <t>2029-09-Q1</t>
        </is>
      </c>
      <c r="C93" s="164" t="inlineStr">
        <is>
          <t>2027-06-W4</t>
        </is>
      </c>
      <c r="E93" s="164" t="inlineStr">
        <is>
          <t>2027-06-W4</t>
        </is>
      </c>
    </row>
    <row r="94" ht="15" customHeight="1" s="131">
      <c r="B94" s="164" t="inlineStr">
        <is>
          <t>2029-09-Q2</t>
        </is>
      </c>
      <c r="C94" s="164" t="inlineStr">
        <is>
          <t>2027-06-W5</t>
        </is>
      </c>
      <c r="E94" s="164" t="inlineStr">
        <is>
          <t>2027-06-W5</t>
        </is>
      </c>
    </row>
    <row r="95" ht="15" customHeight="1" s="131">
      <c r="B95" s="164" t="inlineStr">
        <is>
          <t>2029-10-Q1</t>
        </is>
      </c>
      <c r="C95" s="164" t="inlineStr">
        <is>
          <t>2027-07-W1</t>
        </is>
      </c>
      <c r="E95" s="164" t="inlineStr">
        <is>
          <t>2027-07-W1</t>
        </is>
      </c>
    </row>
    <row r="96" ht="15" customHeight="1" s="131">
      <c r="B96" s="164" t="inlineStr">
        <is>
          <t>2029-10-Q2</t>
        </is>
      </c>
      <c r="C96" s="164" t="inlineStr">
        <is>
          <t>2027-07-W2</t>
        </is>
      </c>
      <c r="E96" s="164" t="inlineStr">
        <is>
          <t>2027-07-W2</t>
        </is>
      </c>
    </row>
    <row r="97" ht="15" customHeight="1" s="131">
      <c r="B97" s="164" t="inlineStr">
        <is>
          <t>2029-11-Q1</t>
        </is>
      </c>
      <c r="C97" s="164" t="inlineStr">
        <is>
          <t>2027-07-W3</t>
        </is>
      </c>
      <c r="E97" s="164" t="inlineStr">
        <is>
          <t>2027-07-W3</t>
        </is>
      </c>
    </row>
    <row r="98" ht="15" customHeight="1" s="131">
      <c r="B98" s="164" t="inlineStr">
        <is>
          <t>2029-11-Q2</t>
        </is>
      </c>
      <c r="C98" s="164" t="inlineStr">
        <is>
          <t>2027-07-W4</t>
        </is>
      </c>
      <c r="E98" s="164" t="inlineStr">
        <is>
          <t>2027-07-W4</t>
        </is>
      </c>
    </row>
    <row r="99" ht="15" customHeight="1" s="131">
      <c r="B99" s="164" t="inlineStr">
        <is>
          <t>2029-12-Q1</t>
        </is>
      </c>
      <c r="C99" s="164" t="inlineStr">
        <is>
          <t>2027-07-W5</t>
        </is>
      </c>
      <c r="E99" s="164" t="inlineStr">
        <is>
          <t>2027-07-W5</t>
        </is>
      </c>
    </row>
    <row r="100" ht="15" customHeight="1" s="131">
      <c r="B100" s="164" t="inlineStr">
        <is>
          <t>2029-12-Q2</t>
        </is>
      </c>
      <c r="C100" s="164" t="inlineStr">
        <is>
          <t>2027-08-W1</t>
        </is>
      </c>
      <c r="E100" s="164" t="inlineStr">
        <is>
          <t>2027-08-W1</t>
        </is>
      </c>
    </row>
    <row r="101" ht="15" customHeight="1" s="131">
      <c r="C101" s="164" t="inlineStr">
        <is>
          <t>2027-08-W2</t>
        </is>
      </c>
      <c r="E101" s="164" t="inlineStr">
        <is>
          <t>2027-08-W2</t>
        </is>
      </c>
    </row>
    <row r="102" ht="15" customHeight="1" s="131">
      <c r="C102" s="164" t="inlineStr">
        <is>
          <t>2027-08-W3</t>
        </is>
      </c>
      <c r="E102" s="164" t="inlineStr">
        <is>
          <t>2027-08-W3</t>
        </is>
      </c>
    </row>
    <row r="103" ht="15" customHeight="1" s="131">
      <c r="C103" s="164" t="inlineStr">
        <is>
          <t>2027-08-W4</t>
        </is>
      </c>
      <c r="E103" s="164" t="inlineStr">
        <is>
          <t>2027-08-W4</t>
        </is>
      </c>
    </row>
    <row r="104" ht="15" customHeight="1" s="131">
      <c r="C104" s="164" t="inlineStr">
        <is>
          <t>2027-08-W5</t>
        </is>
      </c>
      <c r="E104" s="164" t="inlineStr">
        <is>
          <t>2027-08-W5</t>
        </is>
      </c>
    </row>
    <row r="105" ht="15" customHeight="1" s="131">
      <c r="C105" s="164" t="inlineStr">
        <is>
          <t>2027-09-W1</t>
        </is>
      </c>
      <c r="E105" s="164" t="inlineStr">
        <is>
          <t>2027-09-W1</t>
        </is>
      </c>
    </row>
    <row r="106" ht="15" customHeight="1" s="131">
      <c r="C106" s="164" t="inlineStr">
        <is>
          <t>2027-09-W2</t>
        </is>
      </c>
      <c r="E106" s="164" t="inlineStr">
        <is>
          <t>2027-09-W2</t>
        </is>
      </c>
    </row>
    <row r="107" ht="15" customHeight="1" s="131">
      <c r="C107" s="164" t="inlineStr">
        <is>
          <t>2027-09-W3</t>
        </is>
      </c>
      <c r="E107" s="164" t="inlineStr">
        <is>
          <t>2027-09-W3</t>
        </is>
      </c>
    </row>
    <row r="108" ht="15" customHeight="1" s="131">
      <c r="C108" s="164" t="inlineStr">
        <is>
          <t>2027-09-W4</t>
        </is>
      </c>
      <c r="E108" s="164" t="inlineStr">
        <is>
          <t>2027-09-W4</t>
        </is>
      </c>
    </row>
    <row r="109" ht="15" customHeight="1" s="131">
      <c r="C109" s="164" t="inlineStr">
        <is>
          <t>2027-09-W5</t>
        </is>
      </c>
      <c r="E109" s="164" t="inlineStr">
        <is>
          <t>2027-09-W5</t>
        </is>
      </c>
    </row>
    <row r="110" ht="15" customHeight="1" s="131">
      <c r="C110" s="164" t="inlineStr">
        <is>
          <t>2027-10-W1</t>
        </is>
      </c>
      <c r="E110" s="164" t="inlineStr">
        <is>
          <t>2027-10-W1</t>
        </is>
      </c>
    </row>
    <row r="111" ht="15" customHeight="1" s="131">
      <c r="C111" s="164" t="inlineStr">
        <is>
          <t>2027-10-W2</t>
        </is>
      </c>
      <c r="E111" s="164" t="inlineStr">
        <is>
          <t>2027-10-W2</t>
        </is>
      </c>
    </row>
    <row r="112" ht="15" customHeight="1" s="131">
      <c r="C112" s="164" t="inlineStr">
        <is>
          <t>2027-10-W3</t>
        </is>
      </c>
      <c r="E112" s="164" t="inlineStr">
        <is>
          <t>2027-10-W3</t>
        </is>
      </c>
    </row>
    <row r="113" ht="15" customHeight="1" s="131">
      <c r="C113" s="164" t="inlineStr">
        <is>
          <t>2027-10-W4</t>
        </is>
      </c>
      <c r="E113" s="164" t="inlineStr">
        <is>
          <t>2027-10-W4</t>
        </is>
      </c>
    </row>
    <row r="114" ht="15" customHeight="1" s="131">
      <c r="C114" s="164" t="inlineStr">
        <is>
          <t>2027-10-W5</t>
        </is>
      </c>
      <c r="E114" s="164" t="inlineStr">
        <is>
          <t>2027-10-W5</t>
        </is>
      </c>
    </row>
    <row r="115" ht="15" customHeight="1" s="131">
      <c r="C115" s="164" t="inlineStr">
        <is>
          <t>2027-11-W1</t>
        </is>
      </c>
      <c r="E115" s="164" t="inlineStr">
        <is>
          <t>2027-11-W1</t>
        </is>
      </c>
    </row>
    <row r="116" ht="15" customHeight="1" s="131">
      <c r="C116" s="164" t="inlineStr">
        <is>
          <t>2027-11-W2</t>
        </is>
      </c>
      <c r="E116" s="164" t="inlineStr">
        <is>
          <t>2027-11-W2</t>
        </is>
      </c>
    </row>
    <row r="117" ht="15" customHeight="1" s="131">
      <c r="C117" s="164" t="inlineStr">
        <is>
          <t>2027-11-W3</t>
        </is>
      </c>
      <c r="E117" s="164" t="inlineStr">
        <is>
          <t>2027-11-W3</t>
        </is>
      </c>
    </row>
    <row r="118" ht="15" customHeight="1" s="131">
      <c r="C118" s="164" t="inlineStr">
        <is>
          <t>2027-11-W4</t>
        </is>
      </c>
      <c r="E118" s="164" t="inlineStr">
        <is>
          <t>2027-11-W4</t>
        </is>
      </c>
    </row>
    <row r="119" ht="15" customHeight="1" s="131">
      <c r="C119" s="164" t="inlineStr">
        <is>
          <t>2027-11-W5</t>
        </is>
      </c>
      <c r="E119" s="164" t="inlineStr">
        <is>
          <t>2027-11-W5</t>
        </is>
      </c>
    </row>
    <row r="120" ht="15" customHeight="1" s="131">
      <c r="C120" s="164" t="inlineStr">
        <is>
          <t>2027-12-W1</t>
        </is>
      </c>
      <c r="E120" s="164" t="inlineStr">
        <is>
          <t>2027-12-W1</t>
        </is>
      </c>
    </row>
    <row r="121" ht="15" customHeight="1" s="131">
      <c r="C121" s="164" t="inlineStr">
        <is>
          <t>2027-12-W2</t>
        </is>
      </c>
      <c r="E121" s="164" t="inlineStr">
        <is>
          <t>2027-12-W2</t>
        </is>
      </c>
    </row>
    <row r="122" ht="15" customHeight="1" s="131">
      <c r="C122" s="164" t="inlineStr">
        <is>
          <t>2027-12-W3</t>
        </is>
      </c>
      <c r="E122" s="164" t="inlineStr">
        <is>
          <t>2027-12-W3</t>
        </is>
      </c>
    </row>
    <row r="123" ht="15" customHeight="1" s="131">
      <c r="C123" s="164" t="inlineStr">
        <is>
          <t>2027-12-W4</t>
        </is>
      </c>
      <c r="E123" s="164" t="inlineStr">
        <is>
          <t>2027-12-W4</t>
        </is>
      </c>
    </row>
    <row r="124" ht="15" customHeight="1" s="131">
      <c r="C124" s="164" t="inlineStr">
        <is>
          <t>2027-12-W5</t>
        </is>
      </c>
      <c r="E124" s="164" t="inlineStr">
        <is>
          <t>2027-12-W5</t>
        </is>
      </c>
    </row>
    <row r="125" ht="15" customHeight="1" s="131">
      <c r="C125" s="164" t="inlineStr">
        <is>
          <t>2028-01-W1</t>
        </is>
      </c>
      <c r="E125" s="164" t="inlineStr">
        <is>
          <t>2028-01-W1</t>
        </is>
      </c>
    </row>
    <row r="126" ht="15" customHeight="1" s="131">
      <c r="C126" s="164" t="inlineStr">
        <is>
          <t>2028-01-W2</t>
        </is>
      </c>
      <c r="E126" s="164" t="inlineStr">
        <is>
          <t>2028-01-W2</t>
        </is>
      </c>
    </row>
    <row r="127" ht="15" customHeight="1" s="131">
      <c r="C127" s="164" t="inlineStr">
        <is>
          <t>2028-01-W3</t>
        </is>
      </c>
      <c r="E127" s="164" t="inlineStr">
        <is>
          <t>2028-01-W3</t>
        </is>
      </c>
    </row>
    <row r="128" ht="15" customHeight="1" s="131">
      <c r="C128" s="164" t="inlineStr">
        <is>
          <t>2028-01-W4</t>
        </is>
      </c>
      <c r="E128" s="164" t="inlineStr">
        <is>
          <t>2028-01-W4</t>
        </is>
      </c>
    </row>
    <row r="129" ht="15" customHeight="1" s="131">
      <c r="C129" s="164" t="inlineStr">
        <is>
          <t>2028-01-W5</t>
        </is>
      </c>
      <c r="E129" s="164" t="inlineStr">
        <is>
          <t>2028-01-W5</t>
        </is>
      </c>
    </row>
    <row r="130" ht="15" customHeight="1" s="131">
      <c r="C130" s="164" t="inlineStr">
        <is>
          <t>2028-02-W1</t>
        </is>
      </c>
      <c r="E130" s="164" t="inlineStr">
        <is>
          <t>2028-02-W1</t>
        </is>
      </c>
    </row>
    <row r="131" ht="15" customHeight="1" s="131">
      <c r="C131" s="164" t="inlineStr">
        <is>
          <t>2028-02-W2</t>
        </is>
      </c>
      <c r="E131" s="164" t="inlineStr">
        <is>
          <t>2028-02-W2</t>
        </is>
      </c>
    </row>
    <row r="132" ht="15" customHeight="1" s="131">
      <c r="C132" s="164" t="inlineStr">
        <is>
          <t>2028-02-W3</t>
        </is>
      </c>
      <c r="E132" s="164" t="inlineStr">
        <is>
          <t>2028-02-W3</t>
        </is>
      </c>
    </row>
    <row r="133" ht="15" customHeight="1" s="131">
      <c r="C133" s="164" t="inlineStr">
        <is>
          <t>2028-02-W4</t>
        </is>
      </c>
      <c r="E133" s="164" t="inlineStr">
        <is>
          <t>2028-02-W4</t>
        </is>
      </c>
    </row>
    <row r="134" ht="15" customHeight="1" s="131">
      <c r="C134" s="164" t="inlineStr">
        <is>
          <t>2028-02-W5</t>
        </is>
      </c>
      <c r="E134" s="164" t="inlineStr">
        <is>
          <t>2028-02-W5</t>
        </is>
      </c>
    </row>
    <row r="135" ht="15" customHeight="1" s="131">
      <c r="C135" s="164" t="inlineStr">
        <is>
          <t>2028-03-W1</t>
        </is>
      </c>
      <c r="E135" s="164" t="inlineStr">
        <is>
          <t>2028-03-W1</t>
        </is>
      </c>
    </row>
    <row r="136" ht="15" customHeight="1" s="131">
      <c r="C136" s="164" t="inlineStr">
        <is>
          <t>2028-03-W2</t>
        </is>
      </c>
      <c r="E136" s="164" t="inlineStr">
        <is>
          <t>2028-03-W2</t>
        </is>
      </c>
    </row>
    <row r="137" ht="15" customHeight="1" s="131">
      <c r="C137" s="164" t="inlineStr">
        <is>
          <t>2028-03-W3</t>
        </is>
      </c>
      <c r="E137" s="164" t="inlineStr">
        <is>
          <t>2028-03-W3</t>
        </is>
      </c>
    </row>
    <row r="138" ht="15" customHeight="1" s="131">
      <c r="C138" s="164" t="inlineStr">
        <is>
          <t>2028-03-W4</t>
        </is>
      </c>
      <c r="E138" s="164" t="inlineStr">
        <is>
          <t>2028-03-W4</t>
        </is>
      </c>
    </row>
    <row r="139" ht="15" customHeight="1" s="131">
      <c r="C139" s="164" t="inlineStr">
        <is>
          <t>2028-03-W5</t>
        </is>
      </c>
      <c r="E139" s="164" t="inlineStr">
        <is>
          <t>2028-03-W5</t>
        </is>
      </c>
    </row>
    <row r="140" ht="15" customHeight="1" s="131">
      <c r="C140" s="164" t="inlineStr">
        <is>
          <t>2028-04-W1</t>
        </is>
      </c>
      <c r="E140" s="164" t="inlineStr">
        <is>
          <t>2028-04-W1</t>
        </is>
      </c>
    </row>
    <row r="141" ht="15" customHeight="1" s="131">
      <c r="C141" s="164" t="inlineStr">
        <is>
          <t>2028-04-W2</t>
        </is>
      </c>
      <c r="E141" s="164" t="inlineStr">
        <is>
          <t>2028-04-W2</t>
        </is>
      </c>
    </row>
    <row r="142" ht="15" customHeight="1" s="131">
      <c r="C142" s="164" t="inlineStr">
        <is>
          <t>2028-04-W3</t>
        </is>
      </c>
      <c r="E142" s="164" t="inlineStr">
        <is>
          <t>2028-04-W3</t>
        </is>
      </c>
    </row>
    <row r="143" ht="15" customHeight="1" s="131">
      <c r="C143" s="164" t="inlineStr">
        <is>
          <t>2028-04-W4</t>
        </is>
      </c>
      <c r="E143" s="164" t="inlineStr">
        <is>
          <t>2028-04-W4</t>
        </is>
      </c>
    </row>
    <row r="144" ht="15" customHeight="1" s="131">
      <c r="C144" s="164" t="inlineStr">
        <is>
          <t>2028-04-W5</t>
        </is>
      </c>
      <c r="E144" s="164" t="inlineStr">
        <is>
          <t>2028-04-W5</t>
        </is>
      </c>
    </row>
    <row r="145" ht="15" customHeight="1" s="131">
      <c r="C145" s="164" t="inlineStr">
        <is>
          <t>2028-05-W1</t>
        </is>
      </c>
      <c r="E145" s="164" t="inlineStr">
        <is>
          <t>2028-05-W1</t>
        </is>
      </c>
    </row>
    <row r="146" ht="15" customHeight="1" s="131">
      <c r="C146" s="164" t="inlineStr">
        <is>
          <t>2028-05-W2</t>
        </is>
      </c>
      <c r="E146" s="164" t="inlineStr">
        <is>
          <t>2028-05-W2</t>
        </is>
      </c>
    </row>
    <row r="147" ht="15" customHeight="1" s="131">
      <c r="C147" s="164" t="inlineStr">
        <is>
          <t>2028-05-W3</t>
        </is>
      </c>
      <c r="E147" s="164" t="inlineStr">
        <is>
          <t>2028-05-W3</t>
        </is>
      </c>
    </row>
    <row r="148" ht="15" customHeight="1" s="131">
      <c r="C148" s="164" t="inlineStr">
        <is>
          <t>2028-05-W4</t>
        </is>
      </c>
      <c r="E148" s="164" t="inlineStr">
        <is>
          <t>2028-05-W4</t>
        </is>
      </c>
    </row>
    <row r="149" ht="15" customHeight="1" s="131">
      <c r="C149" s="164" t="inlineStr">
        <is>
          <t>2028-05-W5</t>
        </is>
      </c>
      <c r="E149" s="164" t="inlineStr">
        <is>
          <t>2028-05-W5</t>
        </is>
      </c>
    </row>
    <row r="150" ht="15" customHeight="1" s="131">
      <c r="C150" s="164" t="inlineStr">
        <is>
          <t>2028-06-W1</t>
        </is>
      </c>
      <c r="E150" s="164" t="inlineStr">
        <is>
          <t>2028-06-W1</t>
        </is>
      </c>
    </row>
    <row r="151" ht="15" customHeight="1" s="131">
      <c r="C151" s="164" t="inlineStr">
        <is>
          <t>2028-06-W2</t>
        </is>
      </c>
      <c r="E151" s="164" t="inlineStr">
        <is>
          <t>2028-06-W2</t>
        </is>
      </c>
    </row>
    <row r="152" ht="15" customHeight="1" s="131">
      <c r="C152" s="164" t="inlineStr">
        <is>
          <t>2028-06-W3</t>
        </is>
      </c>
      <c r="E152" s="164" t="inlineStr">
        <is>
          <t>2028-06-W3</t>
        </is>
      </c>
    </row>
    <row r="153" ht="15" customHeight="1" s="131">
      <c r="C153" s="164" t="inlineStr">
        <is>
          <t>2028-06-W4</t>
        </is>
      </c>
      <c r="E153" s="164" t="inlineStr">
        <is>
          <t>2028-06-W4</t>
        </is>
      </c>
    </row>
    <row r="154" ht="15" customHeight="1" s="131">
      <c r="C154" s="164" t="inlineStr">
        <is>
          <t>2028-06-W5</t>
        </is>
      </c>
      <c r="E154" s="164" t="inlineStr">
        <is>
          <t>2028-06-W5</t>
        </is>
      </c>
    </row>
    <row r="155" ht="15" customHeight="1" s="131">
      <c r="C155" s="164" t="inlineStr">
        <is>
          <t>2028-07-W1</t>
        </is>
      </c>
      <c r="E155" s="164" t="inlineStr">
        <is>
          <t>2028-07-W1</t>
        </is>
      </c>
    </row>
    <row r="156" ht="15" customHeight="1" s="131">
      <c r="C156" s="164" t="inlineStr">
        <is>
          <t>2028-07-W2</t>
        </is>
      </c>
      <c r="E156" s="164" t="inlineStr">
        <is>
          <t>2028-07-W2</t>
        </is>
      </c>
    </row>
    <row r="157" ht="15" customHeight="1" s="131">
      <c r="C157" s="164" t="inlineStr">
        <is>
          <t>2028-07-W3</t>
        </is>
      </c>
      <c r="E157" s="164" t="inlineStr">
        <is>
          <t>2028-07-W3</t>
        </is>
      </c>
    </row>
    <row r="158" ht="15" customHeight="1" s="131">
      <c r="C158" s="164" t="inlineStr">
        <is>
          <t>2028-07-W4</t>
        </is>
      </c>
      <c r="E158" s="164" t="inlineStr">
        <is>
          <t>2028-07-W4</t>
        </is>
      </c>
    </row>
    <row r="159" ht="15" customHeight="1" s="131">
      <c r="C159" s="164" t="inlineStr">
        <is>
          <t>2028-07-W5</t>
        </is>
      </c>
      <c r="E159" s="164" t="inlineStr">
        <is>
          <t>2028-07-W5</t>
        </is>
      </c>
    </row>
    <row r="160" ht="15" customHeight="1" s="131">
      <c r="C160" s="164" t="inlineStr">
        <is>
          <t>2028-08-W1</t>
        </is>
      </c>
      <c r="E160" s="164" t="inlineStr">
        <is>
          <t>2028-08-W1</t>
        </is>
      </c>
    </row>
    <row r="161" ht="15" customHeight="1" s="131">
      <c r="C161" s="164" t="inlineStr">
        <is>
          <t>2028-08-W2</t>
        </is>
      </c>
      <c r="E161" s="164" t="inlineStr">
        <is>
          <t>2028-08-W2</t>
        </is>
      </c>
    </row>
    <row r="162" ht="15" customHeight="1" s="131">
      <c r="C162" s="164" t="inlineStr">
        <is>
          <t>2028-08-W3</t>
        </is>
      </c>
      <c r="E162" s="164" t="inlineStr">
        <is>
          <t>2028-08-W3</t>
        </is>
      </c>
    </row>
    <row r="163" ht="15" customHeight="1" s="131">
      <c r="C163" s="164" t="inlineStr">
        <is>
          <t>2028-08-W4</t>
        </is>
      </c>
      <c r="E163" s="164" t="inlineStr">
        <is>
          <t>2028-08-W4</t>
        </is>
      </c>
    </row>
    <row r="164" ht="15" customHeight="1" s="131">
      <c r="C164" s="164" t="inlineStr">
        <is>
          <t>2028-08-W5</t>
        </is>
      </c>
      <c r="E164" s="164" t="inlineStr">
        <is>
          <t>2028-08-W5</t>
        </is>
      </c>
    </row>
    <row r="165" ht="15" customHeight="1" s="131">
      <c r="C165" s="164" t="inlineStr">
        <is>
          <t>2028-09-W1</t>
        </is>
      </c>
      <c r="E165" s="164" t="inlineStr">
        <is>
          <t>2028-09-W1</t>
        </is>
      </c>
    </row>
    <row r="166" ht="15" customHeight="1" s="131">
      <c r="C166" s="164" t="inlineStr">
        <is>
          <t>2028-09-W2</t>
        </is>
      </c>
      <c r="E166" s="164" t="inlineStr">
        <is>
          <t>2028-09-W2</t>
        </is>
      </c>
    </row>
    <row r="167" ht="15" customHeight="1" s="131">
      <c r="C167" s="164" t="inlineStr">
        <is>
          <t>2028-09-W3</t>
        </is>
      </c>
      <c r="E167" s="164" t="inlineStr">
        <is>
          <t>2028-09-W3</t>
        </is>
      </c>
    </row>
    <row r="168" ht="15" customHeight="1" s="131">
      <c r="C168" s="164" t="inlineStr">
        <is>
          <t>2028-09-W4</t>
        </is>
      </c>
      <c r="E168" s="164" t="inlineStr">
        <is>
          <t>2028-09-W4</t>
        </is>
      </c>
    </row>
    <row r="169" ht="15" customHeight="1" s="131">
      <c r="C169" s="164" t="inlineStr">
        <is>
          <t>2028-09-W5</t>
        </is>
      </c>
      <c r="E169" s="164" t="inlineStr">
        <is>
          <t>2028-09-W5</t>
        </is>
      </c>
    </row>
    <row r="170" ht="15" customHeight="1" s="131">
      <c r="C170" s="164" t="inlineStr">
        <is>
          <t>2028-10-W1</t>
        </is>
      </c>
      <c r="E170" s="164" t="inlineStr">
        <is>
          <t>2028-10-W1</t>
        </is>
      </c>
    </row>
    <row r="171" ht="15" customHeight="1" s="131">
      <c r="C171" s="164" t="inlineStr">
        <is>
          <t>2028-10-W2</t>
        </is>
      </c>
      <c r="E171" s="164" t="inlineStr">
        <is>
          <t>2028-10-W2</t>
        </is>
      </c>
    </row>
    <row r="172" ht="15" customHeight="1" s="131">
      <c r="C172" s="164" t="inlineStr">
        <is>
          <t>2028-10-W3</t>
        </is>
      </c>
      <c r="E172" s="164" t="inlineStr">
        <is>
          <t>2028-10-W3</t>
        </is>
      </c>
    </row>
    <row r="173" ht="15" customHeight="1" s="131">
      <c r="C173" s="164" t="inlineStr">
        <is>
          <t>2028-10-W4</t>
        </is>
      </c>
      <c r="E173" s="164" t="inlineStr">
        <is>
          <t>2028-10-W4</t>
        </is>
      </c>
    </row>
    <row r="174" ht="15" customHeight="1" s="131">
      <c r="C174" s="164" t="inlineStr">
        <is>
          <t>2028-10-W5</t>
        </is>
      </c>
      <c r="E174" s="164" t="inlineStr">
        <is>
          <t>2028-10-W5</t>
        </is>
      </c>
    </row>
    <row r="175" ht="15" customHeight="1" s="131">
      <c r="C175" s="164" t="inlineStr">
        <is>
          <t>2028-11-W1</t>
        </is>
      </c>
      <c r="E175" s="164" t="inlineStr">
        <is>
          <t>2028-11-W1</t>
        </is>
      </c>
    </row>
    <row r="176" ht="15" customHeight="1" s="131">
      <c r="C176" s="164" t="inlineStr">
        <is>
          <t>2028-11-W2</t>
        </is>
      </c>
      <c r="E176" s="164" t="inlineStr">
        <is>
          <t>2028-11-W2</t>
        </is>
      </c>
    </row>
    <row r="177" ht="15" customHeight="1" s="131">
      <c r="C177" s="164" t="inlineStr">
        <is>
          <t>2028-11-W3</t>
        </is>
      </c>
      <c r="E177" s="164" t="inlineStr">
        <is>
          <t>2028-11-W3</t>
        </is>
      </c>
    </row>
    <row r="178" ht="15" customHeight="1" s="131">
      <c r="C178" s="164" t="inlineStr">
        <is>
          <t>2028-11-W4</t>
        </is>
      </c>
      <c r="E178" s="164" t="inlineStr">
        <is>
          <t>2028-11-W4</t>
        </is>
      </c>
    </row>
    <row r="179" ht="15" customHeight="1" s="131">
      <c r="C179" s="164" t="inlineStr">
        <is>
          <t>2028-11-W5</t>
        </is>
      </c>
      <c r="E179" s="164" t="inlineStr">
        <is>
          <t>2028-11-W5</t>
        </is>
      </c>
    </row>
    <row r="180" ht="15" customHeight="1" s="131">
      <c r="C180" s="164" t="inlineStr">
        <is>
          <t>2028-12-W1</t>
        </is>
      </c>
      <c r="E180" s="164" t="inlineStr">
        <is>
          <t>2028-12-W1</t>
        </is>
      </c>
    </row>
    <row r="181" ht="15" customHeight="1" s="131">
      <c r="C181" s="164" t="inlineStr">
        <is>
          <t>2028-12-W2</t>
        </is>
      </c>
      <c r="E181" s="164" t="inlineStr">
        <is>
          <t>2028-12-W2</t>
        </is>
      </c>
    </row>
    <row r="182" ht="15" customHeight="1" s="131">
      <c r="C182" s="164" t="inlineStr">
        <is>
          <t>2028-12-W3</t>
        </is>
      </c>
      <c r="E182" s="164" t="inlineStr">
        <is>
          <t>2028-12-W3</t>
        </is>
      </c>
    </row>
    <row r="183" ht="15" customHeight="1" s="131">
      <c r="C183" s="164" t="inlineStr">
        <is>
          <t>2028-12-W4</t>
        </is>
      </c>
      <c r="E183" s="164" t="inlineStr">
        <is>
          <t>2028-12-W4</t>
        </is>
      </c>
    </row>
    <row r="184" ht="15" customHeight="1" s="131">
      <c r="C184" s="164" t="inlineStr">
        <is>
          <t>2028-12-W5</t>
        </is>
      </c>
      <c r="E184" s="164" t="inlineStr">
        <is>
          <t>2028-12-W5</t>
        </is>
      </c>
    </row>
    <row r="185" ht="15" customHeight="1" s="131">
      <c r="C185" s="164" t="inlineStr">
        <is>
          <t>2029-01-W1</t>
        </is>
      </c>
      <c r="E185" s="164" t="inlineStr">
        <is>
          <t>2029-01-W1</t>
        </is>
      </c>
    </row>
    <row r="186" ht="15" customHeight="1" s="131">
      <c r="C186" s="164" t="inlineStr">
        <is>
          <t>2029-01-W2</t>
        </is>
      </c>
      <c r="E186" s="164" t="inlineStr">
        <is>
          <t>2029-01-W2</t>
        </is>
      </c>
    </row>
    <row r="187" ht="15" customHeight="1" s="131">
      <c r="C187" s="164" t="inlineStr">
        <is>
          <t>2029-01-W3</t>
        </is>
      </c>
      <c r="E187" s="164" t="inlineStr">
        <is>
          <t>2029-01-W3</t>
        </is>
      </c>
    </row>
    <row r="188" ht="15" customHeight="1" s="131">
      <c r="C188" s="164" t="inlineStr">
        <is>
          <t>2029-01-W4</t>
        </is>
      </c>
      <c r="E188" s="164" t="inlineStr">
        <is>
          <t>2029-01-W4</t>
        </is>
      </c>
    </row>
    <row r="189" ht="15" customHeight="1" s="131">
      <c r="C189" s="164" t="inlineStr">
        <is>
          <t>2029-01-W5</t>
        </is>
      </c>
      <c r="E189" s="164" t="inlineStr">
        <is>
          <t>2029-01-W5</t>
        </is>
      </c>
    </row>
    <row r="190" ht="15" customHeight="1" s="131">
      <c r="C190" s="164" t="inlineStr">
        <is>
          <t>2029-02-W1</t>
        </is>
      </c>
      <c r="E190" s="164" t="inlineStr">
        <is>
          <t>2029-02-W1</t>
        </is>
      </c>
    </row>
    <row r="191" ht="15" customHeight="1" s="131">
      <c r="C191" s="164" t="inlineStr">
        <is>
          <t>2029-02-W2</t>
        </is>
      </c>
      <c r="E191" s="164" t="inlineStr">
        <is>
          <t>2029-02-W2</t>
        </is>
      </c>
    </row>
    <row r="192" ht="15" customHeight="1" s="131">
      <c r="C192" s="164" t="inlineStr">
        <is>
          <t>2029-02-W3</t>
        </is>
      </c>
      <c r="E192" s="164" t="inlineStr">
        <is>
          <t>2029-02-W3</t>
        </is>
      </c>
    </row>
    <row r="193" ht="15" customHeight="1" s="131">
      <c r="C193" s="164" t="inlineStr">
        <is>
          <t>2029-02-W4</t>
        </is>
      </c>
      <c r="E193" s="164" t="inlineStr">
        <is>
          <t>2029-02-W4</t>
        </is>
      </c>
    </row>
    <row r="194" ht="15" customHeight="1" s="131">
      <c r="C194" s="164" t="inlineStr">
        <is>
          <t>2029-02-W5</t>
        </is>
      </c>
      <c r="E194" s="164" t="inlineStr">
        <is>
          <t>2029-02-W5</t>
        </is>
      </c>
    </row>
    <row r="195" ht="15" customHeight="1" s="131">
      <c r="C195" s="164" t="inlineStr">
        <is>
          <t>2029-03-W1</t>
        </is>
      </c>
      <c r="E195" s="164" t="inlineStr">
        <is>
          <t>2029-03-W1</t>
        </is>
      </c>
    </row>
    <row r="196" ht="15" customHeight="1" s="131">
      <c r="C196" s="164" t="inlineStr">
        <is>
          <t>2029-03-W2</t>
        </is>
      </c>
      <c r="E196" s="164" t="inlineStr">
        <is>
          <t>2029-03-W2</t>
        </is>
      </c>
    </row>
    <row r="197" ht="15" customHeight="1" s="131">
      <c r="C197" s="164" t="inlineStr">
        <is>
          <t>2029-03-W3</t>
        </is>
      </c>
      <c r="E197" s="164" t="inlineStr">
        <is>
          <t>2029-03-W3</t>
        </is>
      </c>
    </row>
    <row r="198" ht="15" customHeight="1" s="131">
      <c r="C198" s="164" t="inlineStr">
        <is>
          <t>2029-03-W4</t>
        </is>
      </c>
      <c r="E198" s="164" t="inlineStr">
        <is>
          <t>2029-03-W4</t>
        </is>
      </c>
    </row>
    <row r="199" ht="15" customHeight="1" s="131">
      <c r="C199" s="164" t="inlineStr">
        <is>
          <t>2029-03-W5</t>
        </is>
      </c>
      <c r="E199" s="164" t="inlineStr">
        <is>
          <t>2029-03-W5</t>
        </is>
      </c>
    </row>
    <row r="200" ht="15" customHeight="1" s="131">
      <c r="C200" s="164" t="inlineStr">
        <is>
          <t>2029-04-W1</t>
        </is>
      </c>
      <c r="E200" s="164" t="inlineStr">
        <is>
          <t>2029-04-W1</t>
        </is>
      </c>
    </row>
    <row r="201" ht="15" customHeight="1" s="131">
      <c r="C201" s="164" t="inlineStr">
        <is>
          <t>2029-04-W2</t>
        </is>
      </c>
      <c r="E201" s="164" t="inlineStr">
        <is>
          <t>2029-04-W2</t>
        </is>
      </c>
    </row>
    <row r="202" ht="15" customHeight="1" s="131">
      <c r="C202" s="164" t="inlineStr">
        <is>
          <t>2029-04-W3</t>
        </is>
      </c>
      <c r="E202" s="164" t="inlineStr">
        <is>
          <t>2029-04-W3</t>
        </is>
      </c>
    </row>
    <row r="203" ht="15" customHeight="1" s="131">
      <c r="C203" s="164" t="inlineStr">
        <is>
          <t>2029-04-W4</t>
        </is>
      </c>
      <c r="E203" s="164" t="inlineStr">
        <is>
          <t>2029-04-W4</t>
        </is>
      </c>
    </row>
    <row r="204" ht="15" customHeight="1" s="131">
      <c r="C204" s="164" t="inlineStr">
        <is>
          <t>2029-04-W5</t>
        </is>
      </c>
      <c r="E204" s="164" t="inlineStr">
        <is>
          <t>2029-04-W5</t>
        </is>
      </c>
    </row>
    <row r="205" ht="15" customHeight="1" s="131">
      <c r="C205" s="164" t="inlineStr">
        <is>
          <t>2029-05-W1</t>
        </is>
      </c>
      <c r="E205" s="164" t="inlineStr">
        <is>
          <t>2029-05-W1</t>
        </is>
      </c>
    </row>
    <row r="206" ht="15" customHeight="1" s="131">
      <c r="C206" s="164" t="inlineStr">
        <is>
          <t>2029-05-W2</t>
        </is>
      </c>
      <c r="E206" s="164" t="inlineStr">
        <is>
          <t>2029-05-W2</t>
        </is>
      </c>
    </row>
    <row r="207" ht="15" customHeight="1" s="131">
      <c r="C207" s="164" t="inlineStr">
        <is>
          <t>2029-05-W3</t>
        </is>
      </c>
      <c r="E207" s="164" t="inlineStr">
        <is>
          <t>2029-05-W3</t>
        </is>
      </c>
    </row>
    <row r="208" ht="15" customHeight="1" s="131">
      <c r="C208" s="164" t="inlineStr">
        <is>
          <t>2029-05-W4</t>
        </is>
      </c>
      <c r="E208" s="164" t="inlineStr">
        <is>
          <t>2029-05-W4</t>
        </is>
      </c>
    </row>
    <row r="209" ht="15" customHeight="1" s="131">
      <c r="C209" s="164" t="inlineStr">
        <is>
          <t>2029-05-W5</t>
        </is>
      </c>
      <c r="E209" s="164" t="inlineStr">
        <is>
          <t>2029-05-W5</t>
        </is>
      </c>
    </row>
    <row r="210" ht="15" customHeight="1" s="131">
      <c r="C210" s="164" t="inlineStr">
        <is>
          <t>2029-06-W1</t>
        </is>
      </c>
      <c r="E210" s="164" t="inlineStr">
        <is>
          <t>2029-06-W1</t>
        </is>
      </c>
    </row>
    <row r="211" ht="15" customHeight="1" s="131">
      <c r="C211" s="164" t="inlineStr">
        <is>
          <t>2029-06-W2</t>
        </is>
      </c>
      <c r="E211" s="164" t="inlineStr">
        <is>
          <t>2029-06-W2</t>
        </is>
      </c>
    </row>
    <row r="212" ht="15" customHeight="1" s="131">
      <c r="C212" s="164" t="inlineStr">
        <is>
          <t>2029-06-W3</t>
        </is>
      </c>
      <c r="E212" s="164" t="inlineStr">
        <is>
          <t>2029-06-W3</t>
        </is>
      </c>
    </row>
    <row r="213" ht="15" customHeight="1" s="131">
      <c r="C213" s="164" t="inlineStr">
        <is>
          <t>2029-06-W4</t>
        </is>
      </c>
      <c r="E213" s="164" t="inlineStr">
        <is>
          <t>2029-06-W4</t>
        </is>
      </c>
    </row>
    <row r="214" ht="15" customHeight="1" s="131">
      <c r="C214" s="164" t="inlineStr">
        <is>
          <t>2029-06-W5</t>
        </is>
      </c>
      <c r="E214" s="164" t="inlineStr">
        <is>
          <t>2029-06-W5</t>
        </is>
      </c>
    </row>
    <row r="215" ht="15" customHeight="1" s="131">
      <c r="C215" s="164" t="inlineStr">
        <is>
          <t>2029-07-W1</t>
        </is>
      </c>
      <c r="E215" s="164" t="inlineStr">
        <is>
          <t>2029-07-W1</t>
        </is>
      </c>
    </row>
    <row r="216" ht="15" customHeight="1" s="131">
      <c r="C216" s="164" t="inlineStr">
        <is>
          <t>2029-07-W2</t>
        </is>
      </c>
      <c r="E216" s="164" t="inlineStr">
        <is>
          <t>2029-07-W2</t>
        </is>
      </c>
    </row>
    <row r="217" ht="15" customHeight="1" s="131">
      <c r="C217" s="164" t="inlineStr">
        <is>
          <t>2029-07-W3</t>
        </is>
      </c>
      <c r="E217" s="164" t="inlineStr">
        <is>
          <t>2029-07-W3</t>
        </is>
      </c>
    </row>
    <row r="218" ht="15" customHeight="1" s="131">
      <c r="C218" s="164" t="inlineStr">
        <is>
          <t>2029-07-W4</t>
        </is>
      </c>
      <c r="E218" s="164" t="inlineStr">
        <is>
          <t>2029-07-W4</t>
        </is>
      </c>
    </row>
    <row r="219" ht="15" customHeight="1" s="131">
      <c r="C219" s="164" t="inlineStr">
        <is>
          <t>2029-07-W5</t>
        </is>
      </c>
      <c r="E219" s="164" t="inlineStr">
        <is>
          <t>2029-07-W5</t>
        </is>
      </c>
    </row>
    <row r="220" ht="15" customHeight="1" s="131">
      <c r="C220" s="164" t="inlineStr">
        <is>
          <t>2029-08-W1</t>
        </is>
      </c>
      <c r="E220" s="164" t="inlineStr">
        <is>
          <t>2029-08-W1</t>
        </is>
      </c>
    </row>
    <row r="221" ht="15" customHeight="1" s="131">
      <c r="C221" s="164" t="inlineStr">
        <is>
          <t>2029-08-W2</t>
        </is>
      </c>
      <c r="E221" s="164" t="inlineStr">
        <is>
          <t>2029-08-W2</t>
        </is>
      </c>
    </row>
    <row r="222" ht="15" customHeight="1" s="131">
      <c r="C222" s="164" t="inlineStr">
        <is>
          <t>2029-08-W3</t>
        </is>
      </c>
      <c r="E222" s="164" t="inlineStr">
        <is>
          <t>2029-08-W3</t>
        </is>
      </c>
    </row>
    <row r="223" ht="15" customHeight="1" s="131">
      <c r="C223" s="164" t="inlineStr">
        <is>
          <t>2029-08-W4</t>
        </is>
      </c>
      <c r="E223" s="164" t="inlineStr">
        <is>
          <t>2029-08-W4</t>
        </is>
      </c>
    </row>
    <row r="224" ht="15" customHeight="1" s="131">
      <c r="C224" s="164" t="inlineStr">
        <is>
          <t>2029-08-W5</t>
        </is>
      </c>
      <c r="E224" s="164" t="inlineStr">
        <is>
          <t>2029-08-W5</t>
        </is>
      </c>
    </row>
    <row r="225" ht="15" customHeight="1" s="131">
      <c r="C225" s="164" t="inlineStr">
        <is>
          <t>2029-09-W1</t>
        </is>
      </c>
      <c r="E225" s="164" t="inlineStr">
        <is>
          <t>2029-09-W1</t>
        </is>
      </c>
    </row>
    <row r="226" ht="15" customHeight="1" s="131">
      <c r="C226" s="164" t="inlineStr">
        <is>
          <t>2029-09-W2</t>
        </is>
      </c>
      <c r="E226" s="164" t="inlineStr">
        <is>
          <t>2029-09-W2</t>
        </is>
      </c>
    </row>
    <row r="227" ht="15" customHeight="1" s="131">
      <c r="C227" s="164" t="inlineStr">
        <is>
          <t>2029-09-W3</t>
        </is>
      </c>
      <c r="E227" s="164" t="inlineStr">
        <is>
          <t>2029-09-W3</t>
        </is>
      </c>
    </row>
    <row r="228" ht="15" customHeight="1" s="131">
      <c r="C228" s="164" t="inlineStr">
        <is>
          <t>2029-09-W4</t>
        </is>
      </c>
      <c r="E228" s="164" t="inlineStr">
        <is>
          <t>2029-09-W4</t>
        </is>
      </c>
    </row>
    <row r="229" ht="15" customHeight="1" s="131">
      <c r="C229" s="164" t="inlineStr">
        <is>
          <t>2029-09-W5</t>
        </is>
      </c>
      <c r="E229" s="164" t="inlineStr">
        <is>
          <t>2029-09-W5</t>
        </is>
      </c>
    </row>
    <row r="230" ht="15" customHeight="1" s="131">
      <c r="C230" s="164" t="inlineStr">
        <is>
          <t>2029-10-W1</t>
        </is>
      </c>
      <c r="E230" s="164" t="inlineStr">
        <is>
          <t>2029-10-W1</t>
        </is>
      </c>
    </row>
    <row r="231" ht="15" customHeight="1" s="131">
      <c r="C231" s="164" t="inlineStr">
        <is>
          <t>2029-10-W2</t>
        </is>
      </c>
      <c r="E231" s="164" t="inlineStr">
        <is>
          <t>2029-10-W2</t>
        </is>
      </c>
    </row>
    <row r="232" ht="15" customHeight="1" s="131">
      <c r="C232" s="164" t="inlineStr">
        <is>
          <t>2029-10-W3</t>
        </is>
      </c>
      <c r="E232" s="164" t="inlineStr">
        <is>
          <t>2029-10-W3</t>
        </is>
      </c>
    </row>
    <row r="233" ht="15" customHeight="1" s="131">
      <c r="C233" s="164" t="inlineStr">
        <is>
          <t>2029-10-W4</t>
        </is>
      </c>
      <c r="E233" s="164" t="inlineStr">
        <is>
          <t>2029-10-W4</t>
        </is>
      </c>
    </row>
    <row r="234" ht="15" customHeight="1" s="131">
      <c r="C234" s="164" t="inlineStr">
        <is>
          <t>2029-10-W5</t>
        </is>
      </c>
      <c r="E234" s="164" t="inlineStr">
        <is>
          <t>2029-10-W5</t>
        </is>
      </c>
    </row>
    <row r="235" ht="15" customHeight="1" s="131">
      <c r="C235" s="164" t="inlineStr">
        <is>
          <t>2029-11-W1</t>
        </is>
      </c>
      <c r="E235" s="164" t="inlineStr">
        <is>
          <t>2029-11-W1</t>
        </is>
      </c>
    </row>
    <row r="236" ht="15" customHeight="1" s="131">
      <c r="C236" s="164" t="inlineStr">
        <is>
          <t>2029-11-W2</t>
        </is>
      </c>
      <c r="E236" s="164" t="inlineStr">
        <is>
          <t>2029-11-W2</t>
        </is>
      </c>
    </row>
    <row r="237" ht="15" customHeight="1" s="131">
      <c r="C237" s="164" t="inlineStr">
        <is>
          <t>2029-11-W3</t>
        </is>
      </c>
      <c r="E237" s="164" t="inlineStr">
        <is>
          <t>2029-11-W3</t>
        </is>
      </c>
    </row>
    <row r="238" ht="15" customHeight="1" s="131">
      <c r="C238" s="164" t="inlineStr">
        <is>
          <t>2029-11-W4</t>
        </is>
      </c>
      <c r="E238" s="164" t="inlineStr">
        <is>
          <t>2029-11-W4</t>
        </is>
      </c>
    </row>
    <row r="239" ht="15" customHeight="1" s="131">
      <c r="C239" s="164" t="inlineStr">
        <is>
          <t>2029-11-W5</t>
        </is>
      </c>
      <c r="E239" s="164" t="inlineStr">
        <is>
          <t>2029-11-W5</t>
        </is>
      </c>
    </row>
    <row r="240" ht="15" customHeight="1" s="131">
      <c r="C240" s="164" t="inlineStr">
        <is>
          <t>2029-12-W1</t>
        </is>
      </c>
      <c r="E240" s="164" t="inlineStr">
        <is>
          <t>2029-12-W1</t>
        </is>
      </c>
    </row>
    <row r="241" ht="15" customHeight="1" s="131">
      <c r="C241" s="164" t="inlineStr">
        <is>
          <t>2029-12-W2</t>
        </is>
      </c>
      <c r="E241" s="164" t="inlineStr">
        <is>
          <t>2029-12-W2</t>
        </is>
      </c>
    </row>
    <row r="242" ht="15" customHeight="1" s="131">
      <c r="C242" s="164" t="inlineStr">
        <is>
          <t>2029-12-W3</t>
        </is>
      </c>
      <c r="E242" s="164" t="inlineStr">
        <is>
          <t>2029-12-W3</t>
        </is>
      </c>
    </row>
    <row r="243" ht="15" customHeight="1" s="131">
      <c r="C243" s="164" t="inlineStr">
        <is>
          <t>2029-12-W4</t>
        </is>
      </c>
      <c r="E243" s="164" t="inlineStr">
        <is>
          <t>2029-12-W4</t>
        </is>
      </c>
    </row>
    <row r="244" ht="15" customHeight="1" s="131">
      <c r="C244" s="164" t="inlineStr">
        <is>
          <t>2029-12-W5</t>
        </is>
      </c>
      <c r="E244" s="164" t="inlineStr">
        <is>
          <t>2029-12-W5</t>
        </is>
      </c>
    </row>
    <row r="245" ht="15" customHeight="1" s="131">
      <c r="E245" s="164" t="inlineStr">
        <is>
          <t>2026-01</t>
        </is>
      </c>
    </row>
    <row r="246" ht="15" customHeight="1" s="131">
      <c r="E246" s="164" t="inlineStr">
        <is>
          <t>2026-02</t>
        </is>
      </c>
    </row>
    <row r="247" ht="15" customHeight="1" s="131">
      <c r="E247" s="164" t="inlineStr">
        <is>
          <t>2026-03</t>
        </is>
      </c>
    </row>
    <row r="248" ht="15" customHeight="1" s="131">
      <c r="E248" s="164" t="inlineStr">
        <is>
          <t>2026-04</t>
        </is>
      </c>
    </row>
    <row r="249" ht="15" customHeight="1" s="131">
      <c r="E249" s="164" t="inlineStr">
        <is>
          <t>2026-05</t>
        </is>
      </c>
    </row>
    <row r="250" ht="15" customHeight="1" s="131">
      <c r="E250" s="164" t="inlineStr">
        <is>
          <t>2026-06</t>
        </is>
      </c>
    </row>
    <row r="251" ht="15" customHeight="1" s="131">
      <c r="E251" s="164" t="inlineStr">
        <is>
          <t>2026-07</t>
        </is>
      </c>
    </row>
    <row r="252" ht="15" customHeight="1" s="131">
      <c r="E252" s="164" t="inlineStr">
        <is>
          <t>2026-08</t>
        </is>
      </c>
    </row>
    <row r="253" ht="15" customHeight="1" s="131">
      <c r="E253" s="164" t="inlineStr">
        <is>
          <t>2026-09</t>
        </is>
      </c>
    </row>
    <row r="254" ht="15" customHeight="1" s="131">
      <c r="E254" s="164" t="inlineStr">
        <is>
          <t>2026-10</t>
        </is>
      </c>
    </row>
    <row r="255" ht="15" customHeight="1" s="131">
      <c r="E255" s="164" t="inlineStr">
        <is>
          <t>2026-11</t>
        </is>
      </c>
    </row>
    <row r="256" ht="15" customHeight="1" s="131">
      <c r="E256" s="164" t="inlineStr">
        <is>
          <t>2026-12</t>
        </is>
      </c>
    </row>
    <row r="257" ht="15" customHeight="1" s="131">
      <c r="E257" s="164" t="inlineStr">
        <is>
          <t>2027-01</t>
        </is>
      </c>
    </row>
    <row r="258" ht="15" customHeight="1" s="131">
      <c r="E258" s="164" t="inlineStr">
        <is>
          <t>2027-02</t>
        </is>
      </c>
    </row>
    <row r="259" ht="15" customHeight="1" s="131">
      <c r="E259" s="164" t="inlineStr">
        <is>
          <t>2027-03</t>
        </is>
      </c>
    </row>
    <row r="260" ht="15" customHeight="1" s="131">
      <c r="E260" s="164" t="inlineStr">
        <is>
          <t>2027-04</t>
        </is>
      </c>
    </row>
    <row r="261" ht="15" customHeight="1" s="131">
      <c r="E261" s="164" t="inlineStr">
        <is>
          <t>2027-05</t>
        </is>
      </c>
    </row>
    <row r="262" ht="15" customHeight="1" s="131">
      <c r="E262" s="164" t="inlineStr">
        <is>
          <t>2027-06</t>
        </is>
      </c>
    </row>
    <row r="263" ht="15" customHeight="1" s="131">
      <c r="E263" s="164" t="inlineStr">
        <is>
          <t>2027-07</t>
        </is>
      </c>
    </row>
    <row r="264" ht="15" customHeight="1" s="131">
      <c r="E264" s="164" t="inlineStr">
        <is>
          <t>2027-08</t>
        </is>
      </c>
    </row>
    <row r="265" ht="15" customHeight="1" s="131">
      <c r="E265" s="164" t="inlineStr">
        <is>
          <t>2027-09</t>
        </is>
      </c>
    </row>
    <row r="266" ht="15" customHeight="1" s="131">
      <c r="E266" s="164" t="inlineStr">
        <is>
          <t>2027-10</t>
        </is>
      </c>
    </row>
    <row r="267" ht="15" customHeight="1" s="131">
      <c r="E267" s="164" t="inlineStr">
        <is>
          <t>2027-11</t>
        </is>
      </c>
    </row>
    <row r="268" ht="15" customHeight="1" s="131">
      <c r="E268" s="164" t="inlineStr">
        <is>
          <t>2027-12</t>
        </is>
      </c>
    </row>
    <row r="269" ht="15" customHeight="1" s="131">
      <c r="E269" s="164" t="inlineStr">
        <is>
          <t>2028-01</t>
        </is>
      </c>
    </row>
    <row r="270" ht="15" customHeight="1" s="131">
      <c r="E270" s="164" t="inlineStr">
        <is>
          <t>2028-02</t>
        </is>
      </c>
    </row>
    <row r="271" ht="15" customHeight="1" s="131">
      <c r="E271" s="164" t="inlineStr">
        <is>
          <t>2028-03</t>
        </is>
      </c>
    </row>
    <row r="272" ht="15" customHeight="1" s="131">
      <c r="E272" s="164" t="inlineStr">
        <is>
          <t>2028-04</t>
        </is>
      </c>
    </row>
    <row r="273" ht="15" customHeight="1" s="131">
      <c r="E273" s="164" t="inlineStr">
        <is>
          <t>2028-05</t>
        </is>
      </c>
    </row>
    <row r="274" ht="15" customHeight="1" s="131">
      <c r="E274" s="164" t="inlineStr">
        <is>
          <t>2028-06</t>
        </is>
      </c>
    </row>
    <row r="275" ht="15" customHeight="1" s="131">
      <c r="E275" s="164" t="inlineStr">
        <is>
          <t>2028-07</t>
        </is>
      </c>
    </row>
    <row r="276" ht="15" customHeight="1" s="131">
      <c r="E276" s="164" t="inlineStr">
        <is>
          <t>2028-08</t>
        </is>
      </c>
    </row>
    <row r="277" ht="15" customHeight="1" s="131">
      <c r="E277" s="164" t="inlineStr">
        <is>
          <t>2028-09</t>
        </is>
      </c>
    </row>
    <row r="278" ht="15" customHeight="1" s="131">
      <c r="E278" s="164" t="inlineStr">
        <is>
          <t>2028-10</t>
        </is>
      </c>
    </row>
    <row r="279" ht="15" customHeight="1" s="131">
      <c r="E279" s="164" t="inlineStr">
        <is>
          <t>2028-11</t>
        </is>
      </c>
    </row>
    <row r="280" ht="15" customHeight="1" s="131">
      <c r="E280" s="164" t="inlineStr">
        <is>
          <t>2028-12</t>
        </is>
      </c>
    </row>
    <row r="281" ht="15" customHeight="1" s="131">
      <c r="E281" s="164" t="inlineStr">
        <is>
          <t>2029-01</t>
        </is>
      </c>
    </row>
    <row r="282" ht="15" customHeight="1" s="131">
      <c r="E282" s="164" t="inlineStr">
        <is>
          <t>2029-02</t>
        </is>
      </c>
    </row>
    <row r="283" ht="15" customHeight="1" s="131">
      <c r="E283" s="164" t="inlineStr">
        <is>
          <t>2029-03</t>
        </is>
      </c>
    </row>
    <row r="284" ht="15" customHeight="1" s="131">
      <c r="E284" s="164" t="inlineStr">
        <is>
          <t>2029-04</t>
        </is>
      </c>
    </row>
    <row r="285" ht="15" customHeight="1" s="131">
      <c r="E285" s="164" t="inlineStr">
        <is>
          <t>2029-05</t>
        </is>
      </c>
    </row>
    <row r="286" ht="15" customHeight="1" s="131">
      <c r="E286" s="164" t="inlineStr">
        <is>
          <t>2029-06</t>
        </is>
      </c>
    </row>
    <row r="287" ht="15" customHeight="1" s="131">
      <c r="E287" s="164" t="inlineStr">
        <is>
          <t>2029-07</t>
        </is>
      </c>
    </row>
    <row r="288" ht="15" customHeight="1" s="131">
      <c r="E288" s="164" t="inlineStr">
        <is>
          <t>2029-08</t>
        </is>
      </c>
    </row>
    <row r="289" ht="15" customHeight="1" s="131">
      <c r="E289" s="164" t="inlineStr">
        <is>
          <t>2029-09</t>
        </is>
      </c>
    </row>
    <row r="290" ht="15" customHeight="1" s="131">
      <c r="E290" s="164" t="inlineStr">
        <is>
          <t>2029-10</t>
        </is>
      </c>
    </row>
    <row r="291" ht="15" customHeight="1" s="131">
      <c r="E291" s="164" t="inlineStr">
        <is>
          <t>2029-11</t>
        </is>
      </c>
    </row>
    <row r="292" ht="15" customHeight="1" s="131">
      <c r="E292" s="164" t="inlineStr">
        <is>
          <t>2029-12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A5A5A5"/>
    <outlinePr summaryBelow="1" summaryRight="1"/>
    <pageSetUpPr fitToPage="0"/>
  </sheetPr>
  <dimension ref="A1:H1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130" min="1" max="1"/>
    <col width="16" customWidth="1" style="130" min="2" max="2"/>
    <col width="8" customWidth="1" style="130" min="3" max="3"/>
    <col width="9" customWidth="1" style="130" min="4" max="4"/>
    <col width="12" customWidth="1" style="130" min="5" max="5"/>
    <col width="18" customWidth="1" style="130" min="6" max="7"/>
    <col width="20" customWidth="1" style="130" min="8" max="8"/>
  </cols>
  <sheetData>
    <row r="1" ht="24" customHeight="1" s="131">
      <c r="A1" s="132" t="inlineStr">
        <is>
          <t>DIMENSÃO DE MESES (EXIBIÇÃO)</t>
        </is>
      </c>
    </row>
    <row r="2" ht="30" customHeight="1" s="131">
      <c r="A2" s="133" t="inlineStr">
        <is>
          <t>Meses usados nos seletores do painel. Para ir além de 2036, continue a sequência.</t>
        </is>
      </c>
    </row>
    <row r="4" ht="30" customHeight="1" s="131">
      <c r="A4" s="199" t="inlineStr">
        <is>
          <t>Data</t>
        </is>
      </c>
      <c r="B4" s="199" t="inlineStr">
        <is>
          <t>Mês (AAAA-MM)</t>
        </is>
      </c>
      <c r="C4" s="199" t="inlineStr">
        <is>
          <t>Ano</t>
        </is>
      </c>
      <c r="D4" s="199" t="inlineStr">
        <is>
          <t>Mês nº</t>
        </is>
      </c>
      <c r="E4" s="199" t="inlineStr">
        <is>
          <t>Chave</t>
        </is>
      </c>
      <c r="F4" s="199" t="inlineStr">
        <is>
          <t>Linhas alimentadas</t>
        </is>
      </c>
      <c r="G4" s="199" t="inlineStr">
        <is>
          <t>Chave se tem dado</t>
        </is>
      </c>
      <c r="H4" s="199" t="inlineStr">
        <is>
          <t>Chave se tem dado (máx)</t>
        </is>
      </c>
    </row>
    <row r="5" ht="15" customHeight="1" s="131">
      <c r="A5" s="261" t="n">
        <v>45658</v>
      </c>
      <c r="B5" s="171" t="inlineStr">
        <is>
          <t>2025-01</t>
        </is>
      </c>
      <c r="C5" s="164" t="n">
        <v>2025</v>
      </c>
      <c r="D5" s="164" t="n">
        <v>1</v>
      </c>
      <c r="E5" s="164" t="n">
        <v>202501</v>
      </c>
      <c r="F5" s="164">
        <f>COUNTIFS(Tabela3[Período],$B5&amp;"*")+COUNTIFS(Tabela36[Período],$B5&amp;"*")+COUNTIFS(Tabela367[Período],$B5&amp;"*")</f>
        <v/>
      </c>
      <c r="G5" s="256">
        <f>IF($F5&gt;0,$E5,999999)</f>
        <v/>
      </c>
      <c r="H5" s="256">
        <f>IF($F5&gt;0,$E5,0)</f>
        <v/>
      </c>
    </row>
    <row r="6" ht="15" customHeight="1" s="131">
      <c r="A6" s="261" t="n">
        <v>45689</v>
      </c>
      <c r="B6" s="171" t="inlineStr">
        <is>
          <t>2025-02</t>
        </is>
      </c>
      <c r="C6" s="164" t="n">
        <v>2025</v>
      </c>
      <c r="D6" s="164" t="n">
        <v>2</v>
      </c>
      <c r="E6" s="164" t="n">
        <v>202502</v>
      </c>
      <c r="F6" s="164">
        <f>COUNTIFS(Tabela3[Período],$B6&amp;"*")+COUNTIFS(Tabela36[Período],$B6&amp;"*")+COUNTIFS(Tabela367[Período],$B6&amp;"*")</f>
        <v/>
      </c>
      <c r="G6" s="256">
        <f>IF($F6&gt;0,$E6,999999)</f>
        <v/>
      </c>
      <c r="H6" s="256">
        <f>IF($F6&gt;0,$E6,0)</f>
        <v/>
      </c>
    </row>
    <row r="7" ht="15" customHeight="1" s="131">
      <c r="A7" s="261" t="n">
        <v>45717</v>
      </c>
      <c r="B7" s="171" t="inlineStr">
        <is>
          <t>2025-03</t>
        </is>
      </c>
      <c r="C7" s="164" t="n">
        <v>2025</v>
      </c>
      <c r="D7" s="164" t="n">
        <v>3</v>
      </c>
      <c r="E7" s="164" t="n">
        <v>202503</v>
      </c>
      <c r="F7" s="164">
        <f>COUNTIFS(Tabela3[Período],$B7&amp;"*")+COUNTIFS(Tabela36[Período],$B7&amp;"*")+COUNTIFS(Tabela367[Período],$B7&amp;"*")</f>
        <v/>
      </c>
      <c r="G7" s="256">
        <f>IF($F7&gt;0,$E7,999999)</f>
        <v/>
      </c>
      <c r="H7" s="256">
        <f>IF($F7&gt;0,$E7,0)</f>
        <v/>
      </c>
    </row>
    <row r="8" ht="15" customHeight="1" s="131">
      <c r="A8" s="261" t="n">
        <v>45748</v>
      </c>
      <c r="B8" s="171" t="inlineStr">
        <is>
          <t>2025-04</t>
        </is>
      </c>
      <c r="C8" s="164" t="n">
        <v>2025</v>
      </c>
      <c r="D8" s="164" t="n">
        <v>4</v>
      </c>
      <c r="E8" s="164" t="n">
        <v>202504</v>
      </c>
      <c r="F8" s="164">
        <f>COUNTIFS(Tabela3[Período],$B8&amp;"*")+COUNTIFS(Tabela36[Período],$B8&amp;"*")+COUNTIFS(Tabela367[Período],$B8&amp;"*")</f>
        <v/>
      </c>
      <c r="G8" s="256">
        <f>IF($F8&gt;0,$E8,999999)</f>
        <v/>
      </c>
      <c r="H8" s="256">
        <f>IF($F8&gt;0,$E8,0)</f>
        <v/>
      </c>
    </row>
    <row r="9" ht="15" customHeight="1" s="131">
      <c r="A9" s="261" t="n">
        <v>45778</v>
      </c>
      <c r="B9" s="171" t="inlineStr">
        <is>
          <t>2025-05</t>
        </is>
      </c>
      <c r="C9" s="164" t="n">
        <v>2025</v>
      </c>
      <c r="D9" s="164" t="n">
        <v>5</v>
      </c>
      <c r="E9" s="164" t="n">
        <v>202505</v>
      </c>
      <c r="F9" s="164">
        <f>COUNTIFS(Tabela3[Período],$B9&amp;"*")+COUNTIFS(Tabela36[Período],$B9&amp;"*")+COUNTIFS(Tabela367[Período],$B9&amp;"*")</f>
        <v/>
      </c>
      <c r="G9" s="256">
        <f>IF($F9&gt;0,$E9,999999)</f>
        <v/>
      </c>
      <c r="H9" s="256">
        <f>IF($F9&gt;0,$E9,0)</f>
        <v/>
      </c>
    </row>
    <row r="10" ht="15" customHeight="1" s="131">
      <c r="A10" s="261" t="n">
        <v>45809</v>
      </c>
      <c r="B10" s="171" t="inlineStr">
        <is>
          <t>2025-06</t>
        </is>
      </c>
      <c r="C10" s="164" t="n">
        <v>2025</v>
      </c>
      <c r="D10" s="164" t="n">
        <v>6</v>
      </c>
      <c r="E10" s="164" t="n">
        <v>202506</v>
      </c>
      <c r="F10" s="164">
        <f>COUNTIFS(Tabela3[Período],$B10&amp;"*")+COUNTIFS(Tabela36[Período],$B10&amp;"*")+COUNTIFS(Tabela367[Período],$B10&amp;"*")</f>
        <v/>
      </c>
      <c r="G10" s="256">
        <f>IF($F10&gt;0,$E10,999999)</f>
        <v/>
      </c>
      <c r="H10" s="256">
        <f>IF($F10&gt;0,$E10,0)</f>
        <v/>
      </c>
    </row>
    <row r="11" ht="15" customHeight="1" s="131">
      <c r="A11" s="261" t="n">
        <v>45839</v>
      </c>
      <c r="B11" s="171" t="inlineStr">
        <is>
          <t>2025-07</t>
        </is>
      </c>
      <c r="C11" s="164" t="n">
        <v>2025</v>
      </c>
      <c r="D11" s="164" t="n">
        <v>7</v>
      </c>
      <c r="E11" s="164" t="n">
        <v>202507</v>
      </c>
      <c r="F11" s="164">
        <f>COUNTIFS(Tabela3[Período],$B11&amp;"*")+COUNTIFS(Tabela36[Período],$B11&amp;"*")+COUNTIFS(Tabela367[Período],$B11&amp;"*")</f>
        <v/>
      </c>
      <c r="G11" s="256">
        <f>IF($F11&gt;0,$E11,999999)</f>
        <v/>
      </c>
      <c r="H11" s="256">
        <f>IF($F11&gt;0,$E11,0)</f>
        <v/>
      </c>
    </row>
    <row r="12" ht="15" customHeight="1" s="131">
      <c r="A12" s="261" t="n">
        <v>45870</v>
      </c>
      <c r="B12" s="171" t="inlineStr">
        <is>
          <t>2025-08</t>
        </is>
      </c>
      <c r="C12" s="164" t="n">
        <v>2025</v>
      </c>
      <c r="D12" s="164" t="n">
        <v>8</v>
      </c>
      <c r="E12" s="164" t="n">
        <v>202508</v>
      </c>
      <c r="F12" s="164">
        <f>COUNTIFS(Tabela3[Período],$B12&amp;"*")+COUNTIFS(Tabela36[Período],$B12&amp;"*")+COUNTIFS(Tabela367[Período],$B12&amp;"*")</f>
        <v/>
      </c>
      <c r="G12" s="256">
        <f>IF($F12&gt;0,$E12,999999)</f>
        <v/>
      </c>
      <c r="H12" s="256">
        <f>IF($F12&gt;0,$E12,0)</f>
        <v/>
      </c>
    </row>
    <row r="13" ht="15" customHeight="1" s="131">
      <c r="A13" s="261" t="n">
        <v>45901</v>
      </c>
      <c r="B13" s="171" t="inlineStr">
        <is>
          <t>2025-09</t>
        </is>
      </c>
      <c r="C13" s="164" t="n">
        <v>2025</v>
      </c>
      <c r="D13" s="164" t="n">
        <v>9</v>
      </c>
      <c r="E13" s="164" t="n">
        <v>202509</v>
      </c>
      <c r="F13" s="164">
        <f>COUNTIFS(Tabela3[Período],$B13&amp;"*")+COUNTIFS(Tabela36[Período],$B13&amp;"*")+COUNTIFS(Tabela367[Período],$B13&amp;"*")</f>
        <v/>
      </c>
      <c r="G13" s="256">
        <f>IF($F13&gt;0,$E13,999999)</f>
        <v/>
      </c>
      <c r="H13" s="256">
        <f>IF($F13&gt;0,$E13,0)</f>
        <v/>
      </c>
    </row>
    <row r="14" ht="15" customHeight="1" s="131">
      <c r="A14" s="261" t="n">
        <v>45931</v>
      </c>
      <c r="B14" s="171" t="inlineStr">
        <is>
          <t>2025-10</t>
        </is>
      </c>
      <c r="C14" s="164" t="n">
        <v>2025</v>
      </c>
      <c r="D14" s="164" t="n">
        <v>10</v>
      </c>
      <c r="E14" s="164" t="n">
        <v>202510</v>
      </c>
      <c r="F14" s="164">
        <f>COUNTIFS(Tabela3[Período],$B14&amp;"*")+COUNTIFS(Tabela36[Período],$B14&amp;"*")+COUNTIFS(Tabela367[Período],$B14&amp;"*")</f>
        <v/>
      </c>
      <c r="G14" s="256">
        <f>IF($F14&gt;0,$E14,999999)</f>
        <v/>
      </c>
      <c r="H14" s="256">
        <f>IF($F14&gt;0,$E14,0)</f>
        <v/>
      </c>
    </row>
    <row r="15" ht="15" customHeight="1" s="131">
      <c r="A15" s="261" t="n">
        <v>45962</v>
      </c>
      <c r="B15" s="171" t="inlineStr">
        <is>
          <t>2025-11</t>
        </is>
      </c>
      <c r="C15" s="164" t="n">
        <v>2025</v>
      </c>
      <c r="D15" s="164" t="n">
        <v>11</v>
      </c>
      <c r="E15" s="164" t="n">
        <v>202511</v>
      </c>
      <c r="F15" s="164">
        <f>COUNTIFS(Tabela3[Período],$B15&amp;"*")+COUNTIFS(Tabela36[Período],$B15&amp;"*")+COUNTIFS(Tabela367[Período],$B15&amp;"*")</f>
        <v/>
      </c>
      <c r="G15" s="256">
        <f>IF($F15&gt;0,$E15,999999)</f>
        <v/>
      </c>
      <c r="H15" s="256">
        <f>IF($F15&gt;0,$E15,0)</f>
        <v/>
      </c>
    </row>
    <row r="16" ht="15" customHeight="1" s="131">
      <c r="A16" s="261" t="n">
        <v>45992</v>
      </c>
      <c r="B16" s="171" t="inlineStr">
        <is>
          <t>2025-12</t>
        </is>
      </c>
      <c r="C16" s="164" t="n">
        <v>2025</v>
      </c>
      <c r="D16" s="164" t="n">
        <v>12</v>
      </c>
      <c r="E16" s="164" t="n">
        <v>202512</v>
      </c>
      <c r="F16" s="164">
        <f>COUNTIFS(Tabela3[Período],$B16&amp;"*")+COUNTIFS(Tabela36[Período],$B16&amp;"*")+COUNTIFS(Tabela367[Período],$B16&amp;"*")</f>
        <v/>
      </c>
      <c r="G16" s="256">
        <f>IF($F16&gt;0,$E16,999999)</f>
        <v/>
      </c>
      <c r="H16" s="256">
        <f>IF($F16&gt;0,$E16,0)</f>
        <v/>
      </c>
    </row>
    <row r="17" ht="15" customHeight="1" s="131">
      <c r="A17" s="261" t="n">
        <v>46023</v>
      </c>
      <c r="B17" s="171" t="inlineStr">
        <is>
          <t>2026-01</t>
        </is>
      </c>
      <c r="C17" s="164" t="n">
        <v>2026</v>
      </c>
      <c r="D17" s="164" t="n">
        <v>1</v>
      </c>
      <c r="E17" s="164" t="n">
        <v>202601</v>
      </c>
      <c r="F17" s="164">
        <f>COUNTIFS(Tabela3[Período],$B17&amp;"*")+COUNTIFS(Tabela36[Período],$B17&amp;"*")+COUNTIFS(Tabela367[Período],$B17&amp;"*")</f>
        <v/>
      </c>
      <c r="G17" s="256">
        <f>IF($F17&gt;0,$E17,999999)</f>
        <v/>
      </c>
      <c r="H17" s="256">
        <f>IF($F17&gt;0,$E17,0)</f>
        <v/>
      </c>
    </row>
    <row r="18" ht="15" customHeight="1" s="131">
      <c r="A18" s="261" t="n">
        <v>46054</v>
      </c>
      <c r="B18" s="171" t="inlineStr">
        <is>
          <t>2026-02</t>
        </is>
      </c>
      <c r="C18" s="164" t="n">
        <v>2026</v>
      </c>
      <c r="D18" s="164" t="n">
        <v>2</v>
      </c>
      <c r="E18" s="164" t="n">
        <v>202602</v>
      </c>
      <c r="F18" s="164">
        <f>COUNTIFS(Tabela3[Período],$B18&amp;"*")+COUNTIFS(Tabela36[Período],$B18&amp;"*")+COUNTIFS(Tabela367[Período],$B18&amp;"*")</f>
        <v/>
      </c>
      <c r="G18" s="256">
        <f>IF($F18&gt;0,$E18,999999)</f>
        <v/>
      </c>
      <c r="H18" s="256">
        <f>IF($F18&gt;0,$E18,0)</f>
        <v/>
      </c>
    </row>
    <row r="19" ht="15" customHeight="1" s="131">
      <c r="A19" s="261" t="n">
        <v>46082</v>
      </c>
      <c r="B19" s="171" t="inlineStr">
        <is>
          <t>2026-03</t>
        </is>
      </c>
      <c r="C19" s="164" t="n">
        <v>2026</v>
      </c>
      <c r="D19" s="164" t="n">
        <v>3</v>
      </c>
      <c r="E19" s="164" t="n">
        <v>202603</v>
      </c>
      <c r="F19" s="164">
        <f>COUNTIFS(Tabela3[Período],$B19&amp;"*")+COUNTIFS(Tabela36[Período],$B19&amp;"*")+COUNTIFS(Tabela367[Período],$B19&amp;"*")</f>
        <v/>
      </c>
      <c r="G19" s="256">
        <f>IF($F19&gt;0,$E19,999999)</f>
        <v/>
      </c>
      <c r="H19" s="256">
        <f>IF($F19&gt;0,$E19,0)</f>
        <v/>
      </c>
    </row>
    <row r="20" ht="15" customHeight="1" s="131">
      <c r="A20" s="261" t="n">
        <v>46113</v>
      </c>
      <c r="B20" s="171" t="inlineStr">
        <is>
          <t>2026-04</t>
        </is>
      </c>
      <c r="C20" s="164" t="n">
        <v>2026</v>
      </c>
      <c r="D20" s="164" t="n">
        <v>4</v>
      </c>
      <c r="E20" s="164" t="n">
        <v>202604</v>
      </c>
      <c r="F20" s="164">
        <f>COUNTIFS(Tabela3[Período],$B20&amp;"*")+COUNTIFS(Tabela36[Período],$B20&amp;"*")+COUNTIFS(Tabela367[Período],$B20&amp;"*")</f>
        <v/>
      </c>
      <c r="G20" s="256">
        <f>IF($F20&gt;0,$E20,999999)</f>
        <v/>
      </c>
      <c r="H20" s="256">
        <f>IF($F20&gt;0,$E20,0)</f>
        <v/>
      </c>
    </row>
    <row r="21" ht="15" customHeight="1" s="131">
      <c r="A21" s="261" t="n">
        <v>46143</v>
      </c>
      <c r="B21" s="171" t="inlineStr">
        <is>
          <t>2026-05</t>
        </is>
      </c>
      <c r="C21" s="164" t="n">
        <v>2026</v>
      </c>
      <c r="D21" s="164" t="n">
        <v>5</v>
      </c>
      <c r="E21" s="164" t="n">
        <v>202605</v>
      </c>
      <c r="F21" s="164">
        <f>COUNTIFS(Tabela3[Período],$B21&amp;"*")+COUNTIFS(Tabela36[Período],$B21&amp;"*")+COUNTIFS(Tabela367[Período],$B21&amp;"*")</f>
        <v/>
      </c>
      <c r="G21" s="256">
        <f>IF($F21&gt;0,$E21,999999)</f>
        <v/>
      </c>
      <c r="H21" s="256">
        <f>IF($F21&gt;0,$E21,0)</f>
        <v/>
      </c>
    </row>
    <row r="22" ht="15" customHeight="1" s="131">
      <c r="A22" s="261" t="n">
        <v>46174</v>
      </c>
      <c r="B22" s="171" t="inlineStr">
        <is>
          <t>2026-06</t>
        </is>
      </c>
      <c r="C22" s="164" t="n">
        <v>2026</v>
      </c>
      <c r="D22" s="164" t="n">
        <v>6</v>
      </c>
      <c r="E22" s="164" t="n">
        <v>202606</v>
      </c>
      <c r="F22" s="164">
        <f>COUNTIFS(Tabela3[Período],$B22&amp;"*")+COUNTIFS(Tabela36[Período],$B22&amp;"*")+COUNTIFS(Tabela367[Período],$B22&amp;"*")</f>
        <v/>
      </c>
      <c r="G22" s="256">
        <f>IF($F22&gt;0,$E22,999999)</f>
        <v/>
      </c>
      <c r="H22" s="256">
        <f>IF($F22&gt;0,$E22,0)</f>
        <v/>
      </c>
    </row>
    <row r="23" ht="15" customHeight="1" s="131">
      <c r="A23" s="261" t="n">
        <v>46204</v>
      </c>
      <c r="B23" s="171" t="inlineStr">
        <is>
          <t>2026-07</t>
        </is>
      </c>
      <c r="C23" s="164" t="n">
        <v>2026</v>
      </c>
      <c r="D23" s="164" t="n">
        <v>7</v>
      </c>
      <c r="E23" s="164" t="n">
        <v>202607</v>
      </c>
      <c r="F23" s="164">
        <f>COUNTIFS(Tabela3[Período],$B23&amp;"*")+COUNTIFS(Tabela36[Período],$B23&amp;"*")+COUNTIFS(Tabela367[Período],$B23&amp;"*")</f>
        <v/>
      </c>
      <c r="G23" s="256">
        <f>IF($F23&gt;0,$E23,999999)</f>
        <v/>
      </c>
      <c r="H23" s="256">
        <f>IF($F23&gt;0,$E23,0)</f>
        <v/>
      </c>
    </row>
    <row r="24" ht="15" customHeight="1" s="131">
      <c r="A24" s="261" t="n">
        <v>46235</v>
      </c>
      <c r="B24" s="171" t="inlineStr">
        <is>
          <t>2026-08</t>
        </is>
      </c>
      <c r="C24" s="164" t="n">
        <v>2026</v>
      </c>
      <c r="D24" s="164" t="n">
        <v>8</v>
      </c>
      <c r="E24" s="164" t="n">
        <v>202608</v>
      </c>
      <c r="F24" s="164">
        <f>COUNTIFS(Tabela3[Período],$B24&amp;"*")+COUNTIFS(Tabela36[Período],$B24&amp;"*")+COUNTIFS(Tabela367[Período],$B24&amp;"*")</f>
        <v/>
      </c>
      <c r="G24" s="256">
        <f>IF($F24&gt;0,$E24,999999)</f>
        <v/>
      </c>
      <c r="H24" s="256">
        <f>IF($F24&gt;0,$E24,0)</f>
        <v/>
      </c>
    </row>
    <row r="25" ht="15" customHeight="1" s="131">
      <c r="A25" s="261" t="n">
        <v>46266</v>
      </c>
      <c r="B25" s="171" t="inlineStr">
        <is>
          <t>2026-09</t>
        </is>
      </c>
      <c r="C25" s="164" t="n">
        <v>2026</v>
      </c>
      <c r="D25" s="164" t="n">
        <v>9</v>
      </c>
      <c r="E25" s="164" t="n">
        <v>202609</v>
      </c>
      <c r="F25" s="164">
        <f>COUNTIFS(Tabela3[Período],$B25&amp;"*")+COUNTIFS(Tabela36[Período],$B25&amp;"*")+COUNTIFS(Tabela367[Período],$B25&amp;"*")</f>
        <v/>
      </c>
      <c r="G25" s="256">
        <f>IF($F25&gt;0,$E25,999999)</f>
        <v/>
      </c>
      <c r="H25" s="256">
        <f>IF($F25&gt;0,$E25,0)</f>
        <v/>
      </c>
    </row>
    <row r="26" ht="15" customHeight="1" s="131">
      <c r="A26" s="261" t="n">
        <v>46296</v>
      </c>
      <c r="B26" s="171" t="inlineStr">
        <is>
          <t>2026-10</t>
        </is>
      </c>
      <c r="C26" s="164" t="n">
        <v>2026</v>
      </c>
      <c r="D26" s="164" t="n">
        <v>10</v>
      </c>
      <c r="E26" s="164" t="n">
        <v>202610</v>
      </c>
      <c r="F26" s="164">
        <f>COUNTIFS(Tabela3[Período],$B26&amp;"*")+COUNTIFS(Tabela36[Período],$B26&amp;"*")+COUNTIFS(Tabela367[Período],$B26&amp;"*")</f>
        <v/>
      </c>
      <c r="G26" s="256">
        <f>IF($F26&gt;0,$E26,999999)</f>
        <v/>
      </c>
      <c r="H26" s="256">
        <f>IF($F26&gt;0,$E26,0)</f>
        <v/>
      </c>
    </row>
    <row r="27" ht="15" customHeight="1" s="131">
      <c r="A27" s="261" t="n">
        <v>46327</v>
      </c>
      <c r="B27" s="171" t="inlineStr">
        <is>
          <t>2026-11</t>
        </is>
      </c>
      <c r="C27" s="164" t="n">
        <v>2026</v>
      </c>
      <c r="D27" s="164" t="n">
        <v>11</v>
      </c>
      <c r="E27" s="164" t="n">
        <v>202611</v>
      </c>
      <c r="F27" s="164">
        <f>COUNTIFS(Tabela3[Período],$B27&amp;"*")+COUNTIFS(Tabela36[Período],$B27&amp;"*")+COUNTIFS(Tabela367[Período],$B27&amp;"*")</f>
        <v/>
      </c>
      <c r="G27" s="256">
        <f>IF($F27&gt;0,$E27,999999)</f>
        <v/>
      </c>
      <c r="H27" s="256">
        <f>IF($F27&gt;0,$E27,0)</f>
        <v/>
      </c>
    </row>
    <row r="28" ht="15" customHeight="1" s="131">
      <c r="A28" s="261" t="n">
        <v>46357</v>
      </c>
      <c r="B28" s="171" t="inlineStr">
        <is>
          <t>2026-12</t>
        </is>
      </c>
      <c r="C28" s="164" t="n">
        <v>2026</v>
      </c>
      <c r="D28" s="164" t="n">
        <v>12</v>
      </c>
      <c r="E28" s="164" t="n">
        <v>202612</v>
      </c>
      <c r="F28" s="164">
        <f>COUNTIFS(Tabela3[Período],$B28&amp;"*")+COUNTIFS(Tabela36[Período],$B28&amp;"*")+COUNTIFS(Tabela367[Período],$B28&amp;"*")</f>
        <v/>
      </c>
      <c r="G28" s="256">
        <f>IF($F28&gt;0,$E28,999999)</f>
        <v/>
      </c>
      <c r="H28" s="256">
        <f>IF($F28&gt;0,$E28,0)</f>
        <v/>
      </c>
    </row>
    <row r="29" ht="15" customHeight="1" s="131">
      <c r="A29" s="261" t="n">
        <v>46388</v>
      </c>
      <c r="B29" s="171" t="inlineStr">
        <is>
          <t>2027-01</t>
        </is>
      </c>
      <c r="C29" s="164" t="n">
        <v>2027</v>
      </c>
      <c r="D29" s="164" t="n">
        <v>1</v>
      </c>
      <c r="E29" s="164" t="n">
        <v>202701</v>
      </c>
      <c r="F29" s="164">
        <f>COUNTIFS(Tabela3[Período],$B29&amp;"*")+COUNTIFS(Tabela36[Período],$B29&amp;"*")+COUNTIFS(Tabela367[Período],$B29&amp;"*")</f>
        <v/>
      </c>
      <c r="G29" s="256">
        <f>IF($F29&gt;0,$E29,999999)</f>
        <v/>
      </c>
      <c r="H29" s="256">
        <f>IF($F29&gt;0,$E29,0)</f>
        <v/>
      </c>
    </row>
    <row r="30" ht="15" customHeight="1" s="131">
      <c r="A30" s="261" t="n">
        <v>46419</v>
      </c>
      <c r="B30" s="171" t="inlineStr">
        <is>
          <t>2027-02</t>
        </is>
      </c>
      <c r="C30" s="164" t="n">
        <v>2027</v>
      </c>
      <c r="D30" s="164" t="n">
        <v>2</v>
      </c>
      <c r="E30" s="164" t="n">
        <v>202702</v>
      </c>
      <c r="F30" s="164">
        <f>COUNTIFS(Tabela3[Período],$B30&amp;"*")+COUNTIFS(Tabela36[Período],$B30&amp;"*")+COUNTIFS(Tabela367[Período],$B30&amp;"*")</f>
        <v/>
      </c>
      <c r="G30" s="256">
        <f>IF($F30&gt;0,$E30,999999)</f>
        <v/>
      </c>
      <c r="H30" s="256">
        <f>IF($F30&gt;0,$E30,0)</f>
        <v/>
      </c>
    </row>
    <row r="31" ht="15" customHeight="1" s="131">
      <c r="A31" s="261" t="n">
        <v>46447</v>
      </c>
      <c r="B31" s="171" t="inlineStr">
        <is>
          <t>2027-03</t>
        </is>
      </c>
      <c r="C31" s="164" t="n">
        <v>2027</v>
      </c>
      <c r="D31" s="164" t="n">
        <v>3</v>
      </c>
      <c r="E31" s="164" t="n">
        <v>202703</v>
      </c>
      <c r="F31" s="164">
        <f>COUNTIFS(Tabela3[Período],$B31&amp;"*")+COUNTIFS(Tabela36[Período],$B31&amp;"*")+COUNTIFS(Tabela367[Período],$B31&amp;"*")</f>
        <v/>
      </c>
      <c r="G31" s="256">
        <f>IF($F31&gt;0,$E31,999999)</f>
        <v/>
      </c>
      <c r="H31" s="256">
        <f>IF($F31&gt;0,$E31,0)</f>
        <v/>
      </c>
    </row>
    <row r="32" ht="15" customHeight="1" s="131">
      <c r="A32" s="261" t="n">
        <v>46478</v>
      </c>
      <c r="B32" s="171" t="inlineStr">
        <is>
          <t>2027-04</t>
        </is>
      </c>
      <c r="C32" s="164" t="n">
        <v>2027</v>
      </c>
      <c r="D32" s="164" t="n">
        <v>4</v>
      </c>
      <c r="E32" s="164" t="n">
        <v>202704</v>
      </c>
      <c r="F32" s="164">
        <f>COUNTIFS(Tabela3[Período],$B32&amp;"*")+COUNTIFS(Tabela36[Período],$B32&amp;"*")+COUNTIFS(Tabela367[Período],$B32&amp;"*")</f>
        <v/>
      </c>
      <c r="G32" s="256">
        <f>IF($F32&gt;0,$E32,999999)</f>
        <v/>
      </c>
      <c r="H32" s="256">
        <f>IF($F32&gt;0,$E32,0)</f>
        <v/>
      </c>
    </row>
    <row r="33" ht="15" customHeight="1" s="131">
      <c r="A33" s="261" t="n">
        <v>46508</v>
      </c>
      <c r="B33" s="171" t="inlineStr">
        <is>
          <t>2027-05</t>
        </is>
      </c>
      <c r="C33" s="164" t="n">
        <v>2027</v>
      </c>
      <c r="D33" s="164" t="n">
        <v>5</v>
      </c>
      <c r="E33" s="164" t="n">
        <v>202705</v>
      </c>
      <c r="F33" s="164">
        <f>COUNTIFS(Tabela3[Período],$B33&amp;"*")+COUNTIFS(Tabela36[Período],$B33&amp;"*")+COUNTIFS(Tabela367[Período],$B33&amp;"*")</f>
        <v/>
      </c>
      <c r="G33" s="256">
        <f>IF($F33&gt;0,$E33,999999)</f>
        <v/>
      </c>
      <c r="H33" s="256">
        <f>IF($F33&gt;0,$E33,0)</f>
        <v/>
      </c>
    </row>
    <row r="34" ht="15" customHeight="1" s="131">
      <c r="A34" s="261" t="n">
        <v>46539</v>
      </c>
      <c r="B34" s="171" t="inlineStr">
        <is>
          <t>2027-06</t>
        </is>
      </c>
      <c r="C34" s="164" t="n">
        <v>2027</v>
      </c>
      <c r="D34" s="164" t="n">
        <v>6</v>
      </c>
      <c r="E34" s="164" t="n">
        <v>202706</v>
      </c>
      <c r="F34" s="164">
        <f>COUNTIFS(Tabela3[Período],$B34&amp;"*")+COUNTIFS(Tabela36[Período],$B34&amp;"*")+COUNTIFS(Tabela367[Período],$B34&amp;"*")</f>
        <v/>
      </c>
      <c r="G34" s="256">
        <f>IF($F34&gt;0,$E34,999999)</f>
        <v/>
      </c>
      <c r="H34" s="256">
        <f>IF($F34&gt;0,$E34,0)</f>
        <v/>
      </c>
    </row>
    <row r="35" ht="15" customHeight="1" s="131">
      <c r="A35" s="261" t="n">
        <v>46569</v>
      </c>
      <c r="B35" s="171" t="inlineStr">
        <is>
          <t>2027-07</t>
        </is>
      </c>
      <c r="C35" s="164" t="n">
        <v>2027</v>
      </c>
      <c r="D35" s="164" t="n">
        <v>7</v>
      </c>
      <c r="E35" s="164" t="n">
        <v>202707</v>
      </c>
      <c r="F35" s="164">
        <f>COUNTIFS(Tabela3[Período],$B35&amp;"*")+COUNTIFS(Tabela36[Período],$B35&amp;"*")+COUNTIFS(Tabela367[Período],$B35&amp;"*")</f>
        <v/>
      </c>
      <c r="G35" s="256">
        <f>IF($F35&gt;0,$E35,999999)</f>
        <v/>
      </c>
      <c r="H35" s="256">
        <f>IF($F35&gt;0,$E35,0)</f>
        <v/>
      </c>
    </row>
    <row r="36" ht="15" customHeight="1" s="131">
      <c r="A36" s="261" t="n">
        <v>46600</v>
      </c>
      <c r="B36" s="171" t="inlineStr">
        <is>
          <t>2027-08</t>
        </is>
      </c>
      <c r="C36" s="164" t="n">
        <v>2027</v>
      </c>
      <c r="D36" s="164" t="n">
        <v>8</v>
      </c>
      <c r="E36" s="164" t="n">
        <v>202708</v>
      </c>
      <c r="F36" s="164">
        <f>COUNTIFS(Tabela3[Período],$B36&amp;"*")+COUNTIFS(Tabela36[Período],$B36&amp;"*")+COUNTIFS(Tabela367[Período],$B36&amp;"*")</f>
        <v/>
      </c>
      <c r="G36" s="256">
        <f>IF($F36&gt;0,$E36,999999)</f>
        <v/>
      </c>
      <c r="H36" s="256">
        <f>IF($F36&gt;0,$E36,0)</f>
        <v/>
      </c>
    </row>
    <row r="37" ht="15" customHeight="1" s="131">
      <c r="A37" s="261" t="n">
        <v>46631</v>
      </c>
      <c r="B37" s="171" t="inlineStr">
        <is>
          <t>2027-09</t>
        </is>
      </c>
      <c r="C37" s="164" t="n">
        <v>2027</v>
      </c>
      <c r="D37" s="164" t="n">
        <v>9</v>
      </c>
      <c r="E37" s="164" t="n">
        <v>202709</v>
      </c>
      <c r="F37" s="164">
        <f>COUNTIFS(Tabela3[Período],$B37&amp;"*")+COUNTIFS(Tabela36[Período],$B37&amp;"*")+COUNTIFS(Tabela367[Período],$B37&amp;"*")</f>
        <v/>
      </c>
      <c r="G37" s="256">
        <f>IF($F37&gt;0,$E37,999999)</f>
        <v/>
      </c>
      <c r="H37" s="256">
        <f>IF($F37&gt;0,$E37,0)</f>
        <v/>
      </c>
    </row>
    <row r="38" ht="15" customHeight="1" s="131">
      <c r="A38" s="261" t="n">
        <v>46661</v>
      </c>
      <c r="B38" s="171" t="inlineStr">
        <is>
          <t>2027-10</t>
        </is>
      </c>
      <c r="C38" s="164" t="n">
        <v>2027</v>
      </c>
      <c r="D38" s="164" t="n">
        <v>10</v>
      </c>
      <c r="E38" s="164" t="n">
        <v>202710</v>
      </c>
      <c r="F38" s="164">
        <f>COUNTIFS(Tabela3[Período],$B38&amp;"*")+COUNTIFS(Tabela36[Período],$B38&amp;"*")+COUNTIFS(Tabela367[Período],$B38&amp;"*")</f>
        <v/>
      </c>
      <c r="G38" s="256">
        <f>IF($F38&gt;0,$E38,999999)</f>
        <v/>
      </c>
      <c r="H38" s="256">
        <f>IF($F38&gt;0,$E38,0)</f>
        <v/>
      </c>
    </row>
    <row r="39" ht="15" customHeight="1" s="131">
      <c r="A39" s="261" t="n">
        <v>46692</v>
      </c>
      <c r="B39" s="171" t="inlineStr">
        <is>
          <t>2027-11</t>
        </is>
      </c>
      <c r="C39" s="164" t="n">
        <v>2027</v>
      </c>
      <c r="D39" s="164" t="n">
        <v>11</v>
      </c>
      <c r="E39" s="164" t="n">
        <v>202711</v>
      </c>
      <c r="F39" s="164">
        <f>COUNTIFS(Tabela3[Período],$B39&amp;"*")+COUNTIFS(Tabela36[Período],$B39&amp;"*")+COUNTIFS(Tabela367[Período],$B39&amp;"*")</f>
        <v/>
      </c>
      <c r="G39" s="256">
        <f>IF($F39&gt;0,$E39,999999)</f>
        <v/>
      </c>
      <c r="H39" s="256">
        <f>IF($F39&gt;0,$E39,0)</f>
        <v/>
      </c>
    </row>
    <row r="40" ht="15" customHeight="1" s="131">
      <c r="A40" s="261" t="n">
        <v>46722</v>
      </c>
      <c r="B40" s="171" t="inlineStr">
        <is>
          <t>2027-12</t>
        </is>
      </c>
      <c r="C40" s="164" t="n">
        <v>2027</v>
      </c>
      <c r="D40" s="164" t="n">
        <v>12</v>
      </c>
      <c r="E40" s="164" t="n">
        <v>202712</v>
      </c>
      <c r="F40" s="164">
        <f>COUNTIFS(Tabela3[Período],$B40&amp;"*")+COUNTIFS(Tabela36[Período],$B40&amp;"*")+COUNTIFS(Tabela367[Período],$B40&amp;"*")</f>
        <v/>
      </c>
      <c r="G40" s="256">
        <f>IF($F40&gt;0,$E40,999999)</f>
        <v/>
      </c>
      <c r="H40" s="256">
        <f>IF($F40&gt;0,$E40,0)</f>
        <v/>
      </c>
    </row>
    <row r="41" ht="15" customHeight="1" s="131">
      <c r="A41" s="261" t="n">
        <v>46753</v>
      </c>
      <c r="B41" s="171" t="inlineStr">
        <is>
          <t>2028-01</t>
        </is>
      </c>
      <c r="C41" s="164" t="n">
        <v>2028</v>
      </c>
      <c r="D41" s="164" t="n">
        <v>1</v>
      </c>
      <c r="E41" s="164" t="n">
        <v>202801</v>
      </c>
      <c r="F41" s="164">
        <f>COUNTIFS(Tabela3[Período],$B41&amp;"*")+COUNTIFS(Tabela36[Período],$B41&amp;"*")+COUNTIFS(Tabela367[Período],$B41&amp;"*")</f>
        <v/>
      </c>
      <c r="G41" s="256">
        <f>IF($F41&gt;0,$E41,999999)</f>
        <v/>
      </c>
      <c r="H41" s="256">
        <f>IF($F41&gt;0,$E41,0)</f>
        <v/>
      </c>
    </row>
    <row r="42" ht="15" customHeight="1" s="131">
      <c r="A42" s="261" t="n">
        <v>46784</v>
      </c>
      <c r="B42" s="171" t="inlineStr">
        <is>
          <t>2028-02</t>
        </is>
      </c>
      <c r="C42" s="164" t="n">
        <v>2028</v>
      </c>
      <c r="D42" s="164" t="n">
        <v>2</v>
      </c>
      <c r="E42" s="164" t="n">
        <v>202802</v>
      </c>
      <c r="F42" s="164">
        <f>COUNTIFS(Tabela3[Período],$B42&amp;"*")+COUNTIFS(Tabela36[Período],$B42&amp;"*")+COUNTIFS(Tabela367[Período],$B42&amp;"*")</f>
        <v/>
      </c>
      <c r="G42" s="256">
        <f>IF($F42&gt;0,$E42,999999)</f>
        <v/>
      </c>
      <c r="H42" s="256">
        <f>IF($F42&gt;0,$E42,0)</f>
        <v/>
      </c>
    </row>
    <row r="43" ht="15" customHeight="1" s="131">
      <c r="A43" s="261" t="n">
        <v>46813</v>
      </c>
      <c r="B43" s="171" t="inlineStr">
        <is>
          <t>2028-03</t>
        </is>
      </c>
      <c r="C43" s="164" t="n">
        <v>2028</v>
      </c>
      <c r="D43" s="164" t="n">
        <v>3</v>
      </c>
      <c r="E43" s="164" t="n">
        <v>202803</v>
      </c>
      <c r="F43" s="164">
        <f>COUNTIFS(Tabela3[Período],$B43&amp;"*")+COUNTIFS(Tabela36[Período],$B43&amp;"*")+COUNTIFS(Tabela367[Período],$B43&amp;"*")</f>
        <v/>
      </c>
      <c r="G43" s="256">
        <f>IF($F43&gt;0,$E43,999999)</f>
        <v/>
      </c>
      <c r="H43" s="256">
        <f>IF($F43&gt;0,$E43,0)</f>
        <v/>
      </c>
    </row>
    <row r="44" ht="15" customHeight="1" s="131">
      <c r="A44" s="261" t="n">
        <v>46844</v>
      </c>
      <c r="B44" s="171" t="inlineStr">
        <is>
          <t>2028-04</t>
        </is>
      </c>
      <c r="C44" s="164" t="n">
        <v>2028</v>
      </c>
      <c r="D44" s="164" t="n">
        <v>4</v>
      </c>
      <c r="E44" s="164" t="n">
        <v>202804</v>
      </c>
      <c r="F44" s="164">
        <f>COUNTIFS(Tabela3[Período],$B44&amp;"*")+COUNTIFS(Tabela36[Período],$B44&amp;"*")+COUNTIFS(Tabela367[Período],$B44&amp;"*")</f>
        <v/>
      </c>
      <c r="G44" s="256">
        <f>IF($F44&gt;0,$E44,999999)</f>
        <v/>
      </c>
      <c r="H44" s="256">
        <f>IF($F44&gt;0,$E44,0)</f>
        <v/>
      </c>
    </row>
    <row r="45" ht="15" customHeight="1" s="131">
      <c r="A45" s="261" t="n">
        <v>46874</v>
      </c>
      <c r="B45" s="171" t="inlineStr">
        <is>
          <t>2028-05</t>
        </is>
      </c>
      <c r="C45" s="164" t="n">
        <v>2028</v>
      </c>
      <c r="D45" s="164" t="n">
        <v>5</v>
      </c>
      <c r="E45" s="164" t="n">
        <v>202805</v>
      </c>
      <c r="F45" s="164">
        <f>COUNTIFS(Tabela3[Período],$B45&amp;"*")+COUNTIFS(Tabela36[Período],$B45&amp;"*")+COUNTIFS(Tabela367[Período],$B45&amp;"*")</f>
        <v/>
      </c>
      <c r="G45" s="256">
        <f>IF($F45&gt;0,$E45,999999)</f>
        <v/>
      </c>
      <c r="H45" s="256">
        <f>IF($F45&gt;0,$E45,0)</f>
        <v/>
      </c>
    </row>
    <row r="46" ht="15" customHeight="1" s="131">
      <c r="A46" s="261" t="n">
        <v>46905</v>
      </c>
      <c r="B46" s="171" t="inlineStr">
        <is>
          <t>2028-06</t>
        </is>
      </c>
      <c r="C46" s="164" t="n">
        <v>2028</v>
      </c>
      <c r="D46" s="164" t="n">
        <v>6</v>
      </c>
      <c r="E46" s="164" t="n">
        <v>202806</v>
      </c>
      <c r="F46" s="164">
        <f>COUNTIFS(Tabela3[Período],$B46&amp;"*")+COUNTIFS(Tabela36[Período],$B46&amp;"*")+COUNTIFS(Tabela367[Período],$B46&amp;"*")</f>
        <v/>
      </c>
      <c r="G46" s="256">
        <f>IF($F46&gt;0,$E46,999999)</f>
        <v/>
      </c>
      <c r="H46" s="256">
        <f>IF($F46&gt;0,$E46,0)</f>
        <v/>
      </c>
    </row>
    <row r="47" ht="15" customHeight="1" s="131">
      <c r="A47" s="261" t="n">
        <v>46935</v>
      </c>
      <c r="B47" s="171" t="inlineStr">
        <is>
          <t>2028-07</t>
        </is>
      </c>
      <c r="C47" s="164" t="n">
        <v>2028</v>
      </c>
      <c r="D47" s="164" t="n">
        <v>7</v>
      </c>
      <c r="E47" s="164" t="n">
        <v>202807</v>
      </c>
      <c r="F47" s="164">
        <f>COUNTIFS(Tabela3[Período],$B47&amp;"*")+COUNTIFS(Tabela36[Período],$B47&amp;"*")+COUNTIFS(Tabela367[Período],$B47&amp;"*")</f>
        <v/>
      </c>
      <c r="G47" s="256">
        <f>IF($F47&gt;0,$E47,999999)</f>
        <v/>
      </c>
      <c r="H47" s="256">
        <f>IF($F47&gt;0,$E47,0)</f>
        <v/>
      </c>
    </row>
    <row r="48" ht="15" customHeight="1" s="131">
      <c r="A48" s="261" t="n">
        <v>46966</v>
      </c>
      <c r="B48" s="171" t="inlineStr">
        <is>
          <t>2028-08</t>
        </is>
      </c>
      <c r="C48" s="164" t="n">
        <v>2028</v>
      </c>
      <c r="D48" s="164" t="n">
        <v>8</v>
      </c>
      <c r="E48" s="164" t="n">
        <v>202808</v>
      </c>
      <c r="F48" s="164">
        <f>COUNTIFS(Tabela3[Período],$B48&amp;"*")+COUNTIFS(Tabela36[Período],$B48&amp;"*")+COUNTIFS(Tabela367[Período],$B48&amp;"*")</f>
        <v/>
      </c>
      <c r="G48" s="256">
        <f>IF($F48&gt;0,$E48,999999)</f>
        <v/>
      </c>
      <c r="H48" s="256">
        <f>IF($F48&gt;0,$E48,0)</f>
        <v/>
      </c>
    </row>
    <row r="49" ht="15" customHeight="1" s="131">
      <c r="A49" s="261" t="n">
        <v>46997</v>
      </c>
      <c r="B49" s="171" t="inlineStr">
        <is>
          <t>2028-09</t>
        </is>
      </c>
      <c r="C49" s="164" t="n">
        <v>2028</v>
      </c>
      <c r="D49" s="164" t="n">
        <v>9</v>
      </c>
      <c r="E49" s="164" t="n">
        <v>202809</v>
      </c>
      <c r="F49" s="164">
        <f>COUNTIFS(Tabela3[Período],$B49&amp;"*")+COUNTIFS(Tabela36[Período],$B49&amp;"*")+COUNTIFS(Tabela367[Período],$B49&amp;"*")</f>
        <v/>
      </c>
      <c r="G49" s="256">
        <f>IF($F49&gt;0,$E49,999999)</f>
        <v/>
      </c>
      <c r="H49" s="256">
        <f>IF($F49&gt;0,$E49,0)</f>
        <v/>
      </c>
    </row>
    <row r="50" ht="15" customHeight="1" s="131">
      <c r="A50" s="261" t="n">
        <v>47027</v>
      </c>
      <c r="B50" s="171" t="inlineStr">
        <is>
          <t>2028-10</t>
        </is>
      </c>
      <c r="C50" s="164" t="n">
        <v>2028</v>
      </c>
      <c r="D50" s="164" t="n">
        <v>10</v>
      </c>
      <c r="E50" s="164" t="n">
        <v>202810</v>
      </c>
      <c r="F50" s="164">
        <f>COUNTIFS(Tabela3[Período],$B50&amp;"*")+COUNTIFS(Tabela36[Período],$B50&amp;"*")+COUNTIFS(Tabela367[Período],$B50&amp;"*")</f>
        <v/>
      </c>
      <c r="G50" s="256">
        <f>IF($F50&gt;0,$E50,999999)</f>
        <v/>
      </c>
      <c r="H50" s="256">
        <f>IF($F50&gt;0,$E50,0)</f>
        <v/>
      </c>
    </row>
    <row r="51" ht="15" customHeight="1" s="131">
      <c r="A51" s="261" t="n">
        <v>47058</v>
      </c>
      <c r="B51" s="171" t="inlineStr">
        <is>
          <t>2028-11</t>
        </is>
      </c>
      <c r="C51" s="164" t="n">
        <v>2028</v>
      </c>
      <c r="D51" s="164" t="n">
        <v>11</v>
      </c>
      <c r="E51" s="164" t="n">
        <v>202811</v>
      </c>
      <c r="F51" s="164">
        <f>COUNTIFS(Tabela3[Período],$B51&amp;"*")+COUNTIFS(Tabela36[Período],$B51&amp;"*")+COUNTIFS(Tabela367[Período],$B51&amp;"*")</f>
        <v/>
      </c>
      <c r="G51" s="256">
        <f>IF($F51&gt;0,$E51,999999)</f>
        <v/>
      </c>
      <c r="H51" s="256">
        <f>IF($F51&gt;0,$E51,0)</f>
        <v/>
      </c>
    </row>
    <row r="52" ht="15" customHeight="1" s="131">
      <c r="A52" s="261" t="n">
        <v>47088</v>
      </c>
      <c r="B52" s="171" t="inlineStr">
        <is>
          <t>2028-12</t>
        </is>
      </c>
      <c r="C52" s="164" t="n">
        <v>2028</v>
      </c>
      <c r="D52" s="164" t="n">
        <v>12</v>
      </c>
      <c r="E52" s="164" t="n">
        <v>202812</v>
      </c>
      <c r="F52" s="164">
        <f>COUNTIFS(Tabela3[Período],$B52&amp;"*")+COUNTIFS(Tabela36[Período],$B52&amp;"*")+COUNTIFS(Tabela367[Período],$B52&amp;"*")</f>
        <v/>
      </c>
      <c r="G52" s="256">
        <f>IF($F52&gt;0,$E52,999999)</f>
        <v/>
      </c>
      <c r="H52" s="256">
        <f>IF($F52&gt;0,$E52,0)</f>
        <v/>
      </c>
    </row>
    <row r="53" ht="15" customHeight="1" s="131">
      <c r="A53" s="261" t="n">
        <v>47119</v>
      </c>
      <c r="B53" s="171" t="inlineStr">
        <is>
          <t>2029-01</t>
        </is>
      </c>
      <c r="C53" s="164" t="n">
        <v>2029</v>
      </c>
      <c r="D53" s="164" t="n">
        <v>1</v>
      </c>
      <c r="E53" s="164" t="n">
        <v>202901</v>
      </c>
      <c r="F53" s="164">
        <f>COUNTIFS(Tabela3[Período],$B53&amp;"*")+COUNTIFS(Tabela36[Período],$B53&amp;"*")+COUNTIFS(Tabela367[Período],$B53&amp;"*")</f>
        <v/>
      </c>
      <c r="G53" s="256">
        <f>IF($F53&gt;0,$E53,999999)</f>
        <v/>
      </c>
      <c r="H53" s="256">
        <f>IF($F53&gt;0,$E53,0)</f>
        <v/>
      </c>
    </row>
    <row r="54" ht="15" customHeight="1" s="131">
      <c r="A54" s="261" t="n">
        <v>47150</v>
      </c>
      <c r="B54" s="171" t="inlineStr">
        <is>
          <t>2029-02</t>
        </is>
      </c>
      <c r="C54" s="164" t="n">
        <v>2029</v>
      </c>
      <c r="D54" s="164" t="n">
        <v>2</v>
      </c>
      <c r="E54" s="164" t="n">
        <v>202902</v>
      </c>
      <c r="F54" s="164">
        <f>COUNTIFS(Tabela3[Período],$B54&amp;"*")+COUNTIFS(Tabela36[Período],$B54&amp;"*")+COUNTIFS(Tabela367[Período],$B54&amp;"*")</f>
        <v/>
      </c>
      <c r="G54" s="256">
        <f>IF($F54&gt;0,$E54,999999)</f>
        <v/>
      </c>
      <c r="H54" s="256">
        <f>IF($F54&gt;0,$E54,0)</f>
        <v/>
      </c>
    </row>
    <row r="55" ht="15" customHeight="1" s="131">
      <c r="A55" s="261" t="n">
        <v>47178</v>
      </c>
      <c r="B55" s="171" t="inlineStr">
        <is>
          <t>2029-03</t>
        </is>
      </c>
      <c r="C55" s="164" t="n">
        <v>2029</v>
      </c>
      <c r="D55" s="164" t="n">
        <v>3</v>
      </c>
      <c r="E55" s="164" t="n">
        <v>202903</v>
      </c>
      <c r="F55" s="164">
        <f>COUNTIFS(Tabela3[Período],$B55&amp;"*")+COUNTIFS(Tabela36[Período],$B55&amp;"*")+COUNTIFS(Tabela367[Período],$B55&amp;"*")</f>
        <v/>
      </c>
      <c r="G55" s="256">
        <f>IF($F55&gt;0,$E55,999999)</f>
        <v/>
      </c>
      <c r="H55" s="256">
        <f>IF($F55&gt;0,$E55,0)</f>
        <v/>
      </c>
    </row>
    <row r="56" ht="15" customHeight="1" s="131">
      <c r="A56" s="261" t="n">
        <v>47209</v>
      </c>
      <c r="B56" s="171" t="inlineStr">
        <is>
          <t>2029-04</t>
        </is>
      </c>
      <c r="C56" s="164" t="n">
        <v>2029</v>
      </c>
      <c r="D56" s="164" t="n">
        <v>4</v>
      </c>
      <c r="E56" s="164" t="n">
        <v>202904</v>
      </c>
      <c r="F56" s="164">
        <f>COUNTIFS(Tabela3[Período],$B56&amp;"*")+COUNTIFS(Tabela36[Período],$B56&amp;"*")+COUNTIFS(Tabela367[Período],$B56&amp;"*")</f>
        <v/>
      </c>
      <c r="G56" s="256">
        <f>IF($F56&gt;0,$E56,999999)</f>
        <v/>
      </c>
      <c r="H56" s="256">
        <f>IF($F56&gt;0,$E56,0)</f>
        <v/>
      </c>
    </row>
    <row r="57" ht="15" customHeight="1" s="131">
      <c r="A57" s="261" t="n">
        <v>47239</v>
      </c>
      <c r="B57" s="171" t="inlineStr">
        <is>
          <t>2029-05</t>
        </is>
      </c>
      <c r="C57" s="164" t="n">
        <v>2029</v>
      </c>
      <c r="D57" s="164" t="n">
        <v>5</v>
      </c>
      <c r="E57" s="164" t="n">
        <v>202905</v>
      </c>
      <c r="F57" s="164">
        <f>COUNTIFS(Tabela3[Período],$B57&amp;"*")+COUNTIFS(Tabela36[Período],$B57&amp;"*")+COUNTIFS(Tabela367[Período],$B57&amp;"*")</f>
        <v/>
      </c>
      <c r="G57" s="256">
        <f>IF($F57&gt;0,$E57,999999)</f>
        <v/>
      </c>
      <c r="H57" s="256">
        <f>IF($F57&gt;0,$E57,0)</f>
        <v/>
      </c>
    </row>
    <row r="58" ht="15" customHeight="1" s="131">
      <c r="A58" s="261" t="n">
        <v>47270</v>
      </c>
      <c r="B58" s="171" t="inlineStr">
        <is>
          <t>2029-06</t>
        </is>
      </c>
      <c r="C58" s="164" t="n">
        <v>2029</v>
      </c>
      <c r="D58" s="164" t="n">
        <v>6</v>
      </c>
      <c r="E58" s="164" t="n">
        <v>202906</v>
      </c>
      <c r="F58" s="164">
        <f>COUNTIFS(Tabela3[Período],$B58&amp;"*")+COUNTIFS(Tabela36[Período],$B58&amp;"*")+COUNTIFS(Tabela367[Período],$B58&amp;"*")</f>
        <v/>
      </c>
      <c r="G58" s="256">
        <f>IF($F58&gt;0,$E58,999999)</f>
        <v/>
      </c>
      <c r="H58" s="256">
        <f>IF($F58&gt;0,$E58,0)</f>
        <v/>
      </c>
    </row>
    <row r="59" ht="15" customHeight="1" s="131">
      <c r="A59" s="261" t="n">
        <v>47300</v>
      </c>
      <c r="B59" s="171" t="inlineStr">
        <is>
          <t>2029-07</t>
        </is>
      </c>
      <c r="C59" s="164" t="n">
        <v>2029</v>
      </c>
      <c r="D59" s="164" t="n">
        <v>7</v>
      </c>
      <c r="E59" s="164" t="n">
        <v>202907</v>
      </c>
      <c r="F59" s="164">
        <f>COUNTIFS(Tabela3[Período],$B59&amp;"*")+COUNTIFS(Tabela36[Período],$B59&amp;"*")+COUNTIFS(Tabela367[Período],$B59&amp;"*")</f>
        <v/>
      </c>
      <c r="G59" s="256">
        <f>IF($F59&gt;0,$E59,999999)</f>
        <v/>
      </c>
      <c r="H59" s="256">
        <f>IF($F59&gt;0,$E59,0)</f>
        <v/>
      </c>
    </row>
    <row r="60" ht="15" customHeight="1" s="131">
      <c r="A60" s="261" t="n">
        <v>47331</v>
      </c>
      <c r="B60" s="171" t="inlineStr">
        <is>
          <t>2029-08</t>
        </is>
      </c>
      <c r="C60" s="164" t="n">
        <v>2029</v>
      </c>
      <c r="D60" s="164" t="n">
        <v>8</v>
      </c>
      <c r="E60" s="164" t="n">
        <v>202908</v>
      </c>
      <c r="F60" s="164">
        <f>COUNTIFS(Tabela3[Período],$B60&amp;"*")+COUNTIFS(Tabela36[Período],$B60&amp;"*")+COUNTIFS(Tabela367[Período],$B60&amp;"*")</f>
        <v/>
      </c>
      <c r="G60" s="256">
        <f>IF($F60&gt;0,$E60,999999)</f>
        <v/>
      </c>
      <c r="H60" s="256">
        <f>IF($F60&gt;0,$E60,0)</f>
        <v/>
      </c>
    </row>
    <row r="61" ht="15" customHeight="1" s="131">
      <c r="A61" s="261" t="n">
        <v>47362</v>
      </c>
      <c r="B61" s="171" t="inlineStr">
        <is>
          <t>2029-09</t>
        </is>
      </c>
      <c r="C61" s="164" t="n">
        <v>2029</v>
      </c>
      <c r="D61" s="164" t="n">
        <v>9</v>
      </c>
      <c r="E61" s="164" t="n">
        <v>202909</v>
      </c>
      <c r="F61" s="164">
        <f>COUNTIFS(Tabela3[Período],$B61&amp;"*")+COUNTIFS(Tabela36[Período],$B61&amp;"*")+COUNTIFS(Tabela367[Período],$B61&amp;"*")</f>
        <v/>
      </c>
      <c r="G61" s="256">
        <f>IF($F61&gt;0,$E61,999999)</f>
        <v/>
      </c>
      <c r="H61" s="256">
        <f>IF($F61&gt;0,$E61,0)</f>
        <v/>
      </c>
    </row>
    <row r="62" ht="15" customHeight="1" s="131">
      <c r="A62" s="261" t="n">
        <v>47392</v>
      </c>
      <c r="B62" s="171" t="inlineStr">
        <is>
          <t>2029-10</t>
        </is>
      </c>
      <c r="C62" s="164" t="n">
        <v>2029</v>
      </c>
      <c r="D62" s="164" t="n">
        <v>10</v>
      </c>
      <c r="E62" s="164" t="n">
        <v>202910</v>
      </c>
      <c r="F62" s="164">
        <f>COUNTIFS(Tabela3[Período],$B62&amp;"*")+COUNTIFS(Tabela36[Período],$B62&amp;"*")+COUNTIFS(Tabela367[Período],$B62&amp;"*")</f>
        <v/>
      </c>
      <c r="G62" s="256">
        <f>IF($F62&gt;0,$E62,999999)</f>
        <v/>
      </c>
      <c r="H62" s="256">
        <f>IF($F62&gt;0,$E62,0)</f>
        <v/>
      </c>
    </row>
    <row r="63" ht="15" customHeight="1" s="131">
      <c r="A63" s="261" t="n">
        <v>47423</v>
      </c>
      <c r="B63" s="171" t="inlineStr">
        <is>
          <t>2029-11</t>
        </is>
      </c>
      <c r="C63" s="164" t="n">
        <v>2029</v>
      </c>
      <c r="D63" s="164" t="n">
        <v>11</v>
      </c>
      <c r="E63" s="164" t="n">
        <v>202911</v>
      </c>
      <c r="F63" s="164">
        <f>COUNTIFS(Tabela3[Período],$B63&amp;"*")+COUNTIFS(Tabela36[Período],$B63&amp;"*")+COUNTIFS(Tabela367[Período],$B63&amp;"*")</f>
        <v/>
      </c>
      <c r="G63" s="256">
        <f>IF($F63&gt;0,$E63,999999)</f>
        <v/>
      </c>
      <c r="H63" s="256">
        <f>IF($F63&gt;0,$E63,0)</f>
        <v/>
      </c>
    </row>
    <row r="64" ht="15" customHeight="1" s="131">
      <c r="A64" s="261" t="n">
        <v>47453</v>
      </c>
      <c r="B64" s="171" t="inlineStr">
        <is>
          <t>2029-12</t>
        </is>
      </c>
      <c r="C64" s="164" t="n">
        <v>2029</v>
      </c>
      <c r="D64" s="164" t="n">
        <v>12</v>
      </c>
      <c r="E64" s="164" t="n">
        <v>202912</v>
      </c>
      <c r="F64" s="164">
        <f>COUNTIFS(Tabela3[Período],$B64&amp;"*")+COUNTIFS(Tabela36[Período],$B64&amp;"*")+COUNTIFS(Tabela367[Período],$B64&amp;"*")</f>
        <v/>
      </c>
      <c r="G64" s="256">
        <f>IF($F64&gt;0,$E64,999999)</f>
        <v/>
      </c>
      <c r="H64" s="256">
        <f>IF($F64&gt;0,$E64,0)</f>
        <v/>
      </c>
    </row>
    <row r="65" ht="15" customHeight="1" s="131">
      <c r="A65" s="261" t="n">
        <v>47484</v>
      </c>
      <c r="B65" s="171" t="inlineStr">
        <is>
          <t>2030-01</t>
        </is>
      </c>
      <c r="C65" s="164" t="n">
        <v>2030</v>
      </c>
      <c r="D65" s="164" t="n">
        <v>1</v>
      </c>
      <c r="E65" s="164" t="n">
        <v>203001</v>
      </c>
      <c r="F65" s="164">
        <f>COUNTIFS(Tabela3[Período],$B65&amp;"*")+COUNTIFS(Tabela36[Período],$B65&amp;"*")+COUNTIFS(Tabela367[Período],$B65&amp;"*")</f>
        <v/>
      </c>
      <c r="G65" s="256">
        <f>IF($F65&gt;0,$E65,999999)</f>
        <v/>
      </c>
      <c r="H65" s="256">
        <f>IF($F65&gt;0,$E65,0)</f>
        <v/>
      </c>
    </row>
    <row r="66" ht="15" customHeight="1" s="131">
      <c r="A66" s="261" t="n">
        <v>47515</v>
      </c>
      <c r="B66" s="171" t="inlineStr">
        <is>
          <t>2030-02</t>
        </is>
      </c>
      <c r="C66" s="164" t="n">
        <v>2030</v>
      </c>
      <c r="D66" s="164" t="n">
        <v>2</v>
      </c>
      <c r="E66" s="164" t="n">
        <v>203002</v>
      </c>
      <c r="F66" s="164">
        <f>COUNTIFS(Tabela3[Período],$B66&amp;"*")+COUNTIFS(Tabela36[Período],$B66&amp;"*")+COUNTIFS(Tabela367[Período],$B66&amp;"*")</f>
        <v/>
      </c>
      <c r="G66" s="256">
        <f>IF($F66&gt;0,$E66,999999)</f>
        <v/>
      </c>
      <c r="H66" s="256">
        <f>IF($F66&gt;0,$E66,0)</f>
        <v/>
      </c>
    </row>
    <row r="67" ht="15" customHeight="1" s="131">
      <c r="A67" s="261" t="n">
        <v>47543</v>
      </c>
      <c r="B67" s="171" t="inlineStr">
        <is>
          <t>2030-03</t>
        </is>
      </c>
      <c r="C67" s="164" t="n">
        <v>2030</v>
      </c>
      <c r="D67" s="164" t="n">
        <v>3</v>
      </c>
      <c r="E67" s="164" t="n">
        <v>203003</v>
      </c>
      <c r="F67" s="164">
        <f>COUNTIFS(Tabela3[Período],$B67&amp;"*")+COUNTIFS(Tabela36[Período],$B67&amp;"*")+COUNTIFS(Tabela367[Período],$B67&amp;"*")</f>
        <v/>
      </c>
      <c r="G67" s="256">
        <f>IF($F67&gt;0,$E67,999999)</f>
        <v/>
      </c>
      <c r="H67" s="256">
        <f>IF($F67&gt;0,$E67,0)</f>
        <v/>
      </c>
    </row>
    <row r="68" ht="15" customHeight="1" s="131">
      <c r="A68" s="261" t="n">
        <v>47574</v>
      </c>
      <c r="B68" s="171" t="inlineStr">
        <is>
          <t>2030-04</t>
        </is>
      </c>
      <c r="C68" s="164" t="n">
        <v>2030</v>
      </c>
      <c r="D68" s="164" t="n">
        <v>4</v>
      </c>
      <c r="E68" s="164" t="n">
        <v>203004</v>
      </c>
      <c r="F68" s="164">
        <f>COUNTIFS(Tabela3[Período],$B68&amp;"*")+COUNTIFS(Tabela36[Período],$B68&amp;"*")+COUNTIFS(Tabela367[Período],$B68&amp;"*")</f>
        <v/>
      </c>
      <c r="G68" s="256">
        <f>IF($F68&gt;0,$E68,999999)</f>
        <v/>
      </c>
      <c r="H68" s="256">
        <f>IF($F68&gt;0,$E68,0)</f>
        <v/>
      </c>
    </row>
    <row r="69" ht="15" customHeight="1" s="131">
      <c r="A69" s="261" t="n">
        <v>47604</v>
      </c>
      <c r="B69" s="171" t="inlineStr">
        <is>
          <t>2030-05</t>
        </is>
      </c>
      <c r="C69" s="164" t="n">
        <v>2030</v>
      </c>
      <c r="D69" s="164" t="n">
        <v>5</v>
      </c>
      <c r="E69" s="164" t="n">
        <v>203005</v>
      </c>
      <c r="F69" s="164">
        <f>COUNTIFS(Tabela3[Período],$B69&amp;"*")+COUNTIFS(Tabela36[Período],$B69&amp;"*")+COUNTIFS(Tabela367[Período],$B69&amp;"*")</f>
        <v/>
      </c>
      <c r="G69" s="256">
        <f>IF($F69&gt;0,$E69,999999)</f>
        <v/>
      </c>
      <c r="H69" s="256">
        <f>IF($F69&gt;0,$E69,0)</f>
        <v/>
      </c>
    </row>
    <row r="70" ht="15" customHeight="1" s="131">
      <c r="A70" s="261" t="n">
        <v>47635</v>
      </c>
      <c r="B70" s="171" t="inlineStr">
        <is>
          <t>2030-06</t>
        </is>
      </c>
      <c r="C70" s="164" t="n">
        <v>2030</v>
      </c>
      <c r="D70" s="164" t="n">
        <v>6</v>
      </c>
      <c r="E70" s="164" t="n">
        <v>203006</v>
      </c>
      <c r="F70" s="164">
        <f>COUNTIFS(Tabela3[Período],$B70&amp;"*")+COUNTIFS(Tabela36[Período],$B70&amp;"*")+COUNTIFS(Tabela367[Período],$B70&amp;"*")</f>
        <v/>
      </c>
      <c r="G70" s="256">
        <f>IF($F70&gt;0,$E70,999999)</f>
        <v/>
      </c>
      <c r="H70" s="256">
        <f>IF($F70&gt;0,$E70,0)</f>
        <v/>
      </c>
    </row>
    <row r="71" ht="15" customHeight="1" s="131">
      <c r="A71" s="261" t="n">
        <v>47665</v>
      </c>
      <c r="B71" s="171" t="inlineStr">
        <is>
          <t>2030-07</t>
        </is>
      </c>
      <c r="C71" s="164" t="n">
        <v>2030</v>
      </c>
      <c r="D71" s="164" t="n">
        <v>7</v>
      </c>
      <c r="E71" s="164" t="n">
        <v>203007</v>
      </c>
      <c r="F71" s="164">
        <f>COUNTIFS(Tabela3[Período],$B71&amp;"*")+COUNTIFS(Tabela36[Período],$B71&amp;"*")+COUNTIFS(Tabela367[Período],$B71&amp;"*")</f>
        <v/>
      </c>
      <c r="G71" s="256">
        <f>IF($F71&gt;0,$E71,999999)</f>
        <v/>
      </c>
      <c r="H71" s="256">
        <f>IF($F71&gt;0,$E71,0)</f>
        <v/>
      </c>
    </row>
    <row r="72" ht="15" customHeight="1" s="131">
      <c r="A72" s="261" t="n">
        <v>47696</v>
      </c>
      <c r="B72" s="171" t="inlineStr">
        <is>
          <t>2030-08</t>
        </is>
      </c>
      <c r="C72" s="164" t="n">
        <v>2030</v>
      </c>
      <c r="D72" s="164" t="n">
        <v>8</v>
      </c>
      <c r="E72" s="164" t="n">
        <v>203008</v>
      </c>
      <c r="F72" s="164">
        <f>COUNTIFS(Tabela3[Período],$B72&amp;"*")+COUNTIFS(Tabela36[Período],$B72&amp;"*")+COUNTIFS(Tabela367[Período],$B72&amp;"*")</f>
        <v/>
      </c>
      <c r="G72" s="256">
        <f>IF($F72&gt;0,$E72,999999)</f>
        <v/>
      </c>
      <c r="H72" s="256">
        <f>IF($F72&gt;0,$E72,0)</f>
        <v/>
      </c>
    </row>
    <row r="73" ht="15" customHeight="1" s="131">
      <c r="A73" s="261" t="n">
        <v>47727</v>
      </c>
      <c r="B73" s="171" t="inlineStr">
        <is>
          <t>2030-09</t>
        </is>
      </c>
      <c r="C73" s="164" t="n">
        <v>2030</v>
      </c>
      <c r="D73" s="164" t="n">
        <v>9</v>
      </c>
      <c r="E73" s="164" t="n">
        <v>203009</v>
      </c>
      <c r="F73" s="164">
        <f>COUNTIFS(Tabela3[Período],$B73&amp;"*")+COUNTIFS(Tabela36[Período],$B73&amp;"*")+COUNTIFS(Tabela367[Período],$B73&amp;"*")</f>
        <v/>
      </c>
      <c r="G73" s="256">
        <f>IF($F73&gt;0,$E73,999999)</f>
        <v/>
      </c>
      <c r="H73" s="256">
        <f>IF($F73&gt;0,$E73,0)</f>
        <v/>
      </c>
    </row>
    <row r="74" ht="15" customHeight="1" s="131">
      <c r="A74" s="261" t="n">
        <v>47757</v>
      </c>
      <c r="B74" s="171" t="inlineStr">
        <is>
          <t>2030-10</t>
        </is>
      </c>
      <c r="C74" s="164" t="n">
        <v>2030</v>
      </c>
      <c r="D74" s="164" t="n">
        <v>10</v>
      </c>
      <c r="E74" s="164" t="n">
        <v>203010</v>
      </c>
      <c r="F74" s="164">
        <f>COUNTIFS(Tabela3[Período],$B74&amp;"*")+COUNTIFS(Tabela36[Período],$B74&amp;"*")+COUNTIFS(Tabela367[Período],$B74&amp;"*")</f>
        <v/>
      </c>
      <c r="G74" s="256">
        <f>IF($F74&gt;0,$E74,999999)</f>
        <v/>
      </c>
      <c r="H74" s="256">
        <f>IF($F74&gt;0,$E74,0)</f>
        <v/>
      </c>
    </row>
    <row r="75" ht="15" customHeight="1" s="131">
      <c r="A75" s="261" t="n">
        <v>47788</v>
      </c>
      <c r="B75" s="171" t="inlineStr">
        <is>
          <t>2030-11</t>
        </is>
      </c>
      <c r="C75" s="164" t="n">
        <v>2030</v>
      </c>
      <c r="D75" s="164" t="n">
        <v>11</v>
      </c>
      <c r="E75" s="164" t="n">
        <v>203011</v>
      </c>
      <c r="F75" s="164">
        <f>COUNTIFS(Tabela3[Período],$B75&amp;"*")+COUNTIFS(Tabela36[Período],$B75&amp;"*")+COUNTIFS(Tabela367[Período],$B75&amp;"*")</f>
        <v/>
      </c>
      <c r="G75" s="256">
        <f>IF($F75&gt;0,$E75,999999)</f>
        <v/>
      </c>
      <c r="H75" s="256">
        <f>IF($F75&gt;0,$E75,0)</f>
        <v/>
      </c>
    </row>
    <row r="76" ht="15" customHeight="1" s="131">
      <c r="A76" s="261" t="n">
        <v>47818</v>
      </c>
      <c r="B76" s="171" t="inlineStr">
        <is>
          <t>2030-12</t>
        </is>
      </c>
      <c r="C76" s="164" t="n">
        <v>2030</v>
      </c>
      <c r="D76" s="164" t="n">
        <v>12</v>
      </c>
      <c r="E76" s="164" t="n">
        <v>203012</v>
      </c>
      <c r="F76" s="164">
        <f>COUNTIFS(Tabela3[Período],$B76&amp;"*")+COUNTIFS(Tabela36[Período],$B76&amp;"*")+COUNTIFS(Tabela367[Período],$B76&amp;"*")</f>
        <v/>
      </c>
      <c r="G76" s="256">
        <f>IF($F76&gt;0,$E76,999999)</f>
        <v/>
      </c>
      <c r="H76" s="256">
        <f>IF($F76&gt;0,$E76,0)</f>
        <v/>
      </c>
    </row>
    <row r="77" ht="15" customHeight="1" s="131">
      <c r="A77" s="261" t="n">
        <v>47849</v>
      </c>
      <c r="B77" s="171" t="inlineStr">
        <is>
          <t>2031-01</t>
        </is>
      </c>
      <c r="C77" s="164" t="n">
        <v>2031</v>
      </c>
      <c r="D77" s="164" t="n">
        <v>1</v>
      </c>
      <c r="E77" s="164" t="n">
        <v>203101</v>
      </c>
      <c r="F77" s="164">
        <f>COUNTIFS(Tabela3[Período],$B77&amp;"*")+COUNTIFS(Tabela36[Período],$B77&amp;"*")+COUNTIFS(Tabela367[Período],$B77&amp;"*")</f>
        <v/>
      </c>
      <c r="G77" s="256">
        <f>IF($F77&gt;0,$E77,999999)</f>
        <v/>
      </c>
      <c r="H77" s="256">
        <f>IF($F77&gt;0,$E77,0)</f>
        <v/>
      </c>
    </row>
    <row r="78" ht="15" customHeight="1" s="131">
      <c r="A78" s="261" t="n">
        <v>47880</v>
      </c>
      <c r="B78" s="171" t="inlineStr">
        <is>
          <t>2031-02</t>
        </is>
      </c>
      <c r="C78" s="164" t="n">
        <v>2031</v>
      </c>
      <c r="D78" s="164" t="n">
        <v>2</v>
      </c>
      <c r="E78" s="164" t="n">
        <v>203102</v>
      </c>
      <c r="F78" s="164">
        <f>COUNTIFS(Tabela3[Período],$B78&amp;"*")+COUNTIFS(Tabela36[Período],$B78&amp;"*")+COUNTIFS(Tabela367[Período],$B78&amp;"*")</f>
        <v/>
      </c>
      <c r="G78" s="256">
        <f>IF($F78&gt;0,$E78,999999)</f>
        <v/>
      </c>
      <c r="H78" s="256">
        <f>IF($F78&gt;0,$E78,0)</f>
        <v/>
      </c>
    </row>
    <row r="79" ht="15" customHeight="1" s="131">
      <c r="A79" s="261" t="n">
        <v>47908</v>
      </c>
      <c r="B79" s="171" t="inlineStr">
        <is>
          <t>2031-03</t>
        </is>
      </c>
      <c r="C79" s="164" t="n">
        <v>2031</v>
      </c>
      <c r="D79" s="164" t="n">
        <v>3</v>
      </c>
      <c r="E79" s="164" t="n">
        <v>203103</v>
      </c>
      <c r="F79" s="164">
        <f>COUNTIFS(Tabela3[Período],$B79&amp;"*")+COUNTIFS(Tabela36[Período],$B79&amp;"*")+COUNTIFS(Tabela367[Período],$B79&amp;"*")</f>
        <v/>
      </c>
      <c r="G79" s="256">
        <f>IF($F79&gt;0,$E79,999999)</f>
        <v/>
      </c>
      <c r="H79" s="256">
        <f>IF($F79&gt;0,$E79,0)</f>
        <v/>
      </c>
    </row>
    <row r="80" ht="15" customHeight="1" s="131">
      <c r="A80" s="261" t="n">
        <v>47939</v>
      </c>
      <c r="B80" s="171" t="inlineStr">
        <is>
          <t>2031-04</t>
        </is>
      </c>
      <c r="C80" s="164" t="n">
        <v>2031</v>
      </c>
      <c r="D80" s="164" t="n">
        <v>4</v>
      </c>
      <c r="E80" s="164" t="n">
        <v>203104</v>
      </c>
      <c r="F80" s="164">
        <f>COUNTIFS(Tabela3[Período],$B80&amp;"*")+COUNTIFS(Tabela36[Período],$B80&amp;"*")+COUNTIFS(Tabela367[Período],$B80&amp;"*")</f>
        <v/>
      </c>
      <c r="G80" s="256">
        <f>IF($F80&gt;0,$E80,999999)</f>
        <v/>
      </c>
      <c r="H80" s="256">
        <f>IF($F80&gt;0,$E80,0)</f>
        <v/>
      </c>
    </row>
    <row r="81" ht="15" customHeight="1" s="131">
      <c r="A81" s="261" t="n">
        <v>47969</v>
      </c>
      <c r="B81" s="171" t="inlineStr">
        <is>
          <t>2031-05</t>
        </is>
      </c>
      <c r="C81" s="164" t="n">
        <v>2031</v>
      </c>
      <c r="D81" s="164" t="n">
        <v>5</v>
      </c>
      <c r="E81" s="164" t="n">
        <v>203105</v>
      </c>
      <c r="F81" s="164">
        <f>COUNTIFS(Tabela3[Período],$B81&amp;"*")+COUNTIFS(Tabela36[Período],$B81&amp;"*")+COUNTIFS(Tabela367[Período],$B81&amp;"*")</f>
        <v/>
      </c>
      <c r="G81" s="256">
        <f>IF($F81&gt;0,$E81,999999)</f>
        <v/>
      </c>
      <c r="H81" s="256">
        <f>IF($F81&gt;0,$E81,0)</f>
        <v/>
      </c>
    </row>
    <row r="82" ht="15" customHeight="1" s="131">
      <c r="A82" s="261" t="n">
        <v>48000</v>
      </c>
      <c r="B82" s="171" t="inlineStr">
        <is>
          <t>2031-06</t>
        </is>
      </c>
      <c r="C82" s="164" t="n">
        <v>2031</v>
      </c>
      <c r="D82" s="164" t="n">
        <v>6</v>
      </c>
      <c r="E82" s="164" t="n">
        <v>203106</v>
      </c>
      <c r="F82" s="164">
        <f>COUNTIFS(Tabela3[Período],$B82&amp;"*")+COUNTIFS(Tabela36[Período],$B82&amp;"*")+COUNTIFS(Tabela367[Período],$B82&amp;"*")</f>
        <v/>
      </c>
      <c r="G82" s="256">
        <f>IF($F82&gt;0,$E82,999999)</f>
        <v/>
      </c>
      <c r="H82" s="256">
        <f>IF($F82&gt;0,$E82,0)</f>
        <v/>
      </c>
    </row>
    <row r="83" ht="15" customHeight="1" s="131">
      <c r="A83" s="261" t="n">
        <v>48030</v>
      </c>
      <c r="B83" s="171" t="inlineStr">
        <is>
          <t>2031-07</t>
        </is>
      </c>
      <c r="C83" s="164" t="n">
        <v>2031</v>
      </c>
      <c r="D83" s="164" t="n">
        <v>7</v>
      </c>
      <c r="E83" s="164" t="n">
        <v>203107</v>
      </c>
      <c r="F83" s="164">
        <f>COUNTIFS(Tabela3[Período],$B83&amp;"*")+COUNTIFS(Tabela36[Período],$B83&amp;"*")+COUNTIFS(Tabela367[Período],$B83&amp;"*")</f>
        <v/>
      </c>
      <c r="G83" s="256">
        <f>IF($F83&gt;0,$E83,999999)</f>
        <v/>
      </c>
      <c r="H83" s="256">
        <f>IF($F83&gt;0,$E83,0)</f>
        <v/>
      </c>
    </row>
    <row r="84" ht="15" customHeight="1" s="131">
      <c r="A84" s="261" t="n">
        <v>48061</v>
      </c>
      <c r="B84" s="171" t="inlineStr">
        <is>
          <t>2031-08</t>
        </is>
      </c>
      <c r="C84" s="164" t="n">
        <v>2031</v>
      </c>
      <c r="D84" s="164" t="n">
        <v>8</v>
      </c>
      <c r="E84" s="164" t="n">
        <v>203108</v>
      </c>
      <c r="F84" s="164">
        <f>COUNTIFS(Tabela3[Período],$B84&amp;"*")+COUNTIFS(Tabela36[Período],$B84&amp;"*")+COUNTIFS(Tabela367[Período],$B84&amp;"*")</f>
        <v/>
      </c>
      <c r="G84" s="256">
        <f>IF($F84&gt;0,$E84,999999)</f>
        <v/>
      </c>
      <c r="H84" s="256">
        <f>IF($F84&gt;0,$E84,0)</f>
        <v/>
      </c>
    </row>
    <row r="85" ht="15" customHeight="1" s="131">
      <c r="A85" s="261" t="n">
        <v>48092</v>
      </c>
      <c r="B85" s="171" t="inlineStr">
        <is>
          <t>2031-09</t>
        </is>
      </c>
      <c r="C85" s="164" t="n">
        <v>2031</v>
      </c>
      <c r="D85" s="164" t="n">
        <v>9</v>
      </c>
      <c r="E85" s="164" t="n">
        <v>203109</v>
      </c>
      <c r="F85" s="164">
        <f>COUNTIFS(Tabela3[Período],$B85&amp;"*")+COUNTIFS(Tabela36[Período],$B85&amp;"*")+COUNTIFS(Tabela367[Período],$B85&amp;"*")</f>
        <v/>
      </c>
      <c r="G85" s="256">
        <f>IF($F85&gt;0,$E85,999999)</f>
        <v/>
      </c>
      <c r="H85" s="256">
        <f>IF($F85&gt;0,$E85,0)</f>
        <v/>
      </c>
    </row>
    <row r="86" ht="15" customHeight="1" s="131">
      <c r="A86" s="261" t="n">
        <v>48122</v>
      </c>
      <c r="B86" s="171" t="inlineStr">
        <is>
          <t>2031-10</t>
        </is>
      </c>
      <c r="C86" s="164" t="n">
        <v>2031</v>
      </c>
      <c r="D86" s="164" t="n">
        <v>10</v>
      </c>
      <c r="E86" s="164" t="n">
        <v>203110</v>
      </c>
      <c r="F86" s="164">
        <f>COUNTIFS(Tabela3[Período],$B86&amp;"*")+COUNTIFS(Tabela36[Período],$B86&amp;"*")+COUNTIFS(Tabela367[Período],$B86&amp;"*")</f>
        <v/>
      </c>
      <c r="G86" s="256">
        <f>IF($F86&gt;0,$E86,999999)</f>
        <v/>
      </c>
      <c r="H86" s="256">
        <f>IF($F86&gt;0,$E86,0)</f>
        <v/>
      </c>
    </row>
    <row r="87" ht="15" customHeight="1" s="131">
      <c r="A87" s="261" t="n">
        <v>48153</v>
      </c>
      <c r="B87" s="171" t="inlineStr">
        <is>
          <t>2031-11</t>
        </is>
      </c>
      <c r="C87" s="164" t="n">
        <v>2031</v>
      </c>
      <c r="D87" s="164" t="n">
        <v>11</v>
      </c>
      <c r="E87" s="164" t="n">
        <v>203111</v>
      </c>
      <c r="F87" s="164">
        <f>COUNTIFS(Tabela3[Período],$B87&amp;"*")+COUNTIFS(Tabela36[Período],$B87&amp;"*")+COUNTIFS(Tabela367[Período],$B87&amp;"*")</f>
        <v/>
      </c>
      <c r="G87" s="256">
        <f>IF($F87&gt;0,$E87,999999)</f>
        <v/>
      </c>
      <c r="H87" s="256">
        <f>IF($F87&gt;0,$E87,0)</f>
        <v/>
      </c>
    </row>
    <row r="88" ht="15" customHeight="1" s="131">
      <c r="A88" s="261" t="n">
        <v>48183</v>
      </c>
      <c r="B88" s="171" t="inlineStr">
        <is>
          <t>2031-12</t>
        </is>
      </c>
      <c r="C88" s="164" t="n">
        <v>2031</v>
      </c>
      <c r="D88" s="164" t="n">
        <v>12</v>
      </c>
      <c r="E88" s="164" t="n">
        <v>203112</v>
      </c>
      <c r="F88" s="164">
        <f>COUNTIFS(Tabela3[Período],$B88&amp;"*")+COUNTIFS(Tabela36[Período],$B88&amp;"*")+COUNTIFS(Tabela367[Período],$B88&amp;"*")</f>
        <v/>
      </c>
      <c r="G88" s="256">
        <f>IF($F88&gt;0,$E88,999999)</f>
        <v/>
      </c>
      <c r="H88" s="256">
        <f>IF($F88&gt;0,$E88,0)</f>
        <v/>
      </c>
    </row>
    <row r="89" ht="15" customHeight="1" s="131">
      <c r="A89" s="261" t="n">
        <v>48214</v>
      </c>
      <c r="B89" s="171" t="inlineStr">
        <is>
          <t>2032-01</t>
        </is>
      </c>
      <c r="C89" s="164" t="n">
        <v>2032</v>
      </c>
      <c r="D89" s="164" t="n">
        <v>1</v>
      </c>
      <c r="E89" s="164" t="n">
        <v>203201</v>
      </c>
      <c r="F89" s="164">
        <f>COUNTIFS(Tabela3[Período],$B89&amp;"*")+COUNTIFS(Tabela36[Período],$B89&amp;"*")+COUNTIFS(Tabela367[Período],$B89&amp;"*")</f>
        <v/>
      </c>
      <c r="G89" s="256">
        <f>IF($F89&gt;0,$E89,999999)</f>
        <v/>
      </c>
      <c r="H89" s="256">
        <f>IF($F89&gt;0,$E89,0)</f>
        <v/>
      </c>
    </row>
    <row r="90" ht="15" customHeight="1" s="131">
      <c r="A90" s="261" t="n">
        <v>48245</v>
      </c>
      <c r="B90" s="171" t="inlineStr">
        <is>
          <t>2032-02</t>
        </is>
      </c>
      <c r="C90" s="164" t="n">
        <v>2032</v>
      </c>
      <c r="D90" s="164" t="n">
        <v>2</v>
      </c>
      <c r="E90" s="164" t="n">
        <v>203202</v>
      </c>
      <c r="F90" s="164">
        <f>COUNTIFS(Tabela3[Período],$B90&amp;"*")+COUNTIFS(Tabela36[Período],$B90&amp;"*")+COUNTIFS(Tabela367[Período],$B90&amp;"*")</f>
        <v/>
      </c>
      <c r="G90" s="256">
        <f>IF($F90&gt;0,$E90,999999)</f>
        <v/>
      </c>
      <c r="H90" s="256">
        <f>IF($F90&gt;0,$E90,0)</f>
        <v/>
      </c>
    </row>
    <row r="91" ht="15" customHeight="1" s="131">
      <c r="A91" s="261" t="n">
        <v>48274</v>
      </c>
      <c r="B91" s="171" t="inlineStr">
        <is>
          <t>2032-03</t>
        </is>
      </c>
      <c r="C91" s="164" t="n">
        <v>2032</v>
      </c>
      <c r="D91" s="164" t="n">
        <v>3</v>
      </c>
      <c r="E91" s="164" t="n">
        <v>203203</v>
      </c>
      <c r="F91" s="164">
        <f>COUNTIFS(Tabela3[Período],$B91&amp;"*")+COUNTIFS(Tabela36[Período],$B91&amp;"*")+COUNTIFS(Tabela367[Período],$B91&amp;"*")</f>
        <v/>
      </c>
      <c r="G91" s="256">
        <f>IF($F91&gt;0,$E91,999999)</f>
        <v/>
      </c>
      <c r="H91" s="256">
        <f>IF($F91&gt;0,$E91,0)</f>
        <v/>
      </c>
    </row>
    <row r="92" ht="15" customHeight="1" s="131">
      <c r="A92" s="261" t="n">
        <v>48305</v>
      </c>
      <c r="B92" s="171" t="inlineStr">
        <is>
          <t>2032-04</t>
        </is>
      </c>
      <c r="C92" s="164" t="n">
        <v>2032</v>
      </c>
      <c r="D92" s="164" t="n">
        <v>4</v>
      </c>
      <c r="E92" s="164" t="n">
        <v>203204</v>
      </c>
      <c r="F92" s="164">
        <f>COUNTIFS(Tabela3[Período],$B92&amp;"*")+COUNTIFS(Tabela36[Período],$B92&amp;"*")+COUNTIFS(Tabela367[Período],$B92&amp;"*")</f>
        <v/>
      </c>
      <c r="G92" s="256">
        <f>IF($F92&gt;0,$E92,999999)</f>
        <v/>
      </c>
      <c r="H92" s="256">
        <f>IF($F92&gt;0,$E92,0)</f>
        <v/>
      </c>
    </row>
    <row r="93" ht="15" customHeight="1" s="131">
      <c r="A93" s="261" t="n">
        <v>48335</v>
      </c>
      <c r="B93" s="171" t="inlineStr">
        <is>
          <t>2032-05</t>
        </is>
      </c>
      <c r="C93" s="164" t="n">
        <v>2032</v>
      </c>
      <c r="D93" s="164" t="n">
        <v>5</v>
      </c>
      <c r="E93" s="164" t="n">
        <v>203205</v>
      </c>
      <c r="F93" s="164">
        <f>COUNTIFS(Tabela3[Período],$B93&amp;"*")+COUNTIFS(Tabela36[Período],$B93&amp;"*")+COUNTIFS(Tabela367[Período],$B93&amp;"*")</f>
        <v/>
      </c>
      <c r="G93" s="256">
        <f>IF($F93&gt;0,$E93,999999)</f>
        <v/>
      </c>
      <c r="H93" s="256">
        <f>IF($F93&gt;0,$E93,0)</f>
        <v/>
      </c>
    </row>
    <row r="94" ht="15" customHeight="1" s="131">
      <c r="A94" s="261" t="n">
        <v>48366</v>
      </c>
      <c r="B94" s="171" t="inlineStr">
        <is>
          <t>2032-06</t>
        </is>
      </c>
      <c r="C94" s="164" t="n">
        <v>2032</v>
      </c>
      <c r="D94" s="164" t="n">
        <v>6</v>
      </c>
      <c r="E94" s="164" t="n">
        <v>203206</v>
      </c>
      <c r="F94" s="164">
        <f>COUNTIFS(Tabela3[Período],$B94&amp;"*")+COUNTIFS(Tabela36[Período],$B94&amp;"*")+COUNTIFS(Tabela367[Período],$B94&amp;"*")</f>
        <v/>
      </c>
      <c r="G94" s="256">
        <f>IF($F94&gt;0,$E94,999999)</f>
        <v/>
      </c>
      <c r="H94" s="256">
        <f>IF($F94&gt;0,$E94,0)</f>
        <v/>
      </c>
    </row>
    <row r="95" ht="15" customHeight="1" s="131">
      <c r="A95" s="261" t="n">
        <v>48396</v>
      </c>
      <c r="B95" s="171" t="inlineStr">
        <is>
          <t>2032-07</t>
        </is>
      </c>
      <c r="C95" s="164" t="n">
        <v>2032</v>
      </c>
      <c r="D95" s="164" t="n">
        <v>7</v>
      </c>
      <c r="E95" s="164" t="n">
        <v>203207</v>
      </c>
      <c r="F95" s="164">
        <f>COUNTIFS(Tabela3[Período],$B95&amp;"*")+COUNTIFS(Tabela36[Período],$B95&amp;"*")+COUNTIFS(Tabela367[Período],$B95&amp;"*")</f>
        <v/>
      </c>
      <c r="G95" s="256">
        <f>IF($F95&gt;0,$E95,999999)</f>
        <v/>
      </c>
      <c r="H95" s="256">
        <f>IF($F95&gt;0,$E95,0)</f>
        <v/>
      </c>
    </row>
    <row r="96" ht="15" customHeight="1" s="131">
      <c r="A96" s="261" t="n">
        <v>48427</v>
      </c>
      <c r="B96" s="171" t="inlineStr">
        <is>
          <t>2032-08</t>
        </is>
      </c>
      <c r="C96" s="164" t="n">
        <v>2032</v>
      </c>
      <c r="D96" s="164" t="n">
        <v>8</v>
      </c>
      <c r="E96" s="164" t="n">
        <v>203208</v>
      </c>
      <c r="F96" s="164">
        <f>COUNTIFS(Tabela3[Período],$B96&amp;"*")+COUNTIFS(Tabela36[Período],$B96&amp;"*")+COUNTIFS(Tabela367[Período],$B96&amp;"*")</f>
        <v/>
      </c>
      <c r="G96" s="256">
        <f>IF($F96&gt;0,$E96,999999)</f>
        <v/>
      </c>
      <c r="H96" s="256">
        <f>IF($F96&gt;0,$E96,0)</f>
        <v/>
      </c>
    </row>
    <row r="97" ht="15" customHeight="1" s="131">
      <c r="A97" s="261" t="n">
        <v>48458</v>
      </c>
      <c r="B97" s="171" t="inlineStr">
        <is>
          <t>2032-09</t>
        </is>
      </c>
      <c r="C97" s="164" t="n">
        <v>2032</v>
      </c>
      <c r="D97" s="164" t="n">
        <v>9</v>
      </c>
      <c r="E97" s="164" t="n">
        <v>203209</v>
      </c>
      <c r="F97" s="164">
        <f>COUNTIFS(Tabela3[Período],$B97&amp;"*")+COUNTIFS(Tabela36[Período],$B97&amp;"*")+COUNTIFS(Tabela367[Período],$B97&amp;"*")</f>
        <v/>
      </c>
      <c r="G97" s="256">
        <f>IF($F97&gt;0,$E97,999999)</f>
        <v/>
      </c>
      <c r="H97" s="256">
        <f>IF($F97&gt;0,$E97,0)</f>
        <v/>
      </c>
    </row>
    <row r="98" ht="15" customHeight="1" s="131">
      <c r="A98" s="261" t="n">
        <v>48488</v>
      </c>
      <c r="B98" s="171" t="inlineStr">
        <is>
          <t>2032-10</t>
        </is>
      </c>
      <c r="C98" s="164" t="n">
        <v>2032</v>
      </c>
      <c r="D98" s="164" t="n">
        <v>10</v>
      </c>
      <c r="E98" s="164" t="n">
        <v>203210</v>
      </c>
      <c r="F98" s="164">
        <f>COUNTIFS(Tabela3[Período],$B98&amp;"*")+COUNTIFS(Tabela36[Período],$B98&amp;"*")+COUNTIFS(Tabela367[Período],$B98&amp;"*")</f>
        <v/>
      </c>
      <c r="G98" s="256">
        <f>IF($F98&gt;0,$E98,999999)</f>
        <v/>
      </c>
      <c r="H98" s="256">
        <f>IF($F98&gt;0,$E98,0)</f>
        <v/>
      </c>
    </row>
    <row r="99" ht="15" customHeight="1" s="131">
      <c r="A99" s="261" t="n">
        <v>48519</v>
      </c>
      <c r="B99" s="171" t="inlineStr">
        <is>
          <t>2032-11</t>
        </is>
      </c>
      <c r="C99" s="164" t="n">
        <v>2032</v>
      </c>
      <c r="D99" s="164" t="n">
        <v>11</v>
      </c>
      <c r="E99" s="164" t="n">
        <v>203211</v>
      </c>
      <c r="F99" s="164">
        <f>COUNTIFS(Tabela3[Período],$B99&amp;"*")+COUNTIFS(Tabela36[Período],$B99&amp;"*")+COUNTIFS(Tabela367[Período],$B99&amp;"*")</f>
        <v/>
      </c>
      <c r="G99" s="256">
        <f>IF($F99&gt;0,$E99,999999)</f>
        <v/>
      </c>
      <c r="H99" s="256">
        <f>IF($F99&gt;0,$E99,0)</f>
        <v/>
      </c>
    </row>
    <row r="100" ht="15" customHeight="1" s="131">
      <c r="A100" s="261" t="n">
        <v>48549</v>
      </c>
      <c r="B100" s="171" t="inlineStr">
        <is>
          <t>2032-12</t>
        </is>
      </c>
      <c r="C100" s="164" t="n">
        <v>2032</v>
      </c>
      <c r="D100" s="164" t="n">
        <v>12</v>
      </c>
      <c r="E100" s="164" t="n">
        <v>203212</v>
      </c>
      <c r="F100" s="164">
        <f>COUNTIFS(Tabela3[Período],$B100&amp;"*")+COUNTIFS(Tabela36[Período],$B100&amp;"*")+COUNTIFS(Tabela367[Período],$B100&amp;"*")</f>
        <v/>
      </c>
      <c r="G100" s="256">
        <f>IF($F100&gt;0,$E100,999999)</f>
        <v/>
      </c>
      <c r="H100" s="256">
        <f>IF($F100&gt;0,$E100,0)</f>
        <v/>
      </c>
    </row>
    <row r="101" ht="15" customHeight="1" s="131">
      <c r="A101" s="261" t="n">
        <v>48580</v>
      </c>
      <c r="B101" s="171" t="inlineStr">
        <is>
          <t>2033-01</t>
        </is>
      </c>
      <c r="C101" s="164" t="n">
        <v>2033</v>
      </c>
      <c r="D101" s="164" t="n">
        <v>1</v>
      </c>
      <c r="E101" s="164" t="n">
        <v>203301</v>
      </c>
      <c r="F101" s="164">
        <f>COUNTIFS(Tabela3[Período],$B101&amp;"*")+COUNTIFS(Tabela36[Período],$B101&amp;"*")+COUNTIFS(Tabela367[Período],$B101&amp;"*")</f>
        <v/>
      </c>
      <c r="G101" s="256">
        <f>IF($F101&gt;0,$E101,999999)</f>
        <v/>
      </c>
      <c r="H101" s="256">
        <f>IF($F101&gt;0,$E101,0)</f>
        <v/>
      </c>
    </row>
    <row r="102" ht="15" customHeight="1" s="131">
      <c r="A102" s="261" t="n">
        <v>48611</v>
      </c>
      <c r="B102" s="171" t="inlineStr">
        <is>
          <t>2033-02</t>
        </is>
      </c>
      <c r="C102" s="164" t="n">
        <v>2033</v>
      </c>
      <c r="D102" s="164" t="n">
        <v>2</v>
      </c>
      <c r="E102" s="164" t="n">
        <v>203302</v>
      </c>
      <c r="F102" s="164">
        <f>COUNTIFS(Tabela3[Período],$B102&amp;"*")+COUNTIFS(Tabela36[Período],$B102&amp;"*")+COUNTIFS(Tabela367[Período],$B102&amp;"*")</f>
        <v/>
      </c>
      <c r="G102" s="256">
        <f>IF($F102&gt;0,$E102,999999)</f>
        <v/>
      </c>
      <c r="H102" s="256">
        <f>IF($F102&gt;0,$E102,0)</f>
        <v/>
      </c>
    </row>
    <row r="103" ht="15" customHeight="1" s="131">
      <c r="A103" s="261" t="n">
        <v>48639</v>
      </c>
      <c r="B103" s="171" t="inlineStr">
        <is>
          <t>2033-03</t>
        </is>
      </c>
      <c r="C103" s="164" t="n">
        <v>2033</v>
      </c>
      <c r="D103" s="164" t="n">
        <v>3</v>
      </c>
      <c r="E103" s="164" t="n">
        <v>203303</v>
      </c>
      <c r="F103" s="164">
        <f>COUNTIFS(Tabela3[Período],$B103&amp;"*")+COUNTIFS(Tabela36[Período],$B103&amp;"*")+COUNTIFS(Tabela367[Período],$B103&amp;"*")</f>
        <v/>
      </c>
      <c r="G103" s="256">
        <f>IF($F103&gt;0,$E103,999999)</f>
        <v/>
      </c>
      <c r="H103" s="256">
        <f>IF($F103&gt;0,$E103,0)</f>
        <v/>
      </c>
    </row>
    <row r="104" ht="15" customHeight="1" s="131">
      <c r="A104" s="261" t="n">
        <v>48670</v>
      </c>
      <c r="B104" s="171" t="inlineStr">
        <is>
          <t>2033-04</t>
        </is>
      </c>
      <c r="C104" s="164" t="n">
        <v>2033</v>
      </c>
      <c r="D104" s="164" t="n">
        <v>4</v>
      </c>
      <c r="E104" s="164" t="n">
        <v>203304</v>
      </c>
      <c r="F104" s="164">
        <f>COUNTIFS(Tabela3[Período],$B104&amp;"*")+COUNTIFS(Tabela36[Período],$B104&amp;"*")+COUNTIFS(Tabela367[Período],$B104&amp;"*")</f>
        <v/>
      </c>
      <c r="G104" s="256">
        <f>IF($F104&gt;0,$E104,999999)</f>
        <v/>
      </c>
      <c r="H104" s="256">
        <f>IF($F104&gt;0,$E104,0)</f>
        <v/>
      </c>
    </row>
    <row r="105" ht="15" customHeight="1" s="131">
      <c r="A105" s="261" t="n">
        <v>48700</v>
      </c>
      <c r="B105" s="171" t="inlineStr">
        <is>
          <t>2033-05</t>
        </is>
      </c>
      <c r="C105" s="164" t="n">
        <v>2033</v>
      </c>
      <c r="D105" s="164" t="n">
        <v>5</v>
      </c>
      <c r="E105" s="164" t="n">
        <v>203305</v>
      </c>
      <c r="F105" s="164">
        <f>COUNTIFS(Tabela3[Período],$B105&amp;"*")+COUNTIFS(Tabela36[Período],$B105&amp;"*")+COUNTIFS(Tabela367[Período],$B105&amp;"*")</f>
        <v/>
      </c>
      <c r="G105" s="256">
        <f>IF($F105&gt;0,$E105,999999)</f>
        <v/>
      </c>
      <c r="H105" s="256">
        <f>IF($F105&gt;0,$E105,0)</f>
        <v/>
      </c>
    </row>
    <row r="106" ht="15" customHeight="1" s="131">
      <c r="A106" s="261" t="n">
        <v>48731</v>
      </c>
      <c r="B106" s="171" t="inlineStr">
        <is>
          <t>2033-06</t>
        </is>
      </c>
      <c r="C106" s="164" t="n">
        <v>2033</v>
      </c>
      <c r="D106" s="164" t="n">
        <v>6</v>
      </c>
      <c r="E106" s="164" t="n">
        <v>203306</v>
      </c>
      <c r="F106" s="164">
        <f>COUNTIFS(Tabela3[Período],$B106&amp;"*")+COUNTIFS(Tabela36[Período],$B106&amp;"*")+COUNTIFS(Tabela367[Período],$B106&amp;"*")</f>
        <v/>
      </c>
      <c r="G106" s="256">
        <f>IF($F106&gt;0,$E106,999999)</f>
        <v/>
      </c>
      <c r="H106" s="256">
        <f>IF($F106&gt;0,$E106,0)</f>
        <v/>
      </c>
    </row>
    <row r="107" ht="15" customHeight="1" s="131">
      <c r="A107" s="261" t="n">
        <v>48761</v>
      </c>
      <c r="B107" s="171" t="inlineStr">
        <is>
          <t>2033-07</t>
        </is>
      </c>
      <c r="C107" s="164" t="n">
        <v>2033</v>
      </c>
      <c r="D107" s="164" t="n">
        <v>7</v>
      </c>
      <c r="E107" s="164" t="n">
        <v>203307</v>
      </c>
      <c r="F107" s="164">
        <f>COUNTIFS(Tabela3[Período],$B107&amp;"*")+COUNTIFS(Tabela36[Período],$B107&amp;"*")+COUNTIFS(Tabela367[Período],$B107&amp;"*")</f>
        <v/>
      </c>
      <c r="G107" s="256">
        <f>IF($F107&gt;0,$E107,999999)</f>
        <v/>
      </c>
      <c r="H107" s="256">
        <f>IF($F107&gt;0,$E107,0)</f>
        <v/>
      </c>
    </row>
    <row r="108" ht="15" customHeight="1" s="131">
      <c r="A108" s="261" t="n">
        <v>48792</v>
      </c>
      <c r="B108" s="171" t="inlineStr">
        <is>
          <t>2033-08</t>
        </is>
      </c>
      <c r="C108" s="164" t="n">
        <v>2033</v>
      </c>
      <c r="D108" s="164" t="n">
        <v>8</v>
      </c>
      <c r="E108" s="164" t="n">
        <v>203308</v>
      </c>
      <c r="F108" s="164">
        <f>COUNTIFS(Tabela3[Período],$B108&amp;"*")+COUNTIFS(Tabela36[Período],$B108&amp;"*")+COUNTIFS(Tabela367[Período],$B108&amp;"*")</f>
        <v/>
      </c>
      <c r="G108" s="256">
        <f>IF($F108&gt;0,$E108,999999)</f>
        <v/>
      </c>
      <c r="H108" s="256">
        <f>IF($F108&gt;0,$E108,0)</f>
        <v/>
      </c>
    </row>
    <row r="109" ht="15" customHeight="1" s="131">
      <c r="A109" s="261" t="n">
        <v>48823</v>
      </c>
      <c r="B109" s="171" t="inlineStr">
        <is>
          <t>2033-09</t>
        </is>
      </c>
      <c r="C109" s="164" t="n">
        <v>2033</v>
      </c>
      <c r="D109" s="164" t="n">
        <v>9</v>
      </c>
      <c r="E109" s="164" t="n">
        <v>203309</v>
      </c>
      <c r="F109" s="164">
        <f>COUNTIFS(Tabela3[Período],$B109&amp;"*")+COUNTIFS(Tabela36[Período],$B109&amp;"*")+COUNTIFS(Tabela367[Período],$B109&amp;"*")</f>
        <v/>
      </c>
      <c r="G109" s="256">
        <f>IF($F109&gt;0,$E109,999999)</f>
        <v/>
      </c>
      <c r="H109" s="256">
        <f>IF($F109&gt;0,$E109,0)</f>
        <v/>
      </c>
    </row>
    <row r="110" ht="15" customHeight="1" s="131">
      <c r="A110" s="261" t="n">
        <v>48853</v>
      </c>
      <c r="B110" s="171" t="inlineStr">
        <is>
          <t>2033-10</t>
        </is>
      </c>
      <c r="C110" s="164" t="n">
        <v>2033</v>
      </c>
      <c r="D110" s="164" t="n">
        <v>10</v>
      </c>
      <c r="E110" s="164" t="n">
        <v>203310</v>
      </c>
      <c r="F110" s="164">
        <f>COUNTIFS(Tabela3[Período],$B110&amp;"*")+COUNTIFS(Tabela36[Período],$B110&amp;"*")+COUNTIFS(Tabela367[Período],$B110&amp;"*")</f>
        <v/>
      </c>
      <c r="G110" s="256">
        <f>IF($F110&gt;0,$E110,999999)</f>
        <v/>
      </c>
      <c r="H110" s="256">
        <f>IF($F110&gt;0,$E110,0)</f>
        <v/>
      </c>
    </row>
    <row r="111" ht="15" customHeight="1" s="131">
      <c r="A111" s="261" t="n">
        <v>48884</v>
      </c>
      <c r="B111" s="171" t="inlineStr">
        <is>
          <t>2033-11</t>
        </is>
      </c>
      <c r="C111" s="164" t="n">
        <v>2033</v>
      </c>
      <c r="D111" s="164" t="n">
        <v>11</v>
      </c>
      <c r="E111" s="164" t="n">
        <v>203311</v>
      </c>
      <c r="F111" s="164">
        <f>COUNTIFS(Tabela3[Período],$B111&amp;"*")+COUNTIFS(Tabela36[Período],$B111&amp;"*")+COUNTIFS(Tabela367[Período],$B111&amp;"*")</f>
        <v/>
      </c>
      <c r="G111" s="256">
        <f>IF($F111&gt;0,$E111,999999)</f>
        <v/>
      </c>
      <c r="H111" s="256">
        <f>IF($F111&gt;0,$E111,0)</f>
        <v/>
      </c>
    </row>
    <row r="112" ht="15" customHeight="1" s="131">
      <c r="A112" s="261" t="n">
        <v>48914</v>
      </c>
      <c r="B112" s="171" t="inlineStr">
        <is>
          <t>2033-12</t>
        </is>
      </c>
      <c r="C112" s="164" t="n">
        <v>2033</v>
      </c>
      <c r="D112" s="164" t="n">
        <v>12</v>
      </c>
      <c r="E112" s="164" t="n">
        <v>203312</v>
      </c>
      <c r="F112" s="164">
        <f>COUNTIFS(Tabela3[Período],$B112&amp;"*")+COUNTIFS(Tabela36[Período],$B112&amp;"*")+COUNTIFS(Tabela367[Período],$B112&amp;"*")</f>
        <v/>
      </c>
      <c r="G112" s="256">
        <f>IF($F112&gt;0,$E112,999999)</f>
        <v/>
      </c>
      <c r="H112" s="256">
        <f>IF($F112&gt;0,$E112,0)</f>
        <v/>
      </c>
    </row>
    <row r="113" ht="15" customHeight="1" s="131">
      <c r="A113" s="261" t="n">
        <v>48945</v>
      </c>
      <c r="B113" s="171" t="inlineStr">
        <is>
          <t>2034-01</t>
        </is>
      </c>
      <c r="C113" s="164" t="n">
        <v>2034</v>
      </c>
      <c r="D113" s="164" t="n">
        <v>1</v>
      </c>
      <c r="E113" s="164" t="n">
        <v>203401</v>
      </c>
      <c r="F113" s="164">
        <f>COUNTIFS(Tabela3[Período],$B113&amp;"*")+COUNTIFS(Tabela36[Período],$B113&amp;"*")+COUNTIFS(Tabela367[Período],$B113&amp;"*")</f>
        <v/>
      </c>
      <c r="G113" s="256">
        <f>IF($F113&gt;0,$E113,999999)</f>
        <v/>
      </c>
      <c r="H113" s="256">
        <f>IF($F113&gt;0,$E113,0)</f>
        <v/>
      </c>
    </row>
    <row r="114" ht="15" customHeight="1" s="131">
      <c r="A114" s="261" t="n">
        <v>48976</v>
      </c>
      <c r="B114" s="171" t="inlineStr">
        <is>
          <t>2034-02</t>
        </is>
      </c>
      <c r="C114" s="164" t="n">
        <v>2034</v>
      </c>
      <c r="D114" s="164" t="n">
        <v>2</v>
      </c>
      <c r="E114" s="164" t="n">
        <v>203402</v>
      </c>
      <c r="F114" s="164">
        <f>COUNTIFS(Tabela3[Período],$B114&amp;"*")+COUNTIFS(Tabela36[Período],$B114&amp;"*")+COUNTIFS(Tabela367[Período],$B114&amp;"*")</f>
        <v/>
      </c>
      <c r="G114" s="256">
        <f>IF($F114&gt;0,$E114,999999)</f>
        <v/>
      </c>
      <c r="H114" s="256">
        <f>IF($F114&gt;0,$E114,0)</f>
        <v/>
      </c>
    </row>
    <row r="115" ht="15" customHeight="1" s="131">
      <c r="A115" s="261" t="n">
        <v>49004</v>
      </c>
      <c r="B115" s="171" t="inlineStr">
        <is>
          <t>2034-03</t>
        </is>
      </c>
      <c r="C115" s="164" t="n">
        <v>2034</v>
      </c>
      <c r="D115" s="164" t="n">
        <v>3</v>
      </c>
      <c r="E115" s="164" t="n">
        <v>203403</v>
      </c>
      <c r="F115" s="164">
        <f>COUNTIFS(Tabela3[Período],$B115&amp;"*")+COUNTIFS(Tabela36[Período],$B115&amp;"*")+COUNTIFS(Tabela367[Período],$B115&amp;"*")</f>
        <v/>
      </c>
      <c r="G115" s="256">
        <f>IF($F115&gt;0,$E115,999999)</f>
        <v/>
      </c>
      <c r="H115" s="256">
        <f>IF($F115&gt;0,$E115,0)</f>
        <v/>
      </c>
    </row>
    <row r="116" ht="15" customHeight="1" s="131">
      <c r="A116" s="261" t="n">
        <v>49035</v>
      </c>
      <c r="B116" s="171" t="inlineStr">
        <is>
          <t>2034-04</t>
        </is>
      </c>
      <c r="C116" s="164" t="n">
        <v>2034</v>
      </c>
      <c r="D116" s="164" t="n">
        <v>4</v>
      </c>
      <c r="E116" s="164" t="n">
        <v>203404</v>
      </c>
      <c r="F116" s="164">
        <f>COUNTIFS(Tabela3[Período],$B116&amp;"*")+COUNTIFS(Tabela36[Período],$B116&amp;"*")+COUNTIFS(Tabela367[Período],$B116&amp;"*")</f>
        <v/>
      </c>
      <c r="G116" s="256">
        <f>IF($F116&gt;0,$E116,999999)</f>
        <v/>
      </c>
      <c r="H116" s="256">
        <f>IF($F116&gt;0,$E116,0)</f>
        <v/>
      </c>
    </row>
    <row r="117" ht="15" customHeight="1" s="131">
      <c r="A117" s="261" t="n">
        <v>49065</v>
      </c>
      <c r="B117" s="171" t="inlineStr">
        <is>
          <t>2034-05</t>
        </is>
      </c>
      <c r="C117" s="164" t="n">
        <v>2034</v>
      </c>
      <c r="D117" s="164" t="n">
        <v>5</v>
      </c>
      <c r="E117" s="164" t="n">
        <v>203405</v>
      </c>
      <c r="F117" s="164">
        <f>COUNTIFS(Tabela3[Período],$B117&amp;"*")+COUNTIFS(Tabela36[Período],$B117&amp;"*")+COUNTIFS(Tabela367[Período],$B117&amp;"*")</f>
        <v/>
      </c>
      <c r="G117" s="256">
        <f>IF($F117&gt;0,$E117,999999)</f>
        <v/>
      </c>
      <c r="H117" s="256">
        <f>IF($F117&gt;0,$E117,0)</f>
        <v/>
      </c>
    </row>
    <row r="118" ht="15" customHeight="1" s="131">
      <c r="A118" s="261" t="n">
        <v>49096</v>
      </c>
      <c r="B118" s="171" t="inlineStr">
        <is>
          <t>2034-06</t>
        </is>
      </c>
      <c r="C118" s="164" t="n">
        <v>2034</v>
      </c>
      <c r="D118" s="164" t="n">
        <v>6</v>
      </c>
      <c r="E118" s="164" t="n">
        <v>203406</v>
      </c>
      <c r="F118" s="164">
        <f>COUNTIFS(Tabela3[Período],$B118&amp;"*")+COUNTIFS(Tabela36[Período],$B118&amp;"*")+COUNTIFS(Tabela367[Período],$B118&amp;"*")</f>
        <v/>
      </c>
      <c r="G118" s="256">
        <f>IF($F118&gt;0,$E118,999999)</f>
        <v/>
      </c>
      <c r="H118" s="256">
        <f>IF($F118&gt;0,$E118,0)</f>
        <v/>
      </c>
    </row>
    <row r="119" ht="15" customHeight="1" s="131">
      <c r="A119" s="261" t="n">
        <v>49126</v>
      </c>
      <c r="B119" s="171" t="inlineStr">
        <is>
          <t>2034-07</t>
        </is>
      </c>
      <c r="C119" s="164" t="n">
        <v>2034</v>
      </c>
      <c r="D119" s="164" t="n">
        <v>7</v>
      </c>
      <c r="E119" s="164" t="n">
        <v>203407</v>
      </c>
      <c r="F119" s="164">
        <f>COUNTIFS(Tabela3[Período],$B119&amp;"*")+COUNTIFS(Tabela36[Período],$B119&amp;"*")+COUNTIFS(Tabela367[Período],$B119&amp;"*")</f>
        <v/>
      </c>
      <c r="G119" s="256">
        <f>IF($F119&gt;0,$E119,999999)</f>
        <v/>
      </c>
      <c r="H119" s="256">
        <f>IF($F119&gt;0,$E119,0)</f>
        <v/>
      </c>
    </row>
    <row r="120" ht="15" customHeight="1" s="131">
      <c r="A120" s="261" t="n">
        <v>49157</v>
      </c>
      <c r="B120" s="171" t="inlineStr">
        <is>
          <t>2034-08</t>
        </is>
      </c>
      <c r="C120" s="164" t="n">
        <v>2034</v>
      </c>
      <c r="D120" s="164" t="n">
        <v>8</v>
      </c>
      <c r="E120" s="164" t="n">
        <v>203408</v>
      </c>
      <c r="F120" s="164">
        <f>COUNTIFS(Tabela3[Período],$B120&amp;"*")+COUNTIFS(Tabela36[Período],$B120&amp;"*")+COUNTIFS(Tabela367[Período],$B120&amp;"*")</f>
        <v/>
      </c>
      <c r="G120" s="256">
        <f>IF($F120&gt;0,$E120,999999)</f>
        <v/>
      </c>
      <c r="H120" s="256">
        <f>IF($F120&gt;0,$E120,0)</f>
        <v/>
      </c>
    </row>
    <row r="121" ht="15" customHeight="1" s="131">
      <c r="A121" s="261" t="n">
        <v>49188</v>
      </c>
      <c r="B121" s="171" t="inlineStr">
        <is>
          <t>2034-09</t>
        </is>
      </c>
      <c r="C121" s="164" t="n">
        <v>2034</v>
      </c>
      <c r="D121" s="164" t="n">
        <v>9</v>
      </c>
      <c r="E121" s="164" t="n">
        <v>203409</v>
      </c>
      <c r="F121" s="164">
        <f>COUNTIFS(Tabela3[Período],$B121&amp;"*")+COUNTIFS(Tabela36[Período],$B121&amp;"*")+COUNTIFS(Tabela367[Período],$B121&amp;"*")</f>
        <v/>
      </c>
      <c r="G121" s="256">
        <f>IF($F121&gt;0,$E121,999999)</f>
        <v/>
      </c>
      <c r="H121" s="256">
        <f>IF($F121&gt;0,$E121,0)</f>
        <v/>
      </c>
    </row>
    <row r="122" ht="15" customHeight="1" s="131">
      <c r="A122" s="261" t="n">
        <v>49218</v>
      </c>
      <c r="B122" s="171" t="inlineStr">
        <is>
          <t>2034-10</t>
        </is>
      </c>
      <c r="C122" s="164" t="n">
        <v>2034</v>
      </c>
      <c r="D122" s="164" t="n">
        <v>10</v>
      </c>
      <c r="E122" s="164" t="n">
        <v>203410</v>
      </c>
      <c r="F122" s="164">
        <f>COUNTIFS(Tabela3[Período],$B122&amp;"*")+COUNTIFS(Tabela36[Período],$B122&amp;"*")+COUNTIFS(Tabela367[Período],$B122&amp;"*")</f>
        <v/>
      </c>
      <c r="G122" s="256">
        <f>IF($F122&gt;0,$E122,999999)</f>
        <v/>
      </c>
      <c r="H122" s="256">
        <f>IF($F122&gt;0,$E122,0)</f>
        <v/>
      </c>
    </row>
    <row r="123" ht="15" customHeight="1" s="131">
      <c r="A123" s="261" t="n">
        <v>49249</v>
      </c>
      <c r="B123" s="171" t="inlineStr">
        <is>
          <t>2034-11</t>
        </is>
      </c>
      <c r="C123" s="164" t="n">
        <v>2034</v>
      </c>
      <c r="D123" s="164" t="n">
        <v>11</v>
      </c>
      <c r="E123" s="164" t="n">
        <v>203411</v>
      </c>
      <c r="F123" s="164">
        <f>COUNTIFS(Tabela3[Período],$B123&amp;"*")+COUNTIFS(Tabela36[Período],$B123&amp;"*")+COUNTIFS(Tabela367[Período],$B123&amp;"*")</f>
        <v/>
      </c>
      <c r="G123" s="256">
        <f>IF($F123&gt;0,$E123,999999)</f>
        <v/>
      </c>
      <c r="H123" s="256">
        <f>IF($F123&gt;0,$E123,0)</f>
        <v/>
      </c>
    </row>
    <row r="124" ht="15" customHeight="1" s="131">
      <c r="A124" s="261" t="n">
        <v>49279</v>
      </c>
      <c r="B124" s="171" t="inlineStr">
        <is>
          <t>2034-12</t>
        </is>
      </c>
      <c r="C124" s="164" t="n">
        <v>2034</v>
      </c>
      <c r="D124" s="164" t="n">
        <v>12</v>
      </c>
      <c r="E124" s="164" t="n">
        <v>203412</v>
      </c>
      <c r="F124" s="164">
        <f>COUNTIFS(Tabela3[Período],$B124&amp;"*")+COUNTIFS(Tabela36[Período],$B124&amp;"*")+COUNTIFS(Tabela367[Período],$B124&amp;"*")</f>
        <v/>
      </c>
      <c r="G124" s="256">
        <f>IF($F124&gt;0,$E124,999999)</f>
        <v/>
      </c>
      <c r="H124" s="256">
        <f>IF($F124&gt;0,$E124,0)</f>
        <v/>
      </c>
    </row>
    <row r="125" ht="15" customHeight="1" s="131">
      <c r="A125" s="261" t="n">
        <v>49310</v>
      </c>
      <c r="B125" s="171" t="inlineStr">
        <is>
          <t>2035-01</t>
        </is>
      </c>
      <c r="C125" s="164" t="n">
        <v>2035</v>
      </c>
      <c r="D125" s="164" t="n">
        <v>1</v>
      </c>
      <c r="E125" s="164" t="n">
        <v>203501</v>
      </c>
      <c r="F125" s="164">
        <f>COUNTIFS(Tabela3[Período],$B125&amp;"*")+COUNTIFS(Tabela36[Período],$B125&amp;"*")+COUNTIFS(Tabela367[Período],$B125&amp;"*")</f>
        <v/>
      </c>
      <c r="G125" s="256">
        <f>IF($F125&gt;0,$E125,999999)</f>
        <v/>
      </c>
      <c r="H125" s="256">
        <f>IF($F125&gt;0,$E125,0)</f>
        <v/>
      </c>
    </row>
    <row r="126" ht="15" customHeight="1" s="131">
      <c r="A126" s="261" t="n">
        <v>49341</v>
      </c>
      <c r="B126" s="171" t="inlineStr">
        <is>
          <t>2035-02</t>
        </is>
      </c>
      <c r="C126" s="164" t="n">
        <v>2035</v>
      </c>
      <c r="D126" s="164" t="n">
        <v>2</v>
      </c>
      <c r="E126" s="164" t="n">
        <v>203502</v>
      </c>
      <c r="F126" s="164">
        <f>COUNTIFS(Tabela3[Período],$B126&amp;"*")+COUNTIFS(Tabela36[Período],$B126&amp;"*")+COUNTIFS(Tabela367[Período],$B126&amp;"*")</f>
        <v/>
      </c>
      <c r="G126" s="256">
        <f>IF($F126&gt;0,$E126,999999)</f>
        <v/>
      </c>
      <c r="H126" s="256">
        <f>IF($F126&gt;0,$E126,0)</f>
        <v/>
      </c>
    </row>
    <row r="127" ht="15" customHeight="1" s="131">
      <c r="A127" s="261" t="n">
        <v>49369</v>
      </c>
      <c r="B127" s="171" t="inlineStr">
        <is>
          <t>2035-03</t>
        </is>
      </c>
      <c r="C127" s="164" t="n">
        <v>2035</v>
      </c>
      <c r="D127" s="164" t="n">
        <v>3</v>
      </c>
      <c r="E127" s="164" t="n">
        <v>203503</v>
      </c>
      <c r="F127" s="164">
        <f>COUNTIFS(Tabela3[Período],$B127&amp;"*")+COUNTIFS(Tabela36[Período],$B127&amp;"*")+COUNTIFS(Tabela367[Período],$B127&amp;"*")</f>
        <v/>
      </c>
      <c r="G127" s="256">
        <f>IF($F127&gt;0,$E127,999999)</f>
        <v/>
      </c>
      <c r="H127" s="256">
        <f>IF($F127&gt;0,$E127,0)</f>
        <v/>
      </c>
    </row>
    <row r="128" ht="15" customHeight="1" s="131">
      <c r="A128" s="261" t="n">
        <v>49400</v>
      </c>
      <c r="B128" s="171" t="inlineStr">
        <is>
          <t>2035-04</t>
        </is>
      </c>
      <c r="C128" s="164" t="n">
        <v>2035</v>
      </c>
      <c r="D128" s="164" t="n">
        <v>4</v>
      </c>
      <c r="E128" s="164" t="n">
        <v>203504</v>
      </c>
      <c r="F128" s="164">
        <f>COUNTIFS(Tabela3[Período],$B128&amp;"*")+COUNTIFS(Tabela36[Período],$B128&amp;"*")+COUNTIFS(Tabela367[Período],$B128&amp;"*")</f>
        <v/>
      </c>
      <c r="G128" s="256">
        <f>IF($F128&gt;0,$E128,999999)</f>
        <v/>
      </c>
      <c r="H128" s="256">
        <f>IF($F128&gt;0,$E128,0)</f>
        <v/>
      </c>
    </row>
    <row r="129" ht="15" customHeight="1" s="131">
      <c r="A129" s="261" t="n">
        <v>49430</v>
      </c>
      <c r="B129" s="171" t="inlineStr">
        <is>
          <t>2035-05</t>
        </is>
      </c>
      <c r="C129" s="164" t="n">
        <v>2035</v>
      </c>
      <c r="D129" s="164" t="n">
        <v>5</v>
      </c>
      <c r="E129" s="164" t="n">
        <v>203505</v>
      </c>
      <c r="F129" s="164">
        <f>COUNTIFS(Tabela3[Período],$B129&amp;"*")+COUNTIFS(Tabela36[Período],$B129&amp;"*")+COUNTIFS(Tabela367[Período],$B129&amp;"*")</f>
        <v/>
      </c>
      <c r="G129" s="256">
        <f>IF($F129&gt;0,$E129,999999)</f>
        <v/>
      </c>
      <c r="H129" s="256">
        <f>IF($F129&gt;0,$E129,0)</f>
        <v/>
      </c>
    </row>
    <row r="130" ht="15" customHeight="1" s="131">
      <c r="A130" s="261" t="n">
        <v>49461</v>
      </c>
      <c r="B130" s="171" t="inlineStr">
        <is>
          <t>2035-06</t>
        </is>
      </c>
      <c r="C130" s="164" t="n">
        <v>2035</v>
      </c>
      <c r="D130" s="164" t="n">
        <v>6</v>
      </c>
      <c r="E130" s="164" t="n">
        <v>203506</v>
      </c>
      <c r="F130" s="164">
        <f>COUNTIFS(Tabela3[Período],$B130&amp;"*")+COUNTIFS(Tabela36[Período],$B130&amp;"*")+COUNTIFS(Tabela367[Período],$B130&amp;"*")</f>
        <v/>
      </c>
      <c r="G130" s="256">
        <f>IF($F130&gt;0,$E130,999999)</f>
        <v/>
      </c>
      <c r="H130" s="256">
        <f>IF($F130&gt;0,$E130,0)</f>
        <v/>
      </c>
    </row>
    <row r="131" ht="15" customHeight="1" s="131">
      <c r="A131" s="261" t="n">
        <v>49491</v>
      </c>
      <c r="B131" s="171" t="inlineStr">
        <is>
          <t>2035-07</t>
        </is>
      </c>
      <c r="C131" s="164" t="n">
        <v>2035</v>
      </c>
      <c r="D131" s="164" t="n">
        <v>7</v>
      </c>
      <c r="E131" s="164" t="n">
        <v>203507</v>
      </c>
      <c r="F131" s="164">
        <f>COUNTIFS(Tabela3[Período],$B131&amp;"*")+COUNTIFS(Tabela36[Período],$B131&amp;"*")+COUNTIFS(Tabela367[Período],$B131&amp;"*")</f>
        <v/>
      </c>
      <c r="G131" s="256">
        <f>IF($F131&gt;0,$E131,999999)</f>
        <v/>
      </c>
      <c r="H131" s="256">
        <f>IF($F131&gt;0,$E131,0)</f>
        <v/>
      </c>
    </row>
    <row r="132" ht="15" customHeight="1" s="131">
      <c r="A132" s="261" t="n">
        <v>49522</v>
      </c>
      <c r="B132" s="171" t="inlineStr">
        <is>
          <t>2035-08</t>
        </is>
      </c>
      <c r="C132" s="164" t="n">
        <v>2035</v>
      </c>
      <c r="D132" s="164" t="n">
        <v>8</v>
      </c>
      <c r="E132" s="164" t="n">
        <v>203508</v>
      </c>
      <c r="F132" s="164">
        <f>COUNTIFS(Tabela3[Período],$B132&amp;"*")+COUNTIFS(Tabela36[Período],$B132&amp;"*")+COUNTIFS(Tabela367[Período],$B132&amp;"*")</f>
        <v/>
      </c>
      <c r="G132" s="256">
        <f>IF($F132&gt;0,$E132,999999)</f>
        <v/>
      </c>
      <c r="H132" s="256">
        <f>IF($F132&gt;0,$E132,0)</f>
        <v/>
      </c>
    </row>
    <row r="133" ht="15" customHeight="1" s="131">
      <c r="A133" s="261" t="n">
        <v>49553</v>
      </c>
      <c r="B133" s="171" t="inlineStr">
        <is>
          <t>2035-09</t>
        </is>
      </c>
      <c r="C133" s="164" t="n">
        <v>2035</v>
      </c>
      <c r="D133" s="164" t="n">
        <v>9</v>
      </c>
      <c r="E133" s="164" t="n">
        <v>203509</v>
      </c>
      <c r="F133" s="164">
        <f>COUNTIFS(Tabela3[Período],$B133&amp;"*")+COUNTIFS(Tabela36[Período],$B133&amp;"*")+COUNTIFS(Tabela367[Período],$B133&amp;"*")</f>
        <v/>
      </c>
      <c r="G133" s="256">
        <f>IF($F133&gt;0,$E133,999999)</f>
        <v/>
      </c>
      <c r="H133" s="256">
        <f>IF($F133&gt;0,$E133,0)</f>
        <v/>
      </c>
    </row>
    <row r="134" ht="15" customHeight="1" s="131">
      <c r="A134" s="261" t="n">
        <v>49583</v>
      </c>
      <c r="B134" s="171" t="inlineStr">
        <is>
          <t>2035-10</t>
        </is>
      </c>
      <c r="C134" s="164" t="n">
        <v>2035</v>
      </c>
      <c r="D134" s="164" t="n">
        <v>10</v>
      </c>
      <c r="E134" s="164" t="n">
        <v>203510</v>
      </c>
      <c r="F134" s="164">
        <f>COUNTIFS(Tabela3[Período],$B134&amp;"*")+COUNTIFS(Tabela36[Período],$B134&amp;"*")+COUNTIFS(Tabela367[Período],$B134&amp;"*")</f>
        <v/>
      </c>
      <c r="G134" s="256">
        <f>IF($F134&gt;0,$E134,999999)</f>
        <v/>
      </c>
      <c r="H134" s="256">
        <f>IF($F134&gt;0,$E134,0)</f>
        <v/>
      </c>
    </row>
    <row r="135" ht="15" customHeight="1" s="131">
      <c r="A135" s="261" t="n">
        <v>49614</v>
      </c>
      <c r="B135" s="171" t="inlineStr">
        <is>
          <t>2035-11</t>
        </is>
      </c>
      <c r="C135" s="164" t="n">
        <v>2035</v>
      </c>
      <c r="D135" s="164" t="n">
        <v>11</v>
      </c>
      <c r="E135" s="164" t="n">
        <v>203511</v>
      </c>
      <c r="F135" s="164">
        <f>COUNTIFS(Tabela3[Período],$B135&amp;"*")+COUNTIFS(Tabela36[Período],$B135&amp;"*")+COUNTIFS(Tabela367[Período],$B135&amp;"*")</f>
        <v/>
      </c>
      <c r="G135" s="256">
        <f>IF($F135&gt;0,$E135,999999)</f>
        <v/>
      </c>
      <c r="H135" s="256">
        <f>IF($F135&gt;0,$E135,0)</f>
        <v/>
      </c>
    </row>
    <row r="136" ht="15" customHeight="1" s="131">
      <c r="A136" s="261" t="n">
        <v>49644</v>
      </c>
      <c r="B136" s="171" t="inlineStr">
        <is>
          <t>2035-12</t>
        </is>
      </c>
      <c r="C136" s="164" t="n">
        <v>2035</v>
      </c>
      <c r="D136" s="164" t="n">
        <v>12</v>
      </c>
      <c r="E136" s="164" t="n">
        <v>203512</v>
      </c>
      <c r="F136" s="164">
        <f>COUNTIFS(Tabela3[Período],$B136&amp;"*")+COUNTIFS(Tabela36[Período],$B136&amp;"*")+COUNTIFS(Tabela367[Período],$B136&amp;"*")</f>
        <v/>
      </c>
      <c r="G136" s="256">
        <f>IF($F136&gt;0,$E136,999999)</f>
        <v/>
      </c>
      <c r="H136" s="256">
        <f>IF($F136&gt;0,$E136,0)</f>
        <v/>
      </c>
    </row>
    <row r="137" ht="15" customHeight="1" s="131">
      <c r="A137" s="261" t="n">
        <v>49675</v>
      </c>
      <c r="B137" s="171" t="inlineStr">
        <is>
          <t>2036-01</t>
        </is>
      </c>
      <c r="C137" s="164" t="n">
        <v>2036</v>
      </c>
      <c r="D137" s="164" t="n">
        <v>1</v>
      </c>
      <c r="E137" s="164" t="n">
        <v>203601</v>
      </c>
      <c r="F137" s="164">
        <f>COUNTIFS(Tabela3[Período],$B137&amp;"*")+COUNTIFS(Tabela36[Período],$B137&amp;"*")+COUNTIFS(Tabela367[Período],$B137&amp;"*")</f>
        <v/>
      </c>
      <c r="G137" s="256">
        <f>IF($F137&gt;0,$E137,999999)</f>
        <v/>
      </c>
      <c r="H137" s="256">
        <f>IF($F137&gt;0,$E137,0)</f>
        <v/>
      </c>
    </row>
    <row r="138" ht="15" customHeight="1" s="131">
      <c r="A138" s="261" t="n">
        <v>49706</v>
      </c>
      <c r="B138" s="171" t="inlineStr">
        <is>
          <t>2036-02</t>
        </is>
      </c>
      <c r="C138" s="164" t="n">
        <v>2036</v>
      </c>
      <c r="D138" s="164" t="n">
        <v>2</v>
      </c>
      <c r="E138" s="164" t="n">
        <v>203602</v>
      </c>
      <c r="F138" s="164">
        <f>COUNTIFS(Tabela3[Período],$B138&amp;"*")+COUNTIFS(Tabela36[Período],$B138&amp;"*")+COUNTIFS(Tabela367[Período],$B138&amp;"*")</f>
        <v/>
      </c>
      <c r="G138" s="256">
        <f>IF($F138&gt;0,$E138,999999)</f>
        <v/>
      </c>
      <c r="H138" s="256">
        <f>IF($F138&gt;0,$E138,0)</f>
        <v/>
      </c>
    </row>
    <row r="139" ht="15" customHeight="1" s="131">
      <c r="A139" s="261" t="n">
        <v>49735</v>
      </c>
      <c r="B139" s="171" t="inlineStr">
        <is>
          <t>2036-03</t>
        </is>
      </c>
      <c r="C139" s="164" t="n">
        <v>2036</v>
      </c>
      <c r="D139" s="164" t="n">
        <v>3</v>
      </c>
      <c r="E139" s="164" t="n">
        <v>203603</v>
      </c>
      <c r="F139" s="164">
        <f>COUNTIFS(Tabela3[Período],$B139&amp;"*")+COUNTIFS(Tabela36[Período],$B139&amp;"*")+COUNTIFS(Tabela367[Período],$B139&amp;"*")</f>
        <v/>
      </c>
      <c r="G139" s="256">
        <f>IF($F139&gt;0,$E139,999999)</f>
        <v/>
      </c>
      <c r="H139" s="256">
        <f>IF($F139&gt;0,$E139,0)</f>
        <v/>
      </c>
    </row>
    <row r="140" ht="15" customHeight="1" s="131">
      <c r="A140" s="261" t="n">
        <v>49766</v>
      </c>
      <c r="B140" s="171" t="inlineStr">
        <is>
          <t>2036-04</t>
        </is>
      </c>
      <c r="C140" s="164" t="n">
        <v>2036</v>
      </c>
      <c r="D140" s="164" t="n">
        <v>4</v>
      </c>
      <c r="E140" s="164" t="n">
        <v>203604</v>
      </c>
      <c r="F140" s="164">
        <f>COUNTIFS(Tabela3[Período],$B140&amp;"*")+COUNTIFS(Tabela36[Período],$B140&amp;"*")+COUNTIFS(Tabela367[Período],$B140&amp;"*")</f>
        <v/>
      </c>
      <c r="G140" s="256">
        <f>IF($F140&gt;0,$E140,999999)</f>
        <v/>
      </c>
      <c r="H140" s="256">
        <f>IF($F140&gt;0,$E140,0)</f>
        <v/>
      </c>
    </row>
    <row r="141" ht="15" customHeight="1" s="131">
      <c r="A141" s="261" t="n">
        <v>49796</v>
      </c>
      <c r="B141" s="171" t="inlineStr">
        <is>
          <t>2036-05</t>
        </is>
      </c>
      <c r="C141" s="164" t="n">
        <v>2036</v>
      </c>
      <c r="D141" s="164" t="n">
        <v>5</v>
      </c>
      <c r="E141" s="164" t="n">
        <v>203605</v>
      </c>
      <c r="F141" s="164">
        <f>COUNTIFS(Tabela3[Período],$B141&amp;"*")+COUNTIFS(Tabela36[Período],$B141&amp;"*")+COUNTIFS(Tabela367[Período],$B141&amp;"*")</f>
        <v/>
      </c>
      <c r="G141" s="256">
        <f>IF($F141&gt;0,$E141,999999)</f>
        <v/>
      </c>
      <c r="H141" s="256">
        <f>IF($F141&gt;0,$E141,0)</f>
        <v/>
      </c>
    </row>
    <row r="142" ht="15" customHeight="1" s="131">
      <c r="A142" s="261" t="n">
        <v>49827</v>
      </c>
      <c r="B142" s="171" t="inlineStr">
        <is>
          <t>2036-06</t>
        </is>
      </c>
      <c r="C142" s="164" t="n">
        <v>2036</v>
      </c>
      <c r="D142" s="164" t="n">
        <v>6</v>
      </c>
      <c r="E142" s="164" t="n">
        <v>203606</v>
      </c>
      <c r="F142" s="164">
        <f>COUNTIFS(Tabela3[Período],$B142&amp;"*")+COUNTIFS(Tabela36[Período],$B142&amp;"*")+COUNTIFS(Tabela367[Período],$B142&amp;"*")</f>
        <v/>
      </c>
      <c r="G142" s="256">
        <f>IF($F142&gt;0,$E142,999999)</f>
        <v/>
      </c>
      <c r="H142" s="256">
        <f>IF($F142&gt;0,$E142,0)</f>
        <v/>
      </c>
    </row>
    <row r="143" ht="15" customHeight="1" s="131">
      <c r="A143" s="261" t="n">
        <v>49857</v>
      </c>
      <c r="B143" s="171" t="inlineStr">
        <is>
          <t>2036-07</t>
        </is>
      </c>
      <c r="C143" s="164" t="n">
        <v>2036</v>
      </c>
      <c r="D143" s="164" t="n">
        <v>7</v>
      </c>
      <c r="E143" s="164" t="n">
        <v>203607</v>
      </c>
      <c r="F143" s="164">
        <f>COUNTIFS(Tabela3[Período],$B143&amp;"*")+COUNTIFS(Tabela36[Período],$B143&amp;"*")+COUNTIFS(Tabela367[Período],$B143&amp;"*")</f>
        <v/>
      </c>
      <c r="G143" s="256">
        <f>IF($F143&gt;0,$E143,999999)</f>
        <v/>
      </c>
      <c r="H143" s="256">
        <f>IF($F143&gt;0,$E143,0)</f>
        <v/>
      </c>
    </row>
    <row r="144" ht="15" customHeight="1" s="131">
      <c r="A144" s="261" t="n">
        <v>49888</v>
      </c>
      <c r="B144" s="171" t="inlineStr">
        <is>
          <t>2036-08</t>
        </is>
      </c>
      <c r="C144" s="164" t="n">
        <v>2036</v>
      </c>
      <c r="D144" s="164" t="n">
        <v>8</v>
      </c>
      <c r="E144" s="164" t="n">
        <v>203608</v>
      </c>
      <c r="F144" s="164">
        <f>COUNTIFS(Tabela3[Período],$B144&amp;"*")+COUNTIFS(Tabela36[Período],$B144&amp;"*")+COUNTIFS(Tabela367[Período],$B144&amp;"*")</f>
        <v/>
      </c>
      <c r="G144" s="256">
        <f>IF($F144&gt;0,$E144,999999)</f>
        <v/>
      </c>
      <c r="H144" s="256">
        <f>IF($F144&gt;0,$E144,0)</f>
        <v/>
      </c>
    </row>
    <row r="145" ht="15" customHeight="1" s="131">
      <c r="A145" s="261" t="n">
        <v>49919</v>
      </c>
      <c r="B145" s="171" t="inlineStr">
        <is>
          <t>2036-09</t>
        </is>
      </c>
      <c r="C145" s="164" t="n">
        <v>2036</v>
      </c>
      <c r="D145" s="164" t="n">
        <v>9</v>
      </c>
      <c r="E145" s="164" t="n">
        <v>203609</v>
      </c>
      <c r="F145" s="164">
        <f>COUNTIFS(Tabela3[Período],$B145&amp;"*")+COUNTIFS(Tabela36[Período],$B145&amp;"*")+COUNTIFS(Tabela367[Período],$B145&amp;"*")</f>
        <v/>
      </c>
      <c r="G145" s="256">
        <f>IF($F145&gt;0,$E145,999999)</f>
        <v/>
      </c>
      <c r="H145" s="256">
        <f>IF($F145&gt;0,$E145,0)</f>
        <v/>
      </c>
    </row>
    <row r="146" ht="15" customHeight="1" s="131">
      <c r="A146" s="261" t="n">
        <v>49949</v>
      </c>
      <c r="B146" s="171" t="inlineStr">
        <is>
          <t>2036-10</t>
        </is>
      </c>
      <c r="C146" s="164" t="n">
        <v>2036</v>
      </c>
      <c r="D146" s="164" t="n">
        <v>10</v>
      </c>
      <c r="E146" s="164" t="n">
        <v>203610</v>
      </c>
      <c r="F146" s="164">
        <f>COUNTIFS(Tabela3[Período],$B146&amp;"*")+COUNTIFS(Tabela36[Período],$B146&amp;"*")+COUNTIFS(Tabela367[Período],$B146&amp;"*")</f>
        <v/>
      </c>
      <c r="G146" s="256">
        <f>IF($F146&gt;0,$E146,999999)</f>
        <v/>
      </c>
      <c r="H146" s="256">
        <f>IF($F146&gt;0,$E146,0)</f>
        <v/>
      </c>
    </row>
    <row r="147" ht="15" customHeight="1" s="131">
      <c r="A147" s="261" t="n">
        <v>49980</v>
      </c>
      <c r="B147" s="171" t="inlineStr">
        <is>
          <t>2036-11</t>
        </is>
      </c>
      <c r="C147" s="164" t="n">
        <v>2036</v>
      </c>
      <c r="D147" s="164" t="n">
        <v>11</v>
      </c>
      <c r="E147" s="164" t="n">
        <v>203611</v>
      </c>
      <c r="F147" s="164">
        <f>COUNTIFS(Tabela3[Período],$B147&amp;"*")+COUNTIFS(Tabela36[Período],$B147&amp;"*")+COUNTIFS(Tabela367[Período],$B147&amp;"*")</f>
        <v/>
      </c>
      <c r="G147" s="256">
        <f>IF($F147&gt;0,$E147,999999)</f>
        <v/>
      </c>
      <c r="H147" s="256">
        <f>IF($F147&gt;0,$E147,0)</f>
        <v/>
      </c>
    </row>
    <row r="148" ht="15" customHeight="1" s="131">
      <c r="A148" s="261" t="n">
        <v>50010</v>
      </c>
      <c r="B148" s="171" t="inlineStr">
        <is>
          <t>2036-12</t>
        </is>
      </c>
      <c r="C148" s="164" t="n">
        <v>2036</v>
      </c>
      <c r="D148" s="164" t="n">
        <v>12</v>
      </c>
      <c r="E148" s="164" t="n">
        <v>203612</v>
      </c>
      <c r="F148" s="164">
        <f>COUNTIFS(Tabela3[Período],$B148&amp;"*")+COUNTIFS(Tabela36[Período],$B148&amp;"*")+COUNTIFS(Tabela367[Período],$B148&amp;"*")</f>
        <v/>
      </c>
      <c r="G148" s="256">
        <f>IF($F148&gt;0,$E148,999999)</f>
        <v/>
      </c>
      <c r="H148" s="256">
        <f>IF($F148&gt;0,$E148,0)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2026-08-06T20:09:51Z</dcterms:created>
  <dcterms:modified xsi:type="dcterms:W3CDTF">2026-08-10T20:40:58Z</dcterms:modified>
  <cp:revision>1</cp:revision>
</cp:coreProperties>
</file>