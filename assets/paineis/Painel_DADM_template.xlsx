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PAINEL" sheetId="3" state="visible" r:id="rId3"/>
    <sheet xmlns:r="http://schemas.openxmlformats.org/officeDocument/2006/relationships" name="QUALIDADE E GOVERNANÇA" sheetId="4" state="visible" r:id="rId4"/>
    <sheet xmlns:r="http://schemas.openxmlformats.org/officeDocument/2006/relationships" name="MATRIZ" sheetId="5" state="visible" r:id="rId5"/>
    <sheet xmlns:r="http://schemas.openxmlformats.org/officeDocument/2006/relationships" name="PLANO_DE_ACAO" sheetId="6" state="visible" r:id="rId6"/>
    <sheet xmlns:r="http://schemas.openxmlformats.org/officeDocument/2006/relationships" name="DADM-01 EVASAO" sheetId="7" state="visible" r:id="rId7"/>
    <sheet xmlns:r="http://schemas.openxmlformats.org/officeDocument/2006/relationships" name="DADM-09 CUSTOS" sheetId="8" state="visible" r:id="rId8"/>
    <sheet xmlns:r="http://schemas.openxmlformats.org/officeDocument/2006/relationships" name="DADM-09 ALUNOS" sheetId="9" state="visible" r:id="rId9"/>
    <sheet xmlns:r="http://schemas.openxmlformats.org/officeDocument/2006/relationships" name="DADM-10 INFRA" sheetId="10" state="visible" r:id="rId10"/>
    <sheet xmlns:r="http://schemas.openxmlformats.org/officeDocument/2006/relationships" name="METAS" sheetId="11" state="visible" r:id="rId11"/>
    <sheet xmlns:r="http://schemas.openxmlformats.org/officeDocument/2006/relationships" name="CURSOS" sheetId="12" state="visible" r:id="rId12"/>
    <sheet xmlns:r="http://schemas.openxmlformats.org/officeDocument/2006/relationships" name="INDICADORES" sheetId="13" state="visible" r:id="rId13"/>
    <sheet xmlns:r="http://schemas.openxmlformats.org/officeDocument/2006/relationships" name="CALC" sheetId="14" state="visible" r:id="rId14"/>
    <sheet xmlns:r="http://schemas.openxmlformats.org/officeDocument/2006/relationships" name="LISTAS DE APOIO" sheetId="15" state="visible" r:id="rId15"/>
    <sheet xmlns:r="http://schemas.openxmlformats.org/officeDocument/2006/relationships" name="DIM_PERIODO" sheetId="16" state="visible" r:id="rId16"/>
    <sheet xmlns:r="http://schemas.openxmlformats.org/officeDocument/2006/relationships" name="DIM_MES" sheetId="17" state="visible" r:id="rId17"/>
  </sheets>
  <definedNames>
    <definedName name="_xlnm._FilterDatabase" localSheetId="3" hidden="1">'QUALIDADE E GOVERNANÇA'!$A$5:$F$8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10">
    <numFmt numFmtId="164" formatCode="yyyy\-mm\-dd"/>
    <numFmt numFmtId="165" formatCode="0.0"/>
    <numFmt numFmtId="166" formatCode="\+0.0;\-0.0;0.0"/>
    <numFmt numFmtId="167" formatCode="0.0%"/>
    <numFmt numFmtId="168" formatCode="\+0.0%;\-0.0%;0.0%"/>
    <numFmt numFmtId="169" formatCode="dd/mm/yyyy"/>
    <numFmt numFmtId="170" formatCode="0.00&quot;%&quot;"/>
    <numFmt numFmtId="171" formatCode="+0.00&quot; p.p.&quot;;-0.00&quot; p.p.&quot;;0.00&quot; p.p.&quot;"/>
    <numFmt numFmtId="172" formatCode="R$ #,##0.00"/>
    <numFmt numFmtId="173" formatCode="+0.00&quot;%&quot;;-0.00&quot;%&quot;;0.00&quot;%&quot;"/>
  </numFmts>
  <fonts count="3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45233"/>
      <sz val="15"/>
    </font>
    <font>
      <name val="Arial"/>
      <charset val="1"/>
      <family val="0"/>
      <i val="1"/>
      <color rgb="FF5A5A5A"/>
      <sz val="9"/>
    </font>
    <font>
      <name val="Arial"/>
      <charset val="1"/>
      <family val="0"/>
      <b val="1"/>
      <color rgb="FF045233"/>
      <sz val="11"/>
    </font>
    <font>
      <name val="Arial"/>
      <charset val="1"/>
      <family val="0"/>
      <color rgb="FF000000"/>
      <sz val="10"/>
    </font>
    <font>
      <name val="Cambria"/>
      <charset val="1"/>
      <family val="0"/>
      <b val="1"/>
      <color rgb="FF1F1F1F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A8A8A8"/>
      <sz val="8"/>
    </font>
    <font>
      <name val="Arial"/>
      <charset val="1"/>
      <family val="0"/>
      <color rgb="FFA8A8A8"/>
      <sz val="8"/>
    </font>
    <font>
      <name val="Arial"/>
      <charset val="1"/>
      <family val="0"/>
      <b val="1"/>
      <color rgb="FF5A5A5A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color rgb="FF000000"/>
      <sz val="14"/>
    </font>
    <font>
      <name val="Arial"/>
      <charset val="1"/>
      <family val="0"/>
      <color rgb="FF000000"/>
      <sz val="11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i val="1"/>
      <color rgb="FF000000"/>
      <sz val="9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mbria"/>
      <charset val="1"/>
      <family val="0"/>
      <b val="1"/>
      <color rgb="FFFFFFFF"/>
      <sz val="16"/>
    </font>
    <font>
      <name val="Cambria"/>
      <charset val="1"/>
      <family val="0"/>
      <i val="1"/>
      <color rgb="FF555555"/>
      <sz val="11"/>
    </font>
    <font>
      <name val="Cambria"/>
      <charset val="1"/>
      <family val="0"/>
      <b val="1"/>
      <color rgb="FF00563F"/>
      <sz val="12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1"/>
    </font>
    <font>
      <name val="Arial"/>
      <charset val="1"/>
      <family val="0"/>
      <b val="1"/>
      <color rgb="FF045233"/>
      <sz val="12"/>
    </font>
    <font>
      <name val="Arial"/>
      <charset val="1"/>
      <family val="0"/>
      <color rgb="FF000000"/>
      <sz val="8"/>
    </font>
    <font>
      <name val="Arial"/>
      <charset val="1"/>
      <family val="0"/>
      <color rgb="FF5A5A5A"/>
      <sz val="9"/>
    </font>
    <font>
      <name val="Arial"/>
      <charset val="1"/>
      <family val="0"/>
      <b val="1"/>
      <i val="1"/>
      <color rgb="FF000000"/>
      <sz val="10"/>
    </font>
    <font>
      <name val="Cambria"/>
      <charset val="1"/>
      <family val="0"/>
      <color rgb="FF006100"/>
      <sz val="11"/>
    </font>
    <font>
      <name val="Arial"/>
      <charset val="1"/>
      <family val="0"/>
      <color rgb="FFA8A8A8"/>
      <sz val="9"/>
    </font>
    <font>
      <name val="Arial"/>
      <charset val="1"/>
      <family val="0"/>
      <b val="1"/>
      <color rgb="FF0B7A54"/>
      <sz val="10"/>
    </font>
  </fonts>
  <fills count="14">
    <fill>
      <patternFill/>
    </fill>
    <fill>
      <patternFill patternType="gray125"/>
    </fill>
    <fill>
      <patternFill patternType="solid">
        <fgColor rgb="FFFFF2CC"/>
        <bgColor rgb="FFFFEBD2"/>
      </patternFill>
    </fill>
    <fill>
      <patternFill patternType="solid">
        <fgColor rgb="FFF5F6F5"/>
        <bgColor rgb="FFEAF2FA"/>
      </patternFill>
    </fill>
    <fill>
      <patternFill patternType="solid">
        <fgColor rgb="FFFFF6DC"/>
        <bgColor rgb="FFFFF2CC"/>
      </patternFill>
    </fill>
    <fill>
      <patternFill patternType="solid">
        <fgColor rgb="FFE8F1ED"/>
        <bgColor rgb="FFEAF2FA"/>
      </patternFill>
    </fill>
    <fill>
      <patternFill patternType="solid">
        <fgColor rgb="FFEAF2FA"/>
        <bgColor rgb="FFE8F1ED"/>
      </patternFill>
    </fill>
    <fill>
      <patternFill patternType="solid">
        <fgColor rgb="FF045233"/>
        <bgColor rgb="FF00563F"/>
      </patternFill>
    </fill>
    <fill>
      <patternFill patternType="solid">
        <fgColor rgb="FF0B7A54"/>
        <bgColor rgb="FF146B4A"/>
      </patternFill>
    </fill>
    <fill>
      <patternFill patternType="solid">
        <fgColor rgb="FF00563F"/>
        <bgColor rgb="FF045233"/>
      </patternFill>
    </fill>
    <fill>
      <patternFill patternType="solid">
        <fgColor rgb="FFF4CCCC"/>
        <bgColor rgb="FFFBDDDD"/>
      </patternFill>
    </fill>
    <fill>
      <patternFill patternType="solid">
        <fgColor rgb="FFE2F0D9"/>
        <bgColor rgb="FFE8F1ED"/>
      </patternFill>
    </fill>
    <fill>
      <patternFill patternType="solid">
        <fgColor rgb="00F5F6F5"/>
      </patternFill>
    </fill>
    <fill>
      <patternFill patternType="solid">
        <fgColor rgb="00FFF6DC"/>
      </patternFill>
    </fill>
  </fills>
  <borders count="16">
    <border>
      <left/>
      <right/>
      <top/>
      <bottom/>
      <diagonal/>
    </border>
    <border>
      <left style="thin">
        <color rgb="FFD2D8D5"/>
      </left>
      <right style="thin">
        <color rgb="FFD2D8D5"/>
      </right>
      <top style="thin">
        <color rgb="FFD2D8D5"/>
      </top>
      <bottom style="thin">
        <color rgb="FFD2D8D5"/>
      </bottom>
      <diagonal/>
    </border>
    <border>
      <left style="thin">
        <color rgb="FF9BB3A8"/>
      </left>
      <right style="thin">
        <color rgb="FF9BB3A8"/>
      </right>
      <top style="thin">
        <color rgb="FF9BB3A8"/>
      </top>
      <bottom style="thin">
        <color rgb="FF9BB3A8"/>
      </bottom>
      <diagonal/>
    </border>
    <border>
      <left style="thin">
        <color rgb="FF9BB3A8"/>
      </left>
      <right style="thin">
        <color rgb="FFD2D8D5"/>
      </right>
      <top style="thin">
        <color rgb="FF9BB3A8"/>
      </top>
      <bottom style="thin">
        <color rgb="FF9BB3A8"/>
      </bottom>
      <diagonal/>
    </border>
    <border>
      <left style="thin">
        <color rgb="FFD2D8D5"/>
      </left>
      <right/>
      <top style="thin">
        <color rgb="FFD2D8D5"/>
      </top>
      <bottom style="thin">
        <color rgb="FFD2D8D5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D2D8D5"/>
      </top>
      <bottom/>
      <diagonal/>
    </border>
    <border>
      <left/>
      <right style="thin">
        <color rgb="FFD2D8D5"/>
      </right>
      <top style="thin">
        <color rgb="FFD2D8D5"/>
      </top>
      <bottom/>
      <diagonal/>
    </border>
    <border>
      <left/>
      <right/>
      <top style="thin">
        <color rgb="FFD2D8D5"/>
      </top>
      <bottom style="thin">
        <color rgb="FFD2D8D5"/>
      </bottom>
      <diagonal/>
    </border>
    <border>
      <left/>
      <right style="thin">
        <color rgb="FFD2D8D5"/>
      </right>
      <top style="thin">
        <color rgb="FFD2D8D5"/>
      </top>
      <bottom style="thin">
        <color rgb="FFD2D8D5"/>
      </bottom>
      <diagonal/>
    </border>
    <border>
      <left/>
      <right/>
      <top style="thin">
        <color rgb="FF9BB3A8"/>
      </top>
      <bottom/>
      <diagonal/>
    </border>
    <border>
      <left/>
      <right style="thin">
        <color rgb="FFD2D8D5"/>
      </right>
      <top style="thin">
        <color rgb="FF9BB3A8"/>
      </top>
      <bottom/>
      <diagonal/>
    </border>
    <border>
      <left/>
      <right style="thin">
        <color rgb="FFD2D8D5"/>
      </right>
      <top style="thin">
        <color rgb="FF9BB3A8"/>
      </top>
      <bottom style="thin">
        <color rgb="FF9BB3A8"/>
      </bottom>
      <diagonal/>
    </border>
    <border>
      <left/>
      <right style="thin">
        <color rgb="FF9BB3A8"/>
      </right>
      <top style="thin">
        <color rgb="FF9BB3A8"/>
      </top>
      <bottom/>
      <diagonal/>
    </border>
    <border>
      <left/>
      <right/>
      <top style="thin">
        <color rgb="FF9BB3A8"/>
      </top>
      <bottom style="thin">
        <color rgb="FF9BB3A8"/>
      </bottom>
      <diagonal/>
    </border>
    <border>
      <left/>
      <right style="thin">
        <color rgb="FF9BB3A8"/>
      </right>
      <top style="thin">
        <color rgb="FF9BB3A8"/>
      </top>
      <bottom style="thin">
        <color rgb="FF9BB3A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 wrapText="1"/>
    </xf>
    <xf numFmtId="0" fontId="10" fillId="3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center" wrapText="1"/>
    </xf>
    <xf numFmtId="164" fontId="12" fillId="0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general" vertical="center" wrapText="1"/>
    </xf>
    <xf numFmtId="0" fontId="14" fillId="5" borderId="3" applyAlignment="1" pivotButton="0" quotePrefix="0" xfId="0">
      <alignment horizontal="center" vertical="center" wrapText="1"/>
    </xf>
    <xf numFmtId="0" fontId="15" fillId="7" borderId="4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 wrapText="1"/>
    </xf>
    <xf numFmtId="165" fontId="17" fillId="5" borderId="1" applyAlignment="1" pivotButton="0" quotePrefix="0" xfId="0">
      <alignment horizontal="center" vertical="center" wrapText="1"/>
    </xf>
    <xf numFmtId="165" fontId="18" fillId="0" borderId="1" applyAlignment="1" pivotButton="0" quotePrefix="0" xfId="0">
      <alignment horizontal="center" vertical="center" wrapText="1"/>
    </xf>
    <xf numFmtId="166" fontId="18" fillId="0" borderId="1" applyAlignment="1" pivotButton="0" quotePrefix="0" xfId="0">
      <alignment horizontal="center" vertical="center" wrapText="1"/>
    </xf>
    <xf numFmtId="165" fontId="10" fillId="6" borderId="1" applyAlignment="1" pivotButton="0" quotePrefix="0" xfId="0">
      <alignment horizontal="center" vertical="center" wrapText="1"/>
    </xf>
    <xf numFmtId="165" fontId="18" fillId="6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wrapText="1"/>
    </xf>
    <xf numFmtId="167" fontId="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general" vertical="center" wrapText="1"/>
    </xf>
    <xf numFmtId="165" fontId="9" fillId="0" borderId="1" applyAlignment="1" pivotButton="0" quotePrefix="0" xfId="0">
      <alignment horizontal="center" vertical="center" wrapText="1"/>
    </xf>
    <xf numFmtId="165" fontId="19" fillId="0" borderId="1" applyAlignment="1" pivotButton="0" quotePrefix="0" xfId="0">
      <alignment horizontal="center" vertical="center" wrapText="1"/>
    </xf>
    <xf numFmtId="166" fontId="19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3" fontId="17" fillId="5" borderId="1" applyAlignment="1" pivotButton="0" quotePrefix="0" xfId="0">
      <alignment horizontal="center" vertical="center" wrapText="1"/>
    </xf>
    <xf numFmtId="3" fontId="18" fillId="0" borderId="1" applyAlignment="1" pivotButton="0" quotePrefix="0" xfId="0">
      <alignment horizontal="center" vertical="center" wrapText="1"/>
    </xf>
    <xf numFmtId="168" fontId="18" fillId="0" borderId="1" applyAlignment="1" pivotButton="0" quotePrefix="0" xfId="0">
      <alignment horizontal="center" vertical="center" wrapText="1"/>
    </xf>
    <xf numFmtId="167" fontId="10" fillId="6" borderId="1" applyAlignment="1" pivotButton="0" quotePrefix="0" xfId="0">
      <alignment horizontal="center" vertical="center" wrapText="1"/>
    </xf>
    <xf numFmtId="167" fontId="18" fillId="6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center" vertical="center" wrapText="1"/>
    </xf>
    <xf numFmtId="3" fontId="9" fillId="0" borderId="1" applyAlignment="1" pivotButton="0" quotePrefix="0" xfId="0">
      <alignment horizontal="center" vertical="center" wrapText="1"/>
    </xf>
    <xf numFmtId="3" fontId="19" fillId="0" borderId="1" applyAlignment="1" pivotButton="0" quotePrefix="0" xfId="0">
      <alignment horizontal="center" vertical="center" wrapText="1"/>
    </xf>
    <xf numFmtId="168" fontId="19" fillId="0" borderId="1" applyAlignment="1" pivotButton="0" quotePrefix="0" xfId="0">
      <alignment horizontal="center" vertical="center" wrapText="1"/>
    </xf>
    <xf numFmtId="167" fontId="19" fillId="0" borderId="1" applyAlignment="1" pivotButton="0" quotePrefix="0" xfId="0">
      <alignment horizontal="center" vertical="center" wrapText="1"/>
    </xf>
    <xf numFmtId="167" fontId="17" fillId="5" borderId="1" applyAlignment="1" pivotButton="0" quotePrefix="0" xfId="0">
      <alignment horizontal="center" vertical="center" wrapText="1"/>
    </xf>
    <xf numFmtId="167" fontId="18" fillId="0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 wrapText="1"/>
    </xf>
    <xf numFmtId="167" fontId="9" fillId="5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167" fontId="9" fillId="6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bottom" wrapText="1"/>
    </xf>
    <xf numFmtId="0" fontId="25" fillId="9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general" vertical="bottom" wrapText="1"/>
    </xf>
    <xf numFmtId="0" fontId="27" fillId="0" borderId="0" applyAlignment="1" pivotButton="0" quotePrefix="0" xfId="0">
      <alignment horizontal="general" vertical="bottom"/>
    </xf>
    <xf numFmtId="0" fontId="28" fillId="9" borderId="0" applyAlignment="1" pivotButton="0" quotePrefix="0" xfId="0">
      <alignment horizontal="general" vertical="center" wrapText="1"/>
    </xf>
    <xf numFmtId="0" fontId="0" fillId="0" borderId="5" applyAlignment="1" pivotButton="0" quotePrefix="0" xfId="0">
      <alignment horizontal="general" vertical="center" wrapText="1"/>
    </xf>
    <xf numFmtId="0" fontId="29" fillId="0" borderId="5" applyAlignment="1" pivotButton="0" quotePrefix="0" xfId="0">
      <alignment horizontal="general" vertical="center" wrapText="1"/>
    </xf>
    <xf numFmtId="0" fontId="0" fillId="10" borderId="5" applyAlignment="1" pivotButton="0" quotePrefix="0" xfId="0">
      <alignment horizontal="general" vertical="center" wrapText="1"/>
    </xf>
    <xf numFmtId="0" fontId="0" fillId="0" borderId="5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 wrapText="1"/>
    </xf>
    <xf numFmtId="0" fontId="30" fillId="0" borderId="0" applyAlignment="1" pivotButton="0" quotePrefix="0" xfId="0">
      <alignment horizontal="general" vertical="center" wrapText="1"/>
    </xf>
    <xf numFmtId="0" fontId="20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165" fontId="31" fillId="0" borderId="1" applyAlignment="1" pivotButton="0" quotePrefix="0" xfId="0">
      <alignment horizontal="center" vertical="center" wrapText="1"/>
    </xf>
    <xf numFmtId="165" fontId="21" fillId="5" borderId="1" applyAlignment="1" pivotButton="0" quotePrefix="0" xfId="0">
      <alignment horizontal="center" vertical="center" wrapText="1"/>
    </xf>
    <xf numFmtId="166" fontId="21" fillId="0" borderId="1" applyAlignment="1" pivotButton="0" quotePrefix="0" xfId="0">
      <alignment horizontal="center" vertical="center" wrapText="1"/>
    </xf>
    <xf numFmtId="3" fontId="31" fillId="0" borderId="1" applyAlignment="1" pivotButton="0" quotePrefix="0" xfId="0">
      <alignment horizontal="center" vertical="center" wrapText="1"/>
    </xf>
    <xf numFmtId="3" fontId="21" fillId="5" borderId="1" applyAlignment="1" pivotButton="0" quotePrefix="0" xfId="0">
      <alignment horizontal="center" vertical="center" wrapText="1"/>
    </xf>
    <xf numFmtId="168" fontId="21" fillId="0" borderId="1" applyAlignment="1" pivotButton="0" quotePrefix="0" xfId="0">
      <alignment horizontal="center" vertical="center" wrapText="1"/>
    </xf>
    <xf numFmtId="167" fontId="31" fillId="0" borderId="1" applyAlignment="1" pivotButton="0" quotePrefix="0" xfId="0">
      <alignment horizontal="center" vertical="center" wrapText="1"/>
    </xf>
    <xf numFmtId="167" fontId="21" fillId="5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general" vertical="center" wrapText="1"/>
    </xf>
    <xf numFmtId="0" fontId="21" fillId="0" borderId="1" applyAlignment="1" pivotButton="0" quotePrefix="0" xfId="0">
      <alignment horizontal="general" vertical="center" wrapText="1"/>
    </xf>
    <xf numFmtId="0" fontId="14" fillId="5" borderId="1" applyAlignment="1" pivotButton="0" quotePrefix="0" xfId="0">
      <alignment horizontal="center" vertical="center" wrapText="1"/>
    </xf>
    <xf numFmtId="9" fontId="14" fillId="5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general" vertical="center" wrapText="1"/>
    </xf>
    <xf numFmtId="0" fontId="19" fillId="0" borderId="1" applyAlignment="1" pivotButton="0" quotePrefix="0" xfId="0">
      <alignment horizontal="center" vertical="top" wrapText="1"/>
    </xf>
    <xf numFmtId="0" fontId="19" fillId="0" borderId="1" applyAlignment="1" pivotButton="0" quotePrefix="0" xfId="0">
      <alignment horizontal="left" vertical="top" wrapText="1"/>
    </xf>
    <xf numFmtId="0" fontId="19" fillId="4" borderId="1" applyAlignment="1" pivotButton="0" quotePrefix="0" xfId="0">
      <alignment horizontal="center" vertical="top" wrapText="1"/>
    </xf>
    <xf numFmtId="0" fontId="19" fillId="4" borderId="1" applyAlignment="1" pivotButton="0" quotePrefix="0" xfId="0">
      <alignment horizontal="left" vertical="top" wrapText="1"/>
    </xf>
    <xf numFmtId="0" fontId="19" fillId="0" borderId="1" applyAlignment="1" pivotButton="0" quotePrefix="0" xfId="0">
      <alignment horizontal="left" vertical="center" wrapText="1"/>
    </xf>
    <xf numFmtId="169" fontId="19" fillId="4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34" fillId="11" borderId="0" applyAlignment="1" pivotButton="0" quotePrefix="0" xfId="0">
      <alignment horizontal="general" vertical="center" wrapText="1"/>
    </xf>
    <xf numFmtId="0" fontId="1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center" vertical="center" wrapText="1"/>
    </xf>
    <xf numFmtId="1" fontId="35" fillId="0" borderId="1" applyAlignment="1" pivotButton="0" quotePrefix="0" xfId="0">
      <alignment horizontal="center" vertical="center" wrapText="1"/>
    </xf>
    <xf numFmtId="165" fontId="9" fillId="4" borderId="1" applyAlignment="1" pivotButton="0" quotePrefix="0" xfId="0">
      <alignment horizontal="center" vertical="center" wrapText="1"/>
    </xf>
    <xf numFmtId="165" fontId="7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general" vertical="center" wrapText="1"/>
    </xf>
    <xf numFmtId="167" fontId="9" fillId="4" borderId="1" applyAlignment="1" pivotButton="0" quotePrefix="0" xfId="0">
      <alignment horizontal="center" vertical="center" wrapText="1"/>
    </xf>
    <xf numFmtId="167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center" wrapText="1"/>
    </xf>
    <xf numFmtId="0" fontId="9" fillId="5" borderId="1" applyAlignment="1" pivotButton="0" quotePrefix="0" xfId="0">
      <alignment horizontal="center" vertical="center" wrapText="1"/>
    </xf>
    <xf numFmtId="165" fontId="19" fillId="5" borderId="1" applyAlignment="1" pivotButton="0" quotePrefix="0" xfId="0">
      <alignment horizontal="center" vertical="center" wrapText="1"/>
    </xf>
    <xf numFmtId="167" fontId="19" fillId="5" borderId="1" applyAlignment="1" pivotButton="0" quotePrefix="0" xfId="0">
      <alignment horizontal="center" vertical="center" wrapText="1"/>
    </xf>
    <xf numFmtId="165" fontId="21" fillId="0" borderId="1" applyAlignment="1" pivotButton="0" quotePrefix="0" xfId="0">
      <alignment horizontal="center" vertical="center" wrapText="1"/>
    </xf>
    <xf numFmtId="167" fontId="21" fillId="0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32" fillId="0" borderId="1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general" vertical="center" wrapText="1"/>
    </xf>
    <xf numFmtId="165" fontId="10" fillId="5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5" fontId="9" fillId="5" borderId="1" applyAlignment="1" pivotButton="0" quotePrefix="0" xfId="0">
      <alignment horizontal="center" vertical="center" wrapText="1"/>
    </xf>
    <xf numFmtId="167" fontId="32" fillId="0" borderId="1" applyAlignment="1" pivotButton="0" quotePrefix="0" xfId="0">
      <alignment horizontal="center" vertical="center" wrapText="1"/>
    </xf>
    <xf numFmtId="168" fontId="21" fillId="5" borderId="1" applyAlignment="1" pivotButton="0" quotePrefix="0" xfId="0">
      <alignment horizontal="center" vertical="center" wrapText="1"/>
    </xf>
    <xf numFmtId="3" fontId="10" fillId="5" borderId="1" applyAlignment="1" pivotButton="0" quotePrefix="0" xfId="0">
      <alignment horizontal="center" vertical="center" wrapText="1"/>
    </xf>
    <xf numFmtId="3" fontId="9" fillId="5" borderId="1" applyAlignment="1" pivotButton="0" quotePrefix="0" xfId="0">
      <alignment horizontal="center" vertical="center" wrapText="1"/>
    </xf>
    <xf numFmtId="167" fontId="10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35" fillId="0" borderId="1" applyAlignment="1" pivotButton="0" quotePrefix="0" xfId="0">
      <alignment horizontal="center" vertical="center" wrapText="1"/>
    </xf>
    <xf numFmtId="167" fontId="21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3" fontId="32" fillId="0" borderId="1" applyAlignment="1" pivotButton="0" quotePrefix="0" xfId="0">
      <alignment horizontal="center" vertical="center" wrapText="1"/>
    </xf>
    <xf numFmtId="167" fontId="21" fillId="6" borderId="1" applyAlignment="1" pivotButton="0" quotePrefix="0" xfId="0">
      <alignment horizontal="center" vertical="center" wrapText="1"/>
    </xf>
    <xf numFmtId="164" fontId="19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 wrapText="1"/>
    </xf>
    <xf numFmtId="0" fontId="10" fillId="3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center" wrapText="1"/>
    </xf>
    <xf numFmtId="164" fontId="12" fillId="0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center" wrapText="1"/>
    </xf>
    <xf numFmtId="0" fontId="9" fillId="6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9" fillId="3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general" vertical="center" wrapText="1"/>
    </xf>
    <xf numFmtId="0" fontId="14" fillId="5" borderId="3" applyAlignment="1" pivotButton="0" quotePrefix="0" xfId="0">
      <alignment horizontal="center" vertical="center" wrapText="1"/>
    </xf>
    <xf numFmtId="0" fontId="0" fillId="0" borderId="12" pivotButton="0" quotePrefix="0" xfId="0"/>
    <xf numFmtId="0" fontId="15" fillId="7" borderId="4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 wrapText="1"/>
    </xf>
    <xf numFmtId="165" fontId="17" fillId="5" borderId="1" applyAlignment="1" pivotButton="0" quotePrefix="0" xfId="0">
      <alignment horizontal="center" vertical="center" wrapText="1"/>
    </xf>
    <xf numFmtId="165" fontId="18" fillId="0" borderId="1" applyAlignment="1" pivotButton="0" quotePrefix="0" xfId="0">
      <alignment horizontal="center" vertical="center" wrapText="1"/>
    </xf>
    <xf numFmtId="166" fontId="18" fillId="0" borderId="1" applyAlignment="1" pivotButton="0" quotePrefix="0" xfId="0">
      <alignment horizontal="center" vertical="center" wrapText="1"/>
    </xf>
    <xf numFmtId="165" fontId="10" fillId="6" borderId="1" applyAlignment="1" pivotButton="0" quotePrefix="0" xfId="0">
      <alignment horizontal="center" vertical="center" wrapText="1"/>
    </xf>
    <xf numFmtId="165" fontId="18" fillId="6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wrapText="1"/>
    </xf>
    <xf numFmtId="167" fontId="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general" vertical="center" wrapText="1"/>
    </xf>
    <xf numFmtId="165" fontId="9" fillId="0" borderId="1" applyAlignment="1" pivotButton="0" quotePrefix="0" xfId="0">
      <alignment horizontal="center" vertical="center" wrapText="1"/>
    </xf>
    <xf numFmtId="165" fontId="19" fillId="0" borderId="1" applyAlignment="1" pivotButton="0" quotePrefix="0" xfId="0">
      <alignment horizontal="center" vertical="center" wrapText="1"/>
    </xf>
    <xf numFmtId="166" fontId="19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3" fontId="17" fillId="5" borderId="1" applyAlignment="1" pivotButton="0" quotePrefix="0" xfId="0">
      <alignment horizontal="center" vertical="center" wrapText="1"/>
    </xf>
    <xf numFmtId="3" fontId="18" fillId="0" borderId="1" applyAlignment="1" pivotButton="0" quotePrefix="0" xfId="0">
      <alignment horizontal="center" vertical="center" wrapText="1"/>
    </xf>
    <xf numFmtId="168" fontId="18" fillId="0" borderId="1" applyAlignment="1" pivotButton="0" quotePrefix="0" xfId="0">
      <alignment horizontal="center" vertical="center" wrapText="1"/>
    </xf>
    <xf numFmtId="167" fontId="10" fillId="6" borderId="1" applyAlignment="1" pivotButton="0" quotePrefix="0" xfId="0">
      <alignment horizontal="center" vertical="center" wrapText="1"/>
    </xf>
    <xf numFmtId="167" fontId="18" fillId="6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center" vertical="center" wrapText="1"/>
    </xf>
    <xf numFmtId="3" fontId="9" fillId="0" borderId="1" applyAlignment="1" pivotButton="0" quotePrefix="0" xfId="0">
      <alignment horizontal="center" vertical="center" wrapText="1"/>
    </xf>
    <xf numFmtId="3" fontId="19" fillId="0" borderId="1" applyAlignment="1" pivotButton="0" quotePrefix="0" xfId="0">
      <alignment horizontal="center" vertical="center" wrapText="1"/>
    </xf>
    <xf numFmtId="168" fontId="19" fillId="0" borderId="1" applyAlignment="1" pivotButton="0" quotePrefix="0" xfId="0">
      <alignment horizontal="center" vertical="center" wrapText="1"/>
    </xf>
    <xf numFmtId="167" fontId="19" fillId="0" borderId="1" applyAlignment="1" pivotButton="0" quotePrefix="0" xfId="0">
      <alignment horizontal="center" vertical="center" wrapText="1"/>
    </xf>
    <xf numFmtId="167" fontId="17" fillId="5" borderId="1" applyAlignment="1" pivotButton="0" quotePrefix="0" xfId="0">
      <alignment horizontal="center" vertical="center" wrapText="1"/>
    </xf>
    <xf numFmtId="167" fontId="18" fillId="0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 wrapText="1"/>
    </xf>
    <xf numFmtId="167" fontId="9" fillId="5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167" fontId="9" fillId="6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bottom" wrapText="1"/>
    </xf>
    <xf numFmtId="0" fontId="25" fillId="9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general" vertical="bottom" wrapText="1"/>
    </xf>
    <xf numFmtId="0" fontId="27" fillId="0" borderId="0" applyAlignment="1" pivotButton="0" quotePrefix="0" xfId="0">
      <alignment horizontal="general" vertical="bottom"/>
    </xf>
    <xf numFmtId="0" fontId="28" fillId="9" borderId="0" applyAlignment="1" pivotButton="0" quotePrefix="0" xfId="0">
      <alignment horizontal="general" vertical="center" wrapText="1"/>
    </xf>
    <xf numFmtId="0" fontId="0" fillId="0" borderId="5" applyAlignment="1" pivotButton="0" quotePrefix="0" xfId="0">
      <alignment horizontal="general" vertical="center" wrapText="1"/>
    </xf>
    <xf numFmtId="0" fontId="29" fillId="0" borderId="5" applyAlignment="1" pivotButton="0" quotePrefix="0" xfId="0">
      <alignment horizontal="general" vertical="center" wrapText="1"/>
    </xf>
    <xf numFmtId="0" fontId="0" fillId="10" borderId="5" applyAlignment="1" pivotButton="0" quotePrefix="0" xfId="0">
      <alignment horizontal="general" vertical="center" wrapText="1"/>
    </xf>
    <xf numFmtId="0" fontId="0" fillId="0" borderId="5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 wrapText="1"/>
    </xf>
    <xf numFmtId="0" fontId="30" fillId="0" borderId="0" applyAlignment="1" pivotButton="0" quotePrefix="0" xfId="0">
      <alignment horizontal="general" vertical="center" wrapText="1"/>
    </xf>
    <xf numFmtId="0" fontId="20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165" fontId="31" fillId="0" borderId="1" applyAlignment="1" pivotButton="0" quotePrefix="0" xfId="0">
      <alignment horizontal="center" vertical="center" wrapText="1"/>
    </xf>
    <xf numFmtId="165" fontId="21" fillId="5" borderId="1" applyAlignment="1" pivotButton="0" quotePrefix="0" xfId="0">
      <alignment horizontal="center" vertical="center" wrapText="1"/>
    </xf>
    <xf numFmtId="166" fontId="21" fillId="0" borderId="1" applyAlignment="1" pivotButton="0" quotePrefix="0" xfId="0">
      <alignment horizontal="center" vertical="center" wrapText="1"/>
    </xf>
    <xf numFmtId="3" fontId="31" fillId="0" borderId="1" applyAlignment="1" pivotButton="0" quotePrefix="0" xfId="0">
      <alignment horizontal="center" vertical="center" wrapText="1"/>
    </xf>
    <xf numFmtId="3" fontId="21" fillId="5" borderId="1" applyAlignment="1" pivotButton="0" quotePrefix="0" xfId="0">
      <alignment horizontal="center" vertical="center" wrapText="1"/>
    </xf>
    <xf numFmtId="168" fontId="21" fillId="0" borderId="1" applyAlignment="1" pivotButton="0" quotePrefix="0" xfId="0">
      <alignment horizontal="center" vertical="center" wrapText="1"/>
    </xf>
    <xf numFmtId="167" fontId="31" fillId="0" borderId="1" applyAlignment="1" pivotButton="0" quotePrefix="0" xfId="0">
      <alignment horizontal="center" vertical="center" wrapText="1"/>
    </xf>
    <xf numFmtId="167" fontId="21" fillId="5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general" vertical="center" wrapText="1"/>
    </xf>
    <xf numFmtId="0" fontId="21" fillId="0" borderId="1" applyAlignment="1" pivotButton="0" quotePrefix="0" xfId="0">
      <alignment horizontal="general" vertical="center" wrapText="1"/>
    </xf>
    <xf numFmtId="0" fontId="14" fillId="5" borderId="1" applyAlignment="1" pivotButton="0" quotePrefix="0" xfId="0">
      <alignment horizontal="center" vertical="center" wrapText="1"/>
    </xf>
    <xf numFmtId="9" fontId="14" fillId="5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general" vertical="center" wrapText="1"/>
    </xf>
    <xf numFmtId="0" fontId="19" fillId="0" borderId="1" applyAlignment="1" pivotButton="0" quotePrefix="0" xfId="0">
      <alignment horizontal="center" vertical="top" wrapText="1"/>
    </xf>
    <xf numFmtId="0" fontId="19" fillId="0" borderId="1" applyAlignment="1" pivotButton="0" quotePrefix="0" xfId="0">
      <alignment horizontal="left" vertical="top" wrapText="1"/>
    </xf>
    <xf numFmtId="0" fontId="19" fillId="4" borderId="1" applyAlignment="1" pivotButton="0" quotePrefix="0" xfId="0">
      <alignment horizontal="center" vertical="top" wrapText="1"/>
    </xf>
    <xf numFmtId="0" fontId="19" fillId="4" borderId="1" applyAlignment="1" pivotButton="0" quotePrefix="0" xfId="0">
      <alignment horizontal="left" vertical="top" wrapText="1"/>
    </xf>
    <xf numFmtId="0" fontId="19" fillId="0" borderId="1" applyAlignment="1" pivotButton="0" quotePrefix="0" xfId="0">
      <alignment horizontal="left" vertical="center" wrapText="1"/>
    </xf>
    <xf numFmtId="169" fontId="19" fillId="4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34" fillId="11" borderId="0" applyAlignment="1" pivotButton="0" quotePrefix="0" xfId="0">
      <alignment horizontal="general" vertical="center" wrapText="1"/>
    </xf>
    <xf numFmtId="0" fontId="1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center" vertical="center" wrapText="1"/>
    </xf>
    <xf numFmtId="1" fontId="35" fillId="0" borderId="1" applyAlignment="1" pivotButton="0" quotePrefix="0" xfId="0">
      <alignment horizontal="center" vertical="center" wrapText="1"/>
    </xf>
    <xf numFmtId="165" fontId="9" fillId="4" borderId="1" applyAlignment="1" pivotButton="0" quotePrefix="0" xfId="0">
      <alignment horizontal="center" vertical="center" wrapText="1"/>
    </xf>
    <xf numFmtId="165" fontId="7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general" vertical="center" wrapText="1"/>
    </xf>
    <xf numFmtId="167" fontId="9" fillId="4" borderId="1" applyAlignment="1" pivotButton="0" quotePrefix="0" xfId="0">
      <alignment horizontal="center" vertical="center" wrapText="1"/>
    </xf>
    <xf numFmtId="167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center" wrapText="1"/>
    </xf>
    <xf numFmtId="0" fontId="9" fillId="5" borderId="1" applyAlignment="1" pivotButton="0" quotePrefix="0" xfId="0">
      <alignment horizontal="center" vertical="center" wrapText="1"/>
    </xf>
    <xf numFmtId="165" fontId="19" fillId="5" borderId="1" applyAlignment="1" pivotButton="0" quotePrefix="0" xfId="0">
      <alignment horizontal="center" vertical="center" wrapText="1"/>
    </xf>
    <xf numFmtId="167" fontId="19" fillId="5" borderId="1" applyAlignment="1" pivotButton="0" quotePrefix="0" xfId="0">
      <alignment horizontal="center" vertical="center" wrapText="1"/>
    </xf>
    <xf numFmtId="165" fontId="21" fillId="0" borderId="1" applyAlignment="1" pivotButton="0" quotePrefix="0" xfId="0">
      <alignment horizontal="center" vertical="center" wrapText="1"/>
    </xf>
    <xf numFmtId="167" fontId="21" fillId="0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32" fillId="0" borderId="1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general" vertical="center" wrapText="1"/>
    </xf>
    <xf numFmtId="165" fontId="10" fillId="5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5" fontId="9" fillId="5" borderId="1" applyAlignment="1" pivotButton="0" quotePrefix="0" xfId="0">
      <alignment horizontal="center" vertical="center" wrapText="1"/>
    </xf>
    <xf numFmtId="167" fontId="32" fillId="0" borderId="1" applyAlignment="1" pivotButton="0" quotePrefix="0" xfId="0">
      <alignment horizontal="center" vertical="center" wrapText="1"/>
    </xf>
    <xf numFmtId="168" fontId="21" fillId="5" borderId="1" applyAlignment="1" pivotButton="0" quotePrefix="0" xfId="0">
      <alignment horizontal="center" vertical="center" wrapText="1"/>
    </xf>
    <xf numFmtId="3" fontId="10" fillId="5" borderId="1" applyAlignment="1" pivotButton="0" quotePrefix="0" xfId="0">
      <alignment horizontal="center" vertical="center" wrapText="1"/>
    </xf>
    <xf numFmtId="3" fontId="9" fillId="5" borderId="1" applyAlignment="1" pivotButton="0" quotePrefix="0" xfId="0">
      <alignment horizontal="center" vertical="center" wrapText="1"/>
    </xf>
    <xf numFmtId="167" fontId="10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35" fillId="0" borderId="1" applyAlignment="1" pivotButton="0" quotePrefix="0" xfId="0">
      <alignment horizontal="center" vertical="center" wrapText="1"/>
    </xf>
    <xf numFmtId="167" fontId="21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3" fontId="32" fillId="0" borderId="1" applyAlignment="1" pivotButton="0" quotePrefix="0" xfId="0">
      <alignment horizontal="center" vertical="center" wrapText="1"/>
    </xf>
    <xf numFmtId="167" fontId="21" fillId="6" borderId="1" applyAlignment="1" pivotButton="0" quotePrefix="0" xfId="0">
      <alignment horizontal="center" vertical="center" wrapText="1"/>
    </xf>
    <xf numFmtId="164" fontId="19" fillId="0" borderId="1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170" fontId="17" fillId="5" borderId="1" applyAlignment="1" pivotButton="0" quotePrefix="0" xfId="0">
      <alignment horizontal="center" vertical="center" wrapText="1"/>
    </xf>
    <xf numFmtId="170" fontId="18" fillId="0" borderId="1" applyAlignment="1" pivotButton="0" quotePrefix="0" xfId="0">
      <alignment horizontal="center" vertical="center" wrapText="1"/>
    </xf>
    <xf numFmtId="171" fontId="18" fillId="0" borderId="1" applyAlignment="1" pivotButton="0" quotePrefix="0" xfId="0">
      <alignment horizontal="center" vertical="center" wrapText="1"/>
    </xf>
    <xf numFmtId="170" fontId="10" fillId="6" borderId="1" applyAlignment="1" pivotButton="0" quotePrefix="0" xfId="0">
      <alignment horizontal="center" vertical="center" wrapText="1"/>
    </xf>
    <xf numFmtId="170" fontId="18" fillId="6" borderId="1" applyAlignment="1" pivotButton="0" quotePrefix="0" xfId="0">
      <alignment horizontal="center" vertical="center" wrapText="1"/>
    </xf>
    <xf numFmtId="170" fontId="7" fillId="0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center" vertical="center" wrapText="1"/>
    </xf>
    <xf numFmtId="172" fontId="17" fillId="5" borderId="1" applyAlignment="1" pivotButton="0" quotePrefix="0" xfId="0">
      <alignment horizontal="center" vertical="center" wrapText="1"/>
    </xf>
    <xf numFmtId="172" fontId="18" fillId="0" borderId="1" applyAlignment="1" pivotButton="0" quotePrefix="0" xfId="0">
      <alignment horizontal="center" vertical="center" wrapText="1"/>
    </xf>
    <xf numFmtId="173" fontId="18" fillId="0" borderId="1" applyAlignment="1" pivotButton="0" quotePrefix="0" xfId="0">
      <alignment horizontal="center" vertical="center" wrapText="1"/>
    </xf>
    <xf numFmtId="172" fontId="10" fillId="6" borderId="1" applyAlignment="1" pivotButton="0" quotePrefix="0" xfId="0">
      <alignment horizontal="center" vertical="center" wrapText="1"/>
    </xf>
    <xf numFmtId="172" fontId="18" fillId="6" borderId="1" applyAlignment="1" pivotButton="0" quotePrefix="0" xfId="0">
      <alignment horizontal="center" vertical="center" wrapText="1"/>
    </xf>
    <xf numFmtId="172" fontId="7" fillId="0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b val="1"/>
        <color rgb="FFA21C1C"/>
      </font>
      <fill>
        <patternFill>
          <bgColor rgb="FFFBDDDD"/>
        </patternFill>
      </fill>
    </dxf>
    <dxf>
      <font>
        <name val="Arial"/>
        <charset val="1"/>
        <family val="0"/>
        <b val="1"/>
        <color rgb="FF146B4A"/>
      </font>
      <fill>
        <patternFill>
          <bgColor rgb="FFE8F1ED"/>
        </patternFill>
      </fill>
    </dxf>
    <dxf>
      <font>
        <name val="Arial"/>
        <charset val="1"/>
        <family val="0"/>
        <b val="1"/>
        <color rgb="FF9A5000"/>
      </font>
      <fill>
        <patternFill>
          <bgColor rgb="FFFFEBD2"/>
        </patternFill>
      </fill>
    </dxf>
    <dxf>
      <fill>
        <patternFill patternType="solid">
          <fgColor rgb="FF00563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ont>
        <name val="Arial"/>
        <charset val="1"/>
        <family val="0"/>
        <b val="1"/>
        <color rgb="FFA21C1C"/>
        <sz val="10"/>
      </font>
      <fill>
        <patternFill>
          <bgColor rgb="FFFBDDDD"/>
        </patternFill>
      </fill>
    </dxf>
    <dxf>
      <font>
        <name val="Arial"/>
        <charset val="1"/>
        <family val="0"/>
        <b val="1"/>
        <color rgb="FF146B4A"/>
        <sz val="10"/>
      </font>
      <fill>
        <patternFill>
          <bgColor rgb="FFE8F1ED"/>
        </patternFill>
      </fill>
    </dxf>
    <dxf>
      <fill>
        <patternFill patternType="solid">
          <fgColor rgb="FF045233"/>
          <bgColor rgb="FF000000"/>
        </patternFill>
      </fill>
    </dxf>
    <dxf>
      <fill>
        <patternFill patternType="solid">
          <fgColor rgb="FFFFF6DC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b val="1"/>
        <color rgb="FF9C0006"/>
      </font>
      <fill>
        <patternFill>
          <bgColor rgb="FFF4CCCC"/>
        </patternFill>
      </fill>
    </dxf>
    <dxf>
      <fill>
        <patternFill patternType="solid">
          <fgColor rgb="00FDE7E7"/>
        </patternFill>
      </fill>
    </dxf>
    <dxf>
      <fill>
        <patternFill patternType="solid">
          <fgColor rgb="00E8F1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BD2"/>
      <rgbColor rgb="FFFF00FF"/>
      <rgbColor rgb="FF00FFFF"/>
      <rgbColor rgb="FF9C0006"/>
      <rgbColor rgb="FF006100"/>
      <rgbColor rgb="FF000080"/>
      <rgbColor rgb="FF9A5000"/>
      <rgbColor rgb="FF800080"/>
      <rgbColor rgb="FF0B7A54"/>
      <rgbColor rgb="FFB7B7B7"/>
      <rgbColor rgb="FF878787"/>
      <rgbColor rgb="FFA8A8A8"/>
      <rgbColor rgb="FFC0392B"/>
      <rgbColor rgb="FFFFF6DC"/>
      <rgbColor rgb="FFEAF2FA"/>
      <rgbColor rgb="FF660066"/>
      <rgbColor rgb="FFFF8080"/>
      <rgbColor rgb="FF0066CC"/>
      <rgbColor rgb="FFD2D8D5"/>
      <rgbColor rgb="FF000080"/>
      <rgbColor rgb="FFFF00FF"/>
      <rgbColor rgb="FFF5F6F5"/>
      <rgbColor rgb="FF00FFFF"/>
      <rgbColor rgb="FF800080"/>
      <rgbColor rgb="FF800000"/>
      <rgbColor rgb="FF146B4A"/>
      <rgbColor rgb="FF0000FF"/>
      <rgbColor rgb="FF00CCFF"/>
      <rgbColor rgb="FFE8F1ED"/>
      <rgbColor rgb="FFE2F0D9"/>
      <rgbColor rgb="FFFFF2CC"/>
      <rgbColor rgb="FF9BB3A8"/>
      <rgbColor rgb="FFFBDDDD"/>
      <rgbColor rgb="FFD9D9D9"/>
      <rgbColor rgb="FFF4CCCC"/>
      <rgbColor rgb="FF3366FF"/>
      <rgbColor rgb="FF33CCCC"/>
      <rgbColor rgb="FFC6E0B4"/>
      <rgbColor rgb="FFFFCC00"/>
      <rgbColor rgb="FFFF9900"/>
      <rgbColor rgb="FFFF6600"/>
      <rgbColor rgb="FF5A5A5A"/>
      <rgbColor rgb="FFA5A5A5"/>
      <rgbColor rgb="FF045233"/>
      <rgbColor rgb="FF6FA88F"/>
      <rgbColor rgb="FF00563F"/>
      <rgbColor rgb="FF333300"/>
      <rgbColor rgb="FFA21C1C"/>
      <rgbColor rgb="FF993366"/>
      <rgbColor rgb="FF555555"/>
      <rgbColor rgb="FF1F1F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ables/table1.xml><?xml version="1.0" encoding="utf-8"?>
<table xmlns="http://schemas.openxmlformats.org/spreadsheetml/2006/main" id="1" name="Dadm01Base" displayName="Dadm01Base" ref="A4:J1200" headerRowCount="1">
  <autoFilter ref="A4:J1200"/>
  <tableColumns count="10">
    <tableColumn id="1" name="Período"/>
    <tableColumn id="2" name="Diretoria Acadêmica"/>
    <tableColumn id="3" name="Curso"/>
    <tableColumn id="4" name="Modalidade"/>
    <tableColumn id="5" name="Alunos no Início"/>
    <tableColumn id="6" name="Desligamentos"/>
    <tableColumn id="7" name="Taxa de Evasão"/>
    <tableColumn id="8" name="Meta vigente"/>
    <tableColumn id="9" name="Status"/>
    <tableColumn id="10" name="Lançado por"/>
  </tableColumns>
</table>
</file>

<file path=xl/tables/table2.xml><?xml version="1.0" encoding="utf-8"?>
<table xmlns="http://schemas.openxmlformats.org/spreadsheetml/2006/main" id="2" name="Dadm09Custos" displayName="Dadm09Custos" ref="A4:E1200" headerRowCount="1">
  <autoFilter ref="A4:E1200"/>
  <tableColumns count="5">
    <tableColumn id="1" name="Período"/>
    <tableColumn id="2" name="Centro de Custo"/>
    <tableColumn id="3" name="Modalidade"/>
    <tableColumn id="4" name="Despesa Administrativa"/>
    <tableColumn id="5" name="Lançado por"/>
  </tableColumns>
</table>
</file>

<file path=xl/tables/table3.xml><?xml version="1.0" encoding="utf-8"?>
<table xmlns="http://schemas.openxmlformats.org/spreadsheetml/2006/main" id="3" name="Dadm09Alunos" displayName="Dadm09Alunos" ref="A4:G1200" headerRowCount="1">
  <autoFilter ref="A4:G1200"/>
  <tableColumns count="7">
    <tableColumn id="1" name="Período"/>
    <tableColumn id="2" name="Diretoria Acadêmica"/>
    <tableColumn id="3" name="Curso"/>
    <tableColumn id="4" name="Modalidade"/>
    <tableColumn id="5" name="Alunos Ativos"/>
    <tableColumn id="6" name="Origem"/>
    <tableColumn id="7" name="Base Temporária"/>
  </tableColumns>
</table>
</file>

<file path=xl/tables/table4.xml><?xml version="1.0" encoding="utf-8"?>
<table xmlns="http://schemas.openxmlformats.org/spreadsheetml/2006/main" id="4" name="Dadm10Infra" displayName="Dadm10Infra" ref="A4:I1200" headerRowCount="1">
  <autoFilter ref="A4:I1200"/>
  <tableColumns count="9">
    <tableColumn id="1" name="Período"/>
    <tableColumn id="2" name="Despesa de Infraestrutura"/>
    <tableColumn id="3" name="Área em Uso (m²)"/>
    <tableColumn id="4" name="Custo por m²"/>
    <tableColumn id="5" name="Alunos Ativos"/>
    <tableColumn id="6" name="Custo por Aluno"/>
    <tableColumn id="7" name="Meta R$/m²"/>
    <tableColumn id="8" name="Status"/>
    <tableColumn id="9" name="Lançado po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 filterMode="0">
    <tabColor rgb="FF00563F"/>
    <outlinePr summaryBelow="1" summaryRight="1"/>
    <pageSetUpPr fitToPage="0"/>
  </sheetPr>
  <dimension ref="A1:B4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130" min="1" max="1"/>
    <col width="116" customWidth="1" style="130" min="2" max="2"/>
  </cols>
  <sheetData>
    <row r="1" ht="24" customHeight="1" s="131">
      <c r="A1" s="132" t="inlineStr">
        <is>
          <t>PAINEL DE GESTÃO POR DADOS — DADM · padrão DTNH</t>
        </is>
      </c>
    </row>
    <row r="2" ht="30" customHeight="1" s="131">
      <c r="A2" s="133" t="inlineStr">
        <is>
          <t>Mesma linguagem visual, mesma lógica de governança e mesma organização do painel DTNH.</t>
        </is>
      </c>
    </row>
    <row r="3"/>
    <row r="4" ht="21.75" customHeight="1" s="131">
      <c r="B4" s="134" t="inlineStr">
        <is>
          <t>1. Como a DADM usa a base acadêmica</t>
        </is>
      </c>
    </row>
    <row r="5" ht="38" customHeight="1" s="131">
      <c r="B5" s="135" t="inlineStr">
        <is>
          <t>DADM-01 recebe os desligamentos e usa como denominador a população acadêmica do mês anterior. A população não é recadastrada na DADM.</t>
        </is>
      </c>
    </row>
    <row r="6" ht="38" customHeight="1" s="131">
      <c r="B6" s="135" t="inlineStr">
        <is>
          <t>DADM-09 divide a despesa administrativa pela população acadêmica ativa. DADM-10 usa despesa de infraestrutura, área em uso e a mesma população para a leitura auxiliar por aluno.</t>
        </is>
      </c>
    </row>
    <row r="7" ht="27.75" customHeight="1" s="131">
      <c r="B7" s="135" t="n"/>
    </row>
    <row r="8" ht="27.75" customHeight="1" s="131">
      <c r="B8" s="134" t="inlineStr">
        <is>
          <t>2. Metas e direção dos indicadores</t>
        </is>
      </c>
    </row>
    <row r="9" ht="38" customHeight="1" s="131">
      <c r="B9" s="135" t="inlineStr">
        <is>
          <t>Nos três KPIs implementados, menor é melhor. A meta e o limiar de atenção possuem vigência histórica e nunca devem ser sobrescritos; uma revisão cria uma nova linha em METAS.</t>
        </is>
      </c>
    </row>
    <row r="10" ht="51.75" customHeight="1" s="131">
      <c r="B10" s="136" t="n"/>
    </row>
    <row r="11" ht="40.5" customHeight="1" s="131">
      <c r="B11" s="134" t="inlineStr">
        <is>
          <t>3. O que ver no painel</t>
        </is>
      </c>
    </row>
    <row r="12" ht="38" customHeight="1" s="131">
      <c r="B12" s="135" t="inlineStr">
        <is>
          <t>O PAINEL mantém três blocos executivos, um por KPI, seguindo a mesma lógica do DTNH: resumo, gráfico mês a mês e detalhe do recorte.</t>
        </is>
      </c>
    </row>
    <row r="13" ht="38" customHeight="1" s="131">
      <c r="B13" s="135" t="inlineStr">
        <is>
          <t>DADM-01 detalha evasão por curso. DADM-09 detalha despesas por centro de custo. DADM-10 mantém R$/m² como medida principal e R$/aluno como leitura complementar.</t>
        </is>
      </c>
    </row>
    <row r="14" ht="27.75" customHeight="1" s="131">
      <c r="B14" s="135" t="n"/>
    </row>
    <row r="15" ht="27.75" customHeight="1" s="131">
      <c r="B15" s="134" t="inlineStr">
        <is>
          <t>4. Camada de cálculo</t>
        </is>
      </c>
    </row>
    <row r="16" ht="38" customHeight="1" s="131">
      <c r="B16" s="135" t="inlineStr">
        <is>
          <t>A aba CALC é visível, como no DTNH. Ela documenta os dados que alimentam cartões, gráficos, matriz e comparações. Não edite essa aba manualmente.</t>
        </is>
      </c>
    </row>
    <row r="17" ht="54" customHeight="1" s="131">
      <c r="B17" s="135" t="n"/>
    </row>
    <row r="18" ht="15" customHeight="1" s="131">
      <c r="B18" s="134" t="inlineStr">
        <is>
          <t>5. Qualidade e governança</t>
        </is>
      </c>
    </row>
    <row r="19" ht="38" customHeight="1" s="131">
      <c r="B19" s="135" t="inlineStr">
        <is>
          <t>Antes de usar o arquivo em reunião gerencial, confira QUALIDADE E GOVERNANÇA. O objetivo é manter zero erros, metas vigentes e fontes acadêmicas claramente identificadas.</t>
        </is>
      </c>
    </row>
    <row r="20" ht="54" customHeight="1" s="131">
      <c r="B20" s="135" t="n"/>
    </row>
    <row r="21" ht="40.5" customHeight="1" s="131">
      <c r="B21" s="134" t="inlineStr">
        <is>
          <t>6. Expansão futura</t>
        </is>
      </c>
    </row>
    <row r="22" ht="38" customHeight="1" s="131">
      <c r="B22" s="135" t="inlineStr">
        <is>
          <t>Enquanto DEAD ainda não publica sua própria população, EAD e Semipresencial podem aparecer como base demonstrativa temporária. Quando DEAD entrar, a fonte acadêmica deve substituir automaticamente o fallback.</t>
        </is>
      </c>
    </row>
    <row r="23" ht="15" customHeight="1" s="131">
      <c r="B23" s="135" t="n"/>
    </row>
    <row r="24" ht="21.75" customHeight="1" s="131">
      <c r="B24" s="134" t="n"/>
    </row>
    <row r="25" ht="27.75" customHeight="1" s="131">
      <c r="B25" s="135" t="n"/>
    </row>
    <row r="26" ht="40.5" customHeight="1" s="131">
      <c r="B26" s="135" t="n"/>
    </row>
    <row r="27" ht="40.5" customHeight="1" s="131">
      <c r="B27" s="135" t="n"/>
    </row>
    <row r="28" ht="27.75" customHeight="1" s="131">
      <c r="B28" s="135" t="n"/>
    </row>
    <row r="29" ht="15" customHeight="1" s="131">
      <c r="B29" s="135" t="n"/>
    </row>
    <row r="30" ht="21.75" customHeight="1" s="131">
      <c r="B30" s="134" t="n"/>
    </row>
    <row r="31" ht="79.5" customHeight="1" s="131">
      <c r="B31" s="135" t="n"/>
    </row>
    <row r="32" ht="15" customHeight="1" s="131">
      <c r="B32" s="135" t="n"/>
    </row>
    <row r="33" ht="21.75" customHeight="1" s="131">
      <c r="B33" s="134" t="n"/>
    </row>
    <row r="34" ht="27.75" customHeight="1" s="131">
      <c r="B34" s="135" t="n"/>
    </row>
    <row r="35" ht="27.75" customHeight="1" s="131">
      <c r="B35" s="135" t="n"/>
    </row>
    <row r="36" ht="27.75" customHeight="1" s="131">
      <c r="B36" s="135" t="n"/>
    </row>
    <row r="37" ht="15" customHeight="1" s="131">
      <c r="B37" s="135" t="n"/>
    </row>
    <row r="38" ht="21.75" customHeight="1" s="131">
      <c r="B38" s="134" t="n"/>
    </row>
    <row r="39" ht="27.75" customHeight="1" s="131">
      <c r="B39" s="135" t="n"/>
    </row>
    <row r="40" ht="40.5" customHeight="1" s="131">
      <c r="B40" s="135" t="n"/>
    </row>
    <row r="41" ht="27.75" customHeight="1" s="131">
      <c r="B41" s="135" t="n"/>
    </row>
    <row r="42" ht="27.75" customHeight="1" s="131">
      <c r="B42" s="135" t="n"/>
    </row>
  </sheetData>
  <mergeCells count="2">
    <mergeCell ref="A2:B2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00563F"/>
    <outlinePr summaryBelow="1" summaryRight="1"/>
    <pageSetUpPr fitToPage="0"/>
  </sheetPr>
  <dimension ref="A1:F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0" customWidth="1" style="130" min="1" max="1"/>
    <col width="18" customWidth="1" style="130" min="2" max="2"/>
    <col width="4" customWidth="1" style="130" min="3" max="3"/>
    <col width="26" customWidth="1" style="130" min="4" max="4"/>
    <col width="20" customWidth="1" style="130" min="5" max="5"/>
    <col width="62" customWidth="1" style="130" min="6" max="6"/>
  </cols>
  <sheetData>
    <row r="1" ht="24" customHeight="1" s="131">
      <c r="A1" s="132" t="inlineStr">
        <is>
          <t>PARÂMETROS DO PAINEL</t>
        </is>
      </c>
    </row>
    <row r="2" ht="30" customHeight="1" s="131">
      <c r="A2" s="133" t="inlineStr">
        <is>
          <t>Só as células amarelas representam os recortes usados na exportação. A organização segue o mesmo padrão do painel DTNH.</t>
        </is>
      </c>
    </row>
    <row r="3"/>
    <row r="4" ht="15" customHeight="1" s="131">
      <c r="A4" s="137" t="inlineStr">
        <is>
          <t>SELEÇÃO</t>
        </is>
      </c>
    </row>
    <row r="5" ht="21.75" customHeight="1" s="131">
      <c r="A5" s="138" t="inlineStr">
        <is>
          <t>Diretoria</t>
        </is>
      </c>
      <c r="B5" s="262" t="inlineStr">
        <is>
          <t>DADM</t>
        </is>
      </c>
      <c r="D5" s="140" t="inlineStr">
        <is>
          <t>Diretoria administrativa.</t>
        </is>
      </c>
    </row>
    <row r="6" ht="21.75" customHeight="1" s="131">
      <c r="A6" s="138" t="inlineStr">
        <is>
          <t>Início da operação</t>
        </is>
      </c>
      <c r="B6" s="263" t="inlineStr">
        <is>
          <t>2026-01</t>
        </is>
      </c>
      <c r="D6" s="140" t="inlineStr">
        <is>
          <t>Primeiro mês alimentado.</t>
        </is>
      </c>
    </row>
    <row r="7" ht="21.75" customHeight="1" s="131">
      <c r="A7" s="138" t="inlineStr">
        <is>
          <t>Mês de referência</t>
        </is>
      </c>
      <c r="B7" s="263" t="inlineStr">
        <is>
          <t>2026-08</t>
        </is>
      </c>
      <c r="D7" s="140" t="inlineStr">
        <is>
          <t>O mês analisado.</t>
        </is>
      </c>
    </row>
    <row r="8" ht="21.75" customHeight="1" s="131">
      <c r="A8" s="138" t="inlineStr">
        <is>
          <t>Mês de comparação</t>
        </is>
      </c>
      <c r="B8" s="263" t="inlineStr">
        <is>
          <t>2026-07</t>
        </is>
      </c>
      <c r="D8" s="140" t="inlineStr">
        <is>
          <t>Pode ficar vazio.</t>
        </is>
      </c>
    </row>
    <row r="9" ht="21.75" customHeight="1" s="131">
      <c r="A9" s="138" t="inlineStr">
        <is>
          <t>Janela — de</t>
        </is>
      </c>
      <c r="B9" s="263" t="inlineStr">
        <is>
          <t>2026-01</t>
        </is>
      </c>
      <c r="D9" s="140" t="inlineStr">
        <is>
          <t>Primeiro mês do gráfico e da matriz.</t>
        </is>
      </c>
    </row>
    <row r="10" ht="21.75" customHeight="1" s="131">
      <c r="A10" s="138" t="inlineStr">
        <is>
          <t>Janela — até</t>
        </is>
      </c>
      <c r="B10" s="263" t="inlineStr">
        <is>
          <t>2026-08</t>
        </is>
      </c>
      <c r="D10" s="140" t="inlineStr">
        <is>
          <t>Último mês da janela.</t>
        </is>
      </c>
    </row>
    <row r="11" ht="21.75" customHeight="1" s="131">
      <c r="A11" s="138" t="inlineStr">
        <is>
          <t>Curso em foco</t>
        </is>
      </c>
      <c r="B11" s="263" t="inlineStr">
        <is>
          <t>(todos)</t>
        </is>
      </c>
      <c r="D11" s="140" t="inlineStr">
        <is>
          <t>Filtra população e evasão. Não rateia custos administrativos por curso.</t>
        </is>
      </c>
    </row>
    <row r="12" ht="21.75" customHeight="1" s="131">
      <c r="A12" s="138" t="inlineStr">
        <is>
          <t>Modalidade</t>
        </is>
      </c>
      <c r="B12" s="263" t="inlineStr">
        <is>
          <t>(todas)</t>
        </is>
      </c>
      <c r="D12" s="140" t="inlineStr">
        <is>
          <t>Presencial, EAD ou Semipresencial.</t>
        </is>
      </c>
    </row>
    <row r="13" ht="21.75" customHeight="1" s="131">
      <c r="A13" s="138" t="inlineStr">
        <is>
          <t>Setor</t>
        </is>
      </c>
      <c r="B13" s="263" t="inlineStr">
        <is>
          <t>(todos)</t>
        </is>
      </c>
      <c r="D13" s="140" t="inlineStr">
        <is>
          <t>Centro de custo aplicado ao DADM-09.</t>
        </is>
      </c>
    </row>
    <row r="14" ht="15" customHeight="1" s="131">
      <c r="A14" s="138" t="n"/>
      <c r="B14" s="142" t="n"/>
      <c r="D14" s="140" t="n"/>
    </row>
    <row r="15" ht="21.75" customHeight="1" s="131">
      <c r="A15" s="138" t="inlineStr">
        <is>
          <t>JANELA EFETIVA</t>
        </is>
      </c>
      <c r="B15" s="141" t="n"/>
      <c r="D15" s="140" t="n"/>
    </row>
    <row r="16" ht="21.75" customHeight="1" s="131">
      <c r="A16" s="138" t="inlineStr">
        <is>
          <t>Janela efetiva — de</t>
        </is>
      </c>
      <c r="B16" s="141">
        <f>IF(IFERROR(VALUE(SUBSTITUTE($B$9,"-","")),0)&lt;IFERROR(VALUE(SUBSTITUTE($B$6,"-","")),0),$B$6,$B$9)</f>
        <v/>
      </c>
      <c r="D16" s="140" t="inlineStr">
        <is>
          <t>Recuada para o início da operação, se necessário.</t>
        </is>
      </c>
    </row>
    <row r="17" ht="15" customHeight="1" s="131">
      <c r="A17" s="138" t="inlineStr">
        <is>
          <t>Janela efetiva — até</t>
        </is>
      </c>
      <c r="B17" s="142">
        <f>IF(IFERROR(VALUE(SUBSTITUTE($B$10,"-","")),0)&lt;IFERROR(VALUE(SUBSTITUTE($B$16,"-","")),0),$B$16,$B$10)</f>
        <v/>
      </c>
      <c r="D17" s="140" t="n"/>
    </row>
    <row r="18" ht="21.75" customHeight="1" s="131">
      <c r="A18" s="138" t="inlineStr">
        <is>
          <t>Meses na janela</t>
        </is>
      </c>
      <c r="B18" s="141">
        <f>(VALUE(LEFT($B$17,4))-VALUE(LEFT($B$16,4)))*12+VALUE(RIGHT($B$17,2))-VALUE(RIGHT($B$16,2))+1</f>
        <v/>
      </c>
      <c r="D18" s="140" t="n"/>
    </row>
    <row r="19" ht="15" customHeight="1" s="131">
      <c r="A19" s="143" t="n"/>
      <c r="B19" s="145" t="n"/>
    </row>
    <row r="20" ht="15" customHeight="1" s="131">
      <c r="A20" s="138" t="inlineStr">
        <is>
          <t>aux · data da referência</t>
        </is>
      </c>
      <c r="B20" s="142">
        <f>IF($B$7="","",DATE(VALUE(LEFT($B$7,4)),VALUE(RIGHT($B$7,2)),1))</f>
        <v/>
      </c>
      <c r="D20" s="140" t="n"/>
    </row>
    <row r="21" ht="21.75" customHeight="1" s="131">
      <c r="A21" s="138" t="inlineStr">
        <is>
          <t>aux · data do início da janela</t>
        </is>
      </c>
      <c r="B21" s="141">
        <f>IF($B$16="","",DATE(VALUE(LEFT($B$16,4)),VALUE(RIGHT($B$16,2)),1))</f>
        <v/>
      </c>
      <c r="D21" s="140" t="n"/>
    </row>
    <row r="22" ht="15" customHeight="1" s="131">
      <c r="A22" s="143" t="inlineStr">
        <is>
          <t>aux · chave do fim da janela</t>
        </is>
      </c>
      <c r="B22" s="145">
        <f>IFERROR(VALUE(SUBSTITUTE($B$17,"-","")),0)</f>
        <v/>
      </c>
    </row>
    <row r="23" ht="15" customHeight="1" s="131">
      <c r="A23" s="146" t="n"/>
      <c r="B23" s="147" t="n"/>
    </row>
    <row r="24" ht="21.75" customHeight="1" s="131">
      <c r="A24" s="138" t="inlineStr">
        <is>
          <t>ATALHOS</t>
        </is>
      </c>
      <c r="B24" s="141" t="n"/>
      <c r="D24" s="140" t="inlineStr">
        <is>
          <t>Referências úteis para leitura do fechamento.</t>
        </is>
      </c>
    </row>
    <row r="25" ht="15" customHeight="1" s="131">
      <c r="A25" s="143" t="inlineStr">
        <is>
          <t>Mês anterior à referência</t>
        </is>
      </c>
      <c r="B25" s="145">
        <f>IF($B$7="","",YEAR(EDATE($B$20,-1))&amp;"-"&amp;IF(MONTH(EDATE($B$20,-1))&lt;10,"0","")&amp;MONTH(EDATE($B$20,-1)))</f>
        <v/>
      </c>
    </row>
    <row r="26" ht="15" customHeight="1" s="131">
      <c r="A26" s="146" t="inlineStr">
        <is>
          <t>Mesmo mês do ano anterior</t>
        </is>
      </c>
      <c r="B26" s="147">
        <f>IF($B$7="","",YEAR(EDATE($B$20,-12))&amp;"-"&amp;IF(MONTH(EDATE($B$20,-12))&lt;10,"0","")&amp;MONTH(EDATE($B$20,-12)))</f>
        <v/>
      </c>
    </row>
    <row r="27" ht="21.75" customHeight="1" s="131">
      <c r="A27" s="138" t="inlineStr">
        <is>
          <t>Primeiro mês com dado</t>
        </is>
      </c>
      <c r="B27" s="141">
        <f>IF(MIN(DIM_MES!$G$5:$G$148)=999999,"—",INDEX(DIM_MES!$B$5:$B$148,MATCH(MIN(DIM_MES!$G$5:$G$148),DIM_MES!$G$5:$G$148,0)))</f>
        <v/>
      </c>
    </row>
    <row r="28" ht="15" customHeight="1" s="131">
      <c r="A28" s="143" t="inlineStr">
        <is>
          <t>Último mês com dado</t>
        </is>
      </c>
      <c r="B28" s="145">
        <f>IF(MAX(DIM_MES!$H$5:$H$148)=0,"—",INDEX(DIM_MES!$B$5:$B$148,MATCH(MAX(DIM_MES!$H$5:$H$148),DIM_MES!$H$5:$H$148,0)))</f>
        <v/>
      </c>
    </row>
    <row r="29" ht="15" customHeight="1" s="131">
      <c r="A29" s="146" t="inlineStr">
        <is>
          <t>Modalidades na base</t>
        </is>
      </c>
      <c r="B29" s="147">
        <f>COUNTIF('LISTAS DE APOIO'!$B$5:$B$7,"&lt;&gt;")&amp;" modalidades cadastradas"</f>
        <v/>
      </c>
    </row>
    <row r="30" ht="21.75" customHeight="1" s="131">
      <c r="A30" s="138" t="inlineStr">
        <is>
          <t>Recorte atual</t>
        </is>
      </c>
      <c r="B30" s="141">
        <f>$B$11&amp;" · "&amp;$B$12&amp;" · "&amp;$B$13</f>
        <v/>
      </c>
      <c r="C30" s="264" t="n"/>
      <c r="D30" s="265" t="n"/>
    </row>
    <row r="31" ht="15" customHeight="1" s="131">
      <c r="A31" s="146" t="n"/>
      <c r="B31" s="150" t="n"/>
    </row>
    <row r="32" ht="15" customHeight="1" s="131">
      <c r="A32" s="146" t="n"/>
      <c r="B32" s="150" t="n"/>
    </row>
    <row r="33" ht="21.75" customHeight="1" s="131">
      <c r="A33" s="138" t="inlineStr">
        <is>
          <t>DIAGNÓSTICO</t>
        </is>
      </c>
      <c r="B33" s="141" t="n"/>
    </row>
    <row r="34" ht="15" customHeight="1" s="131">
      <c r="A34" s="146" t="inlineStr">
        <is>
          <t>Mês de referência tem dado?</t>
        </is>
      </c>
      <c r="B34" s="150">
        <f>IF($B$7="","sem mês escolhido",IF(IFERROR(INDEX(DIM_MES!$F$5:$F$148,MATCH($B$7,DIM_MES!$B$5:$B$148,0)),0)&gt;0,"OK — há lançamentos","SEM DADO neste mês"))</f>
        <v/>
      </c>
      <c r="C34" s="148" t="n"/>
      <c r="D34" s="148" t="n"/>
      <c r="E34" s="149" t="n"/>
    </row>
    <row r="35" ht="15" customHeight="1" s="131">
      <c r="A35" s="146" t="inlineStr">
        <is>
          <t>Mês de comparação tem dado?</t>
        </is>
      </c>
      <c r="B35" s="150">
        <f>IF($B$8="","(sem comparação)",IF(IFERROR(INDEX(DIM_MES!$F$5:$F$148,MATCH($B$8,DIM_MES!$B$5:$B$148,0)),0)&gt;0,"OK — há lançamentos","SEM DADO neste mês"))</f>
        <v/>
      </c>
      <c r="C35" s="148" t="n"/>
      <c r="D35" s="148" t="n"/>
      <c r="E35" s="149" t="n"/>
    </row>
    <row r="36" ht="21.75" customHeight="1" s="131">
      <c r="A36" s="138" t="inlineStr">
        <is>
          <t>Referência está dentro da janela?</t>
        </is>
      </c>
      <c r="B36" s="141">
        <f>IF($B$7="","—",IF(AND(IFERROR(VALUE(SUBSTITUTE($B$7,"-","")),0)&gt;=IFERROR(VALUE(SUBSTITUTE($B$16,"-","")),0),IFERROR(VALUE(SUBSTITUTE($B$7,"-","")),0)&lt;=IFERROR(VALUE(SUBSTITUTE($B$17,"-","")),0)),"OK — dentro da janela","FORA DA JANELA — o gráfico não mostra o mês analisado"))</f>
        <v/>
      </c>
      <c r="C36" s="264" t="n"/>
      <c r="D36" s="264" t="n"/>
      <c r="E36" s="265" t="n"/>
    </row>
    <row r="37" ht="15" customHeight="1" s="131">
      <c r="A37" s="146" t="inlineStr">
        <is>
          <t>Tamanho da janela</t>
        </is>
      </c>
      <c r="B37" s="150">
        <f>IF($B$18&gt;12,"EXCEDE 12 MESES — só os primeiros 12 aparecem",$B$18&amp;" meses, dentro do limite de 12")</f>
        <v/>
      </c>
      <c r="C37" s="148" t="n"/>
      <c r="D37" s="148" t="n"/>
      <c r="E37" s="149" t="n"/>
    </row>
    <row r="38" ht="15" customHeight="1" s="131">
      <c r="A38" s="146" t="inlineStr">
        <is>
          <t>Meses vazios na janela</t>
        </is>
      </c>
      <c r="B38" s="150">
        <f>IF(SUMPRODUCT((DIM_MES!$E$5:$E$148&gt;=IFERROR(VALUE(SUBSTITUTE($B$16,"-","")),0))*(DIM_MES!$E$5:$E$148&lt;=IFERROR(VALUE(SUBSTITUTE($B$17,"-","")),0))*(DIM_MES!$F$5:$F$148=0))=0,"OK — nenhum mês vazio",SUMPRODUCT((DIM_MES!$E$5:$E$148&gt;=IFERROR(VALUE(SUBSTITUTE($B$16,"-","")),0))*(DIM_MES!$E$5:$E$148&lt;=IFERROR(VALUE(SUBSTITUTE($B$17,"-","")),0))*(DIM_MES!$F$5:$F$148=0))&amp;" meses vazios — revise a janela")</f>
        <v/>
      </c>
      <c r="C38" s="148" t="n"/>
      <c r="D38" s="148" t="n"/>
      <c r="E38" s="149" t="n"/>
    </row>
    <row r="39" ht="21.75" customHeight="1" s="131">
      <c r="A39" s="138" t="inlineStr">
        <is>
          <t>Base acadêmica temporária</t>
        </is>
      </c>
      <c r="B39" s="141">
        <f>IF(COUNTIF('DADM-09 ALUNOS'!$G$5:$G$1200,"Sim")=0,"OK — sem fallback temporário",COUNTIF('DADM-09 ALUNOS'!$G$5:$G$1200,"Sim")&amp;" linhas temporárias — revisar quando DEAD estiver ativo")</f>
        <v/>
      </c>
      <c r="C39" s="264" t="n"/>
      <c r="D39" s="264" t="n"/>
      <c r="E39" s="265" t="n"/>
    </row>
    <row r="40" ht="15" customHeight="1" s="131">
      <c r="A40" s="146" t="inlineStr">
        <is>
          <t>Metas históricas cadastradas</t>
        </is>
      </c>
      <c r="B40" s="150">
        <f>IF(COUNTIF(METAS!$A$5:$A$404,"DADM-*")&gt;=3,"OK — metas cadastradas","SEM META — revisar a aba METAS")</f>
        <v/>
      </c>
      <c r="C40" s="148" t="n"/>
      <c r="D40" s="148" t="n"/>
      <c r="E40" s="149" t="n"/>
    </row>
  </sheetData>
  <mergeCells count="19">
    <mergeCell ref="B40:E40"/>
    <mergeCell ref="D11:F11"/>
    <mergeCell ref="D13:F13"/>
    <mergeCell ref="D5:F5"/>
    <mergeCell ref="B37:E37"/>
    <mergeCell ref="B39:E39"/>
    <mergeCell ref="D7:F7"/>
    <mergeCell ref="B36:E36"/>
    <mergeCell ref="D10:F10"/>
    <mergeCell ref="A2:F2"/>
    <mergeCell ref="B35:E35"/>
    <mergeCell ref="A1:F1"/>
    <mergeCell ref="B38:E38"/>
    <mergeCell ref="D12:F12"/>
    <mergeCell ref="D9:F9"/>
    <mergeCell ref="B30:D30"/>
    <mergeCell ref="B34:E34"/>
    <mergeCell ref="D8:F8"/>
    <mergeCell ref="D6:F6"/>
  </mergeCells>
  <conditionalFormatting sqref="B34">
    <cfRule type="expression" priority="29" dxfId="16">
      <formula>ISNUMBER(SEARCH("SEM DADO",$B34))</formula>
    </cfRule>
    <cfRule type="expression" priority="30" dxfId="16">
      <formula>ISNUMBER(SEARCH("FORA DA JANELA",$B34))</formula>
    </cfRule>
    <cfRule type="expression" priority="31" dxfId="16">
      <formula>ISNUMBER(SEARCH("EXCEDE",$B34))</formula>
    </cfRule>
    <cfRule type="expression" priority="32" dxfId="16">
      <formula>ISNUMBER(SEARCH("SEM META",$B34))</formula>
    </cfRule>
    <cfRule type="expression" priority="33" dxfId="16">
      <formula>ISNUMBER(SEARCH("temporárias",$B34))</formula>
    </cfRule>
    <cfRule type="expression" priority="34" dxfId="17">
      <formula>ISNUMBER(SEARCH("OK",$B34))</formula>
    </cfRule>
  </conditionalFormatting>
  <conditionalFormatting sqref="B35">
    <cfRule type="expression" priority="35" dxfId="16">
      <formula>ISNUMBER(SEARCH("SEM DADO",$B35))</formula>
    </cfRule>
    <cfRule type="expression" priority="36" dxfId="16">
      <formula>ISNUMBER(SEARCH("FORA DA JANELA",$B35))</formula>
    </cfRule>
    <cfRule type="expression" priority="37" dxfId="16">
      <formula>ISNUMBER(SEARCH("EXCEDE",$B35))</formula>
    </cfRule>
    <cfRule type="expression" priority="38" dxfId="16">
      <formula>ISNUMBER(SEARCH("SEM META",$B35))</formula>
    </cfRule>
    <cfRule type="expression" priority="39" dxfId="16">
      <formula>ISNUMBER(SEARCH("temporárias",$B35))</formula>
    </cfRule>
    <cfRule type="expression" priority="40" dxfId="17">
      <formula>ISNUMBER(SEARCH("OK",$B35))</formula>
    </cfRule>
  </conditionalFormatting>
  <conditionalFormatting sqref="B36">
    <cfRule type="expression" priority="41" dxfId="16">
      <formula>ISNUMBER(SEARCH("SEM DADO",$B36))</formula>
    </cfRule>
    <cfRule type="expression" priority="42" dxfId="16">
      <formula>ISNUMBER(SEARCH("FORA DA JANELA",$B36))</formula>
    </cfRule>
    <cfRule type="expression" priority="43" dxfId="16">
      <formula>ISNUMBER(SEARCH("EXCEDE",$B36))</formula>
    </cfRule>
    <cfRule type="expression" priority="44" dxfId="16">
      <formula>ISNUMBER(SEARCH("SEM META",$B36))</formula>
    </cfRule>
    <cfRule type="expression" priority="45" dxfId="16">
      <formula>ISNUMBER(SEARCH("temporárias",$B36))</formula>
    </cfRule>
    <cfRule type="expression" priority="46" dxfId="17">
      <formula>ISNUMBER(SEARCH("OK",$B36))</formula>
    </cfRule>
  </conditionalFormatting>
  <conditionalFormatting sqref="B37">
    <cfRule type="expression" priority="47" dxfId="16">
      <formula>ISNUMBER(SEARCH("SEM DADO",$B37))</formula>
    </cfRule>
    <cfRule type="expression" priority="48" dxfId="16">
      <formula>ISNUMBER(SEARCH("FORA DA JANELA",$B37))</formula>
    </cfRule>
    <cfRule type="expression" priority="49" dxfId="16">
      <formula>ISNUMBER(SEARCH("EXCEDE",$B37))</formula>
    </cfRule>
    <cfRule type="expression" priority="50" dxfId="16">
      <formula>ISNUMBER(SEARCH("SEM META",$B37))</formula>
    </cfRule>
    <cfRule type="expression" priority="51" dxfId="16">
      <formula>ISNUMBER(SEARCH("temporárias",$B37))</formula>
    </cfRule>
    <cfRule type="expression" priority="52" dxfId="17">
      <formula>ISNUMBER(SEARCH("OK",$B37))</formula>
    </cfRule>
  </conditionalFormatting>
  <conditionalFormatting sqref="B38">
    <cfRule type="expression" priority="53" dxfId="16">
      <formula>ISNUMBER(SEARCH("SEM DADO",$B38))</formula>
    </cfRule>
    <cfRule type="expression" priority="54" dxfId="16">
      <formula>ISNUMBER(SEARCH("FORA DA JANELA",$B38))</formula>
    </cfRule>
    <cfRule type="expression" priority="55" dxfId="16">
      <formula>ISNUMBER(SEARCH("EXCEDE",$B38))</formula>
    </cfRule>
    <cfRule type="expression" priority="56" dxfId="16">
      <formula>ISNUMBER(SEARCH("SEM META",$B38))</formula>
    </cfRule>
    <cfRule type="expression" priority="57" dxfId="16">
      <formula>ISNUMBER(SEARCH("temporárias",$B38))</formula>
    </cfRule>
    <cfRule type="expression" priority="58" dxfId="17">
      <formula>ISNUMBER(SEARCH("OK",$B38))</formula>
    </cfRule>
  </conditionalFormatting>
  <conditionalFormatting sqref="B39">
    <cfRule type="expression" priority="59" dxfId="16">
      <formula>ISNUMBER(SEARCH("SEM DADO",$B39))</formula>
    </cfRule>
    <cfRule type="expression" priority="60" dxfId="16">
      <formula>ISNUMBER(SEARCH("FORA DA JANELA",$B39))</formula>
    </cfRule>
    <cfRule type="expression" priority="61" dxfId="16">
      <formula>ISNUMBER(SEARCH("EXCEDE",$B39))</formula>
    </cfRule>
    <cfRule type="expression" priority="62" dxfId="16">
      <formula>ISNUMBER(SEARCH("SEM META",$B39))</formula>
    </cfRule>
    <cfRule type="expression" priority="63" dxfId="16">
      <formula>ISNUMBER(SEARCH("temporárias",$B39))</formula>
    </cfRule>
    <cfRule type="expression" priority="64" dxfId="17">
      <formula>ISNUMBER(SEARCH("OK",$B39))</formula>
    </cfRule>
  </conditionalFormatting>
  <conditionalFormatting sqref="B40">
    <cfRule type="expression" priority="65" dxfId="16">
      <formula>ISNUMBER(SEARCH("SEM DADO",$B40))</formula>
    </cfRule>
    <cfRule type="expression" priority="66" dxfId="16">
      <formula>ISNUMBER(SEARCH("FORA DA JANELA",$B40))</formula>
    </cfRule>
    <cfRule type="expression" priority="67" dxfId="16">
      <formula>ISNUMBER(SEARCH("EXCEDE",$B40))</formula>
    </cfRule>
    <cfRule type="expression" priority="68" dxfId="16">
      <formula>ISNUMBER(SEARCH("SEM META",$B40))</formula>
    </cfRule>
    <cfRule type="expression" priority="69" dxfId="16">
      <formula>ISNUMBER(SEARCH("temporárias",$B40))</formula>
    </cfRule>
    <cfRule type="expression" priority="70" dxfId="17">
      <formula>ISNUMBER(SEARCH("OK",$B40))</formula>
    </cfRule>
  </conditionalFormatting>
  <dataValidations count="8">
    <dataValidation sqref="B6" showDropDown="0" showInputMessage="0" showErrorMessage="0" allowBlank="1" type="list">
      <formula1>DIM_MES!$B$5:$B$148</formula1>
    </dataValidation>
    <dataValidation sqref="B7" showDropDown="0" showInputMessage="0" showErrorMessage="0" allowBlank="1" type="list">
      <formula1>DIM_MES!$B$5:$B$148</formula1>
    </dataValidation>
    <dataValidation sqref="B8" showDropDown="0" showInputMessage="0" showErrorMessage="0" allowBlank="1" type="list">
      <formula1>DIM_MES!$B$5:$B$148</formula1>
    </dataValidation>
    <dataValidation sqref="B9" showDropDown="0" showInputMessage="0" showErrorMessage="0" allowBlank="1" type="list">
      <formula1>DIM_MES!$B$5:$B$148</formula1>
    </dataValidation>
    <dataValidation sqref="B10" showDropDown="0" showInputMessage="0" showErrorMessage="0" allowBlank="1" type="list">
      <formula1>DIM_MES!$B$5:$B$148</formula1>
    </dataValidation>
    <dataValidation sqref="B11" showDropDown="0" showInputMessage="0" showErrorMessage="0" allowBlank="1" type="list">
      <formula1>'LISTAS DE APOIO'!$H$5:$H$34</formula1>
    </dataValidation>
    <dataValidation sqref="B12" showDropDown="0" showInputMessage="0" showErrorMessage="0" allowBlank="1" type="list">
      <formula1>'LISTAS DE APOIO'!$B$5:$B$8</formula1>
    </dataValidation>
    <dataValidation sqref="B13" showDropDown="0" showInputMessage="0" showErrorMessage="0" allowBlank="1" type="list">
      <formula1>'LISTAS DE APOIO'!$I$5:$I$34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00563F"/>
    <outlinePr summaryBelow="1" summaryRight="1"/>
    <pageSetUpPr fitToPage="0"/>
  </sheetPr>
  <dimension ref="A1:K15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6" customWidth="1" style="130" min="1" max="1"/>
    <col width="15" customWidth="1" style="130" min="2" max="3"/>
    <col width="13" customWidth="1" style="130" min="4" max="7"/>
    <col width="12" customWidth="1" style="130" min="8" max="8"/>
    <col width="20" customWidth="1" style="130" min="9" max="9"/>
    <col width="22" customWidth="1" style="130" min="10" max="10"/>
    <col width="13" customWidth="1" style="130" min="11" max="11"/>
  </cols>
  <sheetData>
    <row r="1" ht="24" customHeight="1" s="131">
      <c r="A1" s="132" t="inlineStr">
        <is>
          <t>PAINEL DE GESTÃO — DADM</t>
        </is>
      </c>
    </row>
    <row r="2" ht="30" customHeight="1" s="131">
      <c r="A2" s="133" t="inlineStr">
        <is>
          <t>Leitura do mês. Todos os números vêm de CALC; para entender o recorte, consulte PARAMETROS.</t>
        </is>
      </c>
    </row>
    <row r="3"/>
    <row r="4" ht="21.75" customHeight="1" s="131">
      <c r="A4" s="151" t="inlineStr">
        <is>
          <t>Mês de referência</t>
        </is>
      </c>
      <c r="D4" s="151" t="inlineStr">
        <is>
          <t>Mês de comparação</t>
        </is>
      </c>
      <c r="G4" s="151" t="inlineStr">
        <is>
          <t>Janela</t>
        </is>
      </c>
      <c r="J4" s="151" t="inlineStr">
        <is>
          <t>Recorte</t>
        </is>
      </c>
    </row>
    <row r="5" ht="24" customHeight="1" s="131">
      <c r="A5" s="152">
        <f>PARAMETROS!$B$7</f>
        <v/>
      </c>
      <c r="B5" s="153" t="n"/>
      <c r="D5" s="152">
        <f>IF(PARAMETROS!$B$8="","(sem)",PARAMETROS!$B$8)</f>
        <v/>
      </c>
      <c r="E5" s="153" t="n"/>
      <c r="G5" s="152">
        <f>PARAMETROS!$B$16&amp;"  a  "&amp;PARAMETROS!$B$17</f>
        <v/>
      </c>
      <c r="H5" s="153" t="n"/>
      <c r="J5" s="152">
        <f>PARAMETROS!$B$11&amp;" · "&amp;PARAMETROS!$B$12&amp;" · "&amp;PARAMETROS!$B$13</f>
        <v/>
      </c>
      <c r="K5" s="153" t="n"/>
    </row>
    <row r="6"/>
    <row r="7" ht="24" customHeight="1" s="131">
      <c r="A7" s="154" t="inlineStr">
        <is>
          <t xml:space="preserve">   DADM-01   ·   Taxa de Evasão   ·   alimentação mensal   ·   detalhe por curso</t>
        </is>
      </c>
      <c r="B7" s="148" t="n"/>
      <c r="C7" s="148" t="n"/>
      <c r="D7" s="148" t="n"/>
      <c r="E7" s="148" t="n"/>
      <c r="F7" s="148" t="n"/>
      <c r="G7" s="148" t="n"/>
      <c r="H7" s="148" t="n"/>
      <c r="I7" s="148" t="n"/>
      <c r="J7" s="148" t="n"/>
      <c r="K7" s="148" t="n"/>
    </row>
    <row r="8" ht="30" customHeight="1" s="131">
      <c r="A8" s="155" t="inlineStr">
        <is>
          <t>Valor na referência</t>
        </is>
      </c>
      <c r="B8" s="155" t="inlineStr">
        <is>
          <t>Valor na comparação</t>
        </is>
      </c>
      <c r="C8" s="155" t="inlineStr">
        <is>
          <t>Variação</t>
        </is>
      </c>
      <c r="D8" s="155" t="inlineStr">
        <is>
          <t>Meta vigente</t>
        </is>
      </c>
      <c r="E8" s="155" t="inlineStr">
        <is>
          <t>Limiar de atenção</t>
        </is>
      </c>
      <c r="F8" s="155" t="inlineStr">
        <is>
          <t>Distância da meta</t>
        </is>
      </c>
      <c r="G8" s="155" t="inlineStr">
        <is>
          <t>Distância do limiar</t>
        </is>
      </c>
      <c r="H8" s="155" t="inlineStr">
        <is>
          <t>Atingimento</t>
        </is>
      </c>
      <c r="I8" s="155" t="inlineStr">
        <is>
          <t>Status</t>
        </is>
      </c>
      <c r="J8" s="155" t="inlineStr">
        <is>
          <t>Situação</t>
        </is>
      </c>
      <c r="K8" s="155" t="inlineStr">
        <is>
          <t>Lançamentos</t>
        </is>
      </c>
    </row>
    <row r="9" ht="30" customHeight="1" s="131">
      <c r="A9" s="266">
        <f>CALC!$B$37</f>
        <v/>
      </c>
      <c r="B9" s="267">
        <f>CALC!$C$37</f>
        <v/>
      </c>
      <c r="C9" s="268">
        <f>CALC!$D$37</f>
        <v/>
      </c>
      <c r="D9" s="269">
        <f>CALC!$E$37</f>
        <v/>
      </c>
      <c r="E9" s="270">
        <f>CALC!$F$37</f>
        <v/>
      </c>
      <c r="F9" s="271">
        <f>CALC!$G$37</f>
        <v/>
      </c>
      <c r="G9" s="271">
        <f>CALC!$H$37</f>
        <v/>
      </c>
      <c r="H9" s="272">
        <f>CALC!$I$37</f>
        <v/>
      </c>
      <c r="I9" s="163">
        <f>CALC!$J$37</f>
        <v/>
      </c>
      <c r="J9" s="164">
        <f>CALC!$K$37</f>
        <v/>
      </c>
      <c r="K9" s="165">
        <f>CALC!$L$37</f>
        <v/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 ht="25.5" customHeight="1" s="131">
      <c r="A26" s="166" t="inlineStr">
        <is>
          <t>Curso</t>
        </is>
      </c>
      <c r="B26" s="166" t="inlineStr">
        <is>
          <t>Referência</t>
        </is>
      </c>
      <c r="C26" s="166" t="inlineStr">
        <is>
          <t>Comparação</t>
        </is>
      </c>
      <c r="D26" s="166" t="inlineStr">
        <is>
          <t>Variação</t>
        </is>
      </c>
      <c r="E26" s="166" t="inlineStr">
        <is>
          <t>Meta</t>
        </is>
      </c>
      <c r="F26" s="166" t="inlineStr">
        <is>
          <t>Status</t>
        </is>
      </c>
    </row>
    <row r="27" ht="15" customHeight="1" s="131">
      <c r="A27" s="167">
        <f>CALC!$A$41</f>
        <v/>
      </c>
      <c r="B27" s="168">
        <f>CALC!$F$41</f>
        <v/>
      </c>
      <c r="C27" s="169">
        <f>CALC!$G$41</f>
        <v/>
      </c>
      <c r="D27" s="170">
        <f>CALC!$H$41</f>
        <v/>
      </c>
      <c r="E27" s="169">
        <f>CALC!$I$41</f>
        <v/>
      </c>
      <c r="F27" s="171">
        <f>CALC!$K$41</f>
        <v/>
      </c>
    </row>
    <row r="28" ht="15" customHeight="1" s="131">
      <c r="A28" s="167">
        <f>CALC!$A$42</f>
        <v/>
      </c>
      <c r="B28" s="168">
        <f>CALC!$F$42</f>
        <v/>
      </c>
      <c r="C28" s="169">
        <f>CALC!$G$42</f>
        <v/>
      </c>
      <c r="D28" s="170">
        <f>CALC!$H$42</f>
        <v/>
      </c>
      <c r="E28" s="169">
        <f>CALC!$I$42</f>
        <v/>
      </c>
      <c r="F28" s="171">
        <f>CALC!$K$42</f>
        <v/>
      </c>
    </row>
    <row r="29" ht="21.75" customHeight="1" s="131">
      <c r="A29" s="167">
        <f>CALC!$A$43</f>
        <v/>
      </c>
      <c r="B29" s="168">
        <f>CALC!$F$43</f>
        <v/>
      </c>
      <c r="C29" s="169">
        <f>CALC!$G$43</f>
        <v/>
      </c>
      <c r="D29" s="170">
        <f>CALC!$H$43</f>
        <v/>
      </c>
      <c r="E29" s="169">
        <f>CALC!$I$43</f>
        <v/>
      </c>
      <c r="F29" s="171">
        <f>CALC!$K$43</f>
        <v/>
      </c>
    </row>
    <row r="30" ht="15" customHeight="1" s="131">
      <c r="A30" s="167">
        <f>CALC!$A$44</f>
        <v/>
      </c>
      <c r="B30" s="168">
        <f>CALC!$F$44</f>
        <v/>
      </c>
      <c r="C30" s="169">
        <f>CALC!$G$44</f>
        <v/>
      </c>
      <c r="D30" s="170">
        <f>CALC!$H$44</f>
        <v/>
      </c>
      <c r="E30" s="169">
        <f>CALC!$I$44</f>
        <v/>
      </c>
      <c r="F30" s="171">
        <f>CALC!$K$44</f>
        <v/>
      </c>
    </row>
    <row r="31" ht="15" customHeight="1" s="131">
      <c r="A31" s="167">
        <f>CALC!$A$45</f>
        <v/>
      </c>
      <c r="B31" s="168">
        <f>CALC!$F$45</f>
        <v/>
      </c>
      <c r="C31" s="169">
        <f>CALC!$G$45</f>
        <v/>
      </c>
      <c r="D31" s="170">
        <f>CALC!$H$45</f>
        <v/>
      </c>
      <c r="E31" s="169">
        <f>CALC!$I$45</f>
        <v/>
      </c>
      <c r="F31" s="171">
        <f>CALC!$K$45</f>
        <v/>
      </c>
    </row>
    <row r="32" ht="15" customHeight="1" s="131">
      <c r="A32" s="167">
        <f>CALC!$A$46</f>
        <v/>
      </c>
      <c r="B32" s="168">
        <f>CALC!$F$46</f>
        <v/>
      </c>
      <c r="C32" s="169">
        <f>CALC!$G$46</f>
        <v/>
      </c>
      <c r="D32" s="170">
        <f>CALC!$H$46</f>
        <v/>
      </c>
      <c r="E32" s="169">
        <f>CALC!$I$46</f>
        <v/>
      </c>
      <c r="F32" s="171">
        <f>CALC!$K$46</f>
        <v/>
      </c>
    </row>
    <row r="33" ht="15" customHeight="1" s="131">
      <c r="A33" s="167">
        <f>CALC!$A$47</f>
        <v/>
      </c>
      <c r="B33" s="168">
        <f>CALC!$F$47</f>
        <v/>
      </c>
      <c r="C33" s="169">
        <f>CALC!$G$47</f>
        <v/>
      </c>
      <c r="D33" s="170">
        <f>CALC!$H$47</f>
        <v/>
      </c>
      <c r="E33" s="169">
        <f>CALC!$I$47</f>
        <v/>
      </c>
      <c r="F33" s="171">
        <f>CALC!$K$47</f>
        <v/>
      </c>
    </row>
    <row r="34" ht="15" customHeight="1" s="131">
      <c r="A34" s="167">
        <f>CALC!$A$48</f>
        <v/>
      </c>
      <c r="B34" s="168">
        <f>CALC!$F$48</f>
        <v/>
      </c>
      <c r="C34" s="169">
        <f>CALC!$G$48</f>
        <v/>
      </c>
      <c r="D34" s="170">
        <f>CALC!$H$48</f>
        <v/>
      </c>
      <c r="E34" s="169">
        <f>CALC!$I$48</f>
        <v/>
      </c>
      <c r="F34" s="171">
        <f>CALC!$K$48</f>
        <v/>
      </c>
    </row>
    <row r="35" ht="15" customHeight="1" s="131">
      <c r="A35" s="167">
        <f>CALC!$A$49</f>
        <v/>
      </c>
      <c r="B35" s="168">
        <f>CALC!$F$49</f>
        <v/>
      </c>
      <c r="C35" s="169">
        <f>CALC!$G$49</f>
        <v/>
      </c>
      <c r="D35" s="170">
        <f>CALC!$H$49</f>
        <v/>
      </c>
      <c r="E35" s="169">
        <f>CALC!$I$49</f>
        <v/>
      </c>
      <c r="F35" s="171">
        <f>CALC!$K$49</f>
        <v/>
      </c>
    </row>
    <row r="36"/>
    <row r="37"/>
    <row r="38" ht="24" customHeight="1" s="131">
      <c r="A38" s="154" t="inlineStr">
        <is>
          <t xml:space="preserve">   DADM-09   ·   Custo Administrativo por Aluno   ·   alimentação mensal   ·   detalhe por centro de custo</t>
        </is>
      </c>
      <c r="B38" s="148" t="n"/>
      <c r="C38" s="148" t="n"/>
      <c r="D38" s="148" t="n"/>
      <c r="E38" s="148" t="n"/>
      <c r="F38" s="148" t="n"/>
      <c r="G38" s="148" t="n"/>
      <c r="H38" s="148" t="n"/>
      <c r="I38" s="148" t="n"/>
      <c r="J38" s="148" t="n"/>
      <c r="K38" s="148" t="n"/>
    </row>
    <row r="39" ht="30" customHeight="1" s="131">
      <c r="A39" s="155" t="inlineStr">
        <is>
          <t>Valor na referência</t>
        </is>
      </c>
      <c r="B39" s="155" t="inlineStr">
        <is>
          <t>Valor na comparação</t>
        </is>
      </c>
      <c r="C39" s="155" t="inlineStr">
        <is>
          <t>Variação</t>
        </is>
      </c>
      <c r="D39" s="155" t="inlineStr">
        <is>
          <t>Meta vigente</t>
        </is>
      </c>
      <c r="E39" s="155" t="inlineStr">
        <is>
          <t>Limiar de atenção</t>
        </is>
      </c>
      <c r="F39" s="155" t="inlineStr">
        <is>
          <t>Distância da meta</t>
        </is>
      </c>
      <c r="G39" s="155" t="inlineStr">
        <is>
          <t>Distância do limiar</t>
        </is>
      </c>
      <c r="H39" s="155" t="inlineStr">
        <is>
          <t>Atingimento</t>
        </is>
      </c>
      <c r="I39" s="155" t="inlineStr">
        <is>
          <t>Status</t>
        </is>
      </c>
      <c r="J39" s="155" t="inlineStr">
        <is>
          <t>Situação</t>
        </is>
      </c>
      <c r="K39" s="155" t="inlineStr">
        <is>
          <t>Lançamentos</t>
        </is>
      </c>
    </row>
    <row r="40" ht="30" customHeight="1" s="131">
      <c r="A40" s="273">
        <f>CALC!$B$70</f>
        <v/>
      </c>
      <c r="B40" s="274">
        <f>CALC!$C$70</f>
        <v/>
      </c>
      <c r="C40" s="275">
        <f>CALC!$D$70</f>
        <v/>
      </c>
      <c r="D40" s="276">
        <f>CALC!$E$70</f>
        <v/>
      </c>
      <c r="E40" s="277">
        <f>CALC!$F$70</f>
        <v/>
      </c>
      <c r="F40" s="278">
        <f>CALC!$G$70</f>
        <v/>
      </c>
      <c r="G40" s="278">
        <f>CALC!$H$70</f>
        <v/>
      </c>
      <c r="H40" s="272">
        <f>CALC!$I$70</f>
        <v/>
      </c>
      <c r="I40" s="163">
        <f>CALC!$J$70</f>
        <v/>
      </c>
      <c r="J40" s="164">
        <f>CALC!$K$70</f>
        <v/>
      </c>
      <c r="K40" s="165">
        <f>CALC!$L$70</f>
        <v/>
      </c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 ht="25.5" customHeight="1" s="131">
      <c r="A57" s="166" t="inlineStr">
        <is>
          <t>Centro de custo</t>
        </is>
      </c>
      <c r="B57" s="166" t="inlineStr">
        <is>
          <t>Referência</t>
        </is>
      </c>
      <c r="C57" s="166" t="inlineStr">
        <is>
          <t>Comparação</t>
        </is>
      </c>
      <c r="D57" s="166" t="inlineStr">
        <is>
          <t>Variação</t>
        </is>
      </c>
      <c r="E57" s="166" t="inlineStr">
        <is>
          <t>% da despesa</t>
        </is>
      </c>
      <c r="F57" s="166" t="inlineStr">
        <is>
          <t>Leitura</t>
        </is>
      </c>
    </row>
    <row r="58" ht="15" customHeight="1" s="131">
      <c r="A58" s="167">
        <f>CALC!$A$74</f>
        <v/>
      </c>
      <c r="B58" s="178">
        <f>CALC!$D$74</f>
        <v/>
      </c>
      <c r="C58" s="179">
        <f>CALC!$E$74</f>
        <v/>
      </c>
      <c r="D58" s="180">
        <f>CALC!$F$74</f>
        <v/>
      </c>
      <c r="E58" s="181">
        <f>CALC!$G$74</f>
        <v/>
      </c>
      <c r="F58" s="171">
        <f>CALC!$H$74</f>
        <v/>
      </c>
    </row>
    <row r="59" ht="15" customHeight="1" s="131">
      <c r="A59" s="167">
        <f>CALC!$A$75</f>
        <v/>
      </c>
      <c r="B59" s="178">
        <f>CALC!$D$75</f>
        <v/>
      </c>
      <c r="C59" s="179">
        <f>CALC!$E$75</f>
        <v/>
      </c>
      <c r="D59" s="180">
        <f>CALC!$F$75</f>
        <v/>
      </c>
      <c r="E59" s="181">
        <f>CALC!$G$75</f>
        <v/>
      </c>
      <c r="F59" s="171">
        <f>CALC!$H$75</f>
        <v/>
      </c>
    </row>
    <row r="60" ht="21.75" customHeight="1" s="131">
      <c r="A60" s="167">
        <f>CALC!$A$76</f>
        <v/>
      </c>
      <c r="B60" s="178">
        <f>CALC!$D$76</f>
        <v/>
      </c>
      <c r="C60" s="179">
        <f>CALC!$E$76</f>
        <v/>
      </c>
      <c r="D60" s="180">
        <f>CALC!$F$76</f>
        <v/>
      </c>
      <c r="E60" s="181">
        <f>CALC!$G$76</f>
        <v/>
      </c>
      <c r="F60" s="171">
        <f>CALC!$H$76</f>
        <v/>
      </c>
    </row>
    <row r="61" ht="15" customHeight="1" s="131">
      <c r="A61" s="167">
        <f>CALC!$A$77</f>
        <v/>
      </c>
      <c r="B61" s="178">
        <f>CALC!$D$77</f>
        <v/>
      </c>
      <c r="C61" s="179">
        <f>CALC!$E$77</f>
        <v/>
      </c>
      <c r="D61" s="180">
        <f>CALC!$F$77</f>
        <v/>
      </c>
      <c r="E61" s="181">
        <f>CALC!$G$77</f>
        <v/>
      </c>
      <c r="F61" s="171">
        <f>CALC!$H$77</f>
        <v/>
      </c>
    </row>
    <row r="62" ht="15" customHeight="1" s="131">
      <c r="A62" s="167">
        <f>CALC!$A$78</f>
        <v/>
      </c>
      <c r="B62" s="178">
        <f>CALC!$D$78</f>
        <v/>
      </c>
      <c r="C62" s="179">
        <f>CALC!$E$78</f>
        <v/>
      </c>
      <c r="D62" s="180">
        <f>CALC!$F$78</f>
        <v/>
      </c>
      <c r="E62" s="181">
        <f>CALC!$G$78</f>
        <v/>
      </c>
      <c r="F62" s="171">
        <f>CALC!$H$78</f>
        <v/>
      </c>
    </row>
    <row r="63" ht="15" customHeight="1" s="131">
      <c r="A63" s="167">
        <f>CALC!$A$79</f>
        <v/>
      </c>
      <c r="B63" s="178">
        <f>CALC!$D$79</f>
        <v/>
      </c>
      <c r="C63" s="179">
        <f>CALC!$E$79</f>
        <v/>
      </c>
      <c r="D63" s="180">
        <f>CALC!$F$79</f>
        <v/>
      </c>
      <c r="E63" s="181">
        <f>CALC!$G$79</f>
        <v/>
      </c>
      <c r="F63" s="171">
        <f>CALC!$H$79</f>
        <v/>
      </c>
    </row>
    <row r="64" ht="15" customHeight="1" s="131">
      <c r="A64" s="167">
        <f>CALC!$A$80</f>
        <v/>
      </c>
      <c r="B64" s="178">
        <f>CALC!$D$80</f>
        <v/>
      </c>
      <c r="C64" s="179">
        <f>CALC!$E$80</f>
        <v/>
      </c>
      <c r="D64" s="180">
        <f>CALC!$F$80</f>
        <v/>
      </c>
      <c r="E64" s="181">
        <f>CALC!$G$80</f>
        <v/>
      </c>
      <c r="F64" s="171">
        <f>CALC!$H$80</f>
        <v/>
      </c>
    </row>
    <row r="65" ht="15" customHeight="1" s="131">
      <c r="A65" s="167">
        <f>CALC!$A$81</f>
        <v/>
      </c>
      <c r="B65" s="178">
        <f>CALC!$D$81</f>
        <v/>
      </c>
      <c r="C65" s="179">
        <f>CALC!$E$81</f>
        <v/>
      </c>
      <c r="D65" s="180">
        <f>CALC!$F$81</f>
        <v/>
      </c>
      <c r="E65" s="181">
        <f>CALC!$G$81</f>
        <v/>
      </c>
      <c r="F65" s="171">
        <f>CALC!$H$81</f>
        <v/>
      </c>
    </row>
    <row r="66" ht="15" customHeight="1" s="131">
      <c r="A66" s="167">
        <f>CALC!$A$82</f>
        <v/>
      </c>
      <c r="B66" s="178">
        <f>CALC!$D$82</f>
        <v/>
      </c>
      <c r="C66" s="179">
        <f>CALC!$E$82</f>
        <v/>
      </c>
      <c r="D66" s="180">
        <f>CALC!$F$82</f>
        <v/>
      </c>
      <c r="E66" s="181">
        <f>CALC!$G$82</f>
        <v/>
      </c>
      <c r="F66" s="171">
        <f>CALC!$H$82</f>
        <v/>
      </c>
    </row>
    <row r="67"/>
    <row r="68"/>
    <row r="69" ht="24" customHeight="1" s="131">
      <c r="A69" s="154" t="inlineStr">
        <is>
          <t xml:space="preserve">   DADM-10   ·   Eficiência das Despesas de Infraestrutura   ·   medida principal R$/m²</t>
        </is>
      </c>
      <c r="B69" s="148" t="n"/>
      <c r="C69" s="148" t="n"/>
      <c r="D69" s="148" t="n"/>
      <c r="E69" s="148" t="n"/>
      <c r="F69" s="148" t="n"/>
      <c r="G69" s="148" t="n"/>
      <c r="H69" s="148" t="n"/>
      <c r="I69" s="148" t="n"/>
      <c r="J69" s="148" t="n"/>
      <c r="K69" s="148" t="n"/>
    </row>
    <row r="70" ht="30" customHeight="1" s="131">
      <c r="A70" s="155" t="inlineStr">
        <is>
          <t>Valor na referência</t>
        </is>
      </c>
      <c r="B70" s="155" t="inlineStr">
        <is>
          <t>Valor na comparação</t>
        </is>
      </c>
      <c r="C70" s="155" t="inlineStr">
        <is>
          <t>Variação</t>
        </is>
      </c>
      <c r="D70" s="155" t="inlineStr">
        <is>
          <t>Meta vigente</t>
        </is>
      </c>
      <c r="E70" s="155" t="inlineStr">
        <is>
          <t>Limiar de atenção</t>
        </is>
      </c>
      <c r="F70" s="155" t="inlineStr">
        <is>
          <t>Distância da meta</t>
        </is>
      </c>
      <c r="G70" s="155" t="inlineStr">
        <is>
          <t>Distância do limiar</t>
        </is>
      </c>
      <c r="H70" s="155" t="inlineStr">
        <is>
          <t>Atingimento</t>
        </is>
      </c>
      <c r="I70" s="155" t="inlineStr">
        <is>
          <t>Status</t>
        </is>
      </c>
      <c r="J70" s="155" t="inlineStr">
        <is>
          <t>Situação</t>
        </is>
      </c>
      <c r="K70" s="155" t="inlineStr">
        <is>
          <t>Lançamentos</t>
        </is>
      </c>
    </row>
    <row r="71" ht="30" customHeight="1" s="131">
      <c r="A71" s="273">
        <f>CALC!$B$103</f>
        <v/>
      </c>
      <c r="B71" s="274">
        <f>CALC!$C$103</f>
        <v/>
      </c>
      <c r="C71" s="275">
        <f>CALC!$D$103</f>
        <v/>
      </c>
      <c r="D71" s="276">
        <f>CALC!$E$103</f>
        <v/>
      </c>
      <c r="E71" s="277">
        <f>CALC!$F$103</f>
        <v/>
      </c>
      <c r="F71" s="278">
        <f>CALC!$G$103</f>
        <v/>
      </c>
      <c r="G71" s="278">
        <f>CALC!$H$103</f>
        <v/>
      </c>
      <c r="H71" s="272">
        <f>CALC!$I$103</f>
        <v/>
      </c>
      <c r="I71" s="163">
        <f>CALC!$J$103</f>
        <v/>
      </c>
      <c r="J71" s="164">
        <f>CALC!$K$103</f>
        <v/>
      </c>
      <c r="K71" s="165">
        <f>CALC!$L$103</f>
        <v/>
      </c>
    </row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 ht="25.5" customHeight="1" s="131">
      <c r="A88" s="166" t="inlineStr">
        <is>
          <t>Medida</t>
        </is>
      </c>
      <c r="B88" s="166" t="inlineStr">
        <is>
          <t>Referência</t>
        </is>
      </c>
      <c r="C88" s="166" t="inlineStr">
        <is>
          <t>Comparação</t>
        </is>
      </c>
      <c r="D88" s="166" t="inlineStr">
        <is>
          <t>Variação</t>
        </is>
      </c>
      <c r="E88" s="166" t="inlineStr">
        <is>
          <t>Meta</t>
        </is>
      </c>
      <c r="F88" s="166" t="inlineStr">
        <is>
          <t>Status</t>
        </is>
      </c>
    </row>
    <row r="89" ht="15" customHeight="1" s="131">
      <c r="A89" s="167">
        <f>CALC!$A$107</f>
        <v/>
      </c>
      <c r="B89" s="184">
        <f>CALC!$D$107</f>
        <v/>
      </c>
      <c r="C89" s="181">
        <f>CALC!$E$107</f>
        <v/>
      </c>
      <c r="D89" s="180">
        <f>CALC!$F$107</f>
        <v/>
      </c>
      <c r="E89" s="181">
        <f>CALC!$G$107</f>
        <v/>
      </c>
      <c r="F89" s="171">
        <f>CALC!$I$107</f>
        <v/>
      </c>
    </row>
    <row r="90" ht="15" customHeight="1" s="131">
      <c r="A90" s="167">
        <f>CALC!$A$108</f>
        <v/>
      </c>
      <c r="B90" s="184">
        <f>CALC!$D$108</f>
        <v/>
      </c>
      <c r="C90" s="181">
        <f>CALC!$E$108</f>
        <v/>
      </c>
      <c r="D90" s="180">
        <f>CALC!$F$108</f>
        <v/>
      </c>
      <c r="E90" s="181">
        <f>CALC!$G$108</f>
        <v/>
      </c>
      <c r="F90" s="171">
        <f>CALC!$I$108</f>
        <v/>
      </c>
    </row>
    <row r="91" ht="21.75" customHeight="1" s="131">
      <c r="A91" s="167">
        <f>CALC!$A$109</f>
        <v/>
      </c>
      <c r="B91" s="184">
        <f>CALC!$D$109</f>
        <v/>
      </c>
      <c r="C91" s="181">
        <f>CALC!$E$109</f>
        <v/>
      </c>
      <c r="D91" s="180">
        <f>CALC!$F$109</f>
        <v/>
      </c>
      <c r="E91" s="181">
        <f>CALC!$G$109</f>
        <v/>
      </c>
      <c r="F91" s="171">
        <f>CALC!$I$109</f>
        <v/>
      </c>
    </row>
    <row r="92" ht="15" customHeight="1" s="131">
      <c r="A92" s="167">
        <f>CALC!$A$110</f>
        <v/>
      </c>
      <c r="B92" s="184">
        <f>CALC!$D$110</f>
        <v/>
      </c>
      <c r="C92" s="181">
        <f>CALC!$E$110</f>
        <v/>
      </c>
      <c r="D92" s="180">
        <f>CALC!$F$110</f>
        <v/>
      </c>
      <c r="E92" s="181">
        <f>CALC!$G$110</f>
        <v/>
      </c>
      <c r="F92" s="171">
        <f>CALC!$I$110</f>
        <v/>
      </c>
    </row>
    <row r="93" ht="15" customHeight="1" s="131">
      <c r="A93" s="167">
        <f>CALC!$A$111</f>
        <v/>
      </c>
      <c r="B93" s="184">
        <f>CALC!$D$111</f>
        <v/>
      </c>
      <c r="C93" s="181">
        <f>CALC!$E$111</f>
        <v/>
      </c>
      <c r="D93" s="180">
        <f>CALC!$F$111</f>
        <v/>
      </c>
      <c r="E93" s="181">
        <f>CALC!$G$111</f>
        <v/>
      </c>
      <c r="F93" s="171">
        <f>CALC!$I$111</f>
        <v/>
      </c>
    </row>
    <row r="94" ht="15" customHeight="1" s="131">
      <c r="A94" s="167">
        <f>CALC!$A$112</f>
        <v/>
      </c>
      <c r="B94" s="184">
        <f>CALC!$D$112</f>
        <v/>
      </c>
      <c r="C94" s="181">
        <f>CALC!$E$112</f>
        <v/>
      </c>
      <c r="D94" s="180">
        <f>CALC!$F$112</f>
        <v/>
      </c>
      <c r="E94" s="181">
        <f>CALC!$G$112</f>
        <v/>
      </c>
      <c r="F94" s="171">
        <f>CALC!$I$112</f>
        <v/>
      </c>
    </row>
    <row r="95" ht="15" customHeight="1" s="131">
      <c r="A95" s="167">
        <f>CALC!$A$113</f>
        <v/>
      </c>
      <c r="B95" s="184">
        <f>CALC!$D$113</f>
        <v/>
      </c>
      <c r="C95" s="181">
        <f>CALC!$E$113</f>
        <v/>
      </c>
      <c r="D95" s="180">
        <f>CALC!$F$113</f>
        <v/>
      </c>
      <c r="E95" s="181">
        <f>CALC!$G$113</f>
        <v/>
      </c>
      <c r="F95" s="171">
        <f>CALC!$I$113</f>
        <v/>
      </c>
    </row>
    <row r="96" ht="15" customHeight="1" s="131">
      <c r="A96" s="167">
        <f>CALC!$A$114</f>
        <v/>
      </c>
      <c r="B96" s="184">
        <f>CALC!$D$114</f>
        <v/>
      </c>
      <c r="C96" s="181">
        <f>CALC!$E$114</f>
        <v/>
      </c>
      <c r="D96" s="180">
        <f>CALC!$F$114</f>
        <v/>
      </c>
      <c r="E96" s="181">
        <f>CALC!$G$114</f>
        <v/>
      </c>
      <c r="F96" s="171">
        <f>CALC!$I$114</f>
        <v/>
      </c>
    </row>
    <row r="97" ht="15" customHeight="1" s="131">
      <c r="A97" s="167">
        <f>CALC!$A$115</f>
        <v/>
      </c>
      <c r="B97" s="184">
        <f>CALC!$D$115</f>
        <v/>
      </c>
      <c r="C97" s="181">
        <f>CALC!$E$115</f>
        <v/>
      </c>
      <c r="D97" s="180">
        <f>CALC!$F$115</f>
        <v/>
      </c>
      <c r="E97" s="181">
        <f>CALC!$G$115</f>
        <v/>
      </c>
      <c r="F97" s="171">
        <f>CALC!$I$115</f>
        <v/>
      </c>
    </row>
    <row r="98"/>
    <row r="99"/>
    <row r="100" ht="63.75" customHeight="1" s="131">
      <c r="A100" s="137" t="n"/>
      <c r="D100" s="140" t="n"/>
    </row>
    <row r="101" ht="25.5" customHeight="1" s="131">
      <c r="A101" s="166" t="n"/>
      <c r="B101" s="166" t="n"/>
      <c r="C101" s="166" t="n"/>
      <c r="D101" s="166" t="n"/>
      <c r="E101" s="166" t="n"/>
      <c r="F101" s="166" t="n"/>
      <c r="G101" s="166" t="n"/>
    </row>
    <row r="102" ht="15" customHeight="1" s="131">
      <c r="A102" s="164" t="n"/>
      <c r="B102" s="167" t="n"/>
      <c r="C102" s="179" t="n"/>
      <c r="D102" s="179" t="n"/>
      <c r="E102" s="185" t="n"/>
      <c r="F102" s="186" t="n"/>
      <c r="G102" s="187" t="n"/>
    </row>
    <row r="103" ht="15" customHeight="1" s="131">
      <c r="A103" s="164" t="n"/>
      <c r="B103" s="167" t="n"/>
      <c r="C103" s="179" t="n"/>
      <c r="D103" s="179" t="n"/>
      <c r="E103" s="185" t="n"/>
      <c r="F103" s="186" t="n"/>
      <c r="G103" s="187" t="n"/>
    </row>
    <row r="104" ht="15" customHeight="1" s="131">
      <c r="A104" s="164" t="n"/>
      <c r="B104" s="167" t="n"/>
      <c r="C104" s="179" t="n"/>
      <c r="D104" s="179" t="n"/>
      <c r="E104" s="185" t="n"/>
      <c r="F104" s="186" t="n"/>
      <c r="G104" s="187" t="n"/>
    </row>
    <row r="105" ht="15" customHeight="1" s="131">
      <c r="A105" s="164" t="n"/>
      <c r="B105" s="167" t="n"/>
      <c r="C105" s="179" t="n"/>
      <c r="D105" s="179" t="n"/>
      <c r="E105" s="185" t="n"/>
      <c r="F105" s="186" t="n"/>
      <c r="G105" s="187" t="n"/>
    </row>
    <row r="106" ht="15" customHeight="1" s="131">
      <c r="A106" s="164" t="n"/>
      <c r="B106" s="167" t="n"/>
      <c r="C106" s="179" t="n"/>
      <c r="D106" s="179" t="n"/>
      <c r="E106" s="185" t="n"/>
      <c r="F106" s="186" t="n"/>
      <c r="G106" s="187" t="n"/>
    </row>
    <row r="107" ht="15" customHeight="1" s="131">
      <c r="A107" s="164" t="n"/>
      <c r="B107" s="167" t="n"/>
      <c r="C107" s="179" t="n"/>
      <c r="D107" s="179" t="n"/>
      <c r="E107" s="185" t="n"/>
      <c r="F107" s="186" t="n"/>
      <c r="G107" s="187" t="n"/>
    </row>
    <row r="108" ht="15" customHeight="1" s="131">
      <c r="A108" s="164" t="n"/>
      <c r="B108" s="167" t="n"/>
      <c r="C108" s="179" t="n"/>
      <c r="D108" s="179" t="n"/>
      <c r="E108" s="185" t="n"/>
      <c r="F108" s="186" t="n"/>
      <c r="G108" s="187" t="n"/>
    </row>
    <row r="109" ht="15" customHeight="1" s="131">
      <c r="A109" s="164" t="n"/>
      <c r="B109" s="167" t="n"/>
      <c r="C109" s="179" t="n"/>
      <c r="D109" s="179" t="n"/>
      <c r="E109" s="185" t="n"/>
      <c r="F109" s="186" t="n"/>
      <c r="G109" s="187" t="n"/>
    </row>
    <row r="110" ht="21.75" customHeight="1" s="131">
      <c r="A110" s="164" t="n"/>
      <c r="B110" s="167" t="n"/>
      <c r="C110" s="179" t="n"/>
      <c r="D110" s="179" t="n"/>
      <c r="E110" s="185" t="n"/>
      <c r="F110" s="186" t="n"/>
      <c r="G110" s="187" t="n"/>
    </row>
    <row r="111"/>
    <row r="112" ht="15" customHeight="1" s="131">
      <c r="A112" s="140" t="inlineStr">
        <is>
          <t>A medida principal do DADM-10 é R$/m². R$/aluno é uma leitura complementar e não recebe meta paralela nesta versão.</t>
        </is>
      </c>
    </row>
    <row r="113"/>
    <row r="114" ht="42.75" customHeight="1" s="131">
      <c r="A114" s="137" t="n"/>
      <c r="D114" s="140" t="n"/>
    </row>
    <row r="115" ht="25.5" customHeight="1" s="131">
      <c r="A115" s="166" t="n"/>
      <c r="B115" s="166" t="n"/>
      <c r="C115" s="166" t="n"/>
      <c r="D115" s="166" t="n"/>
      <c r="E115" s="166" t="n"/>
      <c r="F115" s="166" t="n"/>
      <c r="G115" s="166" t="n"/>
    </row>
    <row r="116" ht="21.75" customHeight="1" s="131">
      <c r="A116" s="167" t="n"/>
      <c r="B116" s="167" t="n"/>
      <c r="C116" s="179" t="n"/>
      <c r="D116" s="179" t="n"/>
      <c r="E116" s="185" t="n"/>
      <c r="F116" s="181" t="n"/>
      <c r="G116" s="171" t="n"/>
    </row>
    <row r="117" ht="15" customHeight="1" s="131">
      <c r="A117" s="167" t="n"/>
      <c r="B117" s="167" t="n"/>
      <c r="C117" s="179" t="n"/>
      <c r="D117" s="179" t="n"/>
      <c r="E117" s="185" t="n"/>
      <c r="F117" s="181" t="n"/>
      <c r="G117" s="171" t="n"/>
    </row>
    <row r="118" ht="15" customHeight="1" s="131">
      <c r="A118" s="167" t="n"/>
      <c r="B118" s="167" t="n"/>
      <c r="C118" s="179" t="n"/>
      <c r="D118" s="179" t="n"/>
      <c r="E118" s="185" t="n"/>
      <c r="F118" s="181" t="n"/>
      <c r="G118" s="171" t="n"/>
    </row>
    <row r="119" ht="21.75" customHeight="1" s="131">
      <c r="A119" s="167" t="n"/>
      <c r="B119" s="167" t="n"/>
      <c r="C119" s="179" t="n"/>
      <c r="D119" s="179" t="n"/>
      <c r="E119" s="185" t="n"/>
      <c r="F119" s="181" t="n"/>
      <c r="G119" s="171" t="n"/>
    </row>
    <row r="120" ht="15" customHeight="1" s="131">
      <c r="A120" s="167" t="n"/>
      <c r="B120" s="167" t="n"/>
      <c r="C120" s="179" t="n"/>
      <c r="D120" s="179" t="n"/>
      <c r="E120" s="185" t="n"/>
      <c r="F120" s="181" t="n"/>
      <c r="G120" s="171" t="n"/>
    </row>
    <row r="121" ht="21.75" customHeight="1" s="131">
      <c r="A121" s="167" t="n"/>
      <c r="B121" s="167" t="n"/>
      <c r="C121" s="179" t="n"/>
      <c r="D121" s="179" t="n"/>
      <c r="E121" s="185" t="n"/>
      <c r="F121" s="181" t="n"/>
      <c r="G121" s="171" t="n"/>
    </row>
    <row r="122" ht="15" customHeight="1" s="131">
      <c r="A122" s="167" t="n"/>
      <c r="B122" s="167" t="n"/>
      <c r="C122" s="179" t="n"/>
      <c r="D122" s="179" t="n"/>
      <c r="E122" s="185" t="n"/>
      <c r="F122" s="181" t="n"/>
      <c r="G122" s="171" t="n"/>
    </row>
    <row r="123" ht="21.75" customHeight="1" s="131">
      <c r="A123" s="167" t="n"/>
      <c r="B123" s="167" t="n"/>
      <c r="C123" s="179" t="n"/>
      <c r="D123" s="179" t="n"/>
      <c r="E123" s="185" t="n"/>
      <c r="F123" s="181" t="n"/>
      <c r="G123" s="171" t="n"/>
    </row>
    <row r="124" ht="32.25" customHeight="1" s="131">
      <c r="A124" s="167" t="n"/>
      <c r="B124" s="167" t="n"/>
      <c r="C124" s="179" t="n"/>
      <c r="D124" s="179" t="n"/>
      <c r="E124" s="185" t="n"/>
      <c r="F124" s="181" t="n"/>
      <c r="G124" s="171" t="n"/>
    </row>
    <row r="125" ht="21.75" customHeight="1" s="131">
      <c r="A125" s="167" t="n"/>
      <c r="B125" s="167" t="n"/>
      <c r="C125" s="179" t="n"/>
      <c r="D125" s="179" t="n"/>
      <c r="E125" s="185" t="n"/>
      <c r="F125" s="181" t="n"/>
      <c r="G125" s="171" t="n"/>
    </row>
    <row r="126" ht="21.75" customHeight="1" s="131">
      <c r="A126" s="167" t="n"/>
      <c r="B126" s="167" t="n"/>
      <c r="C126" s="179" t="n"/>
      <c r="D126" s="179" t="n"/>
      <c r="E126" s="185" t="n"/>
      <c r="F126" s="181" t="n"/>
      <c r="G126" s="171" t="n"/>
    </row>
    <row r="127" ht="21.75" customHeight="1" s="131">
      <c r="A127" s="167" t="n"/>
      <c r="B127" s="167" t="n"/>
      <c r="C127" s="179" t="n"/>
      <c r="D127" s="179" t="n"/>
      <c r="E127" s="185" t="n"/>
      <c r="F127" s="181" t="n"/>
      <c r="G127" s="171" t="n"/>
    </row>
    <row r="128" ht="21.75" customHeight="1" s="131">
      <c r="A128" s="167" t="n"/>
      <c r="B128" s="167" t="n"/>
      <c r="C128" s="179" t="n"/>
      <c r="D128" s="179" t="n"/>
      <c r="E128" s="185" t="n"/>
      <c r="F128" s="181" t="n"/>
      <c r="G128" s="171" t="n"/>
    </row>
    <row r="129" ht="21.75" customHeight="1" s="131">
      <c r="A129" s="167" t="n"/>
      <c r="B129" s="167" t="n"/>
      <c r="C129" s="179" t="n"/>
      <c r="D129" s="179" t="n"/>
      <c r="E129" s="185" t="n"/>
      <c r="F129" s="181" t="n"/>
      <c r="G129" s="171" t="n"/>
    </row>
    <row r="130" ht="15" customHeight="1" s="131">
      <c r="A130" s="167" t="n"/>
      <c r="B130" s="167" t="n"/>
      <c r="C130" s="179" t="n"/>
      <c r="D130" s="179" t="n"/>
      <c r="E130" s="185" t="n"/>
      <c r="F130" s="181" t="n"/>
      <c r="G130" s="171" t="n"/>
    </row>
    <row r="131" ht="15" customHeight="1" s="131">
      <c r="A131" s="167" t="n"/>
      <c r="B131" s="167" t="n"/>
      <c r="C131" s="179" t="n"/>
      <c r="D131" s="179" t="n"/>
      <c r="E131" s="185" t="n"/>
      <c r="F131" s="181" t="n"/>
      <c r="G131" s="171" t="n"/>
    </row>
    <row r="132" ht="21.75" customHeight="1" s="131">
      <c r="A132" s="167" t="n"/>
      <c r="B132" s="167" t="n"/>
      <c r="C132" s="179" t="n"/>
      <c r="D132" s="179" t="n"/>
      <c r="E132" s="185" t="n"/>
      <c r="F132" s="181" t="n"/>
      <c r="G132" s="171" t="n"/>
    </row>
    <row r="133" ht="21.75" customHeight="1" s="131">
      <c r="A133" s="167" t="n"/>
      <c r="B133" s="167" t="n"/>
      <c r="C133" s="179" t="n"/>
      <c r="D133" s="179" t="n"/>
      <c r="E133" s="185" t="n"/>
      <c r="F133" s="181" t="n"/>
      <c r="G133" s="171" t="n"/>
    </row>
    <row r="134" ht="15" customHeight="1" s="131">
      <c r="A134" s="167" t="n"/>
      <c r="B134" s="167" t="n"/>
      <c r="C134" s="179" t="n"/>
      <c r="D134" s="179" t="n"/>
      <c r="E134" s="185" t="n"/>
      <c r="F134" s="181" t="n"/>
      <c r="G134" s="171" t="n"/>
    </row>
    <row r="135" ht="21.75" customHeight="1" s="131">
      <c r="A135" s="167" t="n"/>
      <c r="B135" s="167" t="n"/>
      <c r="C135" s="179" t="n"/>
      <c r="D135" s="179" t="n"/>
      <c r="E135" s="185" t="n"/>
      <c r="F135" s="181" t="n"/>
      <c r="G135" s="171" t="n"/>
    </row>
    <row r="136" ht="21.75" customHeight="1" s="131">
      <c r="A136" s="167" t="n"/>
      <c r="B136" s="167" t="n"/>
      <c r="C136" s="179" t="n"/>
      <c r="D136" s="179" t="n"/>
      <c r="E136" s="185" t="n"/>
      <c r="F136" s="181" t="n"/>
      <c r="G136" s="171" t="n"/>
    </row>
    <row r="137" ht="21.75" customHeight="1" s="131">
      <c r="A137" s="167" t="n"/>
      <c r="B137" s="167" t="n"/>
      <c r="C137" s="179" t="n"/>
      <c r="D137" s="179" t="n"/>
      <c r="E137" s="185" t="n"/>
      <c r="F137" s="181" t="n"/>
      <c r="G137" s="171" t="n"/>
    </row>
    <row r="138" ht="21.75" customHeight="1" s="131">
      <c r="A138" s="167" t="n"/>
      <c r="B138" s="167" t="n"/>
      <c r="C138" s="179" t="n"/>
      <c r="D138" s="179" t="n"/>
      <c r="E138" s="185" t="n"/>
      <c r="F138" s="181" t="n"/>
      <c r="G138" s="171" t="n"/>
    </row>
    <row r="139" ht="21.75" customHeight="1" s="131">
      <c r="A139" s="167" t="n"/>
      <c r="B139" s="167" t="n"/>
      <c r="C139" s="179" t="n"/>
      <c r="D139" s="179" t="n"/>
      <c r="E139" s="185" t="n"/>
      <c r="F139" s="181" t="n"/>
      <c r="G139" s="171" t="n"/>
    </row>
    <row r="140" ht="21.75" customHeight="1" s="131">
      <c r="A140" s="167" t="n"/>
      <c r="B140" s="167" t="n"/>
      <c r="C140" s="179" t="n"/>
      <c r="D140" s="179" t="n"/>
      <c r="E140" s="185" t="n"/>
      <c r="F140" s="181" t="n"/>
      <c r="G140" s="171" t="n"/>
    </row>
    <row r="141" ht="15" customHeight="1" s="131">
      <c r="A141" s="167" t="n"/>
      <c r="B141" s="167" t="n"/>
      <c r="C141" s="179" t="n"/>
      <c r="D141" s="179" t="n"/>
      <c r="E141" s="185" t="n"/>
      <c r="F141" s="181" t="n"/>
      <c r="G141" s="171" t="n"/>
    </row>
    <row r="142" ht="15" customHeight="1" s="131">
      <c r="A142" s="167" t="n"/>
      <c r="B142" s="167" t="n"/>
      <c r="C142" s="179" t="n"/>
      <c r="D142" s="179" t="n"/>
      <c r="E142" s="185" t="n"/>
      <c r="F142" s="181" t="n"/>
      <c r="G142" s="171" t="n"/>
    </row>
    <row r="143" ht="21.75" customHeight="1" s="131">
      <c r="A143" s="167" t="n"/>
      <c r="B143" s="167" t="n"/>
      <c r="C143" s="179" t="n"/>
      <c r="D143" s="179" t="n"/>
      <c r="E143" s="185" t="n"/>
      <c r="F143" s="181" t="n"/>
      <c r="G143" s="171" t="n"/>
    </row>
    <row r="144" ht="15" customHeight="1" s="131">
      <c r="A144" s="167" t="n"/>
      <c r="B144" s="167" t="n"/>
      <c r="C144" s="179" t="n"/>
      <c r="D144" s="179" t="n"/>
      <c r="E144" s="185" t="n"/>
      <c r="F144" s="181" t="n"/>
      <c r="G144" s="171" t="n"/>
    </row>
    <row r="145" ht="21.75" customHeight="1" s="131">
      <c r="A145" s="167" t="n"/>
      <c r="B145" s="167" t="n"/>
      <c r="C145" s="179" t="n"/>
      <c r="D145" s="179" t="n"/>
      <c r="E145" s="185" t="n"/>
      <c r="F145" s="181" t="n"/>
      <c r="G145" s="171" t="n"/>
    </row>
    <row r="146" ht="32.25" customHeight="1" s="131">
      <c r="A146" s="167" t="n"/>
      <c r="B146" s="167" t="n"/>
      <c r="C146" s="179" t="n"/>
      <c r="D146" s="179" t="n"/>
      <c r="E146" s="185" t="n"/>
      <c r="F146" s="181" t="n"/>
      <c r="G146" s="171" t="n"/>
    </row>
    <row r="147" ht="21.75" customHeight="1" s="131">
      <c r="A147" s="167" t="n"/>
      <c r="B147" s="167" t="n"/>
      <c r="C147" s="179" t="n"/>
      <c r="D147" s="179" t="n"/>
      <c r="E147" s="185" t="n"/>
      <c r="F147" s="181" t="n"/>
      <c r="G147" s="171" t="n"/>
    </row>
    <row r="148" ht="15" customHeight="1" s="131">
      <c r="A148" s="167" t="n"/>
      <c r="B148" s="167" t="n"/>
      <c r="C148" s="179" t="n"/>
      <c r="D148" s="179" t="n"/>
      <c r="E148" s="185" t="n"/>
      <c r="F148" s="181" t="n"/>
      <c r="G148" s="171" t="n"/>
    </row>
    <row r="149" ht="21.75" customHeight="1" s="131">
      <c r="A149" s="167" t="n"/>
      <c r="B149" s="167" t="n"/>
      <c r="C149" s="179" t="n"/>
      <c r="D149" s="179" t="n"/>
      <c r="E149" s="185" t="n"/>
      <c r="F149" s="181" t="n"/>
      <c r="G149" s="171" t="n"/>
    </row>
    <row r="150" ht="15" customHeight="1" s="131">
      <c r="A150" s="167" t="n"/>
      <c r="B150" s="167" t="n"/>
      <c r="C150" s="179" t="n"/>
      <c r="D150" s="179" t="n"/>
      <c r="E150" s="185" t="n"/>
      <c r="F150" s="181" t="n"/>
      <c r="G150" s="171" t="n"/>
    </row>
    <row r="151" ht="15" customHeight="1" s="131">
      <c r="A151" s="167" t="n"/>
      <c r="B151" s="167" t="n"/>
      <c r="C151" s="179" t="n"/>
      <c r="D151" s="179" t="n"/>
      <c r="E151" s="185" t="n"/>
      <c r="F151" s="181" t="n"/>
      <c r="G151" s="171" t="n"/>
    </row>
    <row r="152" ht="21.75" customHeight="1" s="131">
      <c r="A152" s="167" t="n"/>
      <c r="B152" s="167" t="n"/>
      <c r="C152" s="179" t="n"/>
      <c r="D152" s="179" t="n"/>
      <c r="E152" s="185" t="n"/>
      <c r="F152" s="181" t="n"/>
      <c r="G152" s="171" t="n"/>
    </row>
    <row r="153" ht="15" customHeight="1" s="131">
      <c r="A153" s="167" t="n"/>
      <c r="B153" s="167" t="n"/>
      <c r="C153" s="179" t="n"/>
      <c r="D153" s="179" t="n"/>
      <c r="E153" s="185" t="n"/>
      <c r="F153" s="181" t="n"/>
      <c r="G153" s="171" t="n"/>
    </row>
    <row r="154" ht="27.75" customHeight="1" s="131">
      <c r="A154" s="188" t="inlineStr">
        <is>
          <t>Antes da reunião gerencial, confirme que QUALIDADE E GOVERNANÇA apresenta zero erros e que as metas vigentes estão aprovadas.</t>
        </is>
      </c>
    </row>
    <row r="155"/>
    <row r="156" ht="42.75" customHeight="1" s="131">
      <c r="A156" s="140" t="inlineStr">
        <is>
          <t>Recortes fora da meta devem ser tratados em PLANO_DE_ACAO. A MATRIZ mostra a evolução comparável ao longo da janela.</t>
        </is>
      </c>
    </row>
  </sheetData>
  <mergeCells count="11">
    <mergeCell ref="A69:K69"/>
    <mergeCell ref="J5:K5"/>
    <mergeCell ref="A154:K154"/>
    <mergeCell ref="A7:K7"/>
    <mergeCell ref="D5:E5"/>
    <mergeCell ref="A5:B5"/>
    <mergeCell ref="A2:K2"/>
    <mergeCell ref="G5:H5"/>
    <mergeCell ref="A38:K38"/>
    <mergeCell ref="A112:K112"/>
    <mergeCell ref="A1:K1"/>
  </mergeCells>
  <conditionalFormatting sqref="I9">
    <cfRule type="cellIs" rank="0" priority="2" equalAverage="0" operator="equal" aboveAverage="0" dxfId="1" text="" percent="0" bottom="0">
      <formula>"Dentro da meta"</formula>
    </cfRule>
    <cfRule type="cellIs" rank="0" priority="3" equalAverage="0" operator="equal" aboveAverage="0" dxfId="2" text="" percent="0" bottom="0">
      <formula>"Atenção"</formula>
    </cfRule>
    <cfRule type="cellIs" rank="0" priority="4" equalAverage="0" operator="equal" aboveAverage="0" dxfId="0" text="" percent="0" bottom="0">
      <formula>"Fora da meta"</formula>
    </cfRule>
  </conditionalFormatting>
  <conditionalFormatting sqref="F27:F35">
    <cfRule type="cellIs" rank="0" priority="5" equalAverage="0" operator="equal" aboveAverage="0" dxfId="1" text="" percent="0" bottom="0">
      <formula>"Dentro da meta"</formula>
    </cfRule>
    <cfRule type="cellIs" rank="0" priority="6" equalAverage="0" operator="equal" aboveAverage="0" dxfId="2" text="" percent="0" bottom="0">
      <formula>"Atenção"</formula>
    </cfRule>
    <cfRule type="cellIs" rank="0" priority="7" equalAverage="0" operator="equal" aboveAverage="0" dxfId="0" text="" percent="0" bottom="0">
      <formula>"Fora da meta"</formula>
    </cfRule>
  </conditionalFormatting>
  <conditionalFormatting sqref="I40">
    <cfRule type="cellIs" rank="0" priority="8" equalAverage="0" operator="equal" aboveAverage="0" dxfId="1" text="" percent="0" bottom="0">
      <formula>"Dentro da meta"</formula>
    </cfRule>
    <cfRule type="cellIs" rank="0" priority="9" equalAverage="0" operator="equal" aboveAverage="0" dxfId="2" text="" percent="0" bottom="0">
      <formula>"Atenção"</formula>
    </cfRule>
    <cfRule type="cellIs" rank="0" priority="10" equalAverage="0" operator="equal" aboveAverage="0" dxfId="0" text="" percent="0" bottom="0">
      <formula>"Fora da meta"</formula>
    </cfRule>
  </conditionalFormatting>
  <conditionalFormatting sqref="F58:F66">
    <cfRule type="cellIs" rank="0" priority="11" equalAverage="0" operator="equal" aboveAverage="0" dxfId="1" text="" percent="0" bottom="0">
      <formula>"Dentro da meta"</formula>
    </cfRule>
    <cfRule type="cellIs" rank="0" priority="12" equalAverage="0" operator="equal" aboveAverage="0" dxfId="2" text="" percent="0" bottom="0">
      <formula>"Atenção"</formula>
    </cfRule>
    <cfRule type="cellIs" rank="0" priority="13" equalAverage="0" operator="equal" aboveAverage="0" dxfId="0" text="" percent="0" bottom="0">
      <formula>"Fora da meta"</formula>
    </cfRule>
  </conditionalFormatting>
  <conditionalFormatting sqref="I71">
    <cfRule type="cellIs" rank="0" priority="14" equalAverage="0" operator="equal" aboveAverage="0" dxfId="1" text="" percent="0" bottom="0">
      <formula>"Dentro da meta"</formula>
    </cfRule>
    <cfRule type="cellIs" rank="0" priority="15" equalAverage="0" operator="equal" aboveAverage="0" dxfId="2" text="" percent="0" bottom="0">
      <formula>"Atenção"</formula>
    </cfRule>
    <cfRule type="cellIs" rank="0" priority="16" equalAverage="0" operator="equal" aboveAverage="0" dxfId="0" text="" percent="0" bottom="0">
      <formula>"Fora da meta"</formula>
    </cfRule>
  </conditionalFormatting>
  <conditionalFormatting sqref="F89:F97">
    <cfRule type="cellIs" rank="0" priority="17" equalAverage="0" operator="equal" aboveAverage="0" dxfId="1" text="" percent="0" bottom="0">
      <formula>"Dentro da meta"</formula>
    </cfRule>
    <cfRule type="cellIs" rank="0" priority="18" equalAverage="0" operator="equal" aboveAverage="0" dxfId="2" text="" percent="0" bottom="0">
      <formula>"Atenção"</formula>
    </cfRule>
    <cfRule type="cellIs" rank="0" priority="19" equalAverage="0" operator="equal" aboveAverage="0" dxfId="0" text="" percent="0" bottom="0">
      <formula>"Fora da meta"</formula>
    </cfRule>
  </conditionalFormatting>
  <conditionalFormatting sqref="G116:G153">
    <cfRule type="cellIs" rank="0" priority="20" equalAverage="0" operator="equal" aboveAverage="0" dxfId="1" text="" percent="0" bottom="0">
      <formula>"Dentro da meta"</formula>
    </cfRule>
    <cfRule type="cellIs" rank="0" priority="21" equalAverage="0" operator="equal" aboveAverage="0" dxfId="2" text="" percent="0" bottom="0">
      <formula>"Atenção"</formula>
    </cfRule>
    <cfRule type="cellIs" rank="0" priority="22" equalAverage="0" operator="equal" aboveAverage="0" dxfId="0" text="" percent="0" bottom="0">
      <formula>"Fora da meta"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00563F"/>
    <outlinePr summaryBelow="1" summaryRight="1"/>
    <pageSetUpPr fitToPage="0"/>
  </sheetPr>
  <dimension ref="A1:F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4" customWidth="1" style="130" min="1" max="1"/>
    <col width="43" customWidth="1" style="130" min="2" max="2"/>
    <col width="13" customWidth="1" style="130" min="3" max="3"/>
    <col width="34" customWidth="1" style="130" min="4" max="4"/>
    <col width="38" customWidth="1" style="130" min="5" max="5"/>
    <col width="18" customWidth="1" style="130" min="6" max="6"/>
  </cols>
  <sheetData>
    <row r="1" ht="30" customHeight="1" s="131">
      <c r="A1" s="189" t="inlineStr">
        <is>
          <t>QUALIDADE DOS DADOS E GOVERNANÇA DO PROTÓTIPO</t>
        </is>
      </c>
    </row>
    <row r="2" ht="15" customHeight="1" s="131">
      <c r="A2" s="190" t="inlineStr">
        <is>
          <t>Controles criados para reduzir dupla contagem, denominadores divergentes e decisões baseadas em bases incompletas.</t>
        </is>
      </c>
    </row>
    <row r="3"/>
    <row r="4" ht="15" customHeight="1" s="131">
      <c r="A4" s="191" t="inlineStr">
        <is>
          <t>CONTROLES AUTOMÁTICOS</t>
        </is>
      </c>
    </row>
    <row r="5" ht="36" customHeight="1" s="131">
      <c r="A5" s="192" t="inlineStr">
        <is>
          <t>Base</t>
        </is>
      </c>
      <c r="B5" s="192" t="inlineStr">
        <is>
          <t>Regra verificada</t>
        </is>
      </c>
      <c r="C5" s="192" t="inlineStr">
        <is>
          <t>Erros atuais</t>
        </is>
      </c>
      <c r="D5" s="192" t="inlineStr">
        <is>
          <t>Risco de gestão</t>
        </is>
      </c>
      <c r="E5" s="192" t="inlineStr">
        <is>
          <t>Ação recomendada</t>
        </is>
      </c>
      <c r="F5" s="192" t="inlineStr">
        <is>
          <t>Prioridade</t>
        </is>
      </c>
    </row>
    <row r="6" ht="36" customHeight="1" s="131">
      <c r="A6" s="193" t="inlineStr">
        <is>
          <t>DADM-01 · Evasão</t>
        </is>
      </c>
      <c r="B6" s="193" t="inlineStr">
        <is>
          <t>Base do mês anterior, desligamentos não negativos e chave única por curso</t>
        </is>
      </c>
      <c r="C6" s="194" t="n">
        <v>0</v>
      </c>
      <c r="D6" s="193" t="inlineStr">
        <is>
          <t>Taxa de evasão inconsistente</t>
        </is>
      </c>
      <c r="E6" s="193" t="inlineStr">
        <is>
          <t>Corrigir base ou desligamentos antes de publicar</t>
        </is>
      </c>
      <c r="F6" s="195" t="inlineStr">
        <is>
          <t>Crítica</t>
        </is>
      </c>
    </row>
    <row r="7" ht="36" customHeight="1" s="131">
      <c r="A7" s="193" t="inlineStr">
        <is>
          <t>DADM-09 · Custos</t>
        </is>
      </c>
      <c r="B7" s="193" t="inlineStr">
        <is>
          <t>Despesa não negativa e chave única por mês, centro de custo e modalidade</t>
        </is>
      </c>
      <c r="C7" s="194" t="n">
        <v>0</v>
      </c>
      <c r="D7" s="193" t="inlineStr">
        <is>
          <t>Custo por aluno distorcido</t>
        </is>
      </c>
      <c r="E7" s="193" t="inlineStr">
        <is>
          <t>Revisar despesas e classificação dos centros de custo</t>
        </is>
      </c>
      <c r="F7" s="195" t="inlineStr">
        <is>
          <t>Crítica</t>
        </is>
      </c>
    </row>
    <row r="8" ht="36" customHeight="1" s="131">
      <c r="A8" s="193" t="inlineStr">
        <is>
          <t>Base acadêmica</t>
        </is>
      </c>
      <c r="B8" s="193" t="inlineStr">
        <is>
          <t>População consolidada sem recadastro manual; fallbacks temporários identificados</t>
        </is>
      </c>
      <c r="C8" s="194" t="n">
        <v>0</v>
      </c>
      <c r="D8" s="193" t="inlineStr">
        <is>
          <t>Denominador financeiro divergente</t>
        </is>
      </c>
      <c r="E8" s="193" t="inlineStr">
        <is>
          <t>Validar origem acadêmica e retirar fallback quando DEAD entrar</t>
        </is>
      </c>
      <c r="F8" s="195" t="inlineStr">
        <is>
          <t>Alta</t>
        </is>
      </c>
    </row>
    <row r="9" ht="36" customHeight="1" s="131">
      <c r="A9" s="193" t="inlineStr">
        <is>
          <t>DADM-10 · Infra</t>
        </is>
      </c>
      <c r="B9" s="193" t="inlineStr">
        <is>
          <t>Despesa não negativa, área em uso &gt; 0 e uma fotografia por mês</t>
        </is>
      </c>
      <c r="C9" s="194" t="n">
        <v>0</v>
      </c>
      <c r="D9" s="193" t="inlineStr">
        <is>
          <t>Custo por m² inválido</t>
        </is>
      </c>
      <c r="E9" s="193" t="inlineStr">
        <is>
          <t>Validar despesa e mapa de áreas antes da reunião</t>
        </is>
      </c>
      <c r="F9" s="195" t="inlineStr">
        <is>
          <t>Alta</t>
        </is>
      </c>
    </row>
    <row r="10" ht="36" customHeight="1" s="131"/>
    <row r="11" ht="36" customHeight="1" s="131">
      <c r="A11" s="191" t="inlineStr">
        <is>
          <t>AVALIAÇÃO DO DESENHO DO PAINEL</t>
        </is>
      </c>
    </row>
    <row r="12" ht="36" customHeight="1" s="131">
      <c r="A12" s="192" t="inlineStr">
        <is>
          <t>Tema</t>
        </is>
      </c>
      <c r="B12" s="192" t="inlineStr">
        <is>
          <t>Diagnóstico</t>
        </is>
      </c>
      <c r="C12" s="192" t="inlineStr">
        <is>
          <t>Decisão aplicada</t>
        </is>
      </c>
      <c r="D12" s="192" t="inlineStr">
        <is>
          <t>Próximo passo recomendado</t>
        </is>
      </c>
      <c r="E12" s="192" t="inlineStr">
        <is>
          <t>Prazo sugerido</t>
        </is>
      </c>
      <c r="F12" s="192" t="inlineStr">
        <is>
          <t>Responsável</t>
        </is>
      </c>
    </row>
    <row r="13" ht="45" customHeight="1" s="131">
      <c r="A13" s="196" t="inlineStr">
        <is>
          <t>População acadêmica</t>
        </is>
      </c>
      <c r="B13" s="196" t="inlineStr">
        <is>
          <t>Recadastrar alunos na DADM criaria duas fontes para o mesmo estoque.</t>
        </is>
      </c>
      <c r="C13" s="196" t="inlineStr">
        <is>
          <t>DADM consome Matrículas Ativas das diretorias acadêmicas.</t>
        </is>
      </c>
      <c r="D13" s="196" t="inlineStr">
        <is>
          <t>Ao ativar DCS/DEAD, incluir suas bases no agregador sem criar nova digitação na DADM.</t>
        </is>
      </c>
      <c r="E13" s="196" t="inlineStr">
        <is>
          <t>Na implantação das diretorias</t>
        </is>
      </c>
      <c r="F13" s="196" t="inlineStr">
        <is>
          <t>Responsável técnico</t>
        </is>
      </c>
    </row>
    <row r="14" ht="45" customHeight="1" s="131">
      <c r="A14" s="196" t="inlineStr">
        <is>
          <t>Evasão</t>
        </is>
      </c>
      <c r="B14" s="196" t="inlineStr">
        <is>
          <t>A variação líquida de matrículas não equivale a evasão: entradas podem compensar saídas.</t>
        </is>
      </c>
      <c r="C14" s="196" t="inlineStr">
        <is>
          <t>O numerador permanece desligamentos reais; o denominador vem do fechamento do mês anterior.</t>
        </is>
      </c>
      <c r="D14" s="196" t="inlineStr">
        <is>
          <t>Integrar desligamentos à fonte acadêmica oficial quando houver disponibilidade.</t>
        </is>
      </c>
      <c r="E14" s="196" t="inlineStr">
        <is>
          <t>Curto prazo</t>
        </is>
      </c>
      <c r="F14" s="196" t="inlineStr">
        <is>
          <t>DADM + Secretaria</t>
        </is>
      </c>
    </row>
    <row r="15" ht="45" customHeight="1" s="131">
      <c r="A15" s="196" t="inlineStr">
        <is>
          <t>Modalidade</t>
        </is>
      </c>
      <c r="B15" s="196" t="inlineStr">
        <is>
          <t>Presencial, EAD e Semipresencial precisam ser identificados na origem acadêmica.</t>
        </is>
      </c>
      <c r="C15" s="196" t="inlineStr">
        <is>
          <t>Modalidade pertence ao curso e acompanha a população consolidada.</t>
        </is>
      </c>
      <c r="D15" s="196" t="inlineStr">
        <is>
          <t>Substituir o fallback EAD/Semipresencial pela base DEAD quando a diretoria entrar no sistema.</t>
        </is>
      </c>
      <c r="E15" s="196" t="inlineStr">
        <is>
          <t>Na ativação do DEAD</t>
        </is>
      </c>
      <c r="F15" s="196" t="inlineStr">
        <is>
          <t>DEAD + DADM</t>
        </is>
      </c>
    </row>
    <row r="16" ht="45" customHeight="1" s="131">
      <c r="A16" s="196" t="inlineStr">
        <is>
          <t>Custo administrativo</t>
        </is>
      </c>
      <c r="B16" s="196" t="inlineStr">
        <is>
          <t>Filtrar despesa institucional por curso sem regra de rateio gera interpretação falsa.</t>
        </is>
      </c>
      <c r="C16" s="196" t="inlineStr">
        <is>
          <t>Curso não rateia DADM-09; modalidade e centro de custo podem ser usados como recorte analítico.</t>
        </is>
      </c>
      <c r="D16" s="196" t="inlineStr">
        <is>
          <t>Definir regra institucional de rateio somente se houver necessidade gerencial real.</t>
        </is>
      </c>
      <c r="E16" s="196" t="inlineStr">
        <is>
          <t>Médio prazo</t>
        </is>
      </c>
      <c r="F16" s="196" t="inlineStr">
        <is>
          <t>DADM + Financeiro</t>
        </is>
      </c>
    </row>
    <row r="17" ht="45" customHeight="1" s="131">
      <c r="A17" s="196" t="inlineStr">
        <is>
          <t>Metas de custo</t>
        </is>
      </c>
      <c r="B17" s="196" t="inlineStr">
        <is>
          <t>A meta institucional fala em redução real anual, mas o protótipo precisa exercitar vigência e status.</t>
        </is>
      </c>
      <c r="C17" s="196" t="inlineStr">
        <is>
          <t>Mantidas metas operacionais demonstrativas com histórico preservado.</t>
        </is>
      </c>
      <c r="D17" s="196" t="inlineStr">
        <is>
          <t>Substituir pelos limites oficiais após aprovação de baseline e deflator.</t>
        </is>
      </c>
      <c r="E17" s="196" t="inlineStr">
        <is>
          <t>Antes do uso oficial</t>
        </is>
      </c>
      <c r="F17" s="196" t="inlineStr">
        <is>
          <t>Diretoria + Financeiro</t>
        </is>
      </c>
    </row>
    <row r="18" ht="45" customHeight="1" s="131">
      <c r="A18" s="196" t="inlineStr">
        <is>
          <t>Infraestrutura</t>
        </is>
      </c>
      <c r="B18" s="196" t="inlineStr">
        <is>
          <t>R$/m² é a medida operacional principal; R$/aluno é complementar.</t>
        </is>
      </c>
      <c r="C18" s="196" t="inlineStr">
        <is>
          <t>Uma única meta é aplicada ao R$/m² para evitar metas concorrentes no mesmo KPI.</t>
        </is>
      </c>
      <c r="D18" s="196" t="inlineStr">
        <is>
          <t>Vincular a leitura definitiva ao DADM-02 quando a Taxa de Ensalamento estiver implementada.</t>
        </is>
      </c>
      <c r="E18" s="196" t="inlineStr">
        <is>
          <t>Fase DADM-02</t>
        </is>
      </c>
      <c r="F18" s="196" t="inlineStr">
        <is>
          <t>DADM</t>
        </is>
      </c>
    </row>
    <row r="19" ht="45" customHeight="1" s="131">
      <c r="A19" s="196" t="inlineStr">
        <is>
          <t>Metas históricas</t>
        </is>
      </c>
      <c r="B19" s="196" t="inlineStr">
        <is>
          <t>Sobrescrever uma meta apaga o contexto das decisões passadas.</t>
        </is>
      </c>
      <c r="C19" s="196" t="inlineStr">
        <is>
          <t>Cada mudança cria nova vigência na aba METAS.</t>
        </is>
      </c>
      <c r="D19" s="196" t="inlineStr">
        <is>
          <t>Registrar justificativa e aprovação em toda revisão de meta.</t>
        </is>
      </c>
      <c r="E19" s="196" t="inlineStr">
        <is>
          <t>Rotina mensal</t>
        </is>
      </c>
      <c r="F19" s="196" t="inlineStr">
        <is>
          <t>Diretoria</t>
        </is>
      </c>
    </row>
    <row r="20" ht="45" customHeight="1" s="131">
      <c r="A20" s="196" t="inlineStr">
        <is>
          <t>Expansão das diretorias</t>
        </is>
      </c>
      <c r="B20" s="196" t="inlineStr">
        <is>
          <t>A DADM depende de fontes acadêmicas que ainda serão incorporadas ao Data UNIVC.</t>
        </is>
      </c>
      <c r="C20" s="196" t="inlineStr">
        <is>
          <t>A população foi centralizada para permitir novas diretorias sem duplicar estruturas.</t>
        </is>
      </c>
      <c r="D20" s="196" t="inlineStr">
        <is>
          <t>Revisar o agregador e os filtros ao ativar DCS e DEAD.</t>
        </is>
      </c>
      <c r="E20" s="196" t="inlineStr">
        <is>
          <t>Conforme roadmap</t>
        </is>
      </c>
      <c r="F20" s="196" t="inlineStr">
        <is>
          <t>Responsável técnico</t>
        </is>
      </c>
    </row>
    <row r="21" ht="36" customHeight="1" s="131"/>
    <row r="22" ht="36" customHeight="1" s="131"/>
    <row r="23" ht="36" customHeight="1" s="131">
      <c r="A23" s="191" t="inlineStr">
        <is>
          <t>CRITÉRIOS DE LIBERAÇÃO PARA USO GERENCIAL</t>
        </is>
      </c>
    </row>
    <row r="24" ht="36" customHeight="1" s="131">
      <c r="A24" s="130" t="inlineStr">
        <is>
          <t>☐</t>
        </is>
      </c>
      <c r="B24" s="197" t="inlineStr">
        <is>
          <t>Zero linhas com erro nas bases de evasão, custos, população e infraestrutura.</t>
        </is>
      </c>
    </row>
    <row r="25" ht="36" customHeight="1" s="131">
      <c r="A25" s="130" t="inlineStr">
        <is>
          <t>☐</t>
        </is>
      </c>
      <c r="B25" s="197" t="inlineStr">
        <is>
          <t>Fonte oficial, responsável e data de corte definidos para os três KPIs.</t>
        </is>
      </c>
    </row>
    <row r="26" ht="36" customHeight="1" s="131">
      <c r="A26" s="130" t="inlineStr">
        <is>
          <t>☐</t>
        </is>
      </c>
      <c r="B26" s="197" t="inlineStr">
        <is>
          <t>Metas aprovadas e registradas com vigência para DADM-01, DADM-09 e DADM-10.</t>
        </is>
      </c>
    </row>
    <row r="27" ht="36" customHeight="1" s="131">
      <c r="A27" s="130" t="inlineStr">
        <is>
          <t>☐</t>
        </is>
      </c>
      <c r="B27" s="197" t="inlineStr">
        <is>
          <t>Nenhum recadastro manual da população acadêmica na DADM.</t>
        </is>
      </c>
    </row>
    <row r="28" ht="36" customHeight="1" s="131">
      <c r="A28" s="130" t="inlineStr">
        <is>
          <t>☐</t>
        </is>
      </c>
      <c r="B28" s="197" t="inlineStr">
        <is>
          <t>Fallback EAD/Semipresencial retirado assim que DEAD publicar a fonte acadêmica oficial.</t>
        </is>
      </c>
    </row>
    <row r="29" ht="36" customHeight="1" s="131">
      <c r="A29" s="130" t="inlineStr">
        <is>
          <t>☐</t>
        </is>
      </c>
      <c r="B29" s="197" t="inlineStr">
        <is>
          <t>Planos de ação vinculados pelo recorte exato que ficou fora da meta.</t>
        </is>
      </c>
    </row>
  </sheetData>
  <autoFilter ref="A5:F8"/>
  <mergeCells count="8">
    <mergeCell ref="A2:F2"/>
    <mergeCell ref="B29:F29"/>
    <mergeCell ref="B24:F24"/>
    <mergeCell ref="A1:F1"/>
    <mergeCell ref="B25:F25"/>
    <mergeCell ref="B28:F28"/>
    <mergeCell ref="B26:F26"/>
    <mergeCell ref="B27:F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00563F"/>
    <outlinePr summaryBelow="1" summaryRight="1"/>
    <pageSetUpPr fitToPage="0"/>
  </sheetPr>
  <dimension ref="A1:AD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Right"/>
      <selection pane="bottomLeft"/>
      <selection pane="bottomRigh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8" customWidth="1" style="130" min="1" max="1"/>
    <col width="30" customWidth="1" style="130" min="2" max="2"/>
    <col width="11" customWidth="1" style="130" min="3" max="30"/>
  </cols>
  <sheetData>
    <row r="1" ht="24" customHeight="1" s="131">
      <c r="A1" s="132" t="inlineStr">
        <is>
          <t>RECORTES DO DADM AO LONGO DOS MESES DA JANELA</t>
        </is>
      </c>
    </row>
    <row r="2" ht="30" customHeight="1" s="131">
      <c r="A2" s="133" t="inlineStr">
        <is>
          <t>Colunas em branco são meses fora da janela. As últimas colunas comparam referência, comparação, variação, meta e status.</t>
        </is>
      </c>
    </row>
    <row r="3"/>
    <row r="4" ht="15" customHeight="1" s="131">
      <c r="A4" s="198" t="inlineStr">
        <is>
          <t>DADM-01 — Taxa de Evasão por Curso</t>
        </is>
      </c>
    </row>
    <row r="5" ht="30" customHeight="1" s="131">
      <c r="A5" s="199" t="inlineStr">
        <is>
          <t>Curso</t>
        </is>
      </c>
      <c r="B5" s="200" t="n"/>
      <c r="C5" s="200" t="n"/>
      <c r="D5" s="200" t="n"/>
      <c r="E5" s="200" t="n"/>
      <c r="F5" s="200" t="n"/>
      <c r="G5" s="200" t="n"/>
      <c r="H5" s="200" t="n"/>
      <c r="I5" s="200" t="n"/>
      <c r="J5" s="200" t="n"/>
      <c r="K5" s="200" t="n"/>
      <c r="L5" s="200" t="n"/>
      <c r="M5" s="200" t="n"/>
      <c r="N5" s="166" t="inlineStr">
        <is>
          <t>Referência</t>
        </is>
      </c>
      <c r="O5" s="166" t="inlineStr">
        <is>
          <t>Comparação</t>
        </is>
      </c>
      <c r="P5" s="166" t="inlineStr">
        <is>
          <t>Variação</t>
        </is>
      </c>
      <c r="Q5" s="166" t="inlineStr">
        <is>
          <t>Meta</t>
        </is>
      </c>
      <c r="R5" s="166" t="inlineStr">
        <is>
          <t>Status</t>
        </is>
      </c>
    </row>
    <row r="6" ht="21.75" customHeight="1" s="131">
      <c r="A6" s="167" t="n"/>
      <c r="B6" s="201" t="n"/>
      <c r="C6" s="201" t="n"/>
      <c r="D6" s="201" t="n"/>
      <c r="E6" s="201" t="n"/>
      <c r="F6" s="201" t="n"/>
      <c r="G6" s="201" t="n"/>
      <c r="H6" s="201" t="n"/>
      <c r="I6" s="201" t="n"/>
      <c r="J6" s="201" t="n"/>
      <c r="K6" s="201" t="n"/>
      <c r="L6" s="201" t="n"/>
      <c r="M6" s="201" t="n"/>
      <c r="N6" s="202" t="n"/>
      <c r="O6" s="169" t="n"/>
      <c r="P6" s="203" t="n"/>
      <c r="Q6" s="169" t="n"/>
      <c r="R6" s="171" t="n"/>
    </row>
    <row r="7" ht="21.75" customHeight="1" s="131">
      <c r="A7" s="167" t="n"/>
      <c r="B7" s="201" t="n"/>
      <c r="C7" s="201" t="n"/>
      <c r="D7" s="201" t="n"/>
      <c r="E7" s="201" t="n"/>
      <c r="F7" s="201" t="n"/>
      <c r="G7" s="201" t="n"/>
      <c r="H7" s="201" t="n"/>
      <c r="I7" s="201" t="n"/>
      <c r="J7" s="201" t="n"/>
      <c r="K7" s="201" t="n"/>
      <c r="L7" s="201" t="n"/>
      <c r="M7" s="201" t="n"/>
      <c r="N7" s="202" t="n"/>
      <c r="O7" s="169" t="n"/>
      <c r="P7" s="203" t="n"/>
      <c r="Q7" s="169" t="n"/>
      <c r="R7" s="171" t="n"/>
    </row>
    <row r="8" ht="15" customHeight="1" s="131">
      <c r="A8" s="167" t="n"/>
      <c r="B8" s="201" t="n"/>
      <c r="C8" s="201" t="n"/>
      <c r="D8" s="201" t="n"/>
      <c r="E8" s="201" t="n"/>
      <c r="F8" s="201" t="n"/>
      <c r="G8" s="201" t="n"/>
      <c r="H8" s="201" t="n"/>
      <c r="I8" s="201" t="n"/>
      <c r="J8" s="201" t="n"/>
      <c r="K8" s="201" t="n"/>
      <c r="L8" s="201" t="n"/>
      <c r="M8" s="201" t="n"/>
      <c r="N8" s="202" t="n"/>
      <c r="O8" s="169" t="n"/>
      <c r="P8" s="203" t="n"/>
      <c r="Q8" s="169" t="n"/>
      <c r="R8" s="171" t="n"/>
    </row>
    <row r="9" ht="15" customHeight="1" s="131">
      <c r="A9" s="167" t="n"/>
      <c r="B9" s="201" t="n"/>
      <c r="C9" s="201" t="n"/>
      <c r="D9" s="201" t="n"/>
      <c r="E9" s="201" t="n"/>
      <c r="F9" s="201" t="n"/>
      <c r="G9" s="201" t="n"/>
      <c r="H9" s="201" t="n"/>
      <c r="I9" s="201" t="n"/>
      <c r="J9" s="201" t="n"/>
      <c r="K9" s="201" t="n"/>
      <c r="L9" s="201" t="n"/>
      <c r="M9" s="201" t="n"/>
      <c r="N9" s="202" t="n"/>
      <c r="O9" s="169" t="n"/>
      <c r="P9" s="203" t="n"/>
      <c r="Q9" s="169" t="n"/>
      <c r="R9" s="171" t="n"/>
    </row>
    <row r="10" ht="15" customHeight="1" s="131">
      <c r="A10" s="167" t="n"/>
      <c r="B10" s="201" t="n"/>
      <c r="C10" s="201" t="n"/>
      <c r="D10" s="201" t="n"/>
      <c r="E10" s="201" t="n"/>
      <c r="F10" s="201" t="n"/>
      <c r="G10" s="201" t="n"/>
      <c r="H10" s="201" t="n"/>
      <c r="I10" s="201" t="n"/>
      <c r="J10" s="201" t="n"/>
      <c r="K10" s="201" t="n"/>
      <c r="L10" s="201" t="n"/>
      <c r="M10" s="201" t="n"/>
      <c r="N10" s="202" t="n"/>
      <c r="O10" s="169" t="n"/>
      <c r="P10" s="203" t="n"/>
      <c r="Q10" s="169" t="n"/>
      <c r="R10" s="171" t="n"/>
    </row>
    <row r="11" ht="15" customHeight="1" s="131">
      <c r="A11" s="167" t="n"/>
      <c r="B11" s="201" t="n"/>
      <c r="C11" s="201" t="n"/>
      <c r="D11" s="201" t="n"/>
      <c r="E11" s="201" t="n"/>
      <c r="F11" s="201" t="n"/>
      <c r="G11" s="201" t="n"/>
      <c r="H11" s="201" t="n"/>
      <c r="I11" s="201" t="n"/>
      <c r="J11" s="201" t="n"/>
      <c r="K11" s="201" t="n"/>
      <c r="L11" s="201" t="n"/>
      <c r="M11" s="201" t="n"/>
      <c r="N11" s="202" t="n"/>
      <c r="O11" s="169" t="n"/>
      <c r="P11" s="203" t="n"/>
      <c r="Q11" s="169" t="n"/>
      <c r="R11" s="171" t="n"/>
    </row>
    <row r="12" ht="21.75" customHeight="1" s="131">
      <c r="A12" s="167" t="n"/>
      <c r="B12" s="201" t="n"/>
      <c r="C12" s="201" t="n"/>
      <c r="D12" s="201" t="n"/>
      <c r="E12" s="201" t="n"/>
      <c r="F12" s="201" t="n"/>
      <c r="G12" s="201" t="n"/>
      <c r="H12" s="201" t="n"/>
      <c r="I12" s="201" t="n"/>
      <c r="J12" s="201" t="n"/>
      <c r="K12" s="201" t="n"/>
      <c r="L12" s="201" t="n"/>
      <c r="M12" s="201" t="n"/>
      <c r="N12" s="202" t="n"/>
      <c r="O12" s="169" t="n"/>
      <c r="P12" s="203" t="n"/>
      <c r="Q12" s="169" t="n"/>
      <c r="R12" s="171" t="n"/>
    </row>
    <row r="13" ht="21.75" customHeight="1" s="131">
      <c r="A13" s="167" t="n"/>
      <c r="B13" s="201" t="n"/>
      <c r="C13" s="201" t="n"/>
      <c r="D13" s="201" t="n"/>
      <c r="E13" s="201" t="n"/>
      <c r="F13" s="201" t="n"/>
      <c r="G13" s="201" t="n"/>
      <c r="H13" s="201" t="n"/>
      <c r="I13" s="201" t="n"/>
      <c r="J13" s="201" t="n"/>
      <c r="K13" s="201" t="n"/>
      <c r="L13" s="201" t="n"/>
      <c r="M13" s="201" t="n"/>
      <c r="N13" s="202" t="n"/>
      <c r="O13" s="169" t="n"/>
      <c r="P13" s="203" t="n"/>
      <c r="Q13" s="169" t="n"/>
      <c r="R13" s="171" t="n"/>
    </row>
    <row r="14" ht="21.75" customHeight="1" s="131">
      <c r="A14" s="167" t="n"/>
      <c r="B14" s="201" t="n"/>
      <c r="C14" s="201" t="n"/>
      <c r="D14" s="201" t="n"/>
      <c r="E14" s="201" t="n"/>
      <c r="F14" s="201" t="n"/>
      <c r="G14" s="201" t="n"/>
      <c r="H14" s="201" t="n"/>
      <c r="I14" s="201" t="n"/>
      <c r="J14" s="201" t="n"/>
      <c r="K14" s="201" t="n"/>
      <c r="L14" s="201" t="n"/>
      <c r="M14" s="201" t="n"/>
      <c r="N14" s="202" t="n"/>
      <c r="O14" s="169" t="n"/>
      <c r="P14" s="203" t="n"/>
      <c r="Q14" s="169" t="n"/>
      <c r="R14" s="171" t="n"/>
    </row>
    <row r="15"/>
    <row r="16"/>
    <row r="17" ht="26.25" customHeight="1" s="131">
      <c r="A17" s="198" t="inlineStr">
        <is>
          <t>DADM-09 — Custo Administrativo por Aluno por Modalidade</t>
        </is>
      </c>
    </row>
    <row r="18" ht="30" customHeight="1" s="131">
      <c r="A18" s="199" t="inlineStr">
        <is>
          <t>Modalidade</t>
        </is>
      </c>
      <c r="B18" s="200" t="n"/>
      <c r="C18" s="200" t="n"/>
      <c r="D18" s="200" t="n"/>
      <c r="E18" s="200" t="n"/>
      <c r="F18" s="200" t="n"/>
      <c r="G18" s="200" t="n"/>
      <c r="H18" s="200" t="n"/>
      <c r="I18" s="200" t="n"/>
      <c r="J18" s="200" t="n"/>
      <c r="K18" s="200" t="n"/>
      <c r="L18" s="200" t="n"/>
      <c r="M18" s="200" t="n"/>
      <c r="N18" s="166" t="inlineStr">
        <is>
          <t>Referência</t>
        </is>
      </c>
      <c r="O18" s="166" t="inlineStr">
        <is>
          <t>Comparação</t>
        </is>
      </c>
      <c r="P18" s="166" t="inlineStr">
        <is>
          <t>Variação</t>
        </is>
      </c>
      <c r="Q18" s="166" t="inlineStr">
        <is>
          <t>Meta</t>
        </is>
      </c>
      <c r="R18" s="166" t="inlineStr">
        <is>
          <t>Status</t>
        </is>
      </c>
    </row>
    <row r="19" ht="15" customHeight="1" s="131">
      <c r="A19" s="167" t="n"/>
      <c r="B19" s="204" t="n"/>
      <c r="C19" s="204" t="n"/>
      <c r="D19" s="204" t="n"/>
      <c r="E19" s="204" t="n"/>
      <c r="F19" s="204" t="n"/>
      <c r="G19" s="204" t="n"/>
      <c r="H19" s="204" t="n"/>
      <c r="I19" s="204" t="n"/>
      <c r="J19" s="204" t="n"/>
      <c r="K19" s="204" t="n"/>
      <c r="L19" s="204" t="n"/>
      <c r="M19" s="204" t="n"/>
      <c r="N19" s="205" t="n"/>
      <c r="O19" s="179" t="n"/>
      <c r="P19" s="206" t="n"/>
      <c r="Q19" s="181" t="n"/>
      <c r="R19" s="171" t="n"/>
    </row>
    <row r="20" ht="21.75" customHeight="1" s="131">
      <c r="A20" s="167" t="n"/>
      <c r="B20" s="204" t="n"/>
      <c r="C20" s="204" t="n"/>
      <c r="D20" s="204" t="n"/>
      <c r="E20" s="204" t="n"/>
      <c r="F20" s="204" t="n"/>
      <c r="G20" s="204" t="n"/>
      <c r="H20" s="204" t="n"/>
      <c r="I20" s="204" t="n"/>
      <c r="J20" s="204" t="n"/>
      <c r="K20" s="204" t="n"/>
      <c r="L20" s="204" t="n"/>
      <c r="M20" s="204" t="n"/>
      <c r="N20" s="205" t="n"/>
      <c r="O20" s="179" t="n"/>
      <c r="P20" s="206" t="n"/>
      <c r="Q20" s="181" t="n"/>
      <c r="R20" s="171" t="n"/>
    </row>
    <row r="21" ht="21.75" customHeight="1" s="131">
      <c r="A21" s="167" t="n"/>
      <c r="B21" s="204" t="n"/>
      <c r="C21" s="204" t="n"/>
      <c r="D21" s="204" t="n"/>
      <c r="E21" s="204" t="n"/>
      <c r="F21" s="204" t="n"/>
      <c r="G21" s="204" t="n"/>
      <c r="H21" s="204" t="n"/>
      <c r="I21" s="204" t="n"/>
      <c r="J21" s="204" t="n"/>
      <c r="K21" s="204" t="n"/>
      <c r="L21" s="204" t="n"/>
      <c r="M21" s="204" t="n"/>
      <c r="N21" s="205" t="n"/>
      <c r="O21" s="179" t="n"/>
      <c r="P21" s="206" t="n"/>
      <c r="Q21" s="181" t="n"/>
      <c r="R21" s="171" t="n"/>
    </row>
    <row r="22" ht="15" customHeight="1" s="131">
      <c r="A22" s="167" t="n"/>
      <c r="B22" s="204" t="n"/>
      <c r="C22" s="204" t="n"/>
      <c r="D22" s="204" t="n"/>
      <c r="E22" s="204" t="n"/>
      <c r="F22" s="204" t="n"/>
      <c r="G22" s="204" t="n"/>
      <c r="H22" s="204" t="n"/>
      <c r="I22" s="204" t="n"/>
      <c r="J22" s="204" t="n"/>
      <c r="K22" s="204" t="n"/>
      <c r="L22" s="204" t="n"/>
      <c r="M22" s="204" t="n"/>
      <c r="N22" s="205" t="n"/>
      <c r="O22" s="179" t="n"/>
      <c r="P22" s="206" t="n"/>
      <c r="Q22" s="181" t="n"/>
      <c r="R22" s="171" t="n"/>
    </row>
    <row r="23" ht="21.75" customHeight="1" s="131">
      <c r="A23" s="167" t="n"/>
      <c r="B23" s="204" t="n"/>
      <c r="C23" s="204" t="n"/>
      <c r="D23" s="204" t="n"/>
      <c r="E23" s="204" t="n"/>
      <c r="F23" s="204" t="n"/>
      <c r="G23" s="204" t="n"/>
      <c r="H23" s="204" t="n"/>
      <c r="I23" s="204" t="n"/>
      <c r="J23" s="204" t="n"/>
      <c r="K23" s="204" t="n"/>
      <c r="L23" s="204" t="n"/>
      <c r="M23" s="204" t="n"/>
      <c r="N23" s="205" t="n"/>
      <c r="O23" s="179" t="n"/>
      <c r="P23" s="206" t="n"/>
      <c r="Q23" s="181" t="n"/>
      <c r="R23" s="171" t="n"/>
    </row>
    <row r="24" ht="21.75" customHeight="1" s="131">
      <c r="A24" s="167" t="n"/>
      <c r="B24" s="204" t="n"/>
      <c r="C24" s="204" t="n"/>
      <c r="D24" s="204" t="n"/>
      <c r="E24" s="204" t="n"/>
      <c r="F24" s="204" t="n"/>
      <c r="G24" s="204" t="n"/>
      <c r="H24" s="204" t="n"/>
      <c r="I24" s="204" t="n"/>
      <c r="J24" s="204" t="n"/>
      <c r="K24" s="204" t="n"/>
      <c r="L24" s="204" t="n"/>
      <c r="M24" s="204" t="n"/>
      <c r="N24" s="205" t="n"/>
      <c r="O24" s="179" t="n"/>
      <c r="P24" s="206" t="n"/>
      <c r="Q24" s="181" t="n"/>
      <c r="R24" s="171" t="n"/>
    </row>
    <row r="25" ht="21.75" customHeight="1" s="131">
      <c r="A25" s="167" t="n"/>
      <c r="B25" s="204" t="n"/>
      <c r="C25" s="204" t="n"/>
      <c r="D25" s="204" t="n"/>
      <c r="E25" s="204" t="n"/>
      <c r="F25" s="204" t="n"/>
      <c r="G25" s="204" t="n"/>
      <c r="H25" s="204" t="n"/>
      <c r="I25" s="204" t="n"/>
      <c r="J25" s="204" t="n"/>
      <c r="K25" s="204" t="n"/>
      <c r="L25" s="204" t="n"/>
      <c r="M25" s="204" t="n"/>
      <c r="N25" s="205" t="n"/>
      <c r="O25" s="179" t="n"/>
      <c r="P25" s="206" t="n"/>
      <c r="Q25" s="181" t="n"/>
      <c r="R25" s="171" t="n"/>
    </row>
    <row r="26" ht="15" customHeight="1" s="131">
      <c r="A26" s="167" t="n"/>
      <c r="B26" s="204" t="n"/>
      <c r="C26" s="204" t="n"/>
      <c r="D26" s="204" t="n"/>
      <c r="E26" s="204" t="n"/>
      <c r="F26" s="204" t="n"/>
      <c r="G26" s="204" t="n"/>
      <c r="H26" s="204" t="n"/>
      <c r="I26" s="204" t="n"/>
      <c r="J26" s="204" t="n"/>
      <c r="K26" s="204" t="n"/>
      <c r="L26" s="204" t="n"/>
      <c r="M26" s="204" t="n"/>
      <c r="N26" s="205" t="n"/>
      <c r="O26" s="179" t="n"/>
      <c r="P26" s="206" t="n"/>
      <c r="Q26" s="181" t="n"/>
      <c r="R26" s="171" t="n"/>
    </row>
    <row r="27" ht="21.75" customHeight="1" s="131">
      <c r="A27" s="167" t="n"/>
      <c r="B27" s="204" t="n"/>
      <c r="C27" s="204" t="n"/>
      <c r="D27" s="204" t="n"/>
      <c r="E27" s="204" t="n"/>
      <c r="F27" s="204" t="n"/>
      <c r="G27" s="204" t="n"/>
      <c r="H27" s="204" t="n"/>
      <c r="I27" s="204" t="n"/>
      <c r="J27" s="204" t="n"/>
      <c r="K27" s="204" t="n"/>
      <c r="L27" s="204" t="n"/>
      <c r="M27" s="204" t="n"/>
      <c r="N27" s="205" t="n"/>
      <c r="O27" s="179" t="n"/>
      <c r="P27" s="206" t="n"/>
      <c r="Q27" s="181" t="n"/>
      <c r="R27" s="171" t="n"/>
    </row>
    <row r="28"/>
    <row r="29"/>
    <row r="30" ht="26.25" customHeight="1" s="131">
      <c r="A30" s="198" t="inlineStr">
        <is>
          <t>DADM-10 — Infraestrutura</t>
        </is>
      </c>
    </row>
    <row r="31" ht="30" customHeight="1" s="131">
      <c r="A31" s="199" t="inlineStr">
        <is>
          <t>Medida</t>
        </is>
      </c>
      <c r="B31" s="200" t="n"/>
      <c r="C31" s="200" t="n"/>
      <c r="D31" s="200" t="n"/>
      <c r="E31" s="200" t="n"/>
      <c r="F31" s="200" t="n"/>
      <c r="G31" s="200" t="n"/>
      <c r="H31" s="200" t="n"/>
      <c r="I31" s="200" t="n"/>
      <c r="J31" s="200" t="n"/>
      <c r="K31" s="200" t="n"/>
      <c r="L31" s="200" t="n"/>
      <c r="M31" s="200" t="n"/>
      <c r="N31" s="166" t="inlineStr">
        <is>
          <t>Referência</t>
        </is>
      </c>
      <c r="O31" s="166" t="inlineStr">
        <is>
          <t>Comparação</t>
        </is>
      </c>
      <c r="P31" s="166" t="inlineStr">
        <is>
          <t>Variação</t>
        </is>
      </c>
      <c r="Q31" s="166" t="inlineStr">
        <is>
          <t>Meta</t>
        </is>
      </c>
      <c r="R31" s="166" t="inlineStr">
        <is>
          <t>Status</t>
        </is>
      </c>
    </row>
    <row r="32" ht="15" customHeight="1" s="131">
      <c r="A32" s="167" t="n"/>
      <c r="B32" s="207" t="n"/>
      <c r="C32" s="207" t="n"/>
      <c r="D32" s="207" t="n"/>
      <c r="E32" s="207" t="n"/>
      <c r="F32" s="207" t="n"/>
      <c r="G32" s="207" t="n"/>
      <c r="H32" s="207" t="n"/>
      <c r="I32" s="207" t="n"/>
      <c r="J32" s="207" t="n"/>
      <c r="K32" s="207" t="n"/>
      <c r="L32" s="207" t="n"/>
      <c r="M32" s="207" t="n"/>
      <c r="N32" s="208" t="n"/>
      <c r="O32" s="181" t="n"/>
      <c r="P32" s="206" t="n"/>
      <c r="Q32" s="181" t="n"/>
      <c r="R32" s="171" t="n"/>
    </row>
    <row r="33" ht="15" customHeight="1" s="131">
      <c r="A33" s="167" t="n"/>
      <c r="B33" s="207" t="n"/>
      <c r="C33" s="207" t="n"/>
      <c r="D33" s="207" t="n"/>
      <c r="E33" s="207" t="n"/>
      <c r="F33" s="207" t="n"/>
      <c r="G33" s="207" t="n"/>
      <c r="H33" s="207" t="n"/>
      <c r="I33" s="207" t="n"/>
      <c r="J33" s="207" t="n"/>
      <c r="K33" s="207" t="n"/>
      <c r="L33" s="207" t="n"/>
      <c r="M33" s="207" t="n"/>
      <c r="N33" s="208" t="n"/>
      <c r="O33" s="181" t="n"/>
      <c r="P33" s="206" t="n"/>
      <c r="Q33" s="181" t="n"/>
      <c r="R33" s="171" t="n"/>
    </row>
    <row r="34" ht="21.75" customHeight="1" s="131">
      <c r="A34" s="167" t="n"/>
      <c r="B34" s="207" t="n"/>
      <c r="C34" s="207" t="n"/>
      <c r="D34" s="207" t="n"/>
      <c r="E34" s="207" t="n"/>
      <c r="F34" s="207" t="n"/>
      <c r="G34" s="207" t="n"/>
      <c r="H34" s="207" t="n"/>
      <c r="I34" s="207" t="n"/>
      <c r="J34" s="207" t="n"/>
      <c r="K34" s="207" t="n"/>
      <c r="L34" s="207" t="n"/>
      <c r="M34" s="207" t="n"/>
      <c r="N34" s="208" t="n"/>
      <c r="O34" s="181" t="n"/>
      <c r="P34" s="206" t="n"/>
      <c r="Q34" s="181" t="n"/>
      <c r="R34" s="171" t="n"/>
    </row>
    <row r="35" ht="15" customHeight="1" s="131">
      <c r="A35" s="167" t="n"/>
      <c r="B35" s="207" t="n"/>
      <c r="C35" s="207" t="n"/>
      <c r="D35" s="207" t="n"/>
      <c r="E35" s="207" t="n"/>
      <c r="F35" s="207" t="n"/>
      <c r="G35" s="207" t="n"/>
      <c r="H35" s="207" t="n"/>
      <c r="I35" s="207" t="n"/>
      <c r="J35" s="207" t="n"/>
      <c r="K35" s="207" t="n"/>
      <c r="L35" s="207" t="n"/>
      <c r="M35" s="207" t="n"/>
      <c r="N35" s="208" t="n"/>
      <c r="O35" s="181" t="n"/>
      <c r="P35" s="206" t="n"/>
      <c r="Q35" s="181" t="n"/>
      <c r="R35" s="171" t="n"/>
    </row>
    <row r="36" ht="21.75" customHeight="1" s="131">
      <c r="A36" s="167" t="n"/>
      <c r="B36" s="207" t="n"/>
      <c r="C36" s="207" t="n"/>
      <c r="D36" s="207" t="n"/>
      <c r="E36" s="207" t="n"/>
      <c r="F36" s="207" t="n"/>
      <c r="G36" s="207" t="n"/>
      <c r="H36" s="207" t="n"/>
      <c r="I36" s="207" t="n"/>
      <c r="J36" s="207" t="n"/>
      <c r="K36" s="207" t="n"/>
      <c r="L36" s="207" t="n"/>
      <c r="M36" s="207" t="n"/>
      <c r="N36" s="208" t="n"/>
      <c r="O36" s="181" t="n"/>
      <c r="P36" s="206" t="n"/>
      <c r="Q36" s="181" t="n"/>
      <c r="R36" s="171" t="n"/>
    </row>
    <row r="37" ht="15" customHeight="1" s="131">
      <c r="A37" s="167" t="n"/>
      <c r="B37" s="207" t="n"/>
      <c r="C37" s="207" t="n"/>
      <c r="D37" s="207" t="n"/>
      <c r="E37" s="207" t="n"/>
      <c r="F37" s="207" t="n"/>
      <c r="G37" s="207" t="n"/>
      <c r="H37" s="207" t="n"/>
      <c r="I37" s="207" t="n"/>
      <c r="J37" s="207" t="n"/>
      <c r="K37" s="207" t="n"/>
      <c r="L37" s="207" t="n"/>
      <c r="M37" s="207" t="n"/>
      <c r="N37" s="208" t="n"/>
      <c r="O37" s="181" t="n"/>
      <c r="P37" s="206" t="n"/>
      <c r="Q37" s="181" t="n"/>
      <c r="R37" s="171" t="n"/>
    </row>
    <row r="38" ht="15" customHeight="1" s="131">
      <c r="A38" s="167" t="n"/>
      <c r="B38" s="207" t="n"/>
      <c r="C38" s="207" t="n"/>
      <c r="D38" s="207" t="n"/>
      <c r="E38" s="207" t="n"/>
      <c r="F38" s="207" t="n"/>
      <c r="G38" s="207" t="n"/>
      <c r="H38" s="207" t="n"/>
      <c r="I38" s="207" t="n"/>
      <c r="J38" s="207" t="n"/>
      <c r="K38" s="207" t="n"/>
      <c r="L38" s="207" t="n"/>
      <c r="M38" s="207" t="n"/>
      <c r="N38" s="208" t="n"/>
      <c r="O38" s="181" t="n"/>
      <c r="P38" s="206" t="n"/>
      <c r="Q38" s="181" t="n"/>
      <c r="R38" s="171" t="n"/>
    </row>
    <row r="39" ht="21.75" customHeight="1" s="131">
      <c r="A39" s="167" t="n"/>
      <c r="B39" s="207" t="n"/>
      <c r="C39" s="207" t="n"/>
      <c r="D39" s="207" t="n"/>
      <c r="E39" s="207" t="n"/>
      <c r="F39" s="207" t="n"/>
      <c r="G39" s="207" t="n"/>
      <c r="H39" s="207" t="n"/>
      <c r="I39" s="207" t="n"/>
      <c r="J39" s="207" t="n"/>
      <c r="K39" s="207" t="n"/>
      <c r="L39" s="207" t="n"/>
      <c r="M39" s="207" t="n"/>
      <c r="N39" s="208" t="n"/>
      <c r="O39" s="181" t="n"/>
      <c r="P39" s="206" t="n"/>
      <c r="Q39" s="181" t="n"/>
      <c r="R39" s="171" t="n"/>
    </row>
    <row r="40" ht="21.75" customHeight="1" s="131">
      <c r="A40" s="167" t="n"/>
      <c r="B40" s="207" t="n"/>
      <c r="C40" s="207" t="n"/>
      <c r="D40" s="207" t="n"/>
      <c r="E40" s="207" t="n"/>
      <c r="F40" s="207" t="n"/>
      <c r="G40" s="207" t="n"/>
      <c r="H40" s="207" t="n"/>
      <c r="I40" s="207" t="n"/>
      <c r="J40" s="207" t="n"/>
      <c r="K40" s="207" t="n"/>
      <c r="L40" s="207" t="n"/>
      <c r="M40" s="207" t="n"/>
      <c r="N40" s="208" t="n"/>
      <c r="O40" s="181" t="n"/>
      <c r="P40" s="206" t="n"/>
      <c r="Q40" s="181" t="n"/>
      <c r="R40" s="171" t="n"/>
    </row>
    <row r="41"/>
    <row r="42"/>
    <row r="43" ht="53.25" customHeight="1" s="131">
      <c r="A43" s="198" t="inlineStr">
        <is>
          <t>DADM-01 — Base de alunos ativos por curso</t>
        </is>
      </c>
      <c r="D43" s="140" t="inlineStr">
        <is>
          <t>a mesma população acadêmica usada no denominador da evasão</t>
        </is>
      </c>
    </row>
    <row r="44" ht="30" customHeight="1" s="131">
      <c r="A44" s="199" t="inlineStr">
        <is>
          <t>Diretoria / Curso</t>
        </is>
      </c>
      <c r="B44" s="199" t="inlineStr">
        <is>
          <t>Modalidade</t>
        </is>
      </c>
      <c r="C44" s="200" t="n"/>
      <c r="D44" s="200" t="n"/>
      <c r="E44" s="200" t="n"/>
      <c r="F44" s="200" t="n"/>
      <c r="G44" s="200" t="n"/>
      <c r="H44" s="200" t="n"/>
      <c r="I44" s="200" t="n"/>
      <c r="J44" s="200" t="n"/>
      <c r="K44" s="200" t="n"/>
      <c r="L44" s="200" t="n"/>
      <c r="M44" s="200" t="n"/>
      <c r="N44" s="200" t="n"/>
    </row>
    <row r="45" ht="15" customHeight="1" s="131">
      <c r="A45" s="209" t="n"/>
      <c r="B45" s="167" t="n"/>
      <c r="C45" s="207" t="n"/>
      <c r="D45" s="207" t="n"/>
      <c r="E45" s="207" t="n"/>
      <c r="F45" s="207" t="n"/>
      <c r="G45" s="207" t="n"/>
      <c r="H45" s="207" t="n"/>
      <c r="I45" s="207" t="n"/>
      <c r="J45" s="207" t="n"/>
      <c r="K45" s="207" t="n"/>
      <c r="L45" s="207" t="n"/>
      <c r="M45" s="207" t="n"/>
      <c r="N45" s="207" t="n"/>
    </row>
    <row r="46" ht="15" customHeight="1" s="131">
      <c r="A46" s="209" t="n"/>
      <c r="B46" s="167" t="n"/>
      <c r="C46" s="207" t="n"/>
      <c r="D46" s="207" t="n"/>
      <c r="E46" s="207" t="n"/>
      <c r="F46" s="207" t="n"/>
      <c r="G46" s="207" t="n"/>
      <c r="H46" s="207" t="n"/>
      <c r="I46" s="207" t="n"/>
      <c r="J46" s="207" t="n"/>
      <c r="K46" s="207" t="n"/>
      <c r="L46" s="207" t="n"/>
      <c r="M46" s="207" t="n"/>
      <c r="N46" s="207" t="n"/>
    </row>
    <row r="47" ht="15" customHeight="1" s="131">
      <c r="A47" s="209" t="n"/>
      <c r="B47" s="167" t="n"/>
      <c r="C47" s="207" t="n"/>
      <c r="D47" s="207" t="n"/>
      <c r="E47" s="207" t="n"/>
      <c r="F47" s="207" t="n"/>
      <c r="G47" s="207" t="n"/>
      <c r="H47" s="207" t="n"/>
      <c r="I47" s="207" t="n"/>
      <c r="J47" s="207" t="n"/>
      <c r="K47" s="207" t="n"/>
      <c r="L47" s="207" t="n"/>
      <c r="M47" s="207" t="n"/>
      <c r="N47" s="207" t="n"/>
    </row>
    <row r="48" ht="15" customHeight="1" s="131">
      <c r="A48" s="209" t="n"/>
      <c r="B48" s="167" t="n"/>
      <c r="C48" s="207" t="n"/>
      <c r="D48" s="207" t="n"/>
      <c r="E48" s="207" t="n"/>
      <c r="F48" s="207" t="n"/>
      <c r="G48" s="207" t="n"/>
      <c r="H48" s="207" t="n"/>
      <c r="I48" s="207" t="n"/>
      <c r="J48" s="207" t="n"/>
      <c r="K48" s="207" t="n"/>
      <c r="L48" s="207" t="n"/>
      <c r="M48" s="207" t="n"/>
      <c r="N48" s="207" t="n"/>
    </row>
    <row r="49" ht="15" customHeight="1" s="131">
      <c r="A49" s="209" t="n"/>
      <c r="B49" s="167" t="n"/>
      <c r="C49" s="207" t="n"/>
      <c r="D49" s="207" t="n"/>
      <c r="E49" s="207" t="n"/>
      <c r="F49" s="207" t="n"/>
      <c r="G49" s="207" t="n"/>
      <c r="H49" s="207" t="n"/>
      <c r="I49" s="207" t="n"/>
      <c r="J49" s="207" t="n"/>
      <c r="K49" s="207" t="n"/>
      <c r="L49" s="207" t="n"/>
      <c r="M49" s="207" t="n"/>
      <c r="N49" s="207" t="n"/>
    </row>
    <row r="50" ht="15" customHeight="1" s="131">
      <c r="A50" s="209" t="n"/>
      <c r="B50" s="167" t="n"/>
      <c r="C50" s="207" t="n"/>
      <c r="D50" s="207" t="n"/>
      <c r="E50" s="207" t="n"/>
      <c r="F50" s="207" t="n"/>
      <c r="G50" s="207" t="n"/>
      <c r="H50" s="207" t="n"/>
      <c r="I50" s="207" t="n"/>
      <c r="J50" s="207" t="n"/>
      <c r="K50" s="207" t="n"/>
      <c r="L50" s="207" t="n"/>
      <c r="M50" s="207" t="n"/>
      <c r="N50" s="207" t="n"/>
    </row>
    <row r="51" ht="15" customHeight="1" s="131">
      <c r="A51" s="209" t="n"/>
      <c r="B51" s="167" t="n"/>
      <c r="C51" s="207" t="n"/>
      <c r="D51" s="207" t="n"/>
      <c r="E51" s="207" t="n"/>
      <c r="F51" s="207" t="n"/>
      <c r="G51" s="207" t="n"/>
      <c r="H51" s="207" t="n"/>
      <c r="I51" s="207" t="n"/>
      <c r="J51" s="207" t="n"/>
      <c r="K51" s="207" t="n"/>
      <c r="L51" s="207" t="n"/>
      <c r="M51" s="207" t="n"/>
      <c r="N51" s="207" t="n"/>
    </row>
    <row r="52" ht="15" customHeight="1" s="131">
      <c r="A52" s="209" t="n"/>
      <c r="B52" s="167" t="n"/>
      <c r="C52" s="207" t="n"/>
      <c r="D52" s="207" t="n"/>
      <c r="E52" s="207" t="n"/>
      <c r="F52" s="207" t="n"/>
      <c r="G52" s="207" t="n"/>
      <c r="H52" s="207" t="n"/>
      <c r="I52" s="207" t="n"/>
      <c r="J52" s="207" t="n"/>
      <c r="K52" s="207" t="n"/>
      <c r="L52" s="207" t="n"/>
      <c r="M52" s="207" t="n"/>
      <c r="N52" s="207" t="n"/>
    </row>
    <row r="53" ht="15" customHeight="1" s="131">
      <c r="A53" s="140" t="inlineStr">
        <is>
          <t>A DADM consome a população das diretorias acadêmicas. Quando DCS e DEAD forem ativadas, esta matriz passa a agregar as novas fontes.</t>
        </is>
      </c>
    </row>
  </sheetData>
  <mergeCells count="3">
    <mergeCell ref="A53:J53"/>
    <mergeCell ref="A2:AD2"/>
    <mergeCell ref="A1:AD1"/>
  </mergeCells>
  <conditionalFormatting sqref="R6:R14">
    <cfRule type="cellIs" rank="0" priority="2" equalAverage="0" operator="equal" aboveAverage="0" dxfId="1" text="" percent="0" bottom="0">
      <formula>"Dentro da meta"</formula>
    </cfRule>
    <cfRule type="cellIs" rank="0" priority="3" equalAverage="0" operator="equal" aboveAverage="0" dxfId="2" text="" percent="0" bottom="0">
      <formula>"Atenção"</formula>
    </cfRule>
    <cfRule type="cellIs" rank="0" priority="4" equalAverage="0" operator="equal" aboveAverage="0" dxfId="0" text="" percent="0" bottom="0">
      <formula>"Fora da meta"</formula>
    </cfRule>
  </conditionalFormatting>
  <conditionalFormatting sqref="R19:R27">
    <cfRule type="cellIs" rank="0" priority="5" equalAverage="0" operator="equal" aboveAverage="0" dxfId="1" text="" percent="0" bottom="0">
      <formula>"Dentro da meta"</formula>
    </cfRule>
    <cfRule type="cellIs" rank="0" priority="6" equalAverage="0" operator="equal" aboveAverage="0" dxfId="2" text="" percent="0" bottom="0">
      <formula>"Atenção"</formula>
    </cfRule>
    <cfRule type="cellIs" rank="0" priority="7" equalAverage="0" operator="equal" aboveAverage="0" dxfId="0" text="" percent="0" bottom="0">
      <formula>"Fora da meta"</formula>
    </cfRule>
  </conditionalFormatting>
  <conditionalFormatting sqref="R32:R40">
    <cfRule type="cellIs" rank="0" priority="8" equalAverage="0" operator="equal" aboveAverage="0" dxfId="1" text="" percent="0" bottom="0">
      <formula>"Dentro da meta"</formula>
    </cfRule>
    <cfRule type="cellIs" rank="0" priority="9" equalAverage="0" operator="equal" aboveAverage="0" dxfId="2" text="" percent="0" bottom="0">
      <formula>"Atenção"</formula>
    </cfRule>
    <cfRule type="cellIs" rank="0" priority="10" equalAverage="0" operator="equal" aboveAverage="0" dxfId="0" text="" percent="0" bottom="0">
      <formula>"Fora da meta"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00563F"/>
    <outlinePr summaryBelow="1" summaryRight="1"/>
    <pageSetUpPr fitToPage="0"/>
  </sheetPr>
  <dimension ref="A1:N3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8" topLeftCell="A9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6" customWidth="1" style="130" min="1" max="1"/>
    <col width="13" customWidth="1" style="130" min="2" max="3"/>
    <col width="34" customWidth="1" style="130" min="4" max="4"/>
    <col width="13" customWidth="1" style="130" min="5" max="6"/>
    <col width="32" customWidth="1" style="130" min="7" max="8"/>
    <col width="38" customWidth="1" style="130" min="9" max="9"/>
    <col width="22" customWidth="1" style="130" min="10" max="10"/>
    <col width="13" customWidth="1" style="130" min="11" max="11"/>
    <col width="26" customWidth="1" style="130" min="12" max="12"/>
    <col width="16" customWidth="1" style="130" min="13" max="13"/>
    <col width="14" customWidth="1" style="130" min="14" max="14"/>
  </cols>
  <sheetData>
    <row r="1" ht="24" customHeight="1" s="131">
      <c r="A1" s="132" t="inlineStr">
        <is>
          <t>PLANO DE AÇÃO — OBRIGATÓRIO PARA RECORTE FORA DA META</t>
        </is>
      </c>
    </row>
    <row r="2" ht="30" customHeight="1" s="131">
      <c r="A2" s="133" t="inlineStr">
        <is>
          <t>Abra uma ação quando o recorte ficar fora da meta. Preserve problema, causa, responsável, prazo e resultado esperado.</t>
        </is>
      </c>
    </row>
    <row r="3"/>
    <row r="4" ht="115.5" customHeight="1" s="131">
      <c r="A4" s="137" t="inlineStr">
        <is>
          <t>COBERTURA NO MÊS DE REFERÊNCIA</t>
        </is>
      </c>
    </row>
    <row r="5" ht="24" customHeight="1" s="131">
      <c r="A5" s="210" t="inlineStr">
        <is>
          <t>Recortes fora da meta</t>
        </is>
      </c>
      <c r="B5" s="211">
        <f>COUNTIF(CALC!$K$41:$K$50,"Fora da meta")+COUNTIF(CALC!$J$37,"Fora da meta")+COUNTIF(CALC!$J$70,"Fora da meta")+COUNTIF(CALC!$J$103,"Fora da meta")</f>
        <v/>
      </c>
      <c r="C5" s="210" t="inlineStr">
        <is>
          <t>Planos abertos</t>
        </is>
      </c>
      <c r="D5" s="211">
        <f>COUNTIFS($B$9:$B$308,PARAMETROS!$B$7)</f>
        <v/>
      </c>
      <c r="E5" s="210" t="inlineStr">
        <is>
          <t>Cobertura</t>
        </is>
      </c>
      <c r="F5" s="212">
        <f>IF($B$5=0,"—",IFERROR($D$5/$B$5,""))</f>
        <v/>
      </c>
      <c r="G5" s="213">
        <f>IF($B$5=0,"Nenhum recorte fora da meta neste mês.",IF($D$5&gt;=$B$5,"Cobertura completa.","FALTAM PLANOS: há recorte fora da meta sem plano de ação aberto."))</f>
        <v/>
      </c>
      <c r="H5" s="148" t="n"/>
      <c r="I5" s="148" t="n"/>
      <c r="J5" s="148" t="n"/>
      <c r="K5" s="148" t="n"/>
      <c r="L5" s="148" t="n"/>
      <c r="M5" s="148" t="n"/>
      <c r="N5" s="149" t="n"/>
    </row>
    <row r="6"/>
    <row r="7"/>
    <row r="8" ht="33.75" customHeight="1" s="131">
      <c r="A8" s="200" t="inlineStr">
        <is>
          <t>Nº</t>
        </is>
      </c>
      <c r="B8" s="200" t="inlineStr">
        <is>
          <t>Mês</t>
        </is>
      </c>
      <c r="C8" s="200" t="inlineStr">
        <is>
          <t>KPI</t>
        </is>
      </c>
      <c r="D8" s="200" t="inlineStr">
        <is>
          <t>Recorte afetado</t>
        </is>
      </c>
      <c r="E8" s="200" t="inlineStr">
        <is>
          <t>Resultado</t>
        </is>
      </c>
      <c r="F8" s="200" t="inlineStr">
        <is>
          <t>Meta</t>
        </is>
      </c>
      <c r="G8" s="200" t="inlineStr">
        <is>
          <t>Problema identificado</t>
        </is>
      </c>
      <c r="H8" s="200" t="inlineStr">
        <is>
          <t>Causa provável</t>
        </is>
      </c>
      <c r="I8" s="200" t="inlineStr">
        <is>
          <t>Ação corretiva</t>
        </is>
      </c>
      <c r="J8" s="200" t="inlineStr">
        <is>
          <t>Responsável</t>
        </is>
      </c>
      <c r="K8" s="200" t="inlineStr">
        <is>
          <t>Prazo</t>
        </is>
      </c>
      <c r="L8" s="200" t="inlineStr">
        <is>
          <t>Meta da ação</t>
        </is>
      </c>
      <c r="M8" s="200" t="inlineStr">
        <is>
          <t>Status</t>
        </is>
      </c>
      <c r="N8" s="200" t="inlineStr">
        <is>
          <t>Dias p/ o prazo</t>
        </is>
      </c>
    </row>
    <row r="9" ht="45.75" customHeight="1" s="131">
      <c r="A9" s="214" t="n"/>
      <c r="B9" s="214" t="n"/>
      <c r="C9" s="214" t="n"/>
      <c r="D9" s="215" t="n"/>
      <c r="E9" s="214" t="n"/>
      <c r="F9" s="214" t="n"/>
      <c r="G9" s="215" t="n"/>
      <c r="H9" s="215" t="n"/>
      <c r="I9" s="215" t="n"/>
      <c r="J9" s="215" t="n"/>
      <c r="K9" s="214" t="n"/>
      <c r="L9" s="215" t="n"/>
      <c r="M9" s="214" t="n"/>
      <c r="N9" s="164">
        <f>IF($K9="","",IF(OR($M9="Concluído",$M9="Cancelado"),"—",DATEVALUE($K9)-TODAY()))</f>
        <v/>
      </c>
    </row>
    <row r="10" ht="45.75" customHeight="1" s="131">
      <c r="A10" s="214" t="n"/>
      <c r="B10" s="214" t="n"/>
      <c r="C10" s="214" t="n"/>
      <c r="D10" s="215" t="n"/>
      <c r="E10" s="214" t="n"/>
      <c r="F10" s="214" t="n"/>
      <c r="G10" s="215" t="n"/>
      <c r="H10" s="215" t="n"/>
      <c r="I10" s="215" t="n"/>
      <c r="J10" s="215" t="n"/>
      <c r="K10" s="214" t="n"/>
      <c r="L10" s="215" t="n"/>
      <c r="M10" s="214" t="n"/>
      <c r="N10" s="164">
        <f>IF($K10="","",IF(OR($M10="Concluído",$M10="Cancelado"),"—",DATEVALUE($K10)-TODAY()))</f>
        <v/>
      </c>
    </row>
    <row r="11" ht="45.75" customHeight="1" s="131">
      <c r="A11" s="214" t="n"/>
      <c r="B11" s="214" t="n"/>
      <c r="C11" s="214" t="n"/>
      <c r="D11" s="215" t="n"/>
      <c r="E11" s="214" t="n"/>
      <c r="F11" s="214" t="n"/>
      <c r="G11" s="215" t="n"/>
      <c r="H11" s="215" t="n"/>
      <c r="I11" s="215" t="n"/>
      <c r="J11" s="215" t="n"/>
      <c r="K11" s="214" t="n"/>
      <c r="L11" s="215" t="n"/>
      <c r="M11" s="214" t="n"/>
      <c r="N11" s="164">
        <f>IF($K11="","",IF(OR($M11="Concluído",$M11="Cancelado"),"—",DATEVALUE($K11)-TODAY()))</f>
        <v/>
      </c>
    </row>
    <row r="12" ht="45.75" customHeight="1" s="131">
      <c r="A12" s="214" t="n"/>
      <c r="B12" s="214" t="n"/>
      <c r="C12" s="214" t="n"/>
      <c r="D12" s="215" t="n"/>
      <c r="E12" s="214" t="n"/>
      <c r="F12" s="214" t="n"/>
      <c r="G12" s="215" t="n"/>
      <c r="H12" s="215" t="n"/>
      <c r="I12" s="215" t="n"/>
      <c r="J12" s="215" t="n"/>
      <c r="K12" s="214" t="n"/>
      <c r="L12" s="215" t="n"/>
      <c r="M12" s="214" t="n"/>
      <c r="N12" s="164">
        <f>IF($K12="","",IF(OR($M12="Concluído",$M12="Cancelado"),"—",DATEVALUE($K12)-TODAY()))</f>
        <v/>
      </c>
    </row>
    <row r="13" ht="45.75" customHeight="1" s="131">
      <c r="A13" s="214" t="n"/>
      <c r="B13" s="214" t="n"/>
      <c r="C13" s="214" t="n"/>
      <c r="D13" s="215" t="n"/>
      <c r="E13" s="214" t="n"/>
      <c r="F13" s="214" t="n"/>
      <c r="G13" s="215" t="n"/>
      <c r="H13" s="215" t="n"/>
      <c r="I13" s="215" t="n"/>
      <c r="J13" s="215" t="n"/>
      <c r="K13" s="214" t="n"/>
      <c r="L13" s="215" t="n"/>
      <c r="M13" s="214" t="n"/>
      <c r="N13" s="164">
        <f>IF($K13="","",IF(OR($M13="Concluído",$M13="Cancelado"),"—",DATEVALUE($K13)-TODAY()))</f>
        <v/>
      </c>
    </row>
    <row r="14" ht="45.75" customHeight="1" s="131">
      <c r="A14" s="214" t="n"/>
      <c r="B14" s="214" t="n"/>
      <c r="C14" s="214" t="n"/>
      <c r="D14" s="215" t="n"/>
      <c r="E14" s="214" t="n"/>
      <c r="F14" s="214" t="n"/>
      <c r="G14" s="215" t="n"/>
      <c r="H14" s="215" t="n"/>
      <c r="I14" s="215" t="n"/>
      <c r="J14" s="215" t="n"/>
      <c r="K14" s="214" t="n"/>
      <c r="L14" s="215" t="n"/>
      <c r="M14" s="214" t="n"/>
      <c r="N14" s="164">
        <f>IF($K14="","",IF(OR($M14="Concluído",$M14="Cancelado"),"—",DATEVALUE($K14)-TODAY()))</f>
        <v/>
      </c>
    </row>
    <row r="15" ht="45.75" customHeight="1" s="131">
      <c r="A15" s="214" t="n"/>
      <c r="B15" s="214" t="n"/>
      <c r="C15" s="214" t="n"/>
      <c r="D15" s="215" t="n"/>
      <c r="E15" s="214" t="n"/>
      <c r="F15" s="214" t="n"/>
      <c r="G15" s="215" t="n"/>
      <c r="H15" s="215" t="n"/>
      <c r="I15" s="215" t="n"/>
      <c r="J15" s="215" t="n"/>
      <c r="K15" s="214" t="n"/>
      <c r="L15" s="215" t="n"/>
      <c r="M15" s="214" t="n"/>
      <c r="N15" s="164">
        <f>IF($K15="","",IF(OR($M15="Concluído",$M15="Cancelado"),"—",DATEVALUE($K15)-TODAY()))</f>
        <v/>
      </c>
    </row>
    <row r="16" ht="30" customHeight="1" s="131">
      <c r="A16" s="216" t="n"/>
      <c r="B16" s="216" t="n"/>
      <c r="C16" s="216" t="n"/>
      <c r="D16" s="217" t="n"/>
      <c r="E16" s="216" t="n"/>
      <c r="F16" s="216" t="n"/>
      <c r="G16" s="217" t="n"/>
      <c r="H16" s="217" t="n"/>
      <c r="I16" s="217" t="n"/>
      <c r="J16" s="217" t="n"/>
      <c r="K16" s="216" t="n"/>
      <c r="L16" s="217" t="n"/>
      <c r="M16" s="216" t="n"/>
      <c r="N16" s="164">
        <f>IF($K16="","",IF(OR($M16="Concluído",$M16="Cancelado"),"—",DATEVALUE($K16)-TODAY()))</f>
        <v/>
      </c>
    </row>
    <row r="17" ht="30" customHeight="1" s="131">
      <c r="A17" s="216" t="n"/>
      <c r="B17" s="216" t="n"/>
      <c r="C17" s="216" t="n"/>
      <c r="D17" s="217" t="n"/>
      <c r="E17" s="216" t="n"/>
      <c r="F17" s="216" t="n"/>
      <c r="G17" s="217" t="n"/>
      <c r="H17" s="217" t="n"/>
      <c r="I17" s="217" t="n"/>
      <c r="J17" s="217" t="n"/>
      <c r="K17" s="216" t="n"/>
      <c r="L17" s="217" t="n"/>
      <c r="M17" s="216" t="n"/>
      <c r="N17" s="164">
        <f>IF($K17="","",IF(OR($M17="Concluído",$M17="Cancelado"),"—",DATEVALUE($K17)-TODAY()))</f>
        <v/>
      </c>
    </row>
    <row r="18" ht="30" customHeight="1" s="131">
      <c r="A18" s="216" t="n"/>
      <c r="B18" s="216" t="n"/>
      <c r="C18" s="216" t="n"/>
      <c r="D18" s="217" t="n"/>
      <c r="E18" s="216" t="n"/>
      <c r="F18" s="216" t="n"/>
      <c r="G18" s="217" t="n"/>
      <c r="H18" s="217" t="n"/>
      <c r="I18" s="217" t="n"/>
      <c r="J18" s="217" t="n"/>
      <c r="K18" s="216" t="n"/>
      <c r="L18" s="217" t="n"/>
      <c r="M18" s="216" t="n"/>
      <c r="N18" s="164">
        <f>IF($K18="","",IF(OR($M18="Concluído",$M18="Cancelado"),"—",DATEVALUE($K18)-TODAY()))</f>
        <v/>
      </c>
    </row>
    <row r="19" ht="30" customHeight="1" s="131">
      <c r="A19" s="216" t="n"/>
      <c r="B19" s="216" t="n"/>
      <c r="C19" s="216" t="n"/>
      <c r="D19" s="217" t="n"/>
      <c r="E19" s="216" t="n"/>
      <c r="F19" s="216" t="n"/>
      <c r="G19" s="217" t="n"/>
      <c r="H19" s="217" t="n"/>
      <c r="I19" s="217" t="n"/>
      <c r="J19" s="217" t="n"/>
      <c r="K19" s="216" t="n"/>
      <c r="L19" s="217" t="n"/>
      <c r="M19" s="216" t="n"/>
      <c r="N19" s="164">
        <f>IF($K19="","",IF(OR($M19="Concluído",$M19="Cancelado"),"—",DATEVALUE($K19)-TODAY()))</f>
        <v/>
      </c>
    </row>
    <row r="20" ht="30" customHeight="1" s="131">
      <c r="A20" s="216" t="n"/>
      <c r="B20" s="216" t="n"/>
      <c r="C20" s="216" t="n"/>
      <c r="D20" s="217" t="n"/>
      <c r="E20" s="216" t="n"/>
      <c r="F20" s="216" t="n"/>
      <c r="G20" s="217" t="n"/>
      <c r="H20" s="217" t="n"/>
      <c r="I20" s="217" t="n"/>
      <c r="J20" s="217" t="n"/>
      <c r="K20" s="216" t="n"/>
      <c r="L20" s="217" t="n"/>
      <c r="M20" s="216" t="n"/>
      <c r="N20" s="164">
        <f>IF($K20="","",IF(OR($M20="Concluído",$M20="Cancelado"),"—",DATEVALUE($K20)-TODAY()))</f>
        <v/>
      </c>
    </row>
    <row r="21" ht="30" customHeight="1" s="131">
      <c r="A21" s="216" t="n"/>
      <c r="B21" s="216" t="n"/>
      <c r="C21" s="216" t="n"/>
      <c r="D21" s="217" t="n"/>
      <c r="E21" s="216" t="n"/>
      <c r="F21" s="216" t="n"/>
      <c r="G21" s="217" t="n"/>
      <c r="H21" s="217" t="n"/>
      <c r="I21" s="217" t="n"/>
      <c r="J21" s="217" t="n"/>
      <c r="K21" s="216" t="n"/>
      <c r="L21" s="217" t="n"/>
      <c r="M21" s="216" t="n"/>
      <c r="N21" s="164">
        <f>IF($K21="","",IF(OR($M21="Concluído",$M21="Cancelado"),"—",DATEVALUE($K21)-TODAY()))</f>
        <v/>
      </c>
    </row>
    <row r="22" ht="30" customHeight="1" s="131">
      <c r="A22" s="216" t="n"/>
      <c r="B22" s="216" t="n"/>
      <c r="C22" s="216" t="n"/>
      <c r="D22" s="217" t="n"/>
      <c r="E22" s="216" t="n"/>
      <c r="F22" s="216" t="n"/>
      <c r="G22" s="217" t="n"/>
      <c r="H22" s="217" t="n"/>
      <c r="I22" s="217" t="n"/>
      <c r="J22" s="217" t="n"/>
      <c r="K22" s="216" t="n"/>
      <c r="L22" s="217" t="n"/>
      <c r="M22" s="216" t="n"/>
      <c r="N22" s="164">
        <f>IF($K22="","",IF(OR($M22="Concluído",$M22="Cancelado"),"—",DATEVALUE($K22)-TODAY()))</f>
        <v/>
      </c>
    </row>
    <row r="23" ht="30" customHeight="1" s="131">
      <c r="A23" s="216" t="n"/>
      <c r="B23" s="216" t="n"/>
      <c r="C23" s="216" t="n"/>
      <c r="D23" s="217" t="n"/>
      <c r="E23" s="216" t="n"/>
      <c r="F23" s="216" t="n"/>
      <c r="G23" s="217" t="n"/>
      <c r="H23" s="217" t="n"/>
      <c r="I23" s="217" t="n"/>
      <c r="J23" s="217" t="n"/>
      <c r="K23" s="216" t="n"/>
      <c r="L23" s="217" t="n"/>
      <c r="M23" s="216" t="n"/>
      <c r="N23" s="164">
        <f>IF($K23="","",IF(OR($M23="Concluído",$M23="Cancelado"),"—",DATEVALUE($K23)-TODAY()))</f>
        <v/>
      </c>
    </row>
    <row r="24" ht="30" customHeight="1" s="131">
      <c r="A24" s="216" t="n"/>
      <c r="B24" s="216" t="n"/>
      <c r="C24" s="216" t="n"/>
      <c r="D24" s="217" t="n"/>
      <c r="E24" s="216" t="n"/>
      <c r="F24" s="216" t="n"/>
      <c r="G24" s="217" t="n"/>
      <c r="H24" s="217" t="n"/>
      <c r="I24" s="217" t="n"/>
      <c r="J24" s="217" t="n"/>
      <c r="K24" s="216" t="n"/>
      <c r="L24" s="217" t="n"/>
      <c r="M24" s="216" t="n"/>
      <c r="N24" s="164">
        <f>IF($K24="","",IF(OR($M24="Concluído",$M24="Cancelado"),"—",DATEVALUE($K24)-TODAY()))</f>
        <v/>
      </c>
    </row>
    <row r="25" ht="30" customHeight="1" s="131">
      <c r="A25" s="216" t="n"/>
      <c r="B25" s="216" t="n"/>
      <c r="C25" s="216" t="n"/>
      <c r="D25" s="217" t="n"/>
      <c r="E25" s="216" t="n"/>
      <c r="F25" s="216" t="n"/>
      <c r="G25" s="217" t="n"/>
      <c r="H25" s="217" t="n"/>
      <c r="I25" s="217" t="n"/>
      <c r="J25" s="217" t="n"/>
      <c r="K25" s="216" t="n"/>
      <c r="L25" s="217" t="n"/>
      <c r="M25" s="216" t="n"/>
      <c r="N25" s="164">
        <f>IF($K25="","",IF(OR($M25="Concluído",$M25="Cancelado"),"—",DATEVALUE($K25)-TODAY()))</f>
        <v/>
      </c>
    </row>
    <row r="26" ht="30" customHeight="1" s="131">
      <c r="A26" s="216" t="n"/>
      <c r="B26" s="216" t="n"/>
      <c r="C26" s="216" t="n"/>
      <c r="D26" s="217" t="n"/>
      <c r="E26" s="216" t="n"/>
      <c r="F26" s="216" t="n"/>
      <c r="G26" s="217" t="n"/>
      <c r="H26" s="217" t="n"/>
      <c r="I26" s="217" t="n"/>
      <c r="J26" s="217" t="n"/>
      <c r="K26" s="216" t="n"/>
      <c r="L26" s="217" t="n"/>
      <c r="M26" s="216" t="n"/>
      <c r="N26" s="164">
        <f>IF($K26="","",IF(OR($M26="Concluído",$M26="Cancelado"),"—",DATEVALUE($K26)-TODAY()))</f>
        <v/>
      </c>
    </row>
    <row r="27" ht="30" customHeight="1" s="131">
      <c r="A27" s="216" t="n"/>
      <c r="B27" s="216" t="n"/>
      <c r="C27" s="216" t="n"/>
      <c r="D27" s="217" t="n"/>
      <c r="E27" s="216" t="n"/>
      <c r="F27" s="216" t="n"/>
      <c r="G27" s="217" t="n"/>
      <c r="H27" s="217" t="n"/>
      <c r="I27" s="217" t="n"/>
      <c r="J27" s="217" t="n"/>
      <c r="K27" s="216" t="n"/>
      <c r="L27" s="217" t="n"/>
      <c r="M27" s="216" t="n"/>
      <c r="N27" s="164">
        <f>IF($K27="","",IF(OR($M27="Concluído",$M27="Cancelado"),"—",DATEVALUE($K27)-TODAY()))</f>
        <v/>
      </c>
    </row>
    <row r="28" ht="30" customHeight="1" s="131">
      <c r="A28" s="216" t="n"/>
      <c r="B28" s="216" t="n"/>
      <c r="C28" s="216" t="n"/>
      <c r="D28" s="217" t="n"/>
      <c r="E28" s="216" t="n"/>
      <c r="F28" s="216" t="n"/>
      <c r="G28" s="217" t="n"/>
      <c r="H28" s="217" t="n"/>
      <c r="I28" s="217" t="n"/>
      <c r="J28" s="217" t="n"/>
      <c r="K28" s="216" t="n"/>
      <c r="L28" s="217" t="n"/>
      <c r="M28" s="216" t="n"/>
      <c r="N28" s="164">
        <f>IF($K28="","",IF(OR($M28="Concluído",$M28="Cancelado"),"—",DATEVALUE($K28)-TODAY()))</f>
        <v/>
      </c>
    </row>
    <row r="29" ht="30" customHeight="1" s="131">
      <c r="A29" s="216" t="n"/>
      <c r="B29" s="216" t="n"/>
      <c r="C29" s="216" t="n"/>
      <c r="D29" s="217" t="n"/>
      <c r="E29" s="216" t="n"/>
      <c r="F29" s="216" t="n"/>
      <c r="G29" s="217" t="n"/>
      <c r="H29" s="217" t="n"/>
      <c r="I29" s="217" t="n"/>
      <c r="J29" s="217" t="n"/>
      <c r="K29" s="216" t="n"/>
      <c r="L29" s="217" t="n"/>
      <c r="M29" s="216" t="n"/>
      <c r="N29" s="164">
        <f>IF($K29="","",IF(OR($M29="Concluído",$M29="Cancelado"),"—",DATEVALUE($K29)-TODAY()))</f>
        <v/>
      </c>
    </row>
    <row r="30" ht="30" customHeight="1" s="131">
      <c r="A30" s="216" t="n"/>
      <c r="B30" s="216" t="n"/>
      <c r="C30" s="216" t="n"/>
      <c r="D30" s="217" t="n"/>
      <c r="E30" s="216" t="n"/>
      <c r="F30" s="216" t="n"/>
      <c r="G30" s="217" t="n"/>
      <c r="H30" s="217" t="n"/>
      <c r="I30" s="217" t="n"/>
      <c r="J30" s="217" t="n"/>
      <c r="K30" s="216" t="n"/>
      <c r="L30" s="217" t="n"/>
      <c r="M30" s="216" t="n"/>
      <c r="N30" s="164">
        <f>IF($K30="","",IF(OR($M30="Concluído",$M30="Cancelado"),"—",DATEVALUE($K30)-TODAY()))</f>
        <v/>
      </c>
    </row>
    <row r="31" ht="30" customHeight="1" s="131">
      <c r="A31" s="216" t="n"/>
      <c r="B31" s="216" t="n"/>
      <c r="C31" s="216" t="n"/>
      <c r="D31" s="217" t="n"/>
      <c r="E31" s="216" t="n"/>
      <c r="F31" s="216" t="n"/>
      <c r="G31" s="217" t="n"/>
      <c r="H31" s="217" t="n"/>
      <c r="I31" s="217" t="n"/>
      <c r="J31" s="217" t="n"/>
      <c r="K31" s="216" t="n"/>
      <c r="L31" s="217" t="n"/>
      <c r="M31" s="216" t="n"/>
      <c r="N31" s="164">
        <f>IF($K31="","",IF(OR($M31="Concluído",$M31="Cancelado"),"—",DATEVALUE($K31)-TODAY()))</f>
        <v/>
      </c>
    </row>
    <row r="32" ht="30" customHeight="1" s="131">
      <c r="A32" s="216" t="n"/>
      <c r="B32" s="216" t="n"/>
      <c r="C32" s="216" t="n"/>
      <c r="D32" s="217" t="n"/>
      <c r="E32" s="216" t="n"/>
      <c r="F32" s="216" t="n"/>
      <c r="G32" s="217" t="n"/>
      <c r="H32" s="217" t="n"/>
      <c r="I32" s="217" t="n"/>
      <c r="J32" s="217" t="n"/>
      <c r="K32" s="216" t="n"/>
      <c r="L32" s="217" t="n"/>
      <c r="M32" s="216" t="n"/>
      <c r="N32" s="164">
        <f>IF($K32="","",IF(OR($M32="Concluído",$M32="Cancelado"),"—",DATEVALUE($K32)-TODAY()))</f>
        <v/>
      </c>
    </row>
    <row r="33" ht="30" customHeight="1" s="131">
      <c r="A33" s="216" t="n"/>
      <c r="B33" s="216" t="n"/>
      <c r="C33" s="216" t="n"/>
      <c r="D33" s="217" t="n"/>
      <c r="E33" s="216" t="n"/>
      <c r="F33" s="216" t="n"/>
      <c r="G33" s="217" t="n"/>
      <c r="H33" s="217" t="n"/>
      <c r="I33" s="217" t="n"/>
      <c r="J33" s="217" t="n"/>
      <c r="K33" s="216" t="n"/>
      <c r="L33" s="217" t="n"/>
      <c r="M33" s="216" t="n"/>
      <c r="N33" s="164">
        <f>IF($K33="","",IF(OR($M33="Concluído",$M33="Cancelado"),"—",DATEVALUE($K33)-TODAY()))</f>
        <v/>
      </c>
    </row>
    <row r="34" ht="30" customHeight="1" s="131">
      <c r="A34" s="216" t="n"/>
      <c r="B34" s="216" t="n"/>
      <c r="C34" s="216" t="n"/>
      <c r="D34" s="217" t="n"/>
      <c r="E34" s="216" t="n"/>
      <c r="F34" s="216" t="n"/>
      <c r="G34" s="217" t="n"/>
      <c r="H34" s="217" t="n"/>
      <c r="I34" s="217" t="n"/>
      <c r="J34" s="217" t="n"/>
      <c r="K34" s="216" t="n"/>
      <c r="L34" s="217" t="n"/>
      <c r="M34" s="216" t="n"/>
      <c r="N34" s="164">
        <f>IF($K34="","",IF(OR($M34="Concluído",$M34="Cancelado"),"—",DATEVALUE($K34)-TODAY()))</f>
        <v/>
      </c>
    </row>
    <row r="35" ht="30" customHeight="1" s="131">
      <c r="A35" s="216" t="n"/>
      <c r="B35" s="216" t="n"/>
      <c r="C35" s="216" t="n"/>
      <c r="D35" s="217" t="n"/>
      <c r="E35" s="216" t="n"/>
      <c r="F35" s="216" t="n"/>
      <c r="G35" s="217" t="n"/>
      <c r="H35" s="217" t="n"/>
      <c r="I35" s="217" t="n"/>
      <c r="J35" s="217" t="n"/>
      <c r="K35" s="216" t="n"/>
      <c r="L35" s="217" t="n"/>
      <c r="M35" s="216" t="n"/>
      <c r="N35" s="164">
        <f>IF($K35="","",IF(OR($M35="Concluído",$M35="Cancelado"),"—",DATEVALUE($K35)-TODAY()))</f>
        <v/>
      </c>
    </row>
    <row r="36" ht="30" customHeight="1" s="131">
      <c r="A36" s="216" t="n"/>
      <c r="B36" s="216" t="n"/>
      <c r="C36" s="216" t="n"/>
      <c r="D36" s="217" t="n"/>
      <c r="E36" s="216" t="n"/>
      <c r="F36" s="216" t="n"/>
      <c r="G36" s="217" t="n"/>
      <c r="H36" s="217" t="n"/>
      <c r="I36" s="217" t="n"/>
      <c r="J36" s="217" t="n"/>
      <c r="K36" s="216" t="n"/>
      <c r="L36" s="217" t="n"/>
      <c r="M36" s="216" t="n"/>
      <c r="N36" s="164">
        <f>IF($K36="","",IF(OR($M36="Concluído",$M36="Cancelado"),"—",DATEVALUE($K36)-TODAY()))</f>
        <v/>
      </c>
    </row>
    <row r="37" ht="30" customHeight="1" s="131">
      <c r="A37" s="216" t="n"/>
      <c r="B37" s="216" t="n"/>
      <c r="C37" s="216" t="n"/>
      <c r="D37" s="217" t="n"/>
      <c r="E37" s="216" t="n"/>
      <c r="F37" s="216" t="n"/>
      <c r="G37" s="217" t="n"/>
      <c r="H37" s="217" t="n"/>
      <c r="I37" s="217" t="n"/>
      <c r="J37" s="217" t="n"/>
      <c r="K37" s="216" t="n"/>
      <c r="L37" s="217" t="n"/>
      <c r="M37" s="216" t="n"/>
      <c r="N37" s="164">
        <f>IF($K37="","",IF(OR($M37="Concluído",$M37="Cancelado"),"—",DATEVALUE($K37)-TODAY()))</f>
        <v/>
      </c>
    </row>
    <row r="38" ht="30" customHeight="1" s="131">
      <c r="A38" s="216" t="n"/>
      <c r="B38" s="216" t="n"/>
      <c r="C38" s="216" t="n"/>
      <c r="D38" s="217" t="n"/>
      <c r="E38" s="216" t="n"/>
      <c r="F38" s="216" t="n"/>
      <c r="G38" s="217" t="n"/>
      <c r="H38" s="217" t="n"/>
      <c r="I38" s="217" t="n"/>
      <c r="J38" s="217" t="n"/>
      <c r="K38" s="216" t="n"/>
      <c r="L38" s="217" t="n"/>
      <c r="M38" s="216" t="n"/>
      <c r="N38" s="164">
        <f>IF($K38="","",IF(OR($M38="Concluído",$M38="Cancelado"),"—",DATEVALUE($K38)-TODAY()))</f>
        <v/>
      </c>
    </row>
    <row r="39" ht="30" customHeight="1" s="131">
      <c r="A39" s="216" t="n"/>
      <c r="B39" s="216" t="n"/>
      <c r="C39" s="216" t="n"/>
      <c r="D39" s="217" t="n"/>
      <c r="E39" s="216" t="n"/>
      <c r="F39" s="216" t="n"/>
      <c r="G39" s="217" t="n"/>
      <c r="H39" s="217" t="n"/>
      <c r="I39" s="217" t="n"/>
      <c r="J39" s="217" t="n"/>
      <c r="K39" s="216" t="n"/>
      <c r="L39" s="217" t="n"/>
      <c r="M39" s="216" t="n"/>
      <c r="N39" s="164">
        <f>IF($K39="","",IF(OR($M39="Concluído",$M39="Cancelado"),"—",DATEVALUE($K39)-TODAY()))</f>
        <v/>
      </c>
    </row>
    <row r="40" ht="30" customHeight="1" s="131">
      <c r="A40" s="216" t="n"/>
      <c r="B40" s="216" t="n"/>
      <c r="C40" s="216" t="n"/>
      <c r="D40" s="217" t="n"/>
      <c r="E40" s="216" t="n"/>
      <c r="F40" s="216" t="n"/>
      <c r="G40" s="217" t="n"/>
      <c r="H40" s="217" t="n"/>
      <c r="I40" s="217" t="n"/>
      <c r="J40" s="217" t="n"/>
      <c r="K40" s="216" t="n"/>
      <c r="L40" s="217" t="n"/>
      <c r="M40" s="216" t="n"/>
      <c r="N40" s="164">
        <f>IF($K40="","",IF(OR($M40="Concluído",$M40="Cancelado"),"—",DATEVALUE($K40)-TODAY()))</f>
        <v/>
      </c>
    </row>
    <row r="41" ht="30" customHeight="1" s="131">
      <c r="A41" s="216" t="n"/>
      <c r="B41" s="216" t="n"/>
      <c r="C41" s="216" t="n"/>
      <c r="D41" s="217" t="n"/>
      <c r="E41" s="216" t="n"/>
      <c r="F41" s="216" t="n"/>
      <c r="G41" s="217" t="n"/>
      <c r="H41" s="217" t="n"/>
      <c r="I41" s="217" t="n"/>
      <c r="J41" s="217" t="n"/>
      <c r="K41" s="216" t="n"/>
      <c r="L41" s="217" t="n"/>
      <c r="M41" s="216" t="n"/>
      <c r="N41" s="164">
        <f>IF($K41="","",IF(OR($M41="Concluído",$M41="Cancelado"),"—",DATEVALUE($K41)-TODAY()))</f>
        <v/>
      </c>
    </row>
    <row r="42" ht="30" customHeight="1" s="131">
      <c r="A42" s="216" t="n"/>
      <c r="B42" s="216" t="n"/>
      <c r="C42" s="216" t="n"/>
      <c r="D42" s="217" t="n"/>
      <c r="E42" s="216" t="n"/>
      <c r="F42" s="216" t="n"/>
      <c r="G42" s="217" t="n"/>
      <c r="H42" s="217" t="n"/>
      <c r="I42" s="217" t="n"/>
      <c r="J42" s="217" t="n"/>
      <c r="K42" s="216" t="n"/>
      <c r="L42" s="217" t="n"/>
      <c r="M42" s="216" t="n"/>
      <c r="N42" s="164">
        <f>IF($K42="","",IF(OR($M42="Concluído",$M42="Cancelado"),"—",DATEVALUE($K42)-TODAY()))</f>
        <v/>
      </c>
    </row>
    <row r="43" ht="30" customHeight="1" s="131">
      <c r="A43" s="216" t="n"/>
      <c r="B43" s="216" t="n"/>
      <c r="C43" s="216" t="n"/>
      <c r="D43" s="217" t="n"/>
      <c r="E43" s="216" t="n"/>
      <c r="F43" s="216" t="n"/>
      <c r="G43" s="217" t="n"/>
      <c r="H43" s="217" t="n"/>
      <c r="I43" s="217" t="n"/>
      <c r="J43" s="217" t="n"/>
      <c r="K43" s="216" t="n"/>
      <c r="L43" s="217" t="n"/>
      <c r="M43" s="216" t="n"/>
      <c r="N43" s="164">
        <f>IF($K43="","",IF(OR($M43="Concluído",$M43="Cancelado"),"—",DATEVALUE($K43)-TODAY()))</f>
        <v/>
      </c>
    </row>
    <row r="44" ht="30" customHeight="1" s="131">
      <c r="A44" s="216" t="n"/>
      <c r="B44" s="216" t="n"/>
      <c r="C44" s="216" t="n"/>
      <c r="D44" s="217" t="n"/>
      <c r="E44" s="216" t="n"/>
      <c r="F44" s="216" t="n"/>
      <c r="G44" s="217" t="n"/>
      <c r="H44" s="217" t="n"/>
      <c r="I44" s="217" t="n"/>
      <c r="J44" s="217" t="n"/>
      <c r="K44" s="216" t="n"/>
      <c r="L44" s="217" t="n"/>
      <c r="M44" s="216" t="n"/>
      <c r="N44" s="164">
        <f>IF($K44="","",IF(OR($M44="Concluído",$M44="Cancelado"),"—",DATEVALUE($K44)-TODAY()))</f>
        <v/>
      </c>
    </row>
    <row r="45" ht="30" customHeight="1" s="131">
      <c r="A45" s="216" t="n"/>
      <c r="B45" s="216" t="n"/>
      <c r="C45" s="216" t="n"/>
      <c r="D45" s="217" t="n"/>
      <c r="E45" s="216" t="n"/>
      <c r="F45" s="216" t="n"/>
      <c r="G45" s="217" t="n"/>
      <c r="H45" s="217" t="n"/>
      <c r="I45" s="217" t="n"/>
      <c r="J45" s="217" t="n"/>
      <c r="K45" s="216" t="n"/>
      <c r="L45" s="217" t="n"/>
      <c r="M45" s="216" t="n"/>
      <c r="N45" s="164">
        <f>IF($K45="","",IF(OR($M45="Concluído",$M45="Cancelado"),"—",DATEVALUE($K45)-TODAY()))</f>
        <v/>
      </c>
    </row>
    <row r="46" ht="30" customHeight="1" s="131">
      <c r="A46" s="216" t="n"/>
      <c r="B46" s="216" t="n"/>
      <c r="C46" s="216" t="n"/>
      <c r="D46" s="217" t="n"/>
      <c r="E46" s="216" t="n"/>
      <c r="F46" s="216" t="n"/>
      <c r="G46" s="217" t="n"/>
      <c r="H46" s="217" t="n"/>
      <c r="I46" s="217" t="n"/>
      <c r="J46" s="217" t="n"/>
      <c r="K46" s="216" t="n"/>
      <c r="L46" s="217" t="n"/>
      <c r="M46" s="216" t="n"/>
      <c r="N46" s="164">
        <f>IF($K46="","",IF(OR($M46="Concluído",$M46="Cancelado"),"—",DATEVALUE($K46)-TODAY()))</f>
        <v/>
      </c>
    </row>
    <row r="47" ht="30" customHeight="1" s="131">
      <c r="A47" s="216" t="n"/>
      <c r="B47" s="216" t="n"/>
      <c r="C47" s="216" t="n"/>
      <c r="D47" s="217" t="n"/>
      <c r="E47" s="216" t="n"/>
      <c r="F47" s="216" t="n"/>
      <c r="G47" s="217" t="n"/>
      <c r="H47" s="217" t="n"/>
      <c r="I47" s="217" t="n"/>
      <c r="J47" s="217" t="n"/>
      <c r="K47" s="216" t="n"/>
      <c r="L47" s="217" t="n"/>
      <c r="M47" s="216" t="n"/>
      <c r="N47" s="164">
        <f>IF($K47="","",IF(OR($M47="Concluído",$M47="Cancelado"),"—",DATEVALUE($K47)-TODAY()))</f>
        <v/>
      </c>
    </row>
    <row r="48" ht="30" customHeight="1" s="131">
      <c r="A48" s="216" t="n"/>
      <c r="B48" s="216" t="n"/>
      <c r="C48" s="216" t="n"/>
      <c r="D48" s="217" t="n"/>
      <c r="E48" s="216" t="n"/>
      <c r="F48" s="216" t="n"/>
      <c r="G48" s="217" t="n"/>
      <c r="H48" s="217" t="n"/>
      <c r="I48" s="217" t="n"/>
      <c r="J48" s="217" t="n"/>
      <c r="K48" s="216" t="n"/>
      <c r="L48" s="217" t="n"/>
      <c r="M48" s="216" t="n"/>
      <c r="N48" s="164">
        <f>IF($K48="","",IF(OR($M48="Concluído",$M48="Cancelado"),"—",DATEVALUE($K48)-TODAY()))</f>
        <v/>
      </c>
    </row>
    <row r="49" ht="30" customHeight="1" s="131">
      <c r="A49" s="216" t="n"/>
      <c r="B49" s="216" t="n"/>
      <c r="C49" s="216" t="n"/>
      <c r="D49" s="217" t="n"/>
      <c r="E49" s="216" t="n"/>
      <c r="F49" s="216" t="n"/>
      <c r="G49" s="217" t="n"/>
      <c r="H49" s="217" t="n"/>
      <c r="I49" s="217" t="n"/>
      <c r="J49" s="217" t="n"/>
      <c r="K49" s="216" t="n"/>
      <c r="L49" s="217" t="n"/>
      <c r="M49" s="216" t="n"/>
      <c r="N49" s="164">
        <f>IF($K49="","",IF(OR($M49="Concluído",$M49="Cancelado"),"—",DATEVALUE($K49)-TODAY()))</f>
        <v/>
      </c>
    </row>
    <row r="50" ht="30" customHeight="1" s="131">
      <c r="A50" s="216" t="n"/>
      <c r="B50" s="216" t="n"/>
      <c r="C50" s="216" t="n"/>
      <c r="D50" s="217" t="n"/>
      <c r="E50" s="216" t="n"/>
      <c r="F50" s="216" t="n"/>
      <c r="G50" s="217" t="n"/>
      <c r="H50" s="217" t="n"/>
      <c r="I50" s="217" t="n"/>
      <c r="J50" s="217" t="n"/>
      <c r="K50" s="216" t="n"/>
      <c r="L50" s="217" t="n"/>
      <c r="M50" s="216" t="n"/>
      <c r="N50" s="164">
        <f>IF($K50="","",IF(OR($M50="Concluído",$M50="Cancelado"),"—",DATEVALUE($K50)-TODAY()))</f>
        <v/>
      </c>
    </row>
    <row r="51" ht="30" customHeight="1" s="131">
      <c r="A51" s="216" t="n"/>
      <c r="B51" s="216" t="n"/>
      <c r="C51" s="216" t="n"/>
      <c r="D51" s="217" t="n"/>
      <c r="E51" s="216" t="n"/>
      <c r="F51" s="216" t="n"/>
      <c r="G51" s="217" t="n"/>
      <c r="H51" s="217" t="n"/>
      <c r="I51" s="217" t="n"/>
      <c r="J51" s="217" t="n"/>
      <c r="K51" s="216" t="n"/>
      <c r="L51" s="217" t="n"/>
      <c r="M51" s="216" t="n"/>
      <c r="N51" s="164">
        <f>IF($K51="","",IF(OR($M51="Concluído",$M51="Cancelado"),"—",DATEVALUE($K51)-TODAY()))</f>
        <v/>
      </c>
    </row>
    <row r="52" ht="30" customHeight="1" s="131">
      <c r="A52" s="216" t="n"/>
      <c r="B52" s="216" t="n"/>
      <c r="C52" s="216" t="n"/>
      <c r="D52" s="217" t="n"/>
      <c r="E52" s="216" t="n"/>
      <c r="F52" s="216" t="n"/>
      <c r="G52" s="217" t="n"/>
      <c r="H52" s="217" t="n"/>
      <c r="I52" s="217" t="n"/>
      <c r="J52" s="217" t="n"/>
      <c r="K52" s="216" t="n"/>
      <c r="L52" s="217" t="n"/>
      <c r="M52" s="216" t="n"/>
      <c r="N52" s="164">
        <f>IF($K52="","",IF(OR($M52="Concluído",$M52="Cancelado"),"—",DATEVALUE($K52)-TODAY()))</f>
        <v/>
      </c>
    </row>
    <row r="53" ht="30" customHeight="1" s="131">
      <c r="A53" s="216" t="n"/>
      <c r="B53" s="216" t="n"/>
      <c r="C53" s="216" t="n"/>
      <c r="D53" s="217" t="n"/>
      <c r="E53" s="216" t="n"/>
      <c r="F53" s="216" t="n"/>
      <c r="G53" s="217" t="n"/>
      <c r="H53" s="217" t="n"/>
      <c r="I53" s="217" t="n"/>
      <c r="J53" s="217" t="n"/>
      <c r="K53" s="216" t="n"/>
      <c r="L53" s="217" t="n"/>
      <c r="M53" s="216" t="n"/>
      <c r="N53" s="164">
        <f>IF($K53="","",IF(OR($M53="Concluído",$M53="Cancelado"),"—",DATEVALUE($K53)-TODAY()))</f>
        <v/>
      </c>
    </row>
    <row r="54" ht="30" customHeight="1" s="131">
      <c r="A54" s="216" t="n"/>
      <c r="B54" s="216" t="n"/>
      <c r="C54" s="216" t="n"/>
      <c r="D54" s="217" t="n"/>
      <c r="E54" s="216" t="n"/>
      <c r="F54" s="216" t="n"/>
      <c r="G54" s="217" t="n"/>
      <c r="H54" s="217" t="n"/>
      <c r="I54" s="217" t="n"/>
      <c r="J54" s="217" t="n"/>
      <c r="K54" s="216" t="n"/>
      <c r="L54" s="217" t="n"/>
      <c r="M54" s="216" t="n"/>
      <c r="N54" s="164">
        <f>IF($K54="","",IF(OR($M54="Concluído",$M54="Cancelado"),"—",DATEVALUE($K54)-TODAY()))</f>
        <v/>
      </c>
    </row>
    <row r="55" ht="30" customHeight="1" s="131">
      <c r="A55" s="216" t="n"/>
      <c r="B55" s="216" t="n"/>
      <c r="C55" s="216" t="n"/>
      <c r="D55" s="217" t="n"/>
      <c r="E55" s="216" t="n"/>
      <c r="F55" s="216" t="n"/>
      <c r="G55" s="217" t="n"/>
      <c r="H55" s="217" t="n"/>
      <c r="I55" s="217" t="n"/>
      <c r="J55" s="217" t="n"/>
      <c r="K55" s="216" t="n"/>
      <c r="L55" s="217" t="n"/>
      <c r="M55" s="216" t="n"/>
      <c r="N55" s="164">
        <f>IF($K55="","",IF(OR($M55="Concluído",$M55="Cancelado"),"—",DATEVALUE($K55)-TODAY()))</f>
        <v/>
      </c>
    </row>
    <row r="56" ht="30" customHeight="1" s="131">
      <c r="A56" s="216" t="n"/>
      <c r="B56" s="216" t="n"/>
      <c r="C56" s="216" t="n"/>
      <c r="D56" s="217" t="n"/>
      <c r="E56" s="216" t="n"/>
      <c r="F56" s="216" t="n"/>
      <c r="G56" s="217" t="n"/>
      <c r="H56" s="217" t="n"/>
      <c r="I56" s="217" t="n"/>
      <c r="J56" s="217" t="n"/>
      <c r="K56" s="216" t="n"/>
      <c r="L56" s="217" t="n"/>
      <c r="M56" s="216" t="n"/>
      <c r="N56" s="164">
        <f>IF($K56="","",IF(OR($M56="Concluído",$M56="Cancelado"),"—",DATEVALUE($K56)-TODAY()))</f>
        <v/>
      </c>
    </row>
    <row r="57" ht="30" customHeight="1" s="131">
      <c r="A57" s="216" t="n"/>
      <c r="B57" s="216" t="n"/>
      <c r="C57" s="216" t="n"/>
      <c r="D57" s="217" t="n"/>
      <c r="E57" s="216" t="n"/>
      <c r="F57" s="216" t="n"/>
      <c r="G57" s="217" t="n"/>
      <c r="H57" s="217" t="n"/>
      <c r="I57" s="217" t="n"/>
      <c r="J57" s="217" t="n"/>
      <c r="K57" s="216" t="n"/>
      <c r="L57" s="217" t="n"/>
      <c r="M57" s="216" t="n"/>
      <c r="N57" s="164">
        <f>IF($K57="","",IF(OR($M57="Concluído",$M57="Cancelado"),"—",DATEVALUE($K57)-TODAY()))</f>
        <v/>
      </c>
    </row>
    <row r="58" ht="30" customHeight="1" s="131">
      <c r="A58" s="216" t="n"/>
      <c r="B58" s="216" t="n"/>
      <c r="C58" s="216" t="n"/>
      <c r="D58" s="217" t="n"/>
      <c r="E58" s="216" t="n"/>
      <c r="F58" s="216" t="n"/>
      <c r="G58" s="217" t="n"/>
      <c r="H58" s="217" t="n"/>
      <c r="I58" s="217" t="n"/>
      <c r="J58" s="217" t="n"/>
      <c r="K58" s="216" t="n"/>
      <c r="L58" s="217" t="n"/>
      <c r="M58" s="216" t="n"/>
      <c r="N58" s="164">
        <f>IF($K58="","",IF(OR($M58="Concluído",$M58="Cancelado"),"—",DATEVALUE($K58)-TODAY()))</f>
        <v/>
      </c>
    </row>
    <row r="59" ht="30" customHeight="1" s="131">
      <c r="A59" s="216" t="n"/>
      <c r="B59" s="216" t="n"/>
      <c r="C59" s="216" t="n"/>
      <c r="D59" s="217" t="n"/>
      <c r="E59" s="216" t="n"/>
      <c r="F59" s="216" t="n"/>
      <c r="G59" s="217" t="n"/>
      <c r="H59" s="217" t="n"/>
      <c r="I59" s="217" t="n"/>
      <c r="J59" s="217" t="n"/>
      <c r="K59" s="216" t="n"/>
      <c r="L59" s="217" t="n"/>
      <c r="M59" s="216" t="n"/>
      <c r="N59" s="164">
        <f>IF($K59="","",IF(OR($M59="Concluído",$M59="Cancelado"),"—",DATEVALUE($K59)-TODAY()))</f>
        <v/>
      </c>
    </row>
    <row r="60" ht="30" customHeight="1" s="131">
      <c r="A60" s="216" t="n"/>
      <c r="B60" s="216" t="n"/>
      <c r="C60" s="216" t="n"/>
      <c r="D60" s="217" t="n"/>
      <c r="E60" s="216" t="n"/>
      <c r="F60" s="216" t="n"/>
      <c r="G60" s="217" t="n"/>
      <c r="H60" s="217" t="n"/>
      <c r="I60" s="217" t="n"/>
      <c r="J60" s="217" t="n"/>
      <c r="K60" s="216" t="n"/>
      <c r="L60" s="217" t="n"/>
      <c r="M60" s="216" t="n"/>
      <c r="N60" s="164">
        <f>IF($K60="","",IF(OR($M60="Concluído",$M60="Cancelado"),"—",DATEVALUE($K60)-TODAY()))</f>
        <v/>
      </c>
    </row>
    <row r="61" ht="30" customHeight="1" s="131">
      <c r="A61" s="216" t="n"/>
      <c r="B61" s="216" t="n"/>
      <c r="C61" s="216" t="n"/>
      <c r="D61" s="217" t="n"/>
      <c r="E61" s="216" t="n"/>
      <c r="F61" s="216" t="n"/>
      <c r="G61" s="217" t="n"/>
      <c r="H61" s="217" t="n"/>
      <c r="I61" s="217" t="n"/>
      <c r="J61" s="217" t="n"/>
      <c r="K61" s="216" t="n"/>
      <c r="L61" s="217" t="n"/>
      <c r="M61" s="216" t="n"/>
      <c r="N61" s="164">
        <f>IF($K61="","",IF(OR($M61="Concluído",$M61="Cancelado"),"—",DATEVALUE($K61)-TODAY()))</f>
        <v/>
      </c>
    </row>
    <row r="62" ht="30" customHeight="1" s="131">
      <c r="A62" s="216" t="n"/>
      <c r="B62" s="216" t="n"/>
      <c r="C62" s="216" t="n"/>
      <c r="D62" s="217" t="n"/>
      <c r="E62" s="216" t="n"/>
      <c r="F62" s="216" t="n"/>
      <c r="G62" s="217" t="n"/>
      <c r="H62" s="217" t="n"/>
      <c r="I62" s="217" t="n"/>
      <c r="J62" s="217" t="n"/>
      <c r="K62" s="216" t="n"/>
      <c r="L62" s="217" t="n"/>
      <c r="M62" s="216" t="n"/>
      <c r="N62" s="164">
        <f>IF($K62="","",IF(OR($M62="Concluído",$M62="Cancelado"),"—",DATEVALUE($K62)-TODAY()))</f>
        <v/>
      </c>
    </row>
    <row r="63" ht="30" customHeight="1" s="131">
      <c r="A63" s="216" t="n"/>
      <c r="B63" s="216" t="n"/>
      <c r="C63" s="216" t="n"/>
      <c r="D63" s="217" t="n"/>
      <c r="E63" s="216" t="n"/>
      <c r="F63" s="216" t="n"/>
      <c r="G63" s="217" t="n"/>
      <c r="H63" s="217" t="n"/>
      <c r="I63" s="217" t="n"/>
      <c r="J63" s="217" t="n"/>
      <c r="K63" s="216" t="n"/>
      <c r="L63" s="217" t="n"/>
      <c r="M63" s="216" t="n"/>
      <c r="N63" s="164">
        <f>IF($K63="","",IF(OR($M63="Concluído",$M63="Cancelado"),"—",DATEVALUE($K63)-TODAY()))</f>
        <v/>
      </c>
    </row>
    <row r="64" ht="30" customHeight="1" s="131">
      <c r="A64" s="216" t="n"/>
      <c r="B64" s="216" t="n"/>
      <c r="C64" s="216" t="n"/>
      <c r="D64" s="217" t="n"/>
      <c r="E64" s="216" t="n"/>
      <c r="F64" s="216" t="n"/>
      <c r="G64" s="217" t="n"/>
      <c r="H64" s="217" t="n"/>
      <c r="I64" s="217" t="n"/>
      <c r="J64" s="217" t="n"/>
      <c r="K64" s="216" t="n"/>
      <c r="L64" s="217" t="n"/>
      <c r="M64" s="216" t="n"/>
      <c r="N64" s="164">
        <f>IF($K64="","",IF(OR($M64="Concluído",$M64="Cancelado"),"—",DATEVALUE($K64)-TODAY()))</f>
        <v/>
      </c>
    </row>
    <row r="65" ht="30" customHeight="1" s="131">
      <c r="A65" s="216" t="n"/>
      <c r="B65" s="216" t="n"/>
      <c r="C65" s="216" t="n"/>
      <c r="D65" s="217" t="n"/>
      <c r="E65" s="216" t="n"/>
      <c r="F65" s="216" t="n"/>
      <c r="G65" s="217" t="n"/>
      <c r="H65" s="217" t="n"/>
      <c r="I65" s="217" t="n"/>
      <c r="J65" s="217" t="n"/>
      <c r="K65" s="216" t="n"/>
      <c r="L65" s="217" t="n"/>
      <c r="M65" s="216" t="n"/>
      <c r="N65" s="164">
        <f>IF($K65="","",IF(OR($M65="Concluído",$M65="Cancelado"),"—",DATEVALUE($K65)-TODAY()))</f>
        <v/>
      </c>
    </row>
    <row r="66" ht="30" customHeight="1" s="131">
      <c r="A66" s="216" t="n"/>
      <c r="B66" s="216" t="n"/>
      <c r="C66" s="216" t="n"/>
      <c r="D66" s="217" t="n"/>
      <c r="E66" s="216" t="n"/>
      <c r="F66" s="216" t="n"/>
      <c r="G66" s="217" t="n"/>
      <c r="H66" s="217" t="n"/>
      <c r="I66" s="217" t="n"/>
      <c r="J66" s="217" t="n"/>
      <c r="K66" s="216" t="n"/>
      <c r="L66" s="217" t="n"/>
      <c r="M66" s="216" t="n"/>
      <c r="N66" s="164">
        <f>IF($K66="","",IF(OR($M66="Concluído",$M66="Cancelado"),"—",DATEVALUE($K66)-TODAY()))</f>
        <v/>
      </c>
    </row>
    <row r="67" ht="30" customHeight="1" s="131">
      <c r="A67" s="216" t="n"/>
      <c r="B67" s="216" t="n"/>
      <c r="C67" s="216" t="n"/>
      <c r="D67" s="217" t="n"/>
      <c r="E67" s="216" t="n"/>
      <c r="F67" s="216" t="n"/>
      <c r="G67" s="217" t="n"/>
      <c r="H67" s="217" t="n"/>
      <c r="I67" s="217" t="n"/>
      <c r="J67" s="217" t="n"/>
      <c r="K67" s="216" t="n"/>
      <c r="L67" s="217" t="n"/>
      <c r="M67" s="216" t="n"/>
      <c r="N67" s="164">
        <f>IF($K67="","",IF(OR($M67="Concluído",$M67="Cancelado"),"—",DATEVALUE($K67)-TODAY()))</f>
        <v/>
      </c>
    </row>
    <row r="68" ht="30" customHeight="1" s="131">
      <c r="A68" s="216" t="n"/>
      <c r="B68" s="216" t="n"/>
      <c r="C68" s="216" t="n"/>
      <c r="D68" s="217" t="n"/>
      <c r="E68" s="216" t="n"/>
      <c r="F68" s="216" t="n"/>
      <c r="G68" s="217" t="n"/>
      <c r="H68" s="217" t="n"/>
      <c r="I68" s="217" t="n"/>
      <c r="J68" s="217" t="n"/>
      <c r="K68" s="216" t="n"/>
      <c r="L68" s="217" t="n"/>
      <c r="M68" s="216" t="n"/>
      <c r="N68" s="164">
        <f>IF($K68="","",IF(OR($M68="Concluído",$M68="Cancelado"),"—",DATEVALUE($K68)-TODAY()))</f>
        <v/>
      </c>
    </row>
    <row r="69" ht="30" customHeight="1" s="131">
      <c r="A69" s="216" t="n"/>
      <c r="B69" s="216" t="n"/>
      <c r="C69" s="216" t="n"/>
      <c r="D69" s="217" t="n"/>
      <c r="E69" s="216" t="n"/>
      <c r="F69" s="216" t="n"/>
      <c r="G69" s="217" t="n"/>
      <c r="H69" s="217" t="n"/>
      <c r="I69" s="217" t="n"/>
      <c r="J69" s="217" t="n"/>
      <c r="K69" s="216" t="n"/>
      <c r="L69" s="217" t="n"/>
      <c r="M69" s="216" t="n"/>
      <c r="N69" s="164">
        <f>IF($K69="","",IF(OR($M69="Concluído",$M69="Cancelado"),"—",DATEVALUE($K69)-TODAY()))</f>
        <v/>
      </c>
    </row>
    <row r="70" ht="30" customHeight="1" s="131">
      <c r="A70" s="216" t="n"/>
      <c r="B70" s="216" t="n"/>
      <c r="C70" s="216" t="n"/>
      <c r="D70" s="217" t="n"/>
      <c r="E70" s="216" t="n"/>
      <c r="F70" s="216" t="n"/>
      <c r="G70" s="217" t="n"/>
      <c r="H70" s="217" t="n"/>
      <c r="I70" s="217" t="n"/>
      <c r="J70" s="217" t="n"/>
      <c r="K70" s="216" t="n"/>
      <c r="L70" s="217" t="n"/>
      <c r="M70" s="216" t="n"/>
      <c r="N70" s="164">
        <f>IF($K70="","",IF(OR($M70="Concluído",$M70="Cancelado"),"—",DATEVALUE($K70)-TODAY()))</f>
        <v/>
      </c>
    </row>
    <row r="71" ht="30" customHeight="1" s="131">
      <c r="A71" s="216" t="n"/>
      <c r="B71" s="216" t="n"/>
      <c r="C71" s="216" t="n"/>
      <c r="D71" s="217" t="n"/>
      <c r="E71" s="216" t="n"/>
      <c r="F71" s="216" t="n"/>
      <c r="G71" s="217" t="n"/>
      <c r="H71" s="217" t="n"/>
      <c r="I71" s="217" t="n"/>
      <c r="J71" s="217" t="n"/>
      <c r="K71" s="216" t="n"/>
      <c r="L71" s="217" t="n"/>
      <c r="M71" s="216" t="n"/>
      <c r="N71" s="164">
        <f>IF($K71="","",IF(OR($M71="Concluído",$M71="Cancelado"),"—",DATEVALUE($K71)-TODAY()))</f>
        <v/>
      </c>
    </row>
    <row r="72" ht="30" customHeight="1" s="131">
      <c r="A72" s="216" t="n"/>
      <c r="B72" s="216" t="n"/>
      <c r="C72" s="216" t="n"/>
      <c r="D72" s="217" t="n"/>
      <c r="E72" s="216" t="n"/>
      <c r="F72" s="216" t="n"/>
      <c r="G72" s="217" t="n"/>
      <c r="H72" s="217" t="n"/>
      <c r="I72" s="217" t="n"/>
      <c r="J72" s="217" t="n"/>
      <c r="K72" s="216" t="n"/>
      <c r="L72" s="217" t="n"/>
      <c r="M72" s="216" t="n"/>
      <c r="N72" s="164">
        <f>IF($K72="","",IF(OR($M72="Concluído",$M72="Cancelado"),"—",DATEVALUE($K72)-TODAY()))</f>
        <v/>
      </c>
    </row>
    <row r="73" ht="30" customHeight="1" s="131">
      <c r="A73" s="216" t="n"/>
      <c r="B73" s="216" t="n"/>
      <c r="C73" s="216" t="n"/>
      <c r="D73" s="217" t="n"/>
      <c r="E73" s="216" t="n"/>
      <c r="F73" s="216" t="n"/>
      <c r="G73" s="217" t="n"/>
      <c r="H73" s="217" t="n"/>
      <c r="I73" s="217" t="n"/>
      <c r="J73" s="217" t="n"/>
      <c r="K73" s="216" t="n"/>
      <c r="L73" s="217" t="n"/>
      <c r="M73" s="216" t="n"/>
      <c r="N73" s="164">
        <f>IF($K73="","",IF(OR($M73="Concluído",$M73="Cancelado"),"—",DATEVALUE($K73)-TODAY()))</f>
        <v/>
      </c>
    </row>
    <row r="74" ht="30" customHeight="1" s="131">
      <c r="A74" s="216" t="n"/>
      <c r="B74" s="216" t="n"/>
      <c r="C74" s="216" t="n"/>
      <c r="D74" s="217" t="n"/>
      <c r="E74" s="216" t="n"/>
      <c r="F74" s="216" t="n"/>
      <c r="G74" s="217" t="n"/>
      <c r="H74" s="217" t="n"/>
      <c r="I74" s="217" t="n"/>
      <c r="J74" s="217" t="n"/>
      <c r="K74" s="216" t="n"/>
      <c r="L74" s="217" t="n"/>
      <c r="M74" s="216" t="n"/>
      <c r="N74" s="164">
        <f>IF($K74="","",IF(OR($M74="Concluído",$M74="Cancelado"),"—",DATEVALUE($K74)-TODAY()))</f>
        <v/>
      </c>
    </row>
    <row r="75" ht="30" customHeight="1" s="131">
      <c r="A75" s="216" t="n"/>
      <c r="B75" s="216" t="n"/>
      <c r="C75" s="216" t="n"/>
      <c r="D75" s="217" t="n"/>
      <c r="E75" s="216" t="n"/>
      <c r="F75" s="216" t="n"/>
      <c r="G75" s="217" t="n"/>
      <c r="H75" s="217" t="n"/>
      <c r="I75" s="217" t="n"/>
      <c r="J75" s="217" t="n"/>
      <c r="K75" s="216" t="n"/>
      <c r="L75" s="217" t="n"/>
      <c r="M75" s="216" t="n"/>
      <c r="N75" s="164">
        <f>IF($K75="","",IF(OR($M75="Concluído",$M75="Cancelado"),"—",DATEVALUE($K75)-TODAY()))</f>
        <v/>
      </c>
    </row>
    <row r="76" ht="30" customHeight="1" s="131">
      <c r="A76" s="216" t="n"/>
      <c r="B76" s="216" t="n"/>
      <c r="C76" s="216" t="n"/>
      <c r="D76" s="217" t="n"/>
      <c r="E76" s="216" t="n"/>
      <c r="F76" s="216" t="n"/>
      <c r="G76" s="217" t="n"/>
      <c r="H76" s="217" t="n"/>
      <c r="I76" s="217" t="n"/>
      <c r="J76" s="217" t="n"/>
      <c r="K76" s="216" t="n"/>
      <c r="L76" s="217" t="n"/>
      <c r="M76" s="216" t="n"/>
      <c r="N76" s="164">
        <f>IF($K76="","",IF(OR($M76="Concluído",$M76="Cancelado"),"—",DATEVALUE($K76)-TODAY()))</f>
        <v/>
      </c>
    </row>
    <row r="77" ht="30" customHeight="1" s="131">
      <c r="A77" s="216" t="n"/>
      <c r="B77" s="216" t="n"/>
      <c r="C77" s="216" t="n"/>
      <c r="D77" s="217" t="n"/>
      <c r="E77" s="216" t="n"/>
      <c r="F77" s="216" t="n"/>
      <c r="G77" s="217" t="n"/>
      <c r="H77" s="217" t="n"/>
      <c r="I77" s="217" t="n"/>
      <c r="J77" s="217" t="n"/>
      <c r="K77" s="216" t="n"/>
      <c r="L77" s="217" t="n"/>
      <c r="M77" s="216" t="n"/>
      <c r="N77" s="164">
        <f>IF($K77="","",IF(OR($M77="Concluído",$M77="Cancelado"),"—",DATEVALUE($K77)-TODAY()))</f>
        <v/>
      </c>
    </row>
    <row r="78" ht="30" customHeight="1" s="131">
      <c r="A78" s="216" t="n"/>
      <c r="B78" s="216" t="n"/>
      <c r="C78" s="216" t="n"/>
      <c r="D78" s="217" t="n"/>
      <c r="E78" s="216" t="n"/>
      <c r="F78" s="216" t="n"/>
      <c r="G78" s="217" t="n"/>
      <c r="H78" s="217" t="n"/>
      <c r="I78" s="217" t="n"/>
      <c r="J78" s="217" t="n"/>
      <c r="K78" s="216" t="n"/>
      <c r="L78" s="217" t="n"/>
      <c r="M78" s="216" t="n"/>
      <c r="N78" s="164">
        <f>IF($K78="","",IF(OR($M78="Concluído",$M78="Cancelado"),"—",DATEVALUE($K78)-TODAY()))</f>
        <v/>
      </c>
    </row>
    <row r="79" ht="30" customHeight="1" s="131">
      <c r="A79" s="216" t="n"/>
      <c r="B79" s="216" t="n"/>
      <c r="C79" s="216" t="n"/>
      <c r="D79" s="217" t="n"/>
      <c r="E79" s="216" t="n"/>
      <c r="F79" s="216" t="n"/>
      <c r="G79" s="217" t="n"/>
      <c r="H79" s="217" t="n"/>
      <c r="I79" s="217" t="n"/>
      <c r="J79" s="217" t="n"/>
      <c r="K79" s="216" t="n"/>
      <c r="L79" s="217" t="n"/>
      <c r="M79" s="216" t="n"/>
      <c r="N79" s="164">
        <f>IF($K79="","",IF(OR($M79="Concluído",$M79="Cancelado"),"—",DATEVALUE($K79)-TODAY()))</f>
        <v/>
      </c>
    </row>
    <row r="80" ht="30" customHeight="1" s="131">
      <c r="A80" s="216" t="n"/>
      <c r="B80" s="216" t="n"/>
      <c r="C80" s="216" t="n"/>
      <c r="D80" s="217" t="n"/>
      <c r="E80" s="216" t="n"/>
      <c r="F80" s="216" t="n"/>
      <c r="G80" s="217" t="n"/>
      <c r="H80" s="217" t="n"/>
      <c r="I80" s="217" t="n"/>
      <c r="J80" s="217" t="n"/>
      <c r="K80" s="216" t="n"/>
      <c r="L80" s="217" t="n"/>
      <c r="M80" s="216" t="n"/>
      <c r="N80" s="164">
        <f>IF($K80="","",IF(OR($M80="Concluído",$M80="Cancelado"),"—",DATEVALUE($K80)-TODAY()))</f>
        <v/>
      </c>
    </row>
    <row r="81" ht="30" customHeight="1" s="131">
      <c r="A81" s="216" t="n"/>
      <c r="B81" s="216" t="n"/>
      <c r="C81" s="216" t="n"/>
      <c r="D81" s="217" t="n"/>
      <c r="E81" s="216" t="n"/>
      <c r="F81" s="216" t="n"/>
      <c r="G81" s="217" t="n"/>
      <c r="H81" s="217" t="n"/>
      <c r="I81" s="217" t="n"/>
      <c r="J81" s="217" t="n"/>
      <c r="K81" s="216" t="n"/>
      <c r="L81" s="217" t="n"/>
      <c r="M81" s="216" t="n"/>
      <c r="N81" s="164">
        <f>IF($K81="","",IF(OR($M81="Concluído",$M81="Cancelado"),"—",DATEVALUE($K81)-TODAY()))</f>
        <v/>
      </c>
    </row>
    <row r="82" ht="30" customHeight="1" s="131">
      <c r="A82" s="216" t="n"/>
      <c r="B82" s="216" t="n"/>
      <c r="C82" s="216" t="n"/>
      <c r="D82" s="217" t="n"/>
      <c r="E82" s="216" t="n"/>
      <c r="F82" s="216" t="n"/>
      <c r="G82" s="217" t="n"/>
      <c r="H82" s="217" t="n"/>
      <c r="I82" s="217" t="n"/>
      <c r="J82" s="217" t="n"/>
      <c r="K82" s="216" t="n"/>
      <c r="L82" s="217" t="n"/>
      <c r="M82" s="216" t="n"/>
      <c r="N82" s="164">
        <f>IF($K82="","",IF(OR($M82="Concluído",$M82="Cancelado"),"—",DATEVALUE($K82)-TODAY()))</f>
        <v/>
      </c>
    </row>
    <row r="83" ht="30" customHeight="1" s="131">
      <c r="A83" s="216" t="n"/>
      <c r="B83" s="216" t="n"/>
      <c r="C83" s="216" t="n"/>
      <c r="D83" s="217" t="n"/>
      <c r="E83" s="216" t="n"/>
      <c r="F83" s="216" t="n"/>
      <c r="G83" s="217" t="n"/>
      <c r="H83" s="217" t="n"/>
      <c r="I83" s="217" t="n"/>
      <c r="J83" s="217" t="n"/>
      <c r="K83" s="216" t="n"/>
      <c r="L83" s="217" t="n"/>
      <c r="M83" s="216" t="n"/>
      <c r="N83" s="164">
        <f>IF($K83="","",IF(OR($M83="Concluído",$M83="Cancelado"),"—",DATEVALUE($K83)-TODAY()))</f>
        <v/>
      </c>
    </row>
    <row r="84" ht="30" customHeight="1" s="131">
      <c r="A84" s="216" t="n"/>
      <c r="B84" s="216" t="n"/>
      <c r="C84" s="216" t="n"/>
      <c r="D84" s="217" t="n"/>
      <c r="E84" s="216" t="n"/>
      <c r="F84" s="216" t="n"/>
      <c r="G84" s="217" t="n"/>
      <c r="H84" s="217" t="n"/>
      <c r="I84" s="217" t="n"/>
      <c r="J84" s="217" t="n"/>
      <c r="K84" s="216" t="n"/>
      <c r="L84" s="217" t="n"/>
      <c r="M84" s="216" t="n"/>
      <c r="N84" s="164">
        <f>IF($K84="","",IF(OR($M84="Concluído",$M84="Cancelado"),"—",DATEVALUE($K84)-TODAY()))</f>
        <v/>
      </c>
    </row>
    <row r="85" ht="30" customHeight="1" s="131">
      <c r="A85" s="216" t="n"/>
      <c r="B85" s="216" t="n"/>
      <c r="C85" s="216" t="n"/>
      <c r="D85" s="217" t="n"/>
      <c r="E85" s="216" t="n"/>
      <c r="F85" s="216" t="n"/>
      <c r="G85" s="217" t="n"/>
      <c r="H85" s="217" t="n"/>
      <c r="I85" s="217" t="n"/>
      <c r="J85" s="217" t="n"/>
      <c r="K85" s="216" t="n"/>
      <c r="L85" s="217" t="n"/>
      <c r="M85" s="216" t="n"/>
      <c r="N85" s="164">
        <f>IF($K85="","",IF(OR($M85="Concluído",$M85="Cancelado"),"—",DATEVALUE($K85)-TODAY()))</f>
        <v/>
      </c>
    </row>
    <row r="86" ht="30" customHeight="1" s="131">
      <c r="A86" s="216" t="n"/>
      <c r="B86" s="216" t="n"/>
      <c r="C86" s="216" t="n"/>
      <c r="D86" s="217" t="n"/>
      <c r="E86" s="216" t="n"/>
      <c r="F86" s="216" t="n"/>
      <c r="G86" s="217" t="n"/>
      <c r="H86" s="217" t="n"/>
      <c r="I86" s="217" t="n"/>
      <c r="J86" s="217" t="n"/>
      <c r="K86" s="216" t="n"/>
      <c r="L86" s="217" t="n"/>
      <c r="M86" s="216" t="n"/>
      <c r="N86" s="164">
        <f>IF($K86="","",IF(OR($M86="Concluído",$M86="Cancelado"),"—",DATEVALUE($K86)-TODAY()))</f>
        <v/>
      </c>
    </row>
    <row r="87" ht="30" customHeight="1" s="131">
      <c r="A87" s="216" t="n"/>
      <c r="B87" s="216" t="n"/>
      <c r="C87" s="216" t="n"/>
      <c r="D87" s="217" t="n"/>
      <c r="E87" s="216" t="n"/>
      <c r="F87" s="216" t="n"/>
      <c r="G87" s="217" t="n"/>
      <c r="H87" s="217" t="n"/>
      <c r="I87" s="217" t="n"/>
      <c r="J87" s="217" t="n"/>
      <c r="K87" s="216" t="n"/>
      <c r="L87" s="217" t="n"/>
      <c r="M87" s="216" t="n"/>
      <c r="N87" s="164">
        <f>IF($K87="","",IF(OR($M87="Concluído",$M87="Cancelado"),"—",DATEVALUE($K87)-TODAY()))</f>
        <v/>
      </c>
    </row>
    <row r="88" ht="30" customHeight="1" s="131">
      <c r="A88" s="216" t="n"/>
      <c r="B88" s="216" t="n"/>
      <c r="C88" s="216" t="n"/>
      <c r="D88" s="217" t="n"/>
      <c r="E88" s="216" t="n"/>
      <c r="F88" s="216" t="n"/>
      <c r="G88" s="217" t="n"/>
      <c r="H88" s="217" t="n"/>
      <c r="I88" s="217" t="n"/>
      <c r="J88" s="217" t="n"/>
      <c r="K88" s="216" t="n"/>
      <c r="L88" s="217" t="n"/>
      <c r="M88" s="216" t="n"/>
      <c r="N88" s="164">
        <f>IF($K88="","",IF(OR($M88="Concluído",$M88="Cancelado"),"—",DATEVALUE($K88)-TODAY()))</f>
        <v/>
      </c>
    </row>
    <row r="89" ht="30" customHeight="1" s="131">
      <c r="A89" s="216" t="n"/>
      <c r="B89" s="216" t="n"/>
      <c r="C89" s="216" t="n"/>
      <c r="D89" s="217" t="n"/>
      <c r="E89" s="216" t="n"/>
      <c r="F89" s="216" t="n"/>
      <c r="G89" s="217" t="n"/>
      <c r="H89" s="217" t="n"/>
      <c r="I89" s="217" t="n"/>
      <c r="J89" s="217" t="n"/>
      <c r="K89" s="216" t="n"/>
      <c r="L89" s="217" t="n"/>
      <c r="M89" s="216" t="n"/>
      <c r="N89" s="164">
        <f>IF($K89="","",IF(OR($M89="Concluído",$M89="Cancelado"),"—",DATEVALUE($K89)-TODAY()))</f>
        <v/>
      </c>
    </row>
    <row r="90" ht="30" customHeight="1" s="131">
      <c r="A90" s="216" t="n"/>
      <c r="B90" s="216" t="n"/>
      <c r="C90" s="216" t="n"/>
      <c r="D90" s="217" t="n"/>
      <c r="E90" s="216" t="n"/>
      <c r="F90" s="216" t="n"/>
      <c r="G90" s="217" t="n"/>
      <c r="H90" s="217" t="n"/>
      <c r="I90" s="217" t="n"/>
      <c r="J90" s="217" t="n"/>
      <c r="K90" s="216" t="n"/>
      <c r="L90" s="217" t="n"/>
      <c r="M90" s="216" t="n"/>
      <c r="N90" s="164">
        <f>IF($K90="","",IF(OR($M90="Concluído",$M90="Cancelado"),"—",DATEVALUE($K90)-TODAY()))</f>
        <v/>
      </c>
    </row>
    <row r="91" ht="30" customHeight="1" s="131">
      <c r="A91" s="216" t="n"/>
      <c r="B91" s="216" t="n"/>
      <c r="C91" s="216" t="n"/>
      <c r="D91" s="217" t="n"/>
      <c r="E91" s="216" t="n"/>
      <c r="F91" s="216" t="n"/>
      <c r="G91" s="217" t="n"/>
      <c r="H91" s="217" t="n"/>
      <c r="I91" s="217" t="n"/>
      <c r="J91" s="217" t="n"/>
      <c r="K91" s="216" t="n"/>
      <c r="L91" s="217" t="n"/>
      <c r="M91" s="216" t="n"/>
      <c r="N91" s="164">
        <f>IF($K91="","",IF(OR($M91="Concluído",$M91="Cancelado"),"—",DATEVALUE($K91)-TODAY()))</f>
        <v/>
      </c>
    </row>
    <row r="92" ht="30" customHeight="1" s="131">
      <c r="A92" s="216" t="n"/>
      <c r="B92" s="216" t="n"/>
      <c r="C92" s="216" t="n"/>
      <c r="D92" s="217" t="n"/>
      <c r="E92" s="216" t="n"/>
      <c r="F92" s="216" t="n"/>
      <c r="G92" s="217" t="n"/>
      <c r="H92" s="217" t="n"/>
      <c r="I92" s="217" t="n"/>
      <c r="J92" s="217" t="n"/>
      <c r="K92" s="216" t="n"/>
      <c r="L92" s="217" t="n"/>
      <c r="M92" s="216" t="n"/>
      <c r="N92" s="164">
        <f>IF($K92="","",IF(OR($M92="Concluído",$M92="Cancelado"),"—",DATEVALUE($K92)-TODAY()))</f>
        <v/>
      </c>
    </row>
    <row r="93" ht="30" customHeight="1" s="131">
      <c r="A93" s="216" t="n"/>
      <c r="B93" s="216" t="n"/>
      <c r="C93" s="216" t="n"/>
      <c r="D93" s="217" t="n"/>
      <c r="E93" s="216" t="n"/>
      <c r="F93" s="216" t="n"/>
      <c r="G93" s="217" t="n"/>
      <c r="H93" s="217" t="n"/>
      <c r="I93" s="217" t="n"/>
      <c r="J93" s="217" t="n"/>
      <c r="K93" s="216" t="n"/>
      <c r="L93" s="217" t="n"/>
      <c r="M93" s="216" t="n"/>
      <c r="N93" s="164">
        <f>IF($K93="","",IF(OR($M93="Concluído",$M93="Cancelado"),"—",DATEVALUE($K93)-TODAY()))</f>
        <v/>
      </c>
    </row>
    <row r="94" ht="30" customHeight="1" s="131">
      <c r="A94" s="216" t="n"/>
      <c r="B94" s="216" t="n"/>
      <c r="C94" s="216" t="n"/>
      <c r="D94" s="217" t="n"/>
      <c r="E94" s="216" t="n"/>
      <c r="F94" s="216" t="n"/>
      <c r="G94" s="217" t="n"/>
      <c r="H94" s="217" t="n"/>
      <c r="I94" s="217" t="n"/>
      <c r="J94" s="217" t="n"/>
      <c r="K94" s="216" t="n"/>
      <c r="L94" s="217" t="n"/>
      <c r="M94" s="216" t="n"/>
      <c r="N94" s="164">
        <f>IF($K94="","",IF(OR($M94="Concluído",$M94="Cancelado"),"—",DATEVALUE($K94)-TODAY()))</f>
        <v/>
      </c>
    </row>
    <row r="95" ht="30" customHeight="1" s="131">
      <c r="A95" s="216" t="n"/>
      <c r="B95" s="216" t="n"/>
      <c r="C95" s="216" t="n"/>
      <c r="D95" s="217" t="n"/>
      <c r="E95" s="216" t="n"/>
      <c r="F95" s="216" t="n"/>
      <c r="G95" s="217" t="n"/>
      <c r="H95" s="217" t="n"/>
      <c r="I95" s="217" t="n"/>
      <c r="J95" s="217" t="n"/>
      <c r="K95" s="216" t="n"/>
      <c r="L95" s="217" t="n"/>
      <c r="M95" s="216" t="n"/>
      <c r="N95" s="164">
        <f>IF($K95="","",IF(OR($M95="Concluído",$M95="Cancelado"),"—",DATEVALUE($K95)-TODAY()))</f>
        <v/>
      </c>
    </row>
    <row r="96" ht="30" customHeight="1" s="131">
      <c r="A96" s="216" t="n"/>
      <c r="B96" s="216" t="n"/>
      <c r="C96" s="216" t="n"/>
      <c r="D96" s="217" t="n"/>
      <c r="E96" s="216" t="n"/>
      <c r="F96" s="216" t="n"/>
      <c r="G96" s="217" t="n"/>
      <c r="H96" s="217" t="n"/>
      <c r="I96" s="217" t="n"/>
      <c r="J96" s="217" t="n"/>
      <c r="K96" s="216" t="n"/>
      <c r="L96" s="217" t="n"/>
      <c r="M96" s="216" t="n"/>
      <c r="N96" s="164">
        <f>IF($K96="","",IF(OR($M96="Concluído",$M96="Cancelado"),"—",DATEVALUE($K96)-TODAY()))</f>
        <v/>
      </c>
    </row>
    <row r="97" ht="30" customHeight="1" s="131">
      <c r="A97" s="216" t="n"/>
      <c r="B97" s="216" t="n"/>
      <c r="C97" s="216" t="n"/>
      <c r="D97" s="217" t="n"/>
      <c r="E97" s="216" t="n"/>
      <c r="F97" s="216" t="n"/>
      <c r="G97" s="217" t="n"/>
      <c r="H97" s="217" t="n"/>
      <c r="I97" s="217" t="n"/>
      <c r="J97" s="217" t="n"/>
      <c r="K97" s="216" t="n"/>
      <c r="L97" s="217" t="n"/>
      <c r="M97" s="216" t="n"/>
      <c r="N97" s="164">
        <f>IF($K97="","",IF(OR($M97="Concluído",$M97="Cancelado"),"—",DATEVALUE($K97)-TODAY()))</f>
        <v/>
      </c>
    </row>
    <row r="98" ht="30" customHeight="1" s="131">
      <c r="A98" s="216" t="n"/>
      <c r="B98" s="216" t="n"/>
      <c r="C98" s="216" t="n"/>
      <c r="D98" s="217" t="n"/>
      <c r="E98" s="216" t="n"/>
      <c r="F98" s="216" t="n"/>
      <c r="G98" s="217" t="n"/>
      <c r="H98" s="217" t="n"/>
      <c r="I98" s="217" t="n"/>
      <c r="J98" s="217" t="n"/>
      <c r="K98" s="216" t="n"/>
      <c r="L98" s="217" t="n"/>
      <c r="M98" s="216" t="n"/>
      <c r="N98" s="164">
        <f>IF($K98="","",IF(OR($M98="Concluído",$M98="Cancelado"),"—",DATEVALUE($K98)-TODAY()))</f>
        <v/>
      </c>
    </row>
    <row r="99" ht="30" customHeight="1" s="131">
      <c r="A99" s="216" t="n"/>
      <c r="B99" s="216" t="n"/>
      <c r="C99" s="216" t="n"/>
      <c r="D99" s="217" t="n"/>
      <c r="E99" s="216" t="n"/>
      <c r="F99" s="216" t="n"/>
      <c r="G99" s="217" t="n"/>
      <c r="H99" s="217" t="n"/>
      <c r="I99" s="217" t="n"/>
      <c r="J99" s="217" t="n"/>
      <c r="K99" s="216" t="n"/>
      <c r="L99" s="217" t="n"/>
      <c r="M99" s="216" t="n"/>
      <c r="N99" s="164">
        <f>IF($K99="","",IF(OR($M99="Concluído",$M99="Cancelado"),"—",DATEVALUE($K99)-TODAY()))</f>
        <v/>
      </c>
    </row>
    <row r="100" ht="30" customHeight="1" s="131">
      <c r="A100" s="216" t="n"/>
      <c r="B100" s="216" t="n"/>
      <c r="C100" s="216" t="n"/>
      <c r="D100" s="217" t="n"/>
      <c r="E100" s="216" t="n"/>
      <c r="F100" s="216" t="n"/>
      <c r="G100" s="217" t="n"/>
      <c r="H100" s="217" t="n"/>
      <c r="I100" s="217" t="n"/>
      <c r="J100" s="217" t="n"/>
      <c r="K100" s="216" t="n"/>
      <c r="L100" s="217" t="n"/>
      <c r="M100" s="216" t="n"/>
      <c r="N100" s="164">
        <f>IF($K100="","",IF(OR($M100="Concluído",$M100="Cancelado"),"—",DATEVALUE($K100)-TODAY()))</f>
        <v/>
      </c>
    </row>
    <row r="101" ht="30" customHeight="1" s="131">
      <c r="A101" s="216" t="n"/>
      <c r="B101" s="216" t="n"/>
      <c r="C101" s="216" t="n"/>
      <c r="D101" s="217" t="n"/>
      <c r="E101" s="216" t="n"/>
      <c r="F101" s="216" t="n"/>
      <c r="G101" s="217" t="n"/>
      <c r="H101" s="217" t="n"/>
      <c r="I101" s="217" t="n"/>
      <c r="J101" s="217" t="n"/>
      <c r="K101" s="216" t="n"/>
      <c r="L101" s="217" t="n"/>
      <c r="M101" s="216" t="n"/>
      <c r="N101" s="164">
        <f>IF($K101="","",IF(OR($M101="Concluído",$M101="Cancelado"),"—",DATEVALUE($K101)-TODAY()))</f>
        <v/>
      </c>
    </row>
    <row r="102" ht="30" customHeight="1" s="131">
      <c r="A102" s="216" t="n"/>
      <c r="B102" s="216" t="n"/>
      <c r="C102" s="216" t="n"/>
      <c r="D102" s="217" t="n"/>
      <c r="E102" s="216" t="n"/>
      <c r="F102" s="216" t="n"/>
      <c r="G102" s="217" t="n"/>
      <c r="H102" s="217" t="n"/>
      <c r="I102" s="217" t="n"/>
      <c r="J102" s="217" t="n"/>
      <c r="K102" s="216" t="n"/>
      <c r="L102" s="217" t="n"/>
      <c r="M102" s="216" t="n"/>
      <c r="N102" s="164">
        <f>IF($K102="","",IF(OR($M102="Concluído",$M102="Cancelado"),"—",DATEVALUE($K102)-TODAY()))</f>
        <v/>
      </c>
    </row>
    <row r="103" ht="30" customHeight="1" s="131">
      <c r="A103" s="216" t="n"/>
      <c r="B103" s="216" t="n"/>
      <c r="C103" s="216" t="n"/>
      <c r="D103" s="217" t="n"/>
      <c r="E103" s="216" t="n"/>
      <c r="F103" s="216" t="n"/>
      <c r="G103" s="217" t="n"/>
      <c r="H103" s="217" t="n"/>
      <c r="I103" s="217" t="n"/>
      <c r="J103" s="217" t="n"/>
      <c r="K103" s="216" t="n"/>
      <c r="L103" s="217" t="n"/>
      <c r="M103" s="216" t="n"/>
      <c r="N103" s="164">
        <f>IF($K103="","",IF(OR($M103="Concluído",$M103="Cancelado"),"—",DATEVALUE($K103)-TODAY()))</f>
        <v/>
      </c>
    </row>
    <row r="104" ht="30" customHeight="1" s="131">
      <c r="A104" s="216" t="n"/>
      <c r="B104" s="216" t="n"/>
      <c r="C104" s="216" t="n"/>
      <c r="D104" s="217" t="n"/>
      <c r="E104" s="216" t="n"/>
      <c r="F104" s="216" t="n"/>
      <c r="G104" s="217" t="n"/>
      <c r="H104" s="217" t="n"/>
      <c r="I104" s="217" t="n"/>
      <c r="J104" s="217" t="n"/>
      <c r="K104" s="216" t="n"/>
      <c r="L104" s="217" t="n"/>
      <c r="M104" s="216" t="n"/>
      <c r="N104" s="164">
        <f>IF($K104="","",IF(OR($M104="Concluído",$M104="Cancelado"),"—",DATEVALUE($K104)-TODAY()))</f>
        <v/>
      </c>
    </row>
    <row r="105" ht="30" customHeight="1" s="131">
      <c r="A105" s="216" t="n"/>
      <c r="B105" s="216" t="n"/>
      <c r="C105" s="216" t="n"/>
      <c r="D105" s="217" t="n"/>
      <c r="E105" s="216" t="n"/>
      <c r="F105" s="216" t="n"/>
      <c r="G105" s="217" t="n"/>
      <c r="H105" s="217" t="n"/>
      <c r="I105" s="217" t="n"/>
      <c r="J105" s="217" t="n"/>
      <c r="K105" s="216" t="n"/>
      <c r="L105" s="217" t="n"/>
      <c r="M105" s="216" t="n"/>
      <c r="N105" s="164">
        <f>IF($K105="","",IF(OR($M105="Concluído",$M105="Cancelado"),"—",DATEVALUE($K105)-TODAY()))</f>
        <v/>
      </c>
    </row>
    <row r="106" ht="30" customHeight="1" s="131">
      <c r="A106" s="216" t="n"/>
      <c r="B106" s="216" t="n"/>
      <c r="C106" s="216" t="n"/>
      <c r="D106" s="217" t="n"/>
      <c r="E106" s="216" t="n"/>
      <c r="F106" s="216" t="n"/>
      <c r="G106" s="217" t="n"/>
      <c r="H106" s="217" t="n"/>
      <c r="I106" s="217" t="n"/>
      <c r="J106" s="217" t="n"/>
      <c r="K106" s="216" t="n"/>
      <c r="L106" s="217" t="n"/>
      <c r="M106" s="216" t="n"/>
      <c r="N106" s="164">
        <f>IF($K106="","",IF(OR($M106="Concluído",$M106="Cancelado"),"—",DATEVALUE($K106)-TODAY()))</f>
        <v/>
      </c>
    </row>
    <row r="107" ht="30" customHeight="1" s="131">
      <c r="A107" s="216" t="n"/>
      <c r="B107" s="216" t="n"/>
      <c r="C107" s="216" t="n"/>
      <c r="D107" s="217" t="n"/>
      <c r="E107" s="216" t="n"/>
      <c r="F107" s="216" t="n"/>
      <c r="G107" s="217" t="n"/>
      <c r="H107" s="217" t="n"/>
      <c r="I107" s="217" t="n"/>
      <c r="J107" s="217" t="n"/>
      <c r="K107" s="216" t="n"/>
      <c r="L107" s="217" t="n"/>
      <c r="M107" s="216" t="n"/>
      <c r="N107" s="164">
        <f>IF($K107="","",IF(OR($M107="Concluído",$M107="Cancelado"),"—",DATEVALUE($K107)-TODAY()))</f>
        <v/>
      </c>
    </row>
    <row r="108" ht="30" customHeight="1" s="131">
      <c r="A108" s="216" t="n"/>
      <c r="B108" s="216" t="n"/>
      <c r="C108" s="216" t="n"/>
      <c r="D108" s="217" t="n"/>
      <c r="E108" s="216" t="n"/>
      <c r="F108" s="216" t="n"/>
      <c r="G108" s="217" t="n"/>
      <c r="H108" s="217" t="n"/>
      <c r="I108" s="217" t="n"/>
      <c r="J108" s="217" t="n"/>
      <c r="K108" s="216" t="n"/>
      <c r="L108" s="217" t="n"/>
      <c r="M108" s="216" t="n"/>
      <c r="N108" s="164">
        <f>IF($K108="","",IF(OR($M108="Concluído",$M108="Cancelado"),"—",DATEVALUE($K108)-TODAY()))</f>
        <v/>
      </c>
    </row>
    <row r="109" ht="30" customHeight="1" s="131">
      <c r="A109" s="216" t="n"/>
      <c r="B109" s="216" t="n"/>
      <c r="C109" s="216" t="n"/>
      <c r="D109" s="217" t="n"/>
      <c r="E109" s="216" t="n"/>
      <c r="F109" s="216" t="n"/>
      <c r="G109" s="217" t="n"/>
      <c r="H109" s="217" t="n"/>
      <c r="I109" s="217" t="n"/>
      <c r="J109" s="217" t="n"/>
      <c r="K109" s="216" t="n"/>
      <c r="L109" s="217" t="n"/>
      <c r="M109" s="216" t="n"/>
      <c r="N109" s="164">
        <f>IF($K109="","",IF(OR($M109="Concluído",$M109="Cancelado"),"—",DATEVALUE($K109)-TODAY()))</f>
        <v/>
      </c>
    </row>
    <row r="110" ht="30" customHeight="1" s="131">
      <c r="A110" s="216" t="n"/>
      <c r="B110" s="216" t="n"/>
      <c r="C110" s="216" t="n"/>
      <c r="D110" s="217" t="n"/>
      <c r="E110" s="216" t="n"/>
      <c r="F110" s="216" t="n"/>
      <c r="G110" s="217" t="n"/>
      <c r="H110" s="217" t="n"/>
      <c r="I110" s="217" t="n"/>
      <c r="J110" s="217" t="n"/>
      <c r="K110" s="216" t="n"/>
      <c r="L110" s="217" t="n"/>
      <c r="M110" s="216" t="n"/>
      <c r="N110" s="164">
        <f>IF($K110="","",IF(OR($M110="Concluído",$M110="Cancelado"),"—",DATEVALUE($K110)-TODAY()))</f>
        <v/>
      </c>
    </row>
    <row r="111" ht="30" customHeight="1" s="131">
      <c r="A111" s="216" t="n"/>
      <c r="B111" s="216" t="n"/>
      <c r="C111" s="216" t="n"/>
      <c r="D111" s="217" t="n"/>
      <c r="E111" s="216" t="n"/>
      <c r="F111" s="216" t="n"/>
      <c r="G111" s="217" t="n"/>
      <c r="H111" s="217" t="n"/>
      <c r="I111" s="217" t="n"/>
      <c r="J111" s="217" t="n"/>
      <c r="K111" s="216" t="n"/>
      <c r="L111" s="217" t="n"/>
      <c r="M111" s="216" t="n"/>
      <c r="N111" s="164">
        <f>IF($K111="","",IF(OR($M111="Concluído",$M111="Cancelado"),"—",DATEVALUE($K111)-TODAY()))</f>
        <v/>
      </c>
    </row>
    <row r="112" ht="30" customHeight="1" s="131">
      <c r="A112" s="216" t="n"/>
      <c r="B112" s="216" t="n"/>
      <c r="C112" s="216" t="n"/>
      <c r="D112" s="217" t="n"/>
      <c r="E112" s="216" t="n"/>
      <c r="F112" s="216" t="n"/>
      <c r="G112" s="217" t="n"/>
      <c r="H112" s="217" t="n"/>
      <c r="I112" s="217" t="n"/>
      <c r="J112" s="217" t="n"/>
      <c r="K112" s="216" t="n"/>
      <c r="L112" s="217" t="n"/>
      <c r="M112" s="216" t="n"/>
      <c r="N112" s="164">
        <f>IF($K112="","",IF(OR($M112="Concluído",$M112="Cancelado"),"—",DATEVALUE($K112)-TODAY()))</f>
        <v/>
      </c>
    </row>
    <row r="113" ht="30" customHeight="1" s="131">
      <c r="A113" s="216" t="n"/>
      <c r="B113" s="216" t="n"/>
      <c r="C113" s="216" t="n"/>
      <c r="D113" s="217" t="n"/>
      <c r="E113" s="216" t="n"/>
      <c r="F113" s="216" t="n"/>
      <c r="G113" s="217" t="n"/>
      <c r="H113" s="217" t="n"/>
      <c r="I113" s="217" t="n"/>
      <c r="J113" s="217" t="n"/>
      <c r="K113" s="216" t="n"/>
      <c r="L113" s="217" t="n"/>
      <c r="M113" s="216" t="n"/>
      <c r="N113" s="164">
        <f>IF($K113="","",IF(OR($M113="Concluído",$M113="Cancelado"),"—",DATEVALUE($K113)-TODAY()))</f>
        <v/>
      </c>
    </row>
    <row r="114" ht="30" customHeight="1" s="131">
      <c r="A114" s="216" t="n"/>
      <c r="B114" s="216" t="n"/>
      <c r="C114" s="216" t="n"/>
      <c r="D114" s="217" t="n"/>
      <c r="E114" s="216" t="n"/>
      <c r="F114" s="216" t="n"/>
      <c r="G114" s="217" t="n"/>
      <c r="H114" s="217" t="n"/>
      <c r="I114" s="217" t="n"/>
      <c r="J114" s="217" t="n"/>
      <c r="K114" s="216" t="n"/>
      <c r="L114" s="217" t="n"/>
      <c r="M114" s="216" t="n"/>
      <c r="N114" s="164">
        <f>IF($K114="","",IF(OR($M114="Concluído",$M114="Cancelado"),"—",DATEVALUE($K114)-TODAY()))</f>
        <v/>
      </c>
    </row>
    <row r="115" ht="30" customHeight="1" s="131">
      <c r="A115" s="216" t="n"/>
      <c r="B115" s="216" t="n"/>
      <c r="C115" s="216" t="n"/>
      <c r="D115" s="217" t="n"/>
      <c r="E115" s="216" t="n"/>
      <c r="F115" s="216" t="n"/>
      <c r="G115" s="217" t="n"/>
      <c r="H115" s="217" t="n"/>
      <c r="I115" s="217" t="n"/>
      <c r="J115" s="217" t="n"/>
      <c r="K115" s="216" t="n"/>
      <c r="L115" s="217" t="n"/>
      <c r="M115" s="216" t="n"/>
      <c r="N115" s="164">
        <f>IF($K115="","",IF(OR($M115="Concluído",$M115="Cancelado"),"—",DATEVALUE($K115)-TODAY()))</f>
        <v/>
      </c>
    </row>
    <row r="116" ht="30" customHeight="1" s="131">
      <c r="A116" s="216" t="n"/>
      <c r="B116" s="216" t="n"/>
      <c r="C116" s="216" t="n"/>
      <c r="D116" s="217" t="n"/>
      <c r="E116" s="216" t="n"/>
      <c r="F116" s="216" t="n"/>
      <c r="G116" s="217" t="n"/>
      <c r="H116" s="217" t="n"/>
      <c r="I116" s="217" t="n"/>
      <c r="J116" s="217" t="n"/>
      <c r="K116" s="216" t="n"/>
      <c r="L116" s="217" t="n"/>
      <c r="M116" s="216" t="n"/>
      <c r="N116" s="164">
        <f>IF($K116="","",IF(OR($M116="Concluído",$M116="Cancelado"),"—",DATEVALUE($K116)-TODAY()))</f>
        <v/>
      </c>
    </row>
    <row r="117" ht="30" customHeight="1" s="131">
      <c r="A117" s="216" t="n"/>
      <c r="B117" s="216" t="n"/>
      <c r="C117" s="216" t="n"/>
      <c r="D117" s="217" t="n"/>
      <c r="E117" s="216" t="n"/>
      <c r="F117" s="216" t="n"/>
      <c r="G117" s="217" t="n"/>
      <c r="H117" s="217" t="n"/>
      <c r="I117" s="217" t="n"/>
      <c r="J117" s="217" t="n"/>
      <c r="K117" s="216" t="n"/>
      <c r="L117" s="217" t="n"/>
      <c r="M117" s="216" t="n"/>
      <c r="N117" s="164">
        <f>IF($K117="","",IF(OR($M117="Concluído",$M117="Cancelado"),"—",DATEVALUE($K117)-TODAY()))</f>
        <v/>
      </c>
    </row>
    <row r="118" ht="30" customHeight="1" s="131">
      <c r="A118" s="216" t="n"/>
      <c r="B118" s="216" t="n"/>
      <c r="C118" s="216" t="n"/>
      <c r="D118" s="217" t="n"/>
      <c r="E118" s="216" t="n"/>
      <c r="F118" s="216" t="n"/>
      <c r="G118" s="217" t="n"/>
      <c r="H118" s="217" t="n"/>
      <c r="I118" s="217" t="n"/>
      <c r="J118" s="217" t="n"/>
      <c r="K118" s="216" t="n"/>
      <c r="L118" s="217" t="n"/>
      <c r="M118" s="216" t="n"/>
      <c r="N118" s="164">
        <f>IF($K118="","",IF(OR($M118="Concluído",$M118="Cancelado"),"—",DATEVALUE($K118)-TODAY()))</f>
        <v/>
      </c>
    </row>
    <row r="119" ht="30" customHeight="1" s="131">
      <c r="A119" s="216" t="n"/>
      <c r="B119" s="216" t="n"/>
      <c r="C119" s="216" t="n"/>
      <c r="D119" s="217" t="n"/>
      <c r="E119" s="216" t="n"/>
      <c r="F119" s="216" t="n"/>
      <c r="G119" s="217" t="n"/>
      <c r="H119" s="217" t="n"/>
      <c r="I119" s="217" t="n"/>
      <c r="J119" s="217" t="n"/>
      <c r="K119" s="216" t="n"/>
      <c r="L119" s="217" t="n"/>
      <c r="M119" s="216" t="n"/>
      <c r="N119" s="164">
        <f>IF($K119="","",IF(OR($M119="Concluído",$M119="Cancelado"),"—",DATEVALUE($K119)-TODAY()))</f>
        <v/>
      </c>
    </row>
    <row r="120" ht="30" customHeight="1" s="131">
      <c r="A120" s="216" t="n"/>
      <c r="B120" s="216" t="n"/>
      <c r="C120" s="216" t="n"/>
      <c r="D120" s="217" t="n"/>
      <c r="E120" s="216" t="n"/>
      <c r="F120" s="216" t="n"/>
      <c r="G120" s="217" t="n"/>
      <c r="H120" s="217" t="n"/>
      <c r="I120" s="217" t="n"/>
      <c r="J120" s="217" t="n"/>
      <c r="K120" s="216" t="n"/>
      <c r="L120" s="217" t="n"/>
      <c r="M120" s="216" t="n"/>
      <c r="N120" s="164">
        <f>IF($K120="","",IF(OR($M120="Concluído",$M120="Cancelado"),"—",DATEVALUE($K120)-TODAY()))</f>
        <v/>
      </c>
    </row>
    <row r="121" ht="30" customHeight="1" s="131">
      <c r="A121" s="216" t="n"/>
      <c r="B121" s="216" t="n"/>
      <c r="C121" s="216" t="n"/>
      <c r="D121" s="217" t="n"/>
      <c r="E121" s="216" t="n"/>
      <c r="F121" s="216" t="n"/>
      <c r="G121" s="217" t="n"/>
      <c r="H121" s="217" t="n"/>
      <c r="I121" s="217" t="n"/>
      <c r="J121" s="217" t="n"/>
      <c r="K121" s="216" t="n"/>
      <c r="L121" s="217" t="n"/>
      <c r="M121" s="216" t="n"/>
      <c r="N121" s="164">
        <f>IF($K121="","",IF(OR($M121="Concluído",$M121="Cancelado"),"—",DATEVALUE($K121)-TODAY()))</f>
        <v/>
      </c>
    </row>
    <row r="122" ht="30" customHeight="1" s="131">
      <c r="A122" s="216" t="n"/>
      <c r="B122" s="216" t="n"/>
      <c r="C122" s="216" t="n"/>
      <c r="D122" s="217" t="n"/>
      <c r="E122" s="216" t="n"/>
      <c r="F122" s="216" t="n"/>
      <c r="G122" s="217" t="n"/>
      <c r="H122" s="217" t="n"/>
      <c r="I122" s="217" t="n"/>
      <c r="J122" s="217" t="n"/>
      <c r="K122" s="216" t="n"/>
      <c r="L122" s="217" t="n"/>
      <c r="M122" s="216" t="n"/>
      <c r="N122" s="164">
        <f>IF($K122="","",IF(OR($M122="Concluído",$M122="Cancelado"),"—",DATEVALUE($K122)-TODAY()))</f>
        <v/>
      </c>
    </row>
    <row r="123" ht="30" customHeight="1" s="131">
      <c r="A123" s="216" t="n"/>
      <c r="B123" s="216" t="n"/>
      <c r="C123" s="216" t="n"/>
      <c r="D123" s="217" t="n"/>
      <c r="E123" s="216" t="n"/>
      <c r="F123" s="216" t="n"/>
      <c r="G123" s="217" t="n"/>
      <c r="H123" s="217" t="n"/>
      <c r="I123" s="217" t="n"/>
      <c r="J123" s="217" t="n"/>
      <c r="K123" s="216" t="n"/>
      <c r="L123" s="217" t="n"/>
      <c r="M123" s="216" t="n"/>
      <c r="N123" s="164">
        <f>IF($K123="","",IF(OR($M123="Concluído",$M123="Cancelado"),"—",DATEVALUE($K123)-TODAY()))</f>
        <v/>
      </c>
    </row>
    <row r="124" ht="30" customHeight="1" s="131">
      <c r="A124" s="216" t="n"/>
      <c r="B124" s="216" t="n"/>
      <c r="C124" s="216" t="n"/>
      <c r="D124" s="217" t="n"/>
      <c r="E124" s="216" t="n"/>
      <c r="F124" s="216" t="n"/>
      <c r="G124" s="217" t="n"/>
      <c r="H124" s="217" t="n"/>
      <c r="I124" s="217" t="n"/>
      <c r="J124" s="217" t="n"/>
      <c r="K124" s="216" t="n"/>
      <c r="L124" s="217" t="n"/>
      <c r="M124" s="216" t="n"/>
      <c r="N124" s="164">
        <f>IF($K124="","",IF(OR($M124="Concluído",$M124="Cancelado"),"—",DATEVALUE($K124)-TODAY()))</f>
        <v/>
      </c>
    </row>
    <row r="125" ht="30" customHeight="1" s="131">
      <c r="A125" s="216" t="n"/>
      <c r="B125" s="216" t="n"/>
      <c r="C125" s="216" t="n"/>
      <c r="D125" s="217" t="n"/>
      <c r="E125" s="216" t="n"/>
      <c r="F125" s="216" t="n"/>
      <c r="G125" s="217" t="n"/>
      <c r="H125" s="217" t="n"/>
      <c r="I125" s="217" t="n"/>
      <c r="J125" s="217" t="n"/>
      <c r="K125" s="216" t="n"/>
      <c r="L125" s="217" t="n"/>
      <c r="M125" s="216" t="n"/>
      <c r="N125" s="164">
        <f>IF($K125="","",IF(OR($M125="Concluído",$M125="Cancelado"),"—",DATEVALUE($K125)-TODAY()))</f>
        <v/>
      </c>
    </row>
    <row r="126" ht="30" customHeight="1" s="131">
      <c r="A126" s="216" t="n"/>
      <c r="B126" s="216" t="n"/>
      <c r="C126" s="216" t="n"/>
      <c r="D126" s="217" t="n"/>
      <c r="E126" s="216" t="n"/>
      <c r="F126" s="216" t="n"/>
      <c r="G126" s="217" t="n"/>
      <c r="H126" s="217" t="n"/>
      <c r="I126" s="217" t="n"/>
      <c r="J126" s="217" t="n"/>
      <c r="K126" s="216" t="n"/>
      <c r="L126" s="217" t="n"/>
      <c r="M126" s="216" t="n"/>
      <c r="N126" s="164">
        <f>IF($K126="","",IF(OR($M126="Concluído",$M126="Cancelado"),"—",DATEVALUE($K126)-TODAY()))</f>
        <v/>
      </c>
    </row>
    <row r="127" ht="30" customHeight="1" s="131">
      <c r="A127" s="216" t="n"/>
      <c r="B127" s="216" t="n"/>
      <c r="C127" s="216" t="n"/>
      <c r="D127" s="217" t="n"/>
      <c r="E127" s="216" t="n"/>
      <c r="F127" s="216" t="n"/>
      <c r="G127" s="217" t="n"/>
      <c r="H127" s="217" t="n"/>
      <c r="I127" s="217" t="n"/>
      <c r="J127" s="217" t="n"/>
      <c r="K127" s="216" t="n"/>
      <c r="L127" s="217" t="n"/>
      <c r="M127" s="216" t="n"/>
      <c r="N127" s="164">
        <f>IF($K127="","",IF(OR($M127="Concluído",$M127="Cancelado"),"—",DATEVALUE($K127)-TODAY()))</f>
        <v/>
      </c>
    </row>
    <row r="128" ht="30" customHeight="1" s="131">
      <c r="A128" s="216" t="n"/>
      <c r="B128" s="216" t="n"/>
      <c r="C128" s="216" t="n"/>
      <c r="D128" s="217" t="n"/>
      <c r="E128" s="216" t="n"/>
      <c r="F128" s="216" t="n"/>
      <c r="G128" s="217" t="n"/>
      <c r="H128" s="217" t="n"/>
      <c r="I128" s="217" t="n"/>
      <c r="J128" s="217" t="n"/>
      <c r="K128" s="216" t="n"/>
      <c r="L128" s="217" t="n"/>
      <c r="M128" s="216" t="n"/>
      <c r="N128" s="164">
        <f>IF($K128="","",IF(OR($M128="Concluído",$M128="Cancelado"),"—",DATEVALUE($K128)-TODAY()))</f>
        <v/>
      </c>
    </row>
    <row r="129" ht="30" customHeight="1" s="131">
      <c r="A129" s="216" t="n"/>
      <c r="B129" s="216" t="n"/>
      <c r="C129" s="216" t="n"/>
      <c r="D129" s="217" t="n"/>
      <c r="E129" s="216" t="n"/>
      <c r="F129" s="216" t="n"/>
      <c r="G129" s="217" t="n"/>
      <c r="H129" s="217" t="n"/>
      <c r="I129" s="217" t="n"/>
      <c r="J129" s="217" t="n"/>
      <c r="K129" s="216" t="n"/>
      <c r="L129" s="217" t="n"/>
      <c r="M129" s="216" t="n"/>
      <c r="N129" s="164">
        <f>IF($K129="","",IF(OR($M129="Concluído",$M129="Cancelado"),"—",DATEVALUE($K129)-TODAY()))</f>
        <v/>
      </c>
    </row>
    <row r="130" ht="30" customHeight="1" s="131">
      <c r="A130" s="216" t="n"/>
      <c r="B130" s="216" t="n"/>
      <c r="C130" s="216" t="n"/>
      <c r="D130" s="217" t="n"/>
      <c r="E130" s="216" t="n"/>
      <c r="F130" s="216" t="n"/>
      <c r="G130" s="217" t="n"/>
      <c r="H130" s="217" t="n"/>
      <c r="I130" s="217" t="n"/>
      <c r="J130" s="217" t="n"/>
      <c r="K130" s="216" t="n"/>
      <c r="L130" s="217" t="n"/>
      <c r="M130" s="216" t="n"/>
      <c r="N130" s="164">
        <f>IF($K130="","",IF(OR($M130="Concluído",$M130="Cancelado"),"—",DATEVALUE($K130)-TODAY()))</f>
        <v/>
      </c>
    </row>
    <row r="131" ht="30" customHeight="1" s="131">
      <c r="A131" s="216" t="n"/>
      <c r="B131" s="216" t="n"/>
      <c r="C131" s="216" t="n"/>
      <c r="D131" s="217" t="n"/>
      <c r="E131" s="216" t="n"/>
      <c r="F131" s="216" t="n"/>
      <c r="G131" s="217" t="n"/>
      <c r="H131" s="217" t="n"/>
      <c r="I131" s="217" t="n"/>
      <c r="J131" s="217" t="n"/>
      <c r="K131" s="216" t="n"/>
      <c r="L131" s="217" t="n"/>
      <c r="M131" s="216" t="n"/>
      <c r="N131" s="164">
        <f>IF($K131="","",IF(OR($M131="Concluído",$M131="Cancelado"),"—",DATEVALUE($K131)-TODAY()))</f>
        <v/>
      </c>
    </row>
    <row r="132" ht="30" customHeight="1" s="131">
      <c r="A132" s="216" t="n"/>
      <c r="B132" s="216" t="n"/>
      <c r="C132" s="216" t="n"/>
      <c r="D132" s="217" t="n"/>
      <c r="E132" s="216" t="n"/>
      <c r="F132" s="216" t="n"/>
      <c r="G132" s="217" t="n"/>
      <c r="H132" s="217" t="n"/>
      <c r="I132" s="217" t="n"/>
      <c r="J132" s="217" t="n"/>
      <c r="K132" s="216" t="n"/>
      <c r="L132" s="217" t="n"/>
      <c r="M132" s="216" t="n"/>
      <c r="N132" s="164">
        <f>IF($K132="","",IF(OR($M132="Concluído",$M132="Cancelado"),"—",DATEVALUE($K132)-TODAY()))</f>
        <v/>
      </c>
    </row>
    <row r="133" ht="30" customHeight="1" s="131">
      <c r="A133" s="216" t="n"/>
      <c r="B133" s="216" t="n"/>
      <c r="C133" s="216" t="n"/>
      <c r="D133" s="217" t="n"/>
      <c r="E133" s="216" t="n"/>
      <c r="F133" s="216" t="n"/>
      <c r="G133" s="217" t="n"/>
      <c r="H133" s="217" t="n"/>
      <c r="I133" s="217" t="n"/>
      <c r="J133" s="217" t="n"/>
      <c r="K133" s="216" t="n"/>
      <c r="L133" s="217" t="n"/>
      <c r="M133" s="216" t="n"/>
      <c r="N133" s="164">
        <f>IF($K133="","",IF(OR($M133="Concluído",$M133="Cancelado"),"—",DATEVALUE($K133)-TODAY()))</f>
        <v/>
      </c>
    </row>
    <row r="134" ht="30" customHeight="1" s="131">
      <c r="A134" s="216" t="n"/>
      <c r="B134" s="216" t="n"/>
      <c r="C134" s="216" t="n"/>
      <c r="D134" s="217" t="n"/>
      <c r="E134" s="216" t="n"/>
      <c r="F134" s="216" t="n"/>
      <c r="G134" s="217" t="n"/>
      <c r="H134" s="217" t="n"/>
      <c r="I134" s="217" t="n"/>
      <c r="J134" s="217" t="n"/>
      <c r="K134" s="216" t="n"/>
      <c r="L134" s="217" t="n"/>
      <c r="M134" s="216" t="n"/>
      <c r="N134" s="164">
        <f>IF($K134="","",IF(OR($M134="Concluído",$M134="Cancelado"),"—",DATEVALUE($K134)-TODAY()))</f>
        <v/>
      </c>
    </row>
    <row r="135" ht="30" customHeight="1" s="131">
      <c r="A135" s="216" t="n"/>
      <c r="B135" s="216" t="n"/>
      <c r="C135" s="216" t="n"/>
      <c r="D135" s="217" t="n"/>
      <c r="E135" s="216" t="n"/>
      <c r="F135" s="216" t="n"/>
      <c r="G135" s="217" t="n"/>
      <c r="H135" s="217" t="n"/>
      <c r="I135" s="217" t="n"/>
      <c r="J135" s="217" t="n"/>
      <c r="K135" s="216" t="n"/>
      <c r="L135" s="217" t="n"/>
      <c r="M135" s="216" t="n"/>
      <c r="N135" s="164">
        <f>IF($K135="","",IF(OR($M135="Concluído",$M135="Cancelado"),"—",DATEVALUE($K135)-TODAY()))</f>
        <v/>
      </c>
    </row>
    <row r="136" ht="30" customHeight="1" s="131">
      <c r="A136" s="216" t="n"/>
      <c r="B136" s="216" t="n"/>
      <c r="C136" s="216" t="n"/>
      <c r="D136" s="217" t="n"/>
      <c r="E136" s="216" t="n"/>
      <c r="F136" s="216" t="n"/>
      <c r="G136" s="217" t="n"/>
      <c r="H136" s="217" t="n"/>
      <c r="I136" s="217" t="n"/>
      <c r="J136" s="217" t="n"/>
      <c r="K136" s="216" t="n"/>
      <c r="L136" s="217" t="n"/>
      <c r="M136" s="216" t="n"/>
      <c r="N136" s="164">
        <f>IF($K136="","",IF(OR($M136="Concluído",$M136="Cancelado"),"—",DATEVALUE($K136)-TODAY()))</f>
        <v/>
      </c>
    </row>
    <row r="137" ht="30" customHeight="1" s="131">
      <c r="A137" s="216" t="n"/>
      <c r="B137" s="216" t="n"/>
      <c r="C137" s="216" t="n"/>
      <c r="D137" s="217" t="n"/>
      <c r="E137" s="216" t="n"/>
      <c r="F137" s="216" t="n"/>
      <c r="G137" s="217" t="n"/>
      <c r="H137" s="217" t="n"/>
      <c r="I137" s="217" t="n"/>
      <c r="J137" s="217" t="n"/>
      <c r="K137" s="216" t="n"/>
      <c r="L137" s="217" t="n"/>
      <c r="M137" s="216" t="n"/>
      <c r="N137" s="164">
        <f>IF($K137="","",IF(OR($M137="Concluído",$M137="Cancelado"),"—",DATEVALUE($K137)-TODAY()))</f>
        <v/>
      </c>
    </row>
    <row r="138" ht="30" customHeight="1" s="131">
      <c r="A138" s="216" t="n"/>
      <c r="B138" s="216" t="n"/>
      <c r="C138" s="216" t="n"/>
      <c r="D138" s="217" t="n"/>
      <c r="E138" s="216" t="n"/>
      <c r="F138" s="216" t="n"/>
      <c r="G138" s="217" t="n"/>
      <c r="H138" s="217" t="n"/>
      <c r="I138" s="217" t="n"/>
      <c r="J138" s="217" t="n"/>
      <c r="K138" s="216" t="n"/>
      <c r="L138" s="217" t="n"/>
      <c r="M138" s="216" t="n"/>
      <c r="N138" s="164">
        <f>IF($K138="","",IF(OR($M138="Concluído",$M138="Cancelado"),"—",DATEVALUE($K138)-TODAY()))</f>
        <v/>
      </c>
    </row>
    <row r="139" ht="30" customHeight="1" s="131">
      <c r="A139" s="216" t="n"/>
      <c r="B139" s="216" t="n"/>
      <c r="C139" s="216" t="n"/>
      <c r="D139" s="217" t="n"/>
      <c r="E139" s="216" t="n"/>
      <c r="F139" s="216" t="n"/>
      <c r="G139" s="217" t="n"/>
      <c r="H139" s="217" t="n"/>
      <c r="I139" s="217" t="n"/>
      <c r="J139" s="217" t="n"/>
      <c r="K139" s="216" t="n"/>
      <c r="L139" s="217" t="n"/>
      <c r="M139" s="216" t="n"/>
      <c r="N139" s="164">
        <f>IF($K139="","",IF(OR($M139="Concluído",$M139="Cancelado"),"—",DATEVALUE($K139)-TODAY()))</f>
        <v/>
      </c>
    </row>
    <row r="140" ht="30" customHeight="1" s="131">
      <c r="A140" s="216" t="n"/>
      <c r="B140" s="216" t="n"/>
      <c r="C140" s="216" t="n"/>
      <c r="D140" s="217" t="n"/>
      <c r="E140" s="216" t="n"/>
      <c r="F140" s="216" t="n"/>
      <c r="G140" s="217" t="n"/>
      <c r="H140" s="217" t="n"/>
      <c r="I140" s="217" t="n"/>
      <c r="J140" s="217" t="n"/>
      <c r="K140" s="216" t="n"/>
      <c r="L140" s="217" t="n"/>
      <c r="M140" s="216" t="n"/>
      <c r="N140" s="164">
        <f>IF($K140="","",IF(OR($M140="Concluído",$M140="Cancelado"),"—",DATEVALUE($K140)-TODAY()))</f>
        <v/>
      </c>
    </row>
    <row r="141" ht="30" customHeight="1" s="131">
      <c r="A141" s="216" t="n"/>
      <c r="B141" s="216" t="n"/>
      <c r="C141" s="216" t="n"/>
      <c r="D141" s="217" t="n"/>
      <c r="E141" s="216" t="n"/>
      <c r="F141" s="216" t="n"/>
      <c r="G141" s="217" t="n"/>
      <c r="H141" s="217" t="n"/>
      <c r="I141" s="217" t="n"/>
      <c r="J141" s="217" t="n"/>
      <c r="K141" s="216" t="n"/>
      <c r="L141" s="217" t="n"/>
      <c r="M141" s="216" t="n"/>
      <c r="N141" s="164">
        <f>IF($K141="","",IF(OR($M141="Concluído",$M141="Cancelado"),"—",DATEVALUE($K141)-TODAY()))</f>
        <v/>
      </c>
    </row>
    <row r="142" ht="30" customHeight="1" s="131">
      <c r="A142" s="216" t="n"/>
      <c r="B142" s="216" t="n"/>
      <c r="C142" s="216" t="n"/>
      <c r="D142" s="217" t="n"/>
      <c r="E142" s="216" t="n"/>
      <c r="F142" s="216" t="n"/>
      <c r="G142" s="217" t="n"/>
      <c r="H142" s="217" t="n"/>
      <c r="I142" s="217" t="n"/>
      <c r="J142" s="217" t="n"/>
      <c r="K142" s="216" t="n"/>
      <c r="L142" s="217" t="n"/>
      <c r="M142" s="216" t="n"/>
      <c r="N142" s="164">
        <f>IF($K142="","",IF(OR($M142="Concluído",$M142="Cancelado"),"—",DATEVALUE($K142)-TODAY()))</f>
        <v/>
      </c>
    </row>
    <row r="143" ht="30" customHeight="1" s="131">
      <c r="A143" s="216" t="n"/>
      <c r="B143" s="216" t="n"/>
      <c r="C143" s="216" t="n"/>
      <c r="D143" s="217" t="n"/>
      <c r="E143" s="216" t="n"/>
      <c r="F143" s="216" t="n"/>
      <c r="G143" s="217" t="n"/>
      <c r="H143" s="217" t="n"/>
      <c r="I143" s="217" t="n"/>
      <c r="J143" s="217" t="n"/>
      <c r="K143" s="216" t="n"/>
      <c r="L143" s="217" t="n"/>
      <c r="M143" s="216" t="n"/>
      <c r="N143" s="164">
        <f>IF($K143="","",IF(OR($M143="Concluído",$M143="Cancelado"),"—",DATEVALUE($K143)-TODAY()))</f>
        <v/>
      </c>
    </row>
    <row r="144" ht="30" customHeight="1" s="131">
      <c r="A144" s="216" t="n"/>
      <c r="B144" s="216" t="n"/>
      <c r="C144" s="216" t="n"/>
      <c r="D144" s="217" t="n"/>
      <c r="E144" s="216" t="n"/>
      <c r="F144" s="216" t="n"/>
      <c r="G144" s="217" t="n"/>
      <c r="H144" s="217" t="n"/>
      <c r="I144" s="217" t="n"/>
      <c r="J144" s="217" t="n"/>
      <c r="K144" s="216" t="n"/>
      <c r="L144" s="217" t="n"/>
      <c r="M144" s="216" t="n"/>
      <c r="N144" s="164">
        <f>IF($K144="","",IF(OR($M144="Concluído",$M144="Cancelado"),"—",DATEVALUE($K144)-TODAY()))</f>
        <v/>
      </c>
    </row>
    <row r="145" ht="30" customHeight="1" s="131">
      <c r="A145" s="216" t="n"/>
      <c r="B145" s="216" t="n"/>
      <c r="C145" s="216" t="n"/>
      <c r="D145" s="217" t="n"/>
      <c r="E145" s="216" t="n"/>
      <c r="F145" s="216" t="n"/>
      <c r="G145" s="217" t="n"/>
      <c r="H145" s="217" t="n"/>
      <c r="I145" s="217" t="n"/>
      <c r="J145" s="217" t="n"/>
      <c r="K145" s="216" t="n"/>
      <c r="L145" s="217" t="n"/>
      <c r="M145" s="216" t="n"/>
      <c r="N145" s="164">
        <f>IF($K145="","",IF(OR($M145="Concluído",$M145="Cancelado"),"—",DATEVALUE($K145)-TODAY()))</f>
        <v/>
      </c>
    </row>
    <row r="146" ht="30" customHeight="1" s="131">
      <c r="A146" s="216" t="n"/>
      <c r="B146" s="216" t="n"/>
      <c r="C146" s="216" t="n"/>
      <c r="D146" s="217" t="n"/>
      <c r="E146" s="216" t="n"/>
      <c r="F146" s="216" t="n"/>
      <c r="G146" s="217" t="n"/>
      <c r="H146" s="217" t="n"/>
      <c r="I146" s="217" t="n"/>
      <c r="J146" s="217" t="n"/>
      <c r="K146" s="216" t="n"/>
      <c r="L146" s="217" t="n"/>
      <c r="M146" s="216" t="n"/>
      <c r="N146" s="164">
        <f>IF($K146="","",IF(OR($M146="Concluído",$M146="Cancelado"),"—",DATEVALUE($K146)-TODAY()))</f>
        <v/>
      </c>
    </row>
    <row r="147" ht="30" customHeight="1" s="131">
      <c r="A147" s="216" t="n"/>
      <c r="B147" s="216" t="n"/>
      <c r="C147" s="216" t="n"/>
      <c r="D147" s="217" t="n"/>
      <c r="E147" s="216" t="n"/>
      <c r="F147" s="216" t="n"/>
      <c r="G147" s="217" t="n"/>
      <c r="H147" s="217" t="n"/>
      <c r="I147" s="217" t="n"/>
      <c r="J147" s="217" t="n"/>
      <c r="K147" s="216" t="n"/>
      <c r="L147" s="217" t="n"/>
      <c r="M147" s="216" t="n"/>
      <c r="N147" s="164">
        <f>IF($K147="","",IF(OR($M147="Concluído",$M147="Cancelado"),"—",DATEVALUE($K147)-TODAY()))</f>
        <v/>
      </c>
    </row>
    <row r="148" ht="30" customHeight="1" s="131">
      <c r="A148" s="216" t="n"/>
      <c r="B148" s="216" t="n"/>
      <c r="C148" s="216" t="n"/>
      <c r="D148" s="217" t="n"/>
      <c r="E148" s="216" t="n"/>
      <c r="F148" s="216" t="n"/>
      <c r="G148" s="217" t="n"/>
      <c r="H148" s="217" t="n"/>
      <c r="I148" s="217" t="n"/>
      <c r="J148" s="217" t="n"/>
      <c r="K148" s="216" t="n"/>
      <c r="L148" s="217" t="n"/>
      <c r="M148" s="216" t="n"/>
      <c r="N148" s="164">
        <f>IF($K148="","",IF(OR($M148="Concluído",$M148="Cancelado"),"—",DATEVALUE($K148)-TODAY()))</f>
        <v/>
      </c>
    </row>
    <row r="149" ht="30" customHeight="1" s="131">
      <c r="A149" s="216" t="n"/>
      <c r="B149" s="216" t="n"/>
      <c r="C149" s="216" t="n"/>
      <c r="D149" s="217" t="n"/>
      <c r="E149" s="216" t="n"/>
      <c r="F149" s="216" t="n"/>
      <c r="G149" s="217" t="n"/>
      <c r="H149" s="217" t="n"/>
      <c r="I149" s="217" t="n"/>
      <c r="J149" s="217" t="n"/>
      <c r="K149" s="216" t="n"/>
      <c r="L149" s="217" t="n"/>
      <c r="M149" s="216" t="n"/>
      <c r="N149" s="164">
        <f>IF($K149="","",IF(OR($M149="Concluído",$M149="Cancelado"),"—",DATEVALUE($K149)-TODAY()))</f>
        <v/>
      </c>
    </row>
    <row r="150" ht="30" customHeight="1" s="131">
      <c r="A150" s="216" t="n"/>
      <c r="B150" s="216" t="n"/>
      <c r="C150" s="216" t="n"/>
      <c r="D150" s="217" t="n"/>
      <c r="E150" s="216" t="n"/>
      <c r="F150" s="216" t="n"/>
      <c r="G150" s="217" t="n"/>
      <c r="H150" s="217" t="n"/>
      <c r="I150" s="217" t="n"/>
      <c r="J150" s="217" t="n"/>
      <c r="K150" s="216" t="n"/>
      <c r="L150" s="217" t="n"/>
      <c r="M150" s="216" t="n"/>
      <c r="N150" s="164">
        <f>IF($K150="","",IF(OR($M150="Concluído",$M150="Cancelado"),"—",DATEVALUE($K150)-TODAY()))</f>
        <v/>
      </c>
    </row>
    <row r="151" ht="30" customHeight="1" s="131">
      <c r="A151" s="216" t="n"/>
      <c r="B151" s="216" t="n"/>
      <c r="C151" s="216" t="n"/>
      <c r="D151" s="217" t="n"/>
      <c r="E151" s="216" t="n"/>
      <c r="F151" s="216" t="n"/>
      <c r="G151" s="217" t="n"/>
      <c r="H151" s="217" t="n"/>
      <c r="I151" s="217" t="n"/>
      <c r="J151" s="217" t="n"/>
      <c r="K151" s="216" t="n"/>
      <c r="L151" s="217" t="n"/>
      <c r="M151" s="216" t="n"/>
      <c r="N151" s="164">
        <f>IF($K151="","",IF(OR($M151="Concluído",$M151="Cancelado"),"—",DATEVALUE($K151)-TODAY()))</f>
        <v/>
      </c>
    </row>
    <row r="152" ht="30" customHeight="1" s="131">
      <c r="A152" s="216" t="n"/>
      <c r="B152" s="216" t="n"/>
      <c r="C152" s="216" t="n"/>
      <c r="D152" s="217" t="n"/>
      <c r="E152" s="216" t="n"/>
      <c r="F152" s="216" t="n"/>
      <c r="G152" s="217" t="n"/>
      <c r="H152" s="217" t="n"/>
      <c r="I152" s="217" t="n"/>
      <c r="J152" s="217" t="n"/>
      <c r="K152" s="216" t="n"/>
      <c r="L152" s="217" t="n"/>
      <c r="M152" s="216" t="n"/>
      <c r="N152" s="164">
        <f>IF($K152="","",IF(OR($M152="Concluído",$M152="Cancelado"),"—",DATEVALUE($K152)-TODAY()))</f>
        <v/>
      </c>
    </row>
    <row r="153" ht="30" customHeight="1" s="131">
      <c r="A153" s="216" t="n"/>
      <c r="B153" s="216" t="n"/>
      <c r="C153" s="216" t="n"/>
      <c r="D153" s="217" t="n"/>
      <c r="E153" s="216" t="n"/>
      <c r="F153" s="216" t="n"/>
      <c r="G153" s="217" t="n"/>
      <c r="H153" s="217" t="n"/>
      <c r="I153" s="217" t="n"/>
      <c r="J153" s="217" t="n"/>
      <c r="K153" s="216" t="n"/>
      <c r="L153" s="217" t="n"/>
      <c r="M153" s="216" t="n"/>
      <c r="N153" s="164">
        <f>IF($K153="","",IF(OR($M153="Concluído",$M153="Cancelado"),"—",DATEVALUE($K153)-TODAY()))</f>
        <v/>
      </c>
    </row>
    <row r="154" ht="30" customHeight="1" s="131">
      <c r="A154" s="216" t="n"/>
      <c r="B154" s="216" t="n"/>
      <c r="C154" s="216" t="n"/>
      <c r="D154" s="217" t="n"/>
      <c r="E154" s="216" t="n"/>
      <c r="F154" s="216" t="n"/>
      <c r="G154" s="217" t="n"/>
      <c r="H154" s="217" t="n"/>
      <c r="I154" s="217" t="n"/>
      <c r="J154" s="217" t="n"/>
      <c r="K154" s="216" t="n"/>
      <c r="L154" s="217" t="n"/>
      <c r="M154" s="216" t="n"/>
      <c r="N154" s="164">
        <f>IF($K154="","",IF(OR($M154="Concluído",$M154="Cancelado"),"—",DATEVALUE($K154)-TODAY()))</f>
        <v/>
      </c>
    </row>
    <row r="155" ht="30" customHeight="1" s="131">
      <c r="A155" s="216" t="n"/>
      <c r="B155" s="216" t="n"/>
      <c r="C155" s="216" t="n"/>
      <c r="D155" s="217" t="n"/>
      <c r="E155" s="216" t="n"/>
      <c r="F155" s="216" t="n"/>
      <c r="G155" s="217" t="n"/>
      <c r="H155" s="217" t="n"/>
      <c r="I155" s="217" t="n"/>
      <c r="J155" s="217" t="n"/>
      <c r="K155" s="216" t="n"/>
      <c r="L155" s="217" t="n"/>
      <c r="M155" s="216" t="n"/>
      <c r="N155" s="164">
        <f>IF($K155="","",IF(OR($M155="Concluído",$M155="Cancelado"),"—",DATEVALUE($K155)-TODAY()))</f>
        <v/>
      </c>
    </row>
    <row r="156" ht="30" customHeight="1" s="131">
      <c r="A156" s="216" t="n"/>
      <c r="B156" s="216" t="n"/>
      <c r="C156" s="216" t="n"/>
      <c r="D156" s="217" t="n"/>
      <c r="E156" s="216" t="n"/>
      <c r="F156" s="216" t="n"/>
      <c r="G156" s="217" t="n"/>
      <c r="H156" s="217" t="n"/>
      <c r="I156" s="217" t="n"/>
      <c r="J156" s="217" t="n"/>
      <c r="K156" s="216" t="n"/>
      <c r="L156" s="217" t="n"/>
      <c r="M156" s="216" t="n"/>
      <c r="N156" s="164">
        <f>IF($K156="","",IF(OR($M156="Concluído",$M156="Cancelado"),"—",DATEVALUE($K156)-TODAY()))</f>
        <v/>
      </c>
    </row>
    <row r="157" ht="30" customHeight="1" s="131">
      <c r="A157" s="216" t="n"/>
      <c r="B157" s="216" t="n"/>
      <c r="C157" s="216" t="n"/>
      <c r="D157" s="217" t="n"/>
      <c r="E157" s="216" t="n"/>
      <c r="F157" s="216" t="n"/>
      <c r="G157" s="217" t="n"/>
      <c r="H157" s="217" t="n"/>
      <c r="I157" s="217" t="n"/>
      <c r="J157" s="217" t="n"/>
      <c r="K157" s="216" t="n"/>
      <c r="L157" s="217" t="n"/>
      <c r="M157" s="216" t="n"/>
      <c r="N157" s="164">
        <f>IF($K157="","",IF(OR($M157="Concluído",$M157="Cancelado"),"—",DATEVALUE($K157)-TODAY()))</f>
        <v/>
      </c>
    </row>
    <row r="158" ht="30" customHeight="1" s="131">
      <c r="A158" s="216" t="n"/>
      <c r="B158" s="216" t="n"/>
      <c r="C158" s="216" t="n"/>
      <c r="D158" s="217" t="n"/>
      <c r="E158" s="216" t="n"/>
      <c r="F158" s="216" t="n"/>
      <c r="G158" s="217" t="n"/>
      <c r="H158" s="217" t="n"/>
      <c r="I158" s="217" t="n"/>
      <c r="J158" s="217" t="n"/>
      <c r="K158" s="216" t="n"/>
      <c r="L158" s="217" t="n"/>
      <c r="M158" s="216" t="n"/>
      <c r="N158" s="164">
        <f>IF($K158="","",IF(OR($M158="Concluído",$M158="Cancelado"),"—",DATEVALUE($K158)-TODAY()))</f>
        <v/>
      </c>
    </row>
    <row r="159" ht="30" customHeight="1" s="131">
      <c r="A159" s="216" t="n"/>
      <c r="B159" s="216" t="n"/>
      <c r="C159" s="216" t="n"/>
      <c r="D159" s="217" t="n"/>
      <c r="E159" s="216" t="n"/>
      <c r="F159" s="216" t="n"/>
      <c r="G159" s="217" t="n"/>
      <c r="H159" s="217" t="n"/>
      <c r="I159" s="217" t="n"/>
      <c r="J159" s="217" t="n"/>
      <c r="K159" s="216" t="n"/>
      <c r="L159" s="217" t="n"/>
      <c r="M159" s="216" t="n"/>
      <c r="N159" s="164">
        <f>IF($K159="","",IF(OR($M159="Concluído",$M159="Cancelado"),"—",DATEVALUE($K159)-TODAY()))</f>
        <v/>
      </c>
    </row>
    <row r="160" ht="30" customHeight="1" s="131">
      <c r="A160" s="216" t="n"/>
      <c r="B160" s="216" t="n"/>
      <c r="C160" s="216" t="n"/>
      <c r="D160" s="217" t="n"/>
      <c r="E160" s="216" t="n"/>
      <c r="F160" s="216" t="n"/>
      <c r="G160" s="217" t="n"/>
      <c r="H160" s="217" t="n"/>
      <c r="I160" s="217" t="n"/>
      <c r="J160" s="217" t="n"/>
      <c r="K160" s="216" t="n"/>
      <c r="L160" s="217" t="n"/>
      <c r="M160" s="216" t="n"/>
      <c r="N160" s="164">
        <f>IF($K160="","",IF(OR($M160="Concluído",$M160="Cancelado"),"—",DATEVALUE($K160)-TODAY()))</f>
        <v/>
      </c>
    </row>
    <row r="161" ht="30" customHeight="1" s="131">
      <c r="A161" s="216" t="n"/>
      <c r="B161" s="216" t="n"/>
      <c r="C161" s="216" t="n"/>
      <c r="D161" s="217" t="n"/>
      <c r="E161" s="216" t="n"/>
      <c r="F161" s="216" t="n"/>
      <c r="G161" s="217" t="n"/>
      <c r="H161" s="217" t="n"/>
      <c r="I161" s="217" t="n"/>
      <c r="J161" s="217" t="n"/>
      <c r="K161" s="216" t="n"/>
      <c r="L161" s="217" t="n"/>
      <c r="M161" s="216" t="n"/>
      <c r="N161" s="164">
        <f>IF($K161="","",IF(OR($M161="Concluído",$M161="Cancelado"),"—",DATEVALUE($K161)-TODAY()))</f>
        <v/>
      </c>
    </row>
    <row r="162" ht="30" customHeight="1" s="131">
      <c r="A162" s="216" t="n"/>
      <c r="B162" s="216" t="n"/>
      <c r="C162" s="216" t="n"/>
      <c r="D162" s="217" t="n"/>
      <c r="E162" s="216" t="n"/>
      <c r="F162" s="216" t="n"/>
      <c r="G162" s="217" t="n"/>
      <c r="H162" s="217" t="n"/>
      <c r="I162" s="217" t="n"/>
      <c r="J162" s="217" t="n"/>
      <c r="K162" s="216" t="n"/>
      <c r="L162" s="217" t="n"/>
      <c r="M162" s="216" t="n"/>
      <c r="N162" s="164">
        <f>IF($K162="","",IF(OR($M162="Concluído",$M162="Cancelado"),"—",DATEVALUE($K162)-TODAY()))</f>
        <v/>
      </c>
    </row>
    <row r="163" ht="30" customHeight="1" s="131">
      <c r="A163" s="216" t="n"/>
      <c r="B163" s="216" t="n"/>
      <c r="C163" s="216" t="n"/>
      <c r="D163" s="217" t="n"/>
      <c r="E163" s="216" t="n"/>
      <c r="F163" s="216" t="n"/>
      <c r="G163" s="217" t="n"/>
      <c r="H163" s="217" t="n"/>
      <c r="I163" s="217" t="n"/>
      <c r="J163" s="217" t="n"/>
      <c r="K163" s="216" t="n"/>
      <c r="L163" s="217" t="n"/>
      <c r="M163" s="216" t="n"/>
      <c r="N163" s="164">
        <f>IF($K163="","",IF(OR($M163="Concluído",$M163="Cancelado"),"—",DATEVALUE($K163)-TODAY()))</f>
        <v/>
      </c>
    </row>
    <row r="164" ht="30" customHeight="1" s="131">
      <c r="A164" s="216" t="n"/>
      <c r="B164" s="216" t="n"/>
      <c r="C164" s="216" t="n"/>
      <c r="D164" s="217" t="n"/>
      <c r="E164" s="216" t="n"/>
      <c r="F164" s="216" t="n"/>
      <c r="G164" s="217" t="n"/>
      <c r="H164" s="217" t="n"/>
      <c r="I164" s="217" t="n"/>
      <c r="J164" s="217" t="n"/>
      <c r="K164" s="216" t="n"/>
      <c r="L164" s="217" t="n"/>
      <c r="M164" s="216" t="n"/>
      <c r="N164" s="164">
        <f>IF($K164="","",IF(OR($M164="Concluído",$M164="Cancelado"),"—",DATEVALUE($K164)-TODAY()))</f>
        <v/>
      </c>
    </row>
    <row r="165" ht="30" customHeight="1" s="131">
      <c r="A165" s="216" t="n"/>
      <c r="B165" s="216" t="n"/>
      <c r="C165" s="216" t="n"/>
      <c r="D165" s="217" t="n"/>
      <c r="E165" s="216" t="n"/>
      <c r="F165" s="216" t="n"/>
      <c r="G165" s="217" t="n"/>
      <c r="H165" s="217" t="n"/>
      <c r="I165" s="217" t="n"/>
      <c r="J165" s="217" t="n"/>
      <c r="K165" s="216" t="n"/>
      <c r="L165" s="217" t="n"/>
      <c r="M165" s="216" t="n"/>
      <c r="N165" s="164">
        <f>IF($K165="","",IF(OR($M165="Concluído",$M165="Cancelado"),"—",DATEVALUE($K165)-TODAY()))</f>
        <v/>
      </c>
    </row>
    <row r="166" ht="30" customHeight="1" s="131">
      <c r="A166" s="216" t="n"/>
      <c r="B166" s="216" t="n"/>
      <c r="C166" s="216" t="n"/>
      <c r="D166" s="217" t="n"/>
      <c r="E166" s="216" t="n"/>
      <c r="F166" s="216" t="n"/>
      <c r="G166" s="217" t="n"/>
      <c r="H166" s="217" t="n"/>
      <c r="I166" s="217" t="n"/>
      <c r="J166" s="217" t="n"/>
      <c r="K166" s="216" t="n"/>
      <c r="L166" s="217" t="n"/>
      <c r="M166" s="216" t="n"/>
      <c r="N166" s="164">
        <f>IF($K166="","",IF(OR($M166="Concluído",$M166="Cancelado"),"—",DATEVALUE($K166)-TODAY()))</f>
        <v/>
      </c>
    </row>
    <row r="167" ht="30" customHeight="1" s="131">
      <c r="A167" s="216" t="n"/>
      <c r="B167" s="216" t="n"/>
      <c r="C167" s="216" t="n"/>
      <c r="D167" s="217" t="n"/>
      <c r="E167" s="216" t="n"/>
      <c r="F167" s="216" t="n"/>
      <c r="G167" s="217" t="n"/>
      <c r="H167" s="217" t="n"/>
      <c r="I167" s="217" t="n"/>
      <c r="J167" s="217" t="n"/>
      <c r="K167" s="216" t="n"/>
      <c r="L167" s="217" t="n"/>
      <c r="M167" s="216" t="n"/>
      <c r="N167" s="164">
        <f>IF($K167="","",IF(OR($M167="Concluído",$M167="Cancelado"),"—",DATEVALUE($K167)-TODAY()))</f>
        <v/>
      </c>
    </row>
    <row r="168" ht="30" customHeight="1" s="131">
      <c r="A168" s="216" t="n"/>
      <c r="B168" s="216" t="n"/>
      <c r="C168" s="216" t="n"/>
      <c r="D168" s="217" t="n"/>
      <c r="E168" s="216" t="n"/>
      <c r="F168" s="216" t="n"/>
      <c r="G168" s="217" t="n"/>
      <c r="H168" s="217" t="n"/>
      <c r="I168" s="217" t="n"/>
      <c r="J168" s="217" t="n"/>
      <c r="K168" s="216" t="n"/>
      <c r="L168" s="217" t="n"/>
      <c r="M168" s="216" t="n"/>
      <c r="N168" s="164">
        <f>IF($K168="","",IF(OR($M168="Concluído",$M168="Cancelado"),"—",DATEVALUE($K168)-TODAY()))</f>
        <v/>
      </c>
    </row>
    <row r="169" ht="30" customHeight="1" s="131">
      <c r="A169" s="216" t="n"/>
      <c r="B169" s="216" t="n"/>
      <c r="C169" s="216" t="n"/>
      <c r="D169" s="217" t="n"/>
      <c r="E169" s="216" t="n"/>
      <c r="F169" s="216" t="n"/>
      <c r="G169" s="217" t="n"/>
      <c r="H169" s="217" t="n"/>
      <c r="I169" s="217" t="n"/>
      <c r="J169" s="217" t="n"/>
      <c r="K169" s="216" t="n"/>
      <c r="L169" s="217" t="n"/>
      <c r="M169" s="216" t="n"/>
      <c r="N169" s="164">
        <f>IF($K169="","",IF(OR($M169="Concluído",$M169="Cancelado"),"—",DATEVALUE($K169)-TODAY()))</f>
        <v/>
      </c>
    </row>
    <row r="170" ht="30" customHeight="1" s="131">
      <c r="A170" s="216" t="n"/>
      <c r="B170" s="216" t="n"/>
      <c r="C170" s="216" t="n"/>
      <c r="D170" s="217" t="n"/>
      <c r="E170" s="216" t="n"/>
      <c r="F170" s="216" t="n"/>
      <c r="G170" s="217" t="n"/>
      <c r="H170" s="217" t="n"/>
      <c r="I170" s="217" t="n"/>
      <c r="J170" s="217" t="n"/>
      <c r="K170" s="216" t="n"/>
      <c r="L170" s="217" t="n"/>
      <c r="M170" s="216" t="n"/>
      <c r="N170" s="164">
        <f>IF($K170="","",IF(OR($M170="Concluído",$M170="Cancelado"),"—",DATEVALUE($K170)-TODAY()))</f>
        <v/>
      </c>
    </row>
    <row r="171" ht="30" customHeight="1" s="131">
      <c r="A171" s="216" t="n"/>
      <c r="B171" s="216" t="n"/>
      <c r="C171" s="216" t="n"/>
      <c r="D171" s="217" t="n"/>
      <c r="E171" s="216" t="n"/>
      <c r="F171" s="216" t="n"/>
      <c r="G171" s="217" t="n"/>
      <c r="H171" s="217" t="n"/>
      <c r="I171" s="217" t="n"/>
      <c r="J171" s="217" t="n"/>
      <c r="K171" s="216" t="n"/>
      <c r="L171" s="217" t="n"/>
      <c r="M171" s="216" t="n"/>
      <c r="N171" s="164">
        <f>IF($K171="","",IF(OR($M171="Concluído",$M171="Cancelado"),"—",DATEVALUE($K171)-TODAY()))</f>
        <v/>
      </c>
    </row>
    <row r="172" ht="30" customHeight="1" s="131">
      <c r="A172" s="216" t="n"/>
      <c r="B172" s="216" t="n"/>
      <c r="C172" s="216" t="n"/>
      <c r="D172" s="217" t="n"/>
      <c r="E172" s="216" t="n"/>
      <c r="F172" s="216" t="n"/>
      <c r="G172" s="217" t="n"/>
      <c r="H172" s="217" t="n"/>
      <c r="I172" s="217" t="n"/>
      <c r="J172" s="217" t="n"/>
      <c r="K172" s="216" t="n"/>
      <c r="L172" s="217" t="n"/>
      <c r="M172" s="216" t="n"/>
      <c r="N172" s="164">
        <f>IF($K172="","",IF(OR($M172="Concluído",$M172="Cancelado"),"—",DATEVALUE($K172)-TODAY()))</f>
        <v/>
      </c>
    </row>
    <row r="173" ht="30" customHeight="1" s="131">
      <c r="A173" s="216" t="n"/>
      <c r="B173" s="216" t="n"/>
      <c r="C173" s="216" t="n"/>
      <c r="D173" s="217" t="n"/>
      <c r="E173" s="216" t="n"/>
      <c r="F173" s="216" t="n"/>
      <c r="G173" s="217" t="n"/>
      <c r="H173" s="217" t="n"/>
      <c r="I173" s="217" t="n"/>
      <c r="J173" s="217" t="n"/>
      <c r="K173" s="216" t="n"/>
      <c r="L173" s="217" t="n"/>
      <c r="M173" s="216" t="n"/>
      <c r="N173" s="164">
        <f>IF($K173="","",IF(OR($M173="Concluído",$M173="Cancelado"),"—",DATEVALUE($K173)-TODAY()))</f>
        <v/>
      </c>
    </row>
    <row r="174" ht="30" customHeight="1" s="131">
      <c r="A174" s="216" t="n"/>
      <c r="B174" s="216" t="n"/>
      <c r="C174" s="216" t="n"/>
      <c r="D174" s="217" t="n"/>
      <c r="E174" s="216" t="n"/>
      <c r="F174" s="216" t="n"/>
      <c r="G174" s="217" t="n"/>
      <c r="H174" s="217" t="n"/>
      <c r="I174" s="217" t="n"/>
      <c r="J174" s="217" t="n"/>
      <c r="K174" s="216" t="n"/>
      <c r="L174" s="217" t="n"/>
      <c r="M174" s="216" t="n"/>
      <c r="N174" s="164">
        <f>IF($K174="","",IF(OR($M174="Concluído",$M174="Cancelado"),"—",DATEVALUE($K174)-TODAY()))</f>
        <v/>
      </c>
    </row>
    <row r="175" ht="30" customHeight="1" s="131">
      <c r="A175" s="216" t="n"/>
      <c r="B175" s="216" t="n"/>
      <c r="C175" s="216" t="n"/>
      <c r="D175" s="217" t="n"/>
      <c r="E175" s="216" t="n"/>
      <c r="F175" s="216" t="n"/>
      <c r="G175" s="217" t="n"/>
      <c r="H175" s="217" t="n"/>
      <c r="I175" s="217" t="n"/>
      <c r="J175" s="217" t="n"/>
      <c r="K175" s="216" t="n"/>
      <c r="L175" s="217" t="n"/>
      <c r="M175" s="216" t="n"/>
      <c r="N175" s="164">
        <f>IF($K175="","",IF(OR($M175="Concluído",$M175="Cancelado"),"—",DATEVALUE($K175)-TODAY()))</f>
        <v/>
      </c>
    </row>
    <row r="176" ht="30" customHeight="1" s="131">
      <c r="A176" s="216" t="n"/>
      <c r="B176" s="216" t="n"/>
      <c r="C176" s="216" t="n"/>
      <c r="D176" s="217" t="n"/>
      <c r="E176" s="216" t="n"/>
      <c r="F176" s="216" t="n"/>
      <c r="G176" s="217" t="n"/>
      <c r="H176" s="217" t="n"/>
      <c r="I176" s="217" t="n"/>
      <c r="J176" s="217" t="n"/>
      <c r="K176" s="216" t="n"/>
      <c r="L176" s="217" t="n"/>
      <c r="M176" s="216" t="n"/>
      <c r="N176" s="164">
        <f>IF($K176="","",IF(OR($M176="Concluído",$M176="Cancelado"),"—",DATEVALUE($K176)-TODAY()))</f>
        <v/>
      </c>
    </row>
    <row r="177" ht="30" customHeight="1" s="131">
      <c r="A177" s="216" t="n"/>
      <c r="B177" s="216" t="n"/>
      <c r="C177" s="216" t="n"/>
      <c r="D177" s="217" t="n"/>
      <c r="E177" s="216" t="n"/>
      <c r="F177" s="216" t="n"/>
      <c r="G177" s="217" t="n"/>
      <c r="H177" s="217" t="n"/>
      <c r="I177" s="217" t="n"/>
      <c r="J177" s="217" t="n"/>
      <c r="K177" s="216" t="n"/>
      <c r="L177" s="217" t="n"/>
      <c r="M177" s="216" t="n"/>
      <c r="N177" s="164">
        <f>IF($K177="","",IF(OR($M177="Concluído",$M177="Cancelado"),"—",DATEVALUE($K177)-TODAY()))</f>
        <v/>
      </c>
    </row>
    <row r="178" ht="30" customHeight="1" s="131">
      <c r="A178" s="216" t="n"/>
      <c r="B178" s="216" t="n"/>
      <c r="C178" s="216" t="n"/>
      <c r="D178" s="217" t="n"/>
      <c r="E178" s="216" t="n"/>
      <c r="F178" s="216" t="n"/>
      <c r="G178" s="217" t="n"/>
      <c r="H178" s="217" t="n"/>
      <c r="I178" s="217" t="n"/>
      <c r="J178" s="217" t="n"/>
      <c r="K178" s="216" t="n"/>
      <c r="L178" s="217" t="n"/>
      <c r="M178" s="216" t="n"/>
      <c r="N178" s="164">
        <f>IF($K178="","",IF(OR($M178="Concluído",$M178="Cancelado"),"—",DATEVALUE($K178)-TODAY()))</f>
        <v/>
      </c>
    </row>
    <row r="179" ht="30" customHeight="1" s="131">
      <c r="A179" s="216" t="n"/>
      <c r="B179" s="216" t="n"/>
      <c r="C179" s="216" t="n"/>
      <c r="D179" s="217" t="n"/>
      <c r="E179" s="216" t="n"/>
      <c r="F179" s="216" t="n"/>
      <c r="G179" s="217" t="n"/>
      <c r="H179" s="217" t="n"/>
      <c r="I179" s="217" t="n"/>
      <c r="J179" s="217" t="n"/>
      <c r="K179" s="216" t="n"/>
      <c r="L179" s="217" t="n"/>
      <c r="M179" s="216" t="n"/>
      <c r="N179" s="164">
        <f>IF($K179="","",IF(OR($M179="Concluído",$M179="Cancelado"),"—",DATEVALUE($K179)-TODAY()))</f>
        <v/>
      </c>
    </row>
    <row r="180" ht="30" customHeight="1" s="131">
      <c r="A180" s="216" t="n"/>
      <c r="B180" s="216" t="n"/>
      <c r="C180" s="216" t="n"/>
      <c r="D180" s="217" t="n"/>
      <c r="E180" s="216" t="n"/>
      <c r="F180" s="216" t="n"/>
      <c r="G180" s="217" t="n"/>
      <c r="H180" s="217" t="n"/>
      <c r="I180" s="217" t="n"/>
      <c r="J180" s="217" t="n"/>
      <c r="K180" s="216" t="n"/>
      <c r="L180" s="217" t="n"/>
      <c r="M180" s="216" t="n"/>
      <c r="N180" s="164">
        <f>IF($K180="","",IF(OR($M180="Concluído",$M180="Cancelado"),"—",DATEVALUE($K180)-TODAY()))</f>
        <v/>
      </c>
    </row>
    <row r="181" ht="30" customHeight="1" s="131">
      <c r="A181" s="216" t="n"/>
      <c r="B181" s="216" t="n"/>
      <c r="C181" s="216" t="n"/>
      <c r="D181" s="217" t="n"/>
      <c r="E181" s="216" t="n"/>
      <c r="F181" s="216" t="n"/>
      <c r="G181" s="217" t="n"/>
      <c r="H181" s="217" t="n"/>
      <c r="I181" s="217" t="n"/>
      <c r="J181" s="217" t="n"/>
      <c r="K181" s="216" t="n"/>
      <c r="L181" s="217" t="n"/>
      <c r="M181" s="216" t="n"/>
      <c r="N181" s="164">
        <f>IF($K181="","",IF(OR($M181="Concluído",$M181="Cancelado"),"—",DATEVALUE($K181)-TODAY()))</f>
        <v/>
      </c>
    </row>
    <row r="182" ht="30" customHeight="1" s="131">
      <c r="A182" s="216" t="n"/>
      <c r="B182" s="216" t="n"/>
      <c r="C182" s="216" t="n"/>
      <c r="D182" s="217" t="n"/>
      <c r="E182" s="216" t="n"/>
      <c r="F182" s="216" t="n"/>
      <c r="G182" s="217" t="n"/>
      <c r="H182" s="217" t="n"/>
      <c r="I182" s="217" t="n"/>
      <c r="J182" s="217" t="n"/>
      <c r="K182" s="216" t="n"/>
      <c r="L182" s="217" t="n"/>
      <c r="M182" s="216" t="n"/>
      <c r="N182" s="164">
        <f>IF($K182="","",IF(OR($M182="Concluído",$M182="Cancelado"),"—",DATEVALUE($K182)-TODAY()))</f>
        <v/>
      </c>
    </row>
    <row r="183" ht="30" customHeight="1" s="131">
      <c r="A183" s="216" t="n"/>
      <c r="B183" s="216" t="n"/>
      <c r="C183" s="216" t="n"/>
      <c r="D183" s="217" t="n"/>
      <c r="E183" s="216" t="n"/>
      <c r="F183" s="216" t="n"/>
      <c r="G183" s="217" t="n"/>
      <c r="H183" s="217" t="n"/>
      <c r="I183" s="217" t="n"/>
      <c r="J183" s="217" t="n"/>
      <c r="K183" s="216" t="n"/>
      <c r="L183" s="217" t="n"/>
      <c r="M183" s="216" t="n"/>
      <c r="N183" s="164">
        <f>IF($K183="","",IF(OR($M183="Concluído",$M183="Cancelado"),"—",DATEVALUE($K183)-TODAY()))</f>
        <v/>
      </c>
    </row>
    <row r="184" ht="30" customHeight="1" s="131">
      <c r="A184" s="216" t="n"/>
      <c r="B184" s="216" t="n"/>
      <c r="C184" s="216" t="n"/>
      <c r="D184" s="217" t="n"/>
      <c r="E184" s="216" t="n"/>
      <c r="F184" s="216" t="n"/>
      <c r="G184" s="217" t="n"/>
      <c r="H184" s="217" t="n"/>
      <c r="I184" s="217" t="n"/>
      <c r="J184" s="217" t="n"/>
      <c r="K184" s="216" t="n"/>
      <c r="L184" s="217" t="n"/>
      <c r="M184" s="216" t="n"/>
      <c r="N184" s="164">
        <f>IF($K184="","",IF(OR($M184="Concluído",$M184="Cancelado"),"—",DATEVALUE($K184)-TODAY()))</f>
        <v/>
      </c>
    </row>
    <row r="185" ht="30" customHeight="1" s="131">
      <c r="A185" s="216" t="n"/>
      <c r="B185" s="216" t="n"/>
      <c r="C185" s="216" t="n"/>
      <c r="D185" s="217" t="n"/>
      <c r="E185" s="216" t="n"/>
      <c r="F185" s="216" t="n"/>
      <c r="G185" s="217" t="n"/>
      <c r="H185" s="217" t="n"/>
      <c r="I185" s="217" t="n"/>
      <c r="J185" s="217" t="n"/>
      <c r="K185" s="216" t="n"/>
      <c r="L185" s="217" t="n"/>
      <c r="M185" s="216" t="n"/>
      <c r="N185" s="164">
        <f>IF($K185="","",IF(OR($M185="Concluído",$M185="Cancelado"),"—",DATEVALUE($K185)-TODAY()))</f>
        <v/>
      </c>
    </row>
    <row r="186" ht="30" customHeight="1" s="131">
      <c r="A186" s="216" t="n"/>
      <c r="B186" s="216" t="n"/>
      <c r="C186" s="216" t="n"/>
      <c r="D186" s="217" t="n"/>
      <c r="E186" s="216" t="n"/>
      <c r="F186" s="216" t="n"/>
      <c r="G186" s="217" t="n"/>
      <c r="H186" s="217" t="n"/>
      <c r="I186" s="217" t="n"/>
      <c r="J186" s="217" t="n"/>
      <c r="K186" s="216" t="n"/>
      <c r="L186" s="217" t="n"/>
      <c r="M186" s="216" t="n"/>
      <c r="N186" s="164">
        <f>IF($K186="","",IF(OR($M186="Concluído",$M186="Cancelado"),"—",DATEVALUE($K186)-TODAY()))</f>
        <v/>
      </c>
    </row>
    <row r="187" ht="30" customHeight="1" s="131">
      <c r="A187" s="216" t="n"/>
      <c r="B187" s="216" t="n"/>
      <c r="C187" s="216" t="n"/>
      <c r="D187" s="217" t="n"/>
      <c r="E187" s="216" t="n"/>
      <c r="F187" s="216" t="n"/>
      <c r="G187" s="217" t="n"/>
      <c r="H187" s="217" t="n"/>
      <c r="I187" s="217" t="n"/>
      <c r="J187" s="217" t="n"/>
      <c r="K187" s="216" t="n"/>
      <c r="L187" s="217" t="n"/>
      <c r="M187" s="216" t="n"/>
      <c r="N187" s="164">
        <f>IF($K187="","",IF(OR($M187="Concluído",$M187="Cancelado"),"—",DATEVALUE($K187)-TODAY()))</f>
        <v/>
      </c>
    </row>
    <row r="188" ht="30" customHeight="1" s="131">
      <c r="A188" s="216" t="n"/>
      <c r="B188" s="216" t="n"/>
      <c r="C188" s="216" t="n"/>
      <c r="D188" s="217" t="n"/>
      <c r="E188" s="216" t="n"/>
      <c r="F188" s="216" t="n"/>
      <c r="G188" s="217" t="n"/>
      <c r="H188" s="217" t="n"/>
      <c r="I188" s="217" t="n"/>
      <c r="J188" s="217" t="n"/>
      <c r="K188" s="216" t="n"/>
      <c r="L188" s="217" t="n"/>
      <c r="M188" s="216" t="n"/>
      <c r="N188" s="164">
        <f>IF($K188="","",IF(OR($M188="Concluído",$M188="Cancelado"),"—",DATEVALUE($K188)-TODAY()))</f>
        <v/>
      </c>
    </row>
    <row r="189" ht="30" customHeight="1" s="131">
      <c r="A189" s="216" t="n"/>
      <c r="B189" s="216" t="n"/>
      <c r="C189" s="216" t="n"/>
      <c r="D189" s="217" t="n"/>
      <c r="E189" s="216" t="n"/>
      <c r="F189" s="216" t="n"/>
      <c r="G189" s="217" t="n"/>
      <c r="H189" s="217" t="n"/>
      <c r="I189" s="217" t="n"/>
      <c r="J189" s="217" t="n"/>
      <c r="K189" s="216" t="n"/>
      <c r="L189" s="217" t="n"/>
      <c r="M189" s="216" t="n"/>
      <c r="N189" s="164">
        <f>IF($K189="","",IF(OR($M189="Concluído",$M189="Cancelado"),"—",DATEVALUE($K189)-TODAY()))</f>
        <v/>
      </c>
    </row>
    <row r="190" ht="30" customHeight="1" s="131">
      <c r="A190" s="216" t="n"/>
      <c r="B190" s="216" t="n"/>
      <c r="C190" s="216" t="n"/>
      <c r="D190" s="217" t="n"/>
      <c r="E190" s="216" t="n"/>
      <c r="F190" s="216" t="n"/>
      <c r="G190" s="217" t="n"/>
      <c r="H190" s="217" t="n"/>
      <c r="I190" s="217" t="n"/>
      <c r="J190" s="217" t="n"/>
      <c r="K190" s="216" t="n"/>
      <c r="L190" s="217" t="n"/>
      <c r="M190" s="216" t="n"/>
      <c r="N190" s="164">
        <f>IF($K190="","",IF(OR($M190="Concluído",$M190="Cancelado"),"—",DATEVALUE($K190)-TODAY()))</f>
        <v/>
      </c>
    </row>
    <row r="191" ht="30" customHeight="1" s="131">
      <c r="A191" s="216" t="n"/>
      <c r="B191" s="216" t="n"/>
      <c r="C191" s="216" t="n"/>
      <c r="D191" s="217" t="n"/>
      <c r="E191" s="216" t="n"/>
      <c r="F191" s="216" t="n"/>
      <c r="G191" s="217" t="n"/>
      <c r="H191" s="217" t="n"/>
      <c r="I191" s="217" t="n"/>
      <c r="J191" s="217" t="n"/>
      <c r="K191" s="216" t="n"/>
      <c r="L191" s="217" t="n"/>
      <c r="M191" s="216" t="n"/>
      <c r="N191" s="164">
        <f>IF($K191="","",IF(OR($M191="Concluído",$M191="Cancelado"),"—",DATEVALUE($K191)-TODAY()))</f>
        <v/>
      </c>
    </row>
    <row r="192" ht="30" customHeight="1" s="131">
      <c r="A192" s="216" t="n"/>
      <c r="B192" s="216" t="n"/>
      <c r="C192" s="216" t="n"/>
      <c r="D192" s="217" t="n"/>
      <c r="E192" s="216" t="n"/>
      <c r="F192" s="216" t="n"/>
      <c r="G192" s="217" t="n"/>
      <c r="H192" s="217" t="n"/>
      <c r="I192" s="217" t="n"/>
      <c r="J192" s="217" t="n"/>
      <c r="K192" s="216" t="n"/>
      <c r="L192" s="217" t="n"/>
      <c r="M192" s="216" t="n"/>
      <c r="N192" s="164">
        <f>IF($K192="","",IF(OR($M192="Concluído",$M192="Cancelado"),"—",DATEVALUE($K192)-TODAY()))</f>
        <v/>
      </c>
    </row>
    <row r="193" ht="30" customHeight="1" s="131">
      <c r="A193" s="216" t="n"/>
      <c r="B193" s="216" t="n"/>
      <c r="C193" s="216" t="n"/>
      <c r="D193" s="217" t="n"/>
      <c r="E193" s="216" t="n"/>
      <c r="F193" s="216" t="n"/>
      <c r="G193" s="217" t="n"/>
      <c r="H193" s="217" t="n"/>
      <c r="I193" s="217" t="n"/>
      <c r="J193" s="217" t="n"/>
      <c r="K193" s="216" t="n"/>
      <c r="L193" s="217" t="n"/>
      <c r="M193" s="216" t="n"/>
      <c r="N193" s="164">
        <f>IF($K193="","",IF(OR($M193="Concluído",$M193="Cancelado"),"—",DATEVALUE($K193)-TODAY()))</f>
        <v/>
      </c>
    </row>
    <row r="194" ht="30" customHeight="1" s="131">
      <c r="A194" s="216" t="n"/>
      <c r="B194" s="216" t="n"/>
      <c r="C194" s="216" t="n"/>
      <c r="D194" s="217" t="n"/>
      <c r="E194" s="216" t="n"/>
      <c r="F194" s="216" t="n"/>
      <c r="G194" s="217" t="n"/>
      <c r="H194" s="217" t="n"/>
      <c r="I194" s="217" t="n"/>
      <c r="J194" s="217" t="n"/>
      <c r="K194" s="216" t="n"/>
      <c r="L194" s="217" t="n"/>
      <c r="M194" s="216" t="n"/>
      <c r="N194" s="164">
        <f>IF($K194="","",IF(OR($M194="Concluído",$M194="Cancelado"),"—",DATEVALUE($K194)-TODAY()))</f>
        <v/>
      </c>
    </row>
    <row r="195" ht="30" customHeight="1" s="131">
      <c r="A195" s="216" t="n"/>
      <c r="B195" s="216" t="n"/>
      <c r="C195" s="216" t="n"/>
      <c r="D195" s="217" t="n"/>
      <c r="E195" s="216" t="n"/>
      <c r="F195" s="216" t="n"/>
      <c r="G195" s="217" t="n"/>
      <c r="H195" s="217" t="n"/>
      <c r="I195" s="217" t="n"/>
      <c r="J195" s="217" t="n"/>
      <c r="K195" s="216" t="n"/>
      <c r="L195" s="217" t="n"/>
      <c r="M195" s="216" t="n"/>
      <c r="N195" s="164">
        <f>IF($K195="","",IF(OR($M195="Concluído",$M195="Cancelado"),"—",DATEVALUE($K195)-TODAY()))</f>
        <v/>
      </c>
    </row>
    <row r="196" ht="30" customHeight="1" s="131">
      <c r="A196" s="216" t="n"/>
      <c r="B196" s="216" t="n"/>
      <c r="C196" s="216" t="n"/>
      <c r="D196" s="217" t="n"/>
      <c r="E196" s="216" t="n"/>
      <c r="F196" s="216" t="n"/>
      <c r="G196" s="217" t="n"/>
      <c r="H196" s="217" t="n"/>
      <c r="I196" s="217" t="n"/>
      <c r="J196" s="217" t="n"/>
      <c r="K196" s="216" t="n"/>
      <c r="L196" s="217" t="n"/>
      <c r="M196" s="216" t="n"/>
      <c r="N196" s="164">
        <f>IF($K196="","",IF(OR($M196="Concluído",$M196="Cancelado"),"—",DATEVALUE($K196)-TODAY()))</f>
        <v/>
      </c>
    </row>
    <row r="197" ht="30" customHeight="1" s="131">
      <c r="A197" s="216" t="n"/>
      <c r="B197" s="216" t="n"/>
      <c r="C197" s="216" t="n"/>
      <c r="D197" s="217" t="n"/>
      <c r="E197" s="216" t="n"/>
      <c r="F197" s="216" t="n"/>
      <c r="G197" s="217" t="n"/>
      <c r="H197" s="217" t="n"/>
      <c r="I197" s="217" t="n"/>
      <c r="J197" s="217" t="n"/>
      <c r="K197" s="216" t="n"/>
      <c r="L197" s="217" t="n"/>
      <c r="M197" s="216" t="n"/>
      <c r="N197" s="164">
        <f>IF($K197="","",IF(OR($M197="Concluído",$M197="Cancelado"),"—",DATEVALUE($K197)-TODAY()))</f>
        <v/>
      </c>
    </row>
    <row r="198" ht="30" customHeight="1" s="131">
      <c r="A198" s="216" t="n"/>
      <c r="B198" s="216" t="n"/>
      <c r="C198" s="216" t="n"/>
      <c r="D198" s="217" t="n"/>
      <c r="E198" s="216" t="n"/>
      <c r="F198" s="216" t="n"/>
      <c r="G198" s="217" t="n"/>
      <c r="H198" s="217" t="n"/>
      <c r="I198" s="217" t="n"/>
      <c r="J198" s="217" t="n"/>
      <c r="K198" s="216" t="n"/>
      <c r="L198" s="217" t="n"/>
      <c r="M198" s="216" t="n"/>
      <c r="N198" s="164">
        <f>IF($K198="","",IF(OR($M198="Concluído",$M198="Cancelado"),"—",DATEVALUE($K198)-TODAY()))</f>
        <v/>
      </c>
    </row>
    <row r="199" ht="30" customHeight="1" s="131">
      <c r="A199" s="216" t="n"/>
      <c r="B199" s="216" t="n"/>
      <c r="C199" s="216" t="n"/>
      <c r="D199" s="217" t="n"/>
      <c r="E199" s="216" t="n"/>
      <c r="F199" s="216" t="n"/>
      <c r="G199" s="217" t="n"/>
      <c r="H199" s="217" t="n"/>
      <c r="I199" s="217" t="n"/>
      <c r="J199" s="217" t="n"/>
      <c r="K199" s="216" t="n"/>
      <c r="L199" s="217" t="n"/>
      <c r="M199" s="216" t="n"/>
      <c r="N199" s="164">
        <f>IF($K199="","",IF(OR($M199="Concluído",$M199="Cancelado"),"—",DATEVALUE($K199)-TODAY()))</f>
        <v/>
      </c>
    </row>
    <row r="200" ht="30" customHeight="1" s="131">
      <c r="A200" s="216" t="n"/>
      <c r="B200" s="216" t="n"/>
      <c r="C200" s="216" t="n"/>
      <c r="D200" s="217" t="n"/>
      <c r="E200" s="216" t="n"/>
      <c r="F200" s="216" t="n"/>
      <c r="G200" s="217" t="n"/>
      <c r="H200" s="217" t="n"/>
      <c r="I200" s="217" t="n"/>
      <c r="J200" s="217" t="n"/>
      <c r="K200" s="216" t="n"/>
      <c r="L200" s="217" t="n"/>
      <c r="M200" s="216" t="n"/>
      <c r="N200" s="164">
        <f>IF($K200="","",IF(OR($M200="Concluído",$M200="Cancelado"),"—",DATEVALUE($K200)-TODAY()))</f>
        <v/>
      </c>
    </row>
    <row r="201" ht="30" customHeight="1" s="131">
      <c r="A201" s="216" t="n"/>
      <c r="B201" s="216" t="n"/>
      <c r="C201" s="216" t="n"/>
      <c r="D201" s="217" t="n"/>
      <c r="E201" s="216" t="n"/>
      <c r="F201" s="216" t="n"/>
      <c r="G201" s="217" t="n"/>
      <c r="H201" s="217" t="n"/>
      <c r="I201" s="217" t="n"/>
      <c r="J201" s="217" t="n"/>
      <c r="K201" s="216" t="n"/>
      <c r="L201" s="217" t="n"/>
      <c r="M201" s="216" t="n"/>
      <c r="N201" s="164">
        <f>IF($K201="","",IF(OR($M201="Concluído",$M201="Cancelado"),"—",DATEVALUE($K201)-TODAY()))</f>
        <v/>
      </c>
    </row>
    <row r="202" ht="30" customHeight="1" s="131">
      <c r="A202" s="216" t="n"/>
      <c r="B202" s="216" t="n"/>
      <c r="C202" s="216" t="n"/>
      <c r="D202" s="217" t="n"/>
      <c r="E202" s="216" t="n"/>
      <c r="F202" s="216" t="n"/>
      <c r="G202" s="217" t="n"/>
      <c r="H202" s="217" t="n"/>
      <c r="I202" s="217" t="n"/>
      <c r="J202" s="217" t="n"/>
      <c r="K202" s="216" t="n"/>
      <c r="L202" s="217" t="n"/>
      <c r="M202" s="216" t="n"/>
      <c r="N202" s="164">
        <f>IF($K202="","",IF(OR($M202="Concluído",$M202="Cancelado"),"—",DATEVALUE($K202)-TODAY()))</f>
        <v/>
      </c>
    </row>
    <row r="203" ht="30" customHeight="1" s="131">
      <c r="A203" s="216" t="n"/>
      <c r="B203" s="216" t="n"/>
      <c r="C203" s="216" t="n"/>
      <c r="D203" s="217" t="n"/>
      <c r="E203" s="216" t="n"/>
      <c r="F203" s="216" t="n"/>
      <c r="G203" s="217" t="n"/>
      <c r="H203" s="217" t="n"/>
      <c r="I203" s="217" t="n"/>
      <c r="J203" s="217" t="n"/>
      <c r="K203" s="216" t="n"/>
      <c r="L203" s="217" t="n"/>
      <c r="M203" s="216" t="n"/>
      <c r="N203" s="164">
        <f>IF($K203="","",IF(OR($M203="Concluído",$M203="Cancelado"),"—",DATEVALUE($K203)-TODAY()))</f>
        <v/>
      </c>
    </row>
    <row r="204" ht="30" customHeight="1" s="131">
      <c r="A204" s="216" t="n"/>
      <c r="B204" s="216" t="n"/>
      <c r="C204" s="216" t="n"/>
      <c r="D204" s="217" t="n"/>
      <c r="E204" s="216" t="n"/>
      <c r="F204" s="216" t="n"/>
      <c r="G204" s="217" t="n"/>
      <c r="H204" s="217" t="n"/>
      <c r="I204" s="217" t="n"/>
      <c r="J204" s="217" t="n"/>
      <c r="K204" s="216" t="n"/>
      <c r="L204" s="217" t="n"/>
      <c r="M204" s="216" t="n"/>
      <c r="N204" s="164">
        <f>IF($K204="","",IF(OR($M204="Concluído",$M204="Cancelado"),"—",DATEVALUE($K204)-TODAY()))</f>
        <v/>
      </c>
    </row>
    <row r="205" ht="30" customHeight="1" s="131">
      <c r="A205" s="216" t="n"/>
      <c r="B205" s="216" t="n"/>
      <c r="C205" s="216" t="n"/>
      <c r="D205" s="217" t="n"/>
      <c r="E205" s="216" t="n"/>
      <c r="F205" s="216" t="n"/>
      <c r="G205" s="217" t="n"/>
      <c r="H205" s="217" t="n"/>
      <c r="I205" s="217" t="n"/>
      <c r="J205" s="217" t="n"/>
      <c r="K205" s="216" t="n"/>
      <c r="L205" s="217" t="n"/>
      <c r="M205" s="216" t="n"/>
      <c r="N205" s="164">
        <f>IF($K205="","",IF(OR($M205="Concluído",$M205="Cancelado"),"—",DATEVALUE($K205)-TODAY()))</f>
        <v/>
      </c>
    </row>
    <row r="206" ht="30" customHeight="1" s="131">
      <c r="A206" s="216" t="n"/>
      <c r="B206" s="216" t="n"/>
      <c r="C206" s="216" t="n"/>
      <c r="D206" s="217" t="n"/>
      <c r="E206" s="216" t="n"/>
      <c r="F206" s="216" t="n"/>
      <c r="G206" s="217" t="n"/>
      <c r="H206" s="217" t="n"/>
      <c r="I206" s="217" t="n"/>
      <c r="J206" s="217" t="n"/>
      <c r="K206" s="216" t="n"/>
      <c r="L206" s="217" t="n"/>
      <c r="M206" s="216" t="n"/>
      <c r="N206" s="164">
        <f>IF($K206="","",IF(OR($M206="Concluído",$M206="Cancelado"),"—",DATEVALUE($K206)-TODAY()))</f>
        <v/>
      </c>
    </row>
    <row r="207" ht="30" customHeight="1" s="131">
      <c r="A207" s="216" t="n"/>
      <c r="B207" s="216" t="n"/>
      <c r="C207" s="216" t="n"/>
      <c r="D207" s="217" t="n"/>
      <c r="E207" s="216" t="n"/>
      <c r="F207" s="216" t="n"/>
      <c r="G207" s="217" t="n"/>
      <c r="H207" s="217" t="n"/>
      <c r="I207" s="217" t="n"/>
      <c r="J207" s="217" t="n"/>
      <c r="K207" s="216" t="n"/>
      <c r="L207" s="217" t="n"/>
      <c r="M207" s="216" t="n"/>
      <c r="N207" s="164">
        <f>IF($K207="","",IF(OR($M207="Concluído",$M207="Cancelado"),"—",DATEVALUE($K207)-TODAY()))</f>
        <v/>
      </c>
    </row>
    <row r="208" ht="30" customHeight="1" s="131">
      <c r="A208" s="216" t="n"/>
      <c r="B208" s="216" t="n"/>
      <c r="C208" s="216" t="n"/>
      <c r="D208" s="217" t="n"/>
      <c r="E208" s="216" t="n"/>
      <c r="F208" s="216" t="n"/>
      <c r="G208" s="217" t="n"/>
      <c r="H208" s="217" t="n"/>
      <c r="I208" s="217" t="n"/>
      <c r="J208" s="217" t="n"/>
      <c r="K208" s="216" t="n"/>
      <c r="L208" s="217" t="n"/>
      <c r="M208" s="216" t="n"/>
      <c r="N208" s="164">
        <f>IF($K208="","",IF(OR($M208="Concluído",$M208="Cancelado"),"—",DATEVALUE($K208)-TODAY()))</f>
        <v/>
      </c>
    </row>
    <row r="209" ht="30" customHeight="1" s="131">
      <c r="A209" s="216" t="n"/>
      <c r="B209" s="216" t="n"/>
      <c r="C209" s="216" t="n"/>
      <c r="D209" s="217" t="n"/>
      <c r="E209" s="216" t="n"/>
      <c r="F209" s="216" t="n"/>
      <c r="G209" s="217" t="n"/>
      <c r="H209" s="217" t="n"/>
      <c r="I209" s="217" t="n"/>
      <c r="J209" s="217" t="n"/>
      <c r="K209" s="216" t="n"/>
      <c r="L209" s="217" t="n"/>
      <c r="M209" s="216" t="n"/>
      <c r="N209" s="164">
        <f>IF($K209="","",IF(OR($M209="Concluído",$M209="Cancelado"),"—",DATEVALUE($K209)-TODAY()))</f>
        <v/>
      </c>
    </row>
    <row r="210" ht="30" customHeight="1" s="131">
      <c r="A210" s="216" t="n"/>
      <c r="B210" s="216" t="n"/>
      <c r="C210" s="216" t="n"/>
      <c r="D210" s="217" t="n"/>
      <c r="E210" s="216" t="n"/>
      <c r="F210" s="216" t="n"/>
      <c r="G210" s="217" t="n"/>
      <c r="H210" s="217" t="n"/>
      <c r="I210" s="217" t="n"/>
      <c r="J210" s="217" t="n"/>
      <c r="K210" s="216" t="n"/>
      <c r="L210" s="217" t="n"/>
      <c r="M210" s="216" t="n"/>
      <c r="N210" s="164">
        <f>IF($K210="","",IF(OR($M210="Concluído",$M210="Cancelado"),"—",DATEVALUE($K210)-TODAY()))</f>
        <v/>
      </c>
    </row>
    <row r="211" ht="30" customHeight="1" s="131">
      <c r="A211" s="216" t="n"/>
      <c r="B211" s="216" t="n"/>
      <c r="C211" s="216" t="n"/>
      <c r="D211" s="217" t="n"/>
      <c r="E211" s="216" t="n"/>
      <c r="F211" s="216" t="n"/>
      <c r="G211" s="217" t="n"/>
      <c r="H211" s="217" t="n"/>
      <c r="I211" s="217" t="n"/>
      <c r="J211" s="217" t="n"/>
      <c r="K211" s="216" t="n"/>
      <c r="L211" s="217" t="n"/>
      <c r="M211" s="216" t="n"/>
      <c r="N211" s="164">
        <f>IF($K211="","",IF(OR($M211="Concluído",$M211="Cancelado"),"—",DATEVALUE($K211)-TODAY()))</f>
        <v/>
      </c>
    </row>
    <row r="212" ht="30" customHeight="1" s="131">
      <c r="A212" s="216" t="n"/>
      <c r="B212" s="216" t="n"/>
      <c r="C212" s="216" t="n"/>
      <c r="D212" s="217" t="n"/>
      <c r="E212" s="216" t="n"/>
      <c r="F212" s="216" t="n"/>
      <c r="G212" s="217" t="n"/>
      <c r="H212" s="217" t="n"/>
      <c r="I212" s="217" t="n"/>
      <c r="J212" s="217" t="n"/>
      <c r="K212" s="216" t="n"/>
      <c r="L212" s="217" t="n"/>
      <c r="M212" s="216" t="n"/>
      <c r="N212" s="164">
        <f>IF($K212="","",IF(OR($M212="Concluído",$M212="Cancelado"),"—",DATEVALUE($K212)-TODAY()))</f>
        <v/>
      </c>
    </row>
    <row r="213" ht="30" customHeight="1" s="131">
      <c r="A213" s="216" t="n"/>
      <c r="B213" s="216" t="n"/>
      <c r="C213" s="216" t="n"/>
      <c r="D213" s="217" t="n"/>
      <c r="E213" s="216" t="n"/>
      <c r="F213" s="216" t="n"/>
      <c r="G213" s="217" t="n"/>
      <c r="H213" s="217" t="n"/>
      <c r="I213" s="217" t="n"/>
      <c r="J213" s="217" t="n"/>
      <c r="K213" s="216" t="n"/>
      <c r="L213" s="217" t="n"/>
      <c r="M213" s="216" t="n"/>
      <c r="N213" s="164">
        <f>IF($K213="","",IF(OR($M213="Concluído",$M213="Cancelado"),"—",DATEVALUE($K213)-TODAY()))</f>
        <v/>
      </c>
    </row>
    <row r="214" ht="30" customHeight="1" s="131">
      <c r="A214" s="216" t="n"/>
      <c r="B214" s="216" t="n"/>
      <c r="C214" s="216" t="n"/>
      <c r="D214" s="217" t="n"/>
      <c r="E214" s="216" t="n"/>
      <c r="F214" s="216" t="n"/>
      <c r="G214" s="217" t="n"/>
      <c r="H214" s="217" t="n"/>
      <c r="I214" s="217" t="n"/>
      <c r="J214" s="217" t="n"/>
      <c r="K214" s="216" t="n"/>
      <c r="L214" s="217" t="n"/>
      <c r="M214" s="216" t="n"/>
      <c r="N214" s="164">
        <f>IF($K214="","",IF(OR($M214="Concluído",$M214="Cancelado"),"—",DATEVALUE($K214)-TODAY()))</f>
        <v/>
      </c>
    </row>
    <row r="215" ht="30" customHeight="1" s="131">
      <c r="A215" s="216" t="n"/>
      <c r="B215" s="216" t="n"/>
      <c r="C215" s="216" t="n"/>
      <c r="D215" s="217" t="n"/>
      <c r="E215" s="216" t="n"/>
      <c r="F215" s="216" t="n"/>
      <c r="G215" s="217" t="n"/>
      <c r="H215" s="217" t="n"/>
      <c r="I215" s="217" t="n"/>
      <c r="J215" s="217" t="n"/>
      <c r="K215" s="216" t="n"/>
      <c r="L215" s="217" t="n"/>
      <c r="M215" s="216" t="n"/>
      <c r="N215" s="164">
        <f>IF($K215="","",IF(OR($M215="Concluído",$M215="Cancelado"),"—",DATEVALUE($K215)-TODAY()))</f>
        <v/>
      </c>
    </row>
    <row r="216" ht="30" customHeight="1" s="131">
      <c r="A216" s="216" t="n"/>
      <c r="B216" s="216" t="n"/>
      <c r="C216" s="216" t="n"/>
      <c r="D216" s="217" t="n"/>
      <c r="E216" s="216" t="n"/>
      <c r="F216" s="216" t="n"/>
      <c r="G216" s="217" t="n"/>
      <c r="H216" s="217" t="n"/>
      <c r="I216" s="217" t="n"/>
      <c r="J216" s="217" t="n"/>
      <c r="K216" s="216" t="n"/>
      <c r="L216" s="217" t="n"/>
      <c r="M216" s="216" t="n"/>
      <c r="N216" s="164">
        <f>IF($K216="","",IF(OR($M216="Concluído",$M216="Cancelado"),"—",DATEVALUE($K216)-TODAY()))</f>
        <v/>
      </c>
    </row>
    <row r="217" ht="30" customHeight="1" s="131">
      <c r="A217" s="216" t="n"/>
      <c r="B217" s="216" t="n"/>
      <c r="C217" s="216" t="n"/>
      <c r="D217" s="217" t="n"/>
      <c r="E217" s="216" t="n"/>
      <c r="F217" s="216" t="n"/>
      <c r="G217" s="217" t="n"/>
      <c r="H217" s="217" t="n"/>
      <c r="I217" s="217" t="n"/>
      <c r="J217" s="217" t="n"/>
      <c r="K217" s="216" t="n"/>
      <c r="L217" s="217" t="n"/>
      <c r="M217" s="216" t="n"/>
      <c r="N217" s="164">
        <f>IF($K217="","",IF(OR($M217="Concluído",$M217="Cancelado"),"—",DATEVALUE($K217)-TODAY()))</f>
        <v/>
      </c>
    </row>
    <row r="218" ht="30" customHeight="1" s="131">
      <c r="A218" s="216" t="n"/>
      <c r="B218" s="216" t="n"/>
      <c r="C218" s="216" t="n"/>
      <c r="D218" s="217" t="n"/>
      <c r="E218" s="216" t="n"/>
      <c r="F218" s="216" t="n"/>
      <c r="G218" s="217" t="n"/>
      <c r="H218" s="217" t="n"/>
      <c r="I218" s="217" t="n"/>
      <c r="J218" s="217" t="n"/>
      <c r="K218" s="216" t="n"/>
      <c r="L218" s="217" t="n"/>
      <c r="M218" s="216" t="n"/>
      <c r="N218" s="164">
        <f>IF($K218="","",IF(OR($M218="Concluído",$M218="Cancelado"),"—",DATEVALUE($K218)-TODAY()))</f>
        <v/>
      </c>
    </row>
    <row r="219" ht="30" customHeight="1" s="131">
      <c r="A219" s="216" t="n"/>
      <c r="B219" s="216" t="n"/>
      <c r="C219" s="216" t="n"/>
      <c r="D219" s="217" t="n"/>
      <c r="E219" s="216" t="n"/>
      <c r="F219" s="216" t="n"/>
      <c r="G219" s="217" t="n"/>
      <c r="H219" s="217" t="n"/>
      <c r="I219" s="217" t="n"/>
      <c r="J219" s="217" t="n"/>
      <c r="K219" s="216" t="n"/>
      <c r="L219" s="217" t="n"/>
      <c r="M219" s="216" t="n"/>
      <c r="N219" s="164">
        <f>IF($K219="","",IF(OR($M219="Concluído",$M219="Cancelado"),"—",DATEVALUE($K219)-TODAY()))</f>
        <v/>
      </c>
    </row>
    <row r="220" ht="30" customHeight="1" s="131">
      <c r="A220" s="216" t="n"/>
      <c r="B220" s="216" t="n"/>
      <c r="C220" s="216" t="n"/>
      <c r="D220" s="217" t="n"/>
      <c r="E220" s="216" t="n"/>
      <c r="F220" s="216" t="n"/>
      <c r="G220" s="217" t="n"/>
      <c r="H220" s="217" t="n"/>
      <c r="I220" s="217" t="n"/>
      <c r="J220" s="217" t="n"/>
      <c r="K220" s="216" t="n"/>
      <c r="L220" s="217" t="n"/>
      <c r="M220" s="216" t="n"/>
      <c r="N220" s="164">
        <f>IF($K220="","",IF(OR($M220="Concluído",$M220="Cancelado"),"—",DATEVALUE($K220)-TODAY()))</f>
        <v/>
      </c>
    </row>
    <row r="221" ht="30" customHeight="1" s="131">
      <c r="A221" s="216" t="n"/>
      <c r="B221" s="216" t="n"/>
      <c r="C221" s="216" t="n"/>
      <c r="D221" s="217" t="n"/>
      <c r="E221" s="216" t="n"/>
      <c r="F221" s="216" t="n"/>
      <c r="G221" s="217" t="n"/>
      <c r="H221" s="217" t="n"/>
      <c r="I221" s="217" t="n"/>
      <c r="J221" s="217" t="n"/>
      <c r="K221" s="216" t="n"/>
      <c r="L221" s="217" t="n"/>
      <c r="M221" s="216" t="n"/>
      <c r="N221" s="164">
        <f>IF($K221="","",IF(OR($M221="Concluído",$M221="Cancelado"),"—",DATEVALUE($K221)-TODAY()))</f>
        <v/>
      </c>
    </row>
    <row r="222" ht="30" customHeight="1" s="131">
      <c r="A222" s="216" t="n"/>
      <c r="B222" s="216" t="n"/>
      <c r="C222" s="216" t="n"/>
      <c r="D222" s="217" t="n"/>
      <c r="E222" s="216" t="n"/>
      <c r="F222" s="216" t="n"/>
      <c r="G222" s="217" t="n"/>
      <c r="H222" s="217" t="n"/>
      <c r="I222" s="217" t="n"/>
      <c r="J222" s="217" t="n"/>
      <c r="K222" s="216" t="n"/>
      <c r="L222" s="217" t="n"/>
      <c r="M222" s="216" t="n"/>
      <c r="N222" s="164">
        <f>IF($K222="","",IF(OR($M222="Concluído",$M222="Cancelado"),"—",DATEVALUE($K222)-TODAY()))</f>
        <v/>
      </c>
    </row>
    <row r="223" ht="30" customHeight="1" s="131">
      <c r="A223" s="216" t="n"/>
      <c r="B223" s="216" t="n"/>
      <c r="C223" s="216" t="n"/>
      <c r="D223" s="217" t="n"/>
      <c r="E223" s="216" t="n"/>
      <c r="F223" s="216" t="n"/>
      <c r="G223" s="217" t="n"/>
      <c r="H223" s="217" t="n"/>
      <c r="I223" s="217" t="n"/>
      <c r="J223" s="217" t="n"/>
      <c r="K223" s="216" t="n"/>
      <c r="L223" s="217" t="n"/>
      <c r="M223" s="216" t="n"/>
      <c r="N223" s="164">
        <f>IF($K223="","",IF(OR($M223="Concluído",$M223="Cancelado"),"—",DATEVALUE($K223)-TODAY()))</f>
        <v/>
      </c>
    </row>
    <row r="224" ht="30" customHeight="1" s="131">
      <c r="A224" s="216" t="n"/>
      <c r="B224" s="216" t="n"/>
      <c r="C224" s="216" t="n"/>
      <c r="D224" s="217" t="n"/>
      <c r="E224" s="216" t="n"/>
      <c r="F224" s="216" t="n"/>
      <c r="G224" s="217" t="n"/>
      <c r="H224" s="217" t="n"/>
      <c r="I224" s="217" t="n"/>
      <c r="J224" s="217" t="n"/>
      <c r="K224" s="216" t="n"/>
      <c r="L224" s="217" t="n"/>
      <c r="M224" s="216" t="n"/>
      <c r="N224" s="164">
        <f>IF($K224="","",IF(OR($M224="Concluído",$M224="Cancelado"),"—",DATEVALUE($K224)-TODAY()))</f>
        <v/>
      </c>
    </row>
    <row r="225" ht="30" customHeight="1" s="131">
      <c r="A225" s="216" t="n"/>
      <c r="B225" s="216" t="n"/>
      <c r="C225" s="216" t="n"/>
      <c r="D225" s="217" t="n"/>
      <c r="E225" s="216" t="n"/>
      <c r="F225" s="216" t="n"/>
      <c r="G225" s="217" t="n"/>
      <c r="H225" s="217" t="n"/>
      <c r="I225" s="217" t="n"/>
      <c r="J225" s="217" t="n"/>
      <c r="K225" s="216" t="n"/>
      <c r="L225" s="217" t="n"/>
      <c r="M225" s="216" t="n"/>
      <c r="N225" s="164">
        <f>IF($K225="","",IF(OR($M225="Concluído",$M225="Cancelado"),"—",DATEVALUE($K225)-TODAY()))</f>
        <v/>
      </c>
    </row>
    <row r="226" ht="30" customHeight="1" s="131">
      <c r="A226" s="216" t="n"/>
      <c r="B226" s="216" t="n"/>
      <c r="C226" s="216" t="n"/>
      <c r="D226" s="217" t="n"/>
      <c r="E226" s="216" t="n"/>
      <c r="F226" s="216" t="n"/>
      <c r="G226" s="217" t="n"/>
      <c r="H226" s="217" t="n"/>
      <c r="I226" s="217" t="n"/>
      <c r="J226" s="217" t="n"/>
      <c r="K226" s="216" t="n"/>
      <c r="L226" s="217" t="n"/>
      <c r="M226" s="216" t="n"/>
      <c r="N226" s="164">
        <f>IF($K226="","",IF(OR($M226="Concluído",$M226="Cancelado"),"—",DATEVALUE($K226)-TODAY()))</f>
        <v/>
      </c>
    </row>
    <row r="227" ht="30" customHeight="1" s="131">
      <c r="A227" s="216" t="n"/>
      <c r="B227" s="216" t="n"/>
      <c r="C227" s="216" t="n"/>
      <c r="D227" s="217" t="n"/>
      <c r="E227" s="216" t="n"/>
      <c r="F227" s="216" t="n"/>
      <c r="G227" s="217" t="n"/>
      <c r="H227" s="217" t="n"/>
      <c r="I227" s="217" t="n"/>
      <c r="J227" s="217" t="n"/>
      <c r="K227" s="216" t="n"/>
      <c r="L227" s="217" t="n"/>
      <c r="M227" s="216" t="n"/>
      <c r="N227" s="164">
        <f>IF($K227="","",IF(OR($M227="Concluído",$M227="Cancelado"),"—",DATEVALUE($K227)-TODAY()))</f>
        <v/>
      </c>
    </row>
    <row r="228" ht="30" customHeight="1" s="131">
      <c r="A228" s="216" t="n"/>
      <c r="B228" s="216" t="n"/>
      <c r="C228" s="216" t="n"/>
      <c r="D228" s="217" t="n"/>
      <c r="E228" s="216" t="n"/>
      <c r="F228" s="216" t="n"/>
      <c r="G228" s="217" t="n"/>
      <c r="H228" s="217" t="n"/>
      <c r="I228" s="217" t="n"/>
      <c r="J228" s="217" t="n"/>
      <c r="K228" s="216" t="n"/>
      <c r="L228" s="217" t="n"/>
      <c r="M228" s="216" t="n"/>
      <c r="N228" s="164">
        <f>IF($K228="","",IF(OR($M228="Concluído",$M228="Cancelado"),"—",DATEVALUE($K228)-TODAY()))</f>
        <v/>
      </c>
    </row>
    <row r="229" ht="30" customHeight="1" s="131">
      <c r="A229" s="216" t="n"/>
      <c r="B229" s="216" t="n"/>
      <c r="C229" s="216" t="n"/>
      <c r="D229" s="217" t="n"/>
      <c r="E229" s="216" t="n"/>
      <c r="F229" s="216" t="n"/>
      <c r="G229" s="217" t="n"/>
      <c r="H229" s="217" t="n"/>
      <c r="I229" s="217" t="n"/>
      <c r="J229" s="217" t="n"/>
      <c r="K229" s="216" t="n"/>
      <c r="L229" s="217" t="n"/>
      <c r="M229" s="216" t="n"/>
      <c r="N229" s="164">
        <f>IF($K229="","",IF(OR($M229="Concluído",$M229="Cancelado"),"—",DATEVALUE($K229)-TODAY()))</f>
        <v/>
      </c>
    </row>
    <row r="230" ht="30" customHeight="1" s="131">
      <c r="A230" s="216" t="n"/>
      <c r="B230" s="216" t="n"/>
      <c r="C230" s="216" t="n"/>
      <c r="D230" s="217" t="n"/>
      <c r="E230" s="216" t="n"/>
      <c r="F230" s="216" t="n"/>
      <c r="G230" s="217" t="n"/>
      <c r="H230" s="217" t="n"/>
      <c r="I230" s="217" t="n"/>
      <c r="J230" s="217" t="n"/>
      <c r="K230" s="216" t="n"/>
      <c r="L230" s="217" t="n"/>
      <c r="M230" s="216" t="n"/>
      <c r="N230" s="164">
        <f>IF($K230="","",IF(OR($M230="Concluído",$M230="Cancelado"),"—",DATEVALUE($K230)-TODAY()))</f>
        <v/>
      </c>
    </row>
    <row r="231" ht="30" customHeight="1" s="131">
      <c r="A231" s="216" t="n"/>
      <c r="B231" s="216" t="n"/>
      <c r="C231" s="216" t="n"/>
      <c r="D231" s="217" t="n"/>
      <c r="E231" s="216" t="n"/>
      <c r="F231" s="216" t="n"/>
      <c r="G231" s="217" t="n"/>
      <c r="H231" s="217" t="n"/>
      <c r="I231" s="217" t="n"/>
      <c r="J231" s="217" t="n"/>
      <c r="K231" s="216" t="n"/>
      <c r="L231" s="217" t="n"/>
      <c r="M231" s="216" t="n"/>
      <c r="N231" s="164">
        <f>IF($K231="","",IF(OR($M231="Concluído",$M231="Cancelado"),"—",DATEVALUE($K231)-TODAY()))</f>
        <v/>
      </c>
    </row>
    <row r="232" ht="30" customHeight="1" s="131">
      <c r="A232" s="216" t="n"/>
      <c r="B232" s="216" t="n"/>
      <c r="C232" s="216" t="n"/>
      <c r="D232" s="217" t="n"/>
      <c r="E232" s="216" t="n"/>
      <c r="F232" s="216" t="n"/>
      <c r="G232" s="217" t="n"/>
      <c r="H232" s="217" t="n"/>
      <c r="I232" s="217" t="n"/>
      <c r="J232" s="217" t="n"/>
      <c r="K232" s="216" t="n"/>
      <c r="L232" s="217" t="n"/>
      <c r="M232" s="216" t="n"/>
      <c r="N232" s="164">
        <f>IF($K232="","",IF(OR($M232="Concluído",$M232="Cancelado"),"—",DATEVALUE($K232)-TODAY()))</f>
        <v/>
      </c>
    </row>
    <row r="233" ht="30" customHeight="1" s="131">
      <c r="A233" s="216" t="n"/>
      <c r="B233" s="216" t="n"/>
      <c r="C233" s="216" t="n"/>
      <c r="D233" s="217" t="n"/>
      <c r="E233" s="216" t="n"/>
      <c r="F233" s="216" t="n"/>
      <c r="G233" s="217" t="n"/>
      <c r="H233" s="217" t="n"/>
      <c r="I233" s="217" t="n"/>
      <c r="J233" s="217" t="n"/>
      <c r="K233" s="216" t="n"/>
      <c r="L233" s="217" t="n"/>
      <c r="M233" s="216" t="n"/>
      <c r="N233" s="164">
        <f>IF($K233="","",IF(OR($M233="Concluído",$M233="Cancelado"),"—",DATEVALUE($K233)-TODAY()))</f>
        <v/>
      </c>
    </row>
    <row r="234" ht="30" customHeight="1" s="131">
      <c r="A234" s="216" t="n"/>
      <c r="B234" s="216" t="n"/>
      <c r="C234" s="216" t="n"/>
      <c r="D234" s="217" t="n"/>
      <c r="E234" s="216" t="n"/>
      <c r="F234" s="216" t="n"/>
      <c r="G234" s="217" t="n"/>
      <c r="H234" s="217" t="n"/>
      <c r="I234" s="217" t="n"/>
      <c r="J234" s="217" t="n"/>
      <c r="K234" s="216" t="n"/>
      <c r="L234" s="217" t="n"/>
      <c r="M234" s="216" t="n"/>
      <c r="N234" s="164">
        <f>IF($K234="","",IF(OR($M234="Concluído",$M234="Cancelado"),"—",DATEVALUE($K234)-TODAY()))</f>
        <v/>
      </c>
    </row>
    <row r="235" ht="30" customHeight="1" s="131">
      <c r="A235" s="216" t="n"/>
      <c r="B235" s="216" t="n"/>
      <c r="C235" s="216" t="n"/>
      <c r="D235" s="217" t="n"/>
      <c r="E235" s="216" t="n"/>
      <c r="F235" s="216" t="n"/>
      <c r="G235" s="217" t="n"/>
      <c r="H235" s="217" t="n"/>
      <c r="I235" s="217" t="n"/>
      <c r="J235" s="217" t="n"/>
      <c r="K235" s="216" t="n"/>
      <c r="L235" s="217" t="n"/>
      <c r="M235" s="216" t="n"/>
      <c r="N235" s="164">
        <f>IF($K235="","",IF(OR($M235="Concluído",$M235="Cancelado"),"—",DATEVALUE($K235)-TODAY()))</f>
        <v/>
      </c>
    </row>
    <row r="236" ht="30" customHeight="1" s="131">
      <c r="A236" s="216" t="n"/>
      <c r="B236" s="216" t="n"/>
      <c r="C236" s="216" t="n"/>
      <c r="D236" s="217" t="n"/>
      <c r="E236" s="216" t="n"/>
      <c r="F236" s="216" t="n"/>
      <c r="G236" s="217" t="n"/>
      <c r="H236" s="217" t="n"/>
      <c r="I236" s="217" t="n"/>
      <c r="J236" s="217" t="n"/>
      <c r="K236" s="216" t="n"/>
      <c r="L236" s="217" t="n"/>
      <c r="M236" s="216" t="n"/>
      <c r="N236" s="164">
        <f>IF($K236="","",IF(OR($M236="Concluído",$M236="Cancelado"),"—",DATEVALUE($K236)-TODAY()))</f>
        <v/>
      </c>
    </row>
    <row r="237" ht="30" customHeight="1" s="131">
      <c r="A237" s="216" t="n"/>
      <c r="B237" s="216" t="n"/>
      <c r="C237" s="216" t="n"/>
      <c r="D237" s="217" t="n"/>
      <c r="E237" s="216" t="n"/>
      <c r="F237" s="216" t="n"/>
      <c r="G237" s="217" t="n"/>
      <c r="H237" s="217" t="n"/>
      <c r="I237" s="217" t="n"/>
      <c r="J237" s="217" t="n"/>
      <c r="K237" s="216" t="n"/>
      <c r="L237" s="217" t="n"/>
      <c r="M237" s="216" t="n"/>
      <c r="N237" s="164">
        <f>IF($K237="","",IF(OR($M237="Concluído",$M237="Cancelado"),"—",DATEVALUE($K237)-TODAY()))</f>
        <v/>
      </c>
    </row>
    <row r="238" ht="30" customHeight="1" s="131">
      <c r="A238" s="216" t="n"/>
      <c r="B238" s="216" t="n"/>
      <c r="C238" s="216" t="n"/>
      <c r="D238" s="217" t="n"/>
      <c r="E238" s="216" t="n"/>
      <c r="F238" s="216" t="n"/>
      <c r="G238" s="217" t="n"/>
      <c r="H238" s="217" t="n"/>
      <c r="I238" s="217" t="n"/>
      <c r="J238" s="217" t="n"/>
      <c r="K238" s="216" t="n"/>
      <c r="L238" s="217" t="n"/>
      <c r="M238" s="216" t="n"/>
      <c r="N238" s="164">
        <f>IF($K238="","",IF(OR($M238="Concluído",$M238="Cancelado"),"—",DATEVALUE($K238)-TODAY()))</f>
        <v/>
      </c>
    </row>
    <row r="239" ht="30" customHeight="1" s="131">
      <c r="A239" s="216" t="n"/>
      <c r="B239" s="216" t="n"/>
      <c r="C239" s="216" t="n"/>
      <c r="D239" s="217" t="n"/>
      <c r="E239" s="216" t="n"/>
      <c r="F239" s="216" t="n"/>
      <c r="G239" s="217" t="n"/>
      <c r="H239" s="217" t="n"/>
      <c r="I239" s="217" t="n"/>
      <c r="J239" s="217" t="n"/>
      <c r="K239" s="216" t="n"/>
      <c r="L239" s="217" t="n"/>
      <c r="M239" s="216" t="n"/>
      <c r="N239" s="164">
        <f>IF($K239="","",IF(OR($M239="Concluído",$M239="Cancelado"),"—",DATEVALUE($K239)-TODAY()))</f>
        <v/>
      </c>
    </row>
    <row r="240" ht="30" customHeight="1" s="131">
      <c r="A240" s="216" t="n"/>
      <c r="B240" s="216" t="n"/>
      <c r="C240" s="216" t="n"/>
      <c r="D240" s="217" t="n"/>
      <c r="E240" s="216" t="n"/>
      <c r="F240" s="216" t="n"/>
      <c r="G240" s="217" t="n"/>
      <c r="H240" s="217" t="n"/>
      <c r="I240" s="217" t="n"/>
      <c r="J240" s="217" t="n"/>
      <c r="K240" s="216" t="n"/>
      <c r="L240" s="217" t="n"/>
      <c r="M240" s="216" t="n"/>
      <c r="N240" s="164">
        <f>IF($K240="","",IF(OR($M240="Concluído",$M240="Cancelado"),"—",DATEVALUE($K240)-TODAY()))</f>
        <v/>
      </c>
    </row>
    <row r="241" ht="30" customHeight="1" s="131">
      <c r="A241" s="216" t="n"/>
      <c r="B241" s="216" t="n"/>
      <c r="C241" s="216" t="n"/>
      <c r="D241" s="217" t="n"/>
      <c r="E241" s="216" t="n"/>
      <c r="F241" s="216" t="n"/>
      <c r="G241" s="217" t="n"/>
      <c r="H241" s="217" t="n"/>
      <c r="I241" s="217" t="n"/>
      <c r="J241" s="217" t="n"/>
      <c r="K241" s="216" t="n"/>
      <c r="L241" s="217" t="n"/>
      <c r="M241" s="216" t="n"/>
      <c r="N241" s="164">
        <f>IF($K241="","",IF(OR($M241="Concluído",$M241="Cancelado"),"—",DATEVALUE($K241)-TODAY()))</f>
        <v/>
      </c>
    </row>
    <row r="242" ht="30" customHeight="1" s="131">
      <c r="A242" s="216" t="n"/>
      <c r="B242" s="216" t="n"/>
      <c r="C242" s="216" t="n"/>
      <c r="D242" s="217" t="n"/>
      <c r="E242" s="216" t="n"/>
      <c r="F242" s="216" t="n"/>
      <c r="G242" s="217" t="n"/>
      <c r="H242" s="217" t="n"/>
      <c r="I242" s="217" t="n"/>
      <c r="J242" s="217" t="n"/>
      <c r="K242" s="216" t="n"/>
      <c r="L242" s="217" t="n"/>
      <c r="M242" s="216" t="n"/>
      <c r="N242" s="164">
        <f>IF($K242="","",IF(OR($M242="Concluído",$M242="Cancelado"),"—",DATEVALUE($K242)-TODAY()))</f>
        <v/>
      </c>
    </row>
    <row r="243" ht="30" customHeight="1" s="131">
      <c r="A243" s="216" t="n"/>
      <c r="B243" s="216" t="n"/>
      <c r="C243" s="216" t="n"/>
      <c r="D243" s="217" t="n"/>
      <c r="E243" s="216" t="n"/>
      <c r="F243" s="216" t="n"/>
      <c r="G243" s="217" t="n"/>
      <c r="H243" s="217" t="n"/>
      <c r="I243" s="217" t="n"/>
      <c r="J243" s="217" t="n"/>
      <c r="K243" s="216" t="n"/>
      <c r="L243" s="217" t="n"/>
      <c r="M243" s="216" t="n"/>
      <c r="N243" s="164">
        <f>IF($K243="","",IF(OR($M243="Concluído",$M243="Cancelado"),"—",DATEVALUE($K243)-TODAY()))</f>
        <v/>
      </c>
    </row>
    <row r="244" ht="30" customHeight="1" s="131">
      <c r="A244" s="216" t="n"/>
      <c r="B244" s="216" t="n"/>
      <c r="C244" s="216" t="n"/>
      <c r="D244" s="217" t="n"/>
      <c r="E244" s="216" t="n"/>
      <c r="F244" s="216" t="n"/>
      <c r="G244" s="217" t="n"/>
      <c r="H244" s="217" t="n"/>
      <c r="I244" s="217" t="n"/>
      <c r="J244" s="217" t="n"/>
      <c r="K244" s="216" t="n"/>
      <c r="L244" s="217" t="n"/>
      <c r="M244" s="216" t="n"/>
      <c r="N244" s="164">
        <f>IF($K244="","",IF(OR($M244="Concluído",$M244="Cancelado"),"—",DATEVALUE($K244)-TODAY()))</f>
        <v/>
      </c>
    </row>
    <row r="245" ht="30" customHeight="1" s="131">
      <c r="A245" s="216" t="n"/>
      <c r="B245" s="216" t="n"/>
      <c r="C245" s="216" t="n"/>
      <c r="D245" s="217" t="n"/>
      <c r="E245" s="216" t="n"/>
      <c r="F245" s="216" t="n"/>
      <c r="G245" s="217" t="n"/>
      <c r="H245" s="217" t="n"/>
      <c r="I245" s="217" t="n"/>
      <c r="J245" s="217" t="n"/>
      <c r="K245" s="216" t="n"/>
      <c r="L245" s="217" t="n"/>
      <c r="M245" s="216" t="n"/>
      <c r="N245" s="164">
        <f>IF($K245="","",IF(OR($M245="Concluído",$M245="Cancelado"),"—",DATEVALUE($K245)-TODAY()))</f>
        <v/>
      </c>
    </row>
    <row r="246" ht="30" customHeight="1" s="131">
      <c r="A246" s="216" t="n"/>
      <c r="B246" s="216" t="n"/>
      <c r="C246" s="216" t="n"/>
      <c r="D246" s="217" t="n"/>
      <c r="E246" s="216" t="n"/>
      <c r="F246" s="216" t="n"/>
      <c r="G246" s="217" t="n"/>
      <c r="H246" s="217" t="n"/>
      <c r="I246" s="217" t="n"/>
      <c r="J246" s="217" t="n"/>
      <c r="K246" s="216" t="n"/>
      <c r="L246" s="217" t="n"/>
      <c r="M246" s="216" t="n"/>
      <c r="N246" s="164">
        <f>IF($K246="","",IF(OR($M246="Concluído",$M246="Cancelado"),"—",DATEVALUE($K246)-TODAY()))</f>
        <v/>
      </c>
    </row>
    <row r="247" ht="30" customHeight="1" s="131">
      <c r="A247" s="216" t="n"/>
      <c r="B247" s="216" t="n"/>
      <c r="C247" s="216" t="n"/>
      <c r="D247" s="217" t="n"/>
      <c r="E247" s="216" t="n"/>
      <c r="F247" s="216" t="n"/>
      <c r="G247" s="217" t="n"/>
      <c r="H247" s="217" t="n"/>
      <c r="I247" s="217" t="n"/>
      <c r="J247" s="217" t="n"/>
      <c r="K247" s="216" t="n"/>
      <c r="L247" s="217" t="n"/>
      <c r="M247" s="216" t="n"/>
      <c r="N247" s="164">
        <f>IF($K247="","",IF(OR($M247="Concluído",$M247="Cancelado"),"—",DATEVALUE($K247)-TODAY()))</f>
        <v/>
      </c>
    </row>
    <row r="248" ht="30" customHeight="1" s="131">
      <c r="A248" s="216" t="n"/>
      <c r="B248" s="216" t="n"/>
      <c r="C248" s="216" t="n"/>
      <c r="D248" s="217" t="n"/>
      <c r="E248" s="216" t="n"/>
      <c r="F248" s="216" t="n"/>
      <c r="G248" s="217" t="n"/>
      <c r="H248" s="217" t="n"/>
      <c r="I248" s="217" t="n"/>
      <c r="J248" s="217" t="n"/>
      <c r="K248" s="216" t="n"/>
      <c r="L248" s="217" t="n"/>
      <c r="M248" s="216" t="n"/>
      <c r="N248" s="164">
        <f>IF($K248="","",IF(OR($M248="Concluído",$M248="Cancelado"),"—",DATEVALUE($K248)-TODAY()))</f>
        <v/>
      </c>
    </row>
    <row r="249" ht="30" customHeight="1" s="131">
      <c r="A249" s="216" t="n"/>
      <c r="B249" s="216" t="n"/>
      <c r="C249" s="216" t="n"/>
      <c r="D249" s="217" t="n"/>
      <c r="E249" s="216" t="n"/>
      <c r="F249" s="216" t="n"/>
      <c r="G249" s="217" t="n"/>
      <c r="H249" s="217" t="n"/>
      <c r="I249" s="217" t="n"/>
      <c r="J249" s="217" t="n"/>
      <c r="K249" s="216" t="n"/>
      <c r="L249" s="217" t="n"/>
      <c r="M249" s="216" t="n"/>
      <c r="N249" s="164">
        <f>IF($K249="","",IF(OR($M249="Concluído",$M249="Cancelado"),"—",DATEVALUE($K249)-TODAY()))</f>
        <v/>
      </c>
    </row>
    <row r="250" ht="30" customHeight="1" s="131">
      <c r="A250" s="216" t="n"/>
      <c r="B250" s="216" t="n"/>
      <c r="C250" s="216" t="n"/>
      <c r="D250" s="217" t="n"/>
      <c r="E250" s="216" t="n"/>
      <c r="F250" s="216" t="n"/>
      <c r="G250" s="217" t="n"/>
      <c r="H250" s="217" t="n"/>
      <c r="I250" s="217" t="n"/>
      <c r="J250" s="217" t="n"/>
      <c r="K250" s="216" t="n"/>
      <c r="L250" s="217" t="n"/>
      <c r="M250" s="216" t="n"/>
      <c r="N250" s="164">
        <f>IF($K250="","",IF(OR($M250="Concluído",$M250="Cancelado"),"—",DATEVALUE($K250)-TODAY()))</f>
        <v/>
      </c>
    </row>
    <row r="251" ht="30" customHeight="1" s="131">
      <c r="A251" s="216" t="n"/>
      <c r="B251" s="216" t="n"/>
      <c r="C251" s="216" t="n"/>
      <c r="D251" s="217" t="n"/>
      <c r="E251" s="216" t="n"/>
      <c r="F251" s="216" t="n"/>
      <c r="G251" s="217" t="n"/>
      <c r="H251" s="217" t="n"/>
      <c r="I251" s="217" t="n"/>
      <c r="J251" s="217" t="n"/>
      <c r="K251" s="216" t="n"/>
      <c r="L251" s="217" t="n"/>
      <c r="M251" s="216" t="n"/>
      <c r="N251" s="164">
        <f>IF($K251="","",IF(OR($M251="Concluído",$M251="Cancelado"),"—",DATEVALUE($K251)-TODAY()))</f>
        <v/>
      </c>
    </row>
    <row r="252" ht="30" customHeight="1" s="131">
      <c r="A252" s="216" t="n"/>
      <c r="B252" s="216" t="n"/>
      <c r="C252" s="216" t="n"/>
      <c r="D252" s="217" t="n"/>
      <c r="E252" s="216" t="n"/>
      <c r="F252" s="216" t="n"/>
      <c r="G252" s="217" t="n"/>
      <c r="H252" s="217" t="n"/>
      <c r="I252" s="217" t="n"/>
      <c r="J252" s="217" t="n"/>
      <c r="K252" s="216" t="n"/>
      <c r="L252" s="217" t="n"/>
      <c r="M252" s="216" t="n"/>
      <c r="N252" s="164">
        <f>IF($K252="","",IF(OR($M252="Concluído",$M252="Cancelado"),"—",DATEVALUE($K252)-TODAY()))</f>
        <v/>
      </c>
    </row>
    <row r="253" ht="30" customHeight="1" s="131">
      <c r="A253" s="216" t="n"/>
      <c r="B253" s="216" t="n"/>
      <c r="C253" s="216" t="n"/>
      <c r="D253" s="217" t="n"/>
      <c r="E253" s="216" t="n"/>
      <c r="F253" s="216" t="n"/>
      <c r="G253" s="217" t="n"/>
      <c r="H253" s="217" t="n"/>
      <c r="I253" s="217" t="n"/>
      <c r="J253" s="217" t="n"/>
      <c r="K253" s="216" t="n"/>
      <c r="L253" s="217" t="n"/>
      <c r="M253" s="216" t="n"/>
      <c r="N253" s="164">
        <f>IF($K253="","",IF(OR($M253="Concluído",$M253="Cancelado"),"—",DATEVALUE($K253)-TODAY()))</f>
        <v/>
      </c>
    </row>
    <row r="254" ht="30" customHeight="1" s="131">
      <c r="A254" s="216" t="n"/>
      <c r="B254" s="216" t="n"/>
      <c r="C254" s="216" t="n"/>
      <c r="D254" s="217" t="n"/>
      <c r="E254" s="216" t="n"/>
      <c r="F254" s="216" t="n"/>
      <c r="G254" s="217" t="n"/>
      <c r="H254" s="217" t="n"/>
      <c r="I254" s="217" t="n"/>
      <c r="J254" s="217" t="n"/>
      <c r="K254" s="216" t="n"/>
      <c r="L254" s="217" t="n"/>
      <c r="M254" s="216" t="n"/>
      <c r="N254" s="164">
        <f>IF($K254="","",IF(OR($M254="Concluído",$M254="Cancelado"),"—",DATEVALUE($K254)-TODAY()))</f>
        <v/>
      </c>
    </row>
    <row r="255" ht="30" customHeight="1" s="131">
      <c r="A255" s="216" t="n"/>
      <c r="B255" s="216" t="n"/>
      <c r="C255" s="216" t="n"/>
      <c r="D255" s="217" t="n"/>
      <c r="E255" s="216" t="n"/>
      <c r="F255" s="216" t="n"/>
      <c r="G255" s="217" t="n"/>
      <c r="H255" s="217" t="n"/>
      <c r="I255" s="217" t="n"/>
      <c r="J255" s="217" t="n"/>
      <c r="K255" s="216" t="n"/>
      <c r="L255" s="217" t="n"/>
      <c r="M255" s="216" t="n"/>
      <c r="N255" s="164">
        <f>IF($K255="","",IF(OR($M255="Concluído",$M255="Cancelado"),"—",DATEVALUE($K255)-TODAY()))</f>
        <v/>
      </c>
    </row>
    <row r="256" ht="30" customHeight="1" s="131">
      <c r="A256" s="216" t="n"/>
      <c r="B256" s="216" t="n"/>
      <c r="C256" s="216" t="n"/>
      <c r="D256" s="217" t="n"/>
      <c r="E256" s="216" t="n"/>
      <c r="F256" s="216" t="n"/>
      <c r="G256" s="217" t="n"/>
      <c r="H256" s="217" t="n"/>
      <c r="I256" s="217" t="n"/>
      <c r="J256" s="217" t="n"/>
      <c r="K256" s="216" t="n"/>
      <c r="L256" s="217" t="n"/>
      <c r="M256" s="216" t="n"/>
      <c r="N256" s="164">
        <f>IF($K256="","",IF(OR($M256="Concluído",$M256="Cancelado"),"—",DATEVALUE($K256)-TODAY()))</f>
        <v/>
      </c>
    </row>
    <row r="257" ht="30" customHeight="1" s="131">
      <c r="A257" s="216" t="n"/>
      <c r="B257" s="216" t="n"/>
      <c r="C257" s="216" t="n"/>
      <c r="D257" s="217" t="n"/>
      <c r="E257" s="216" t="n"/>
      <c r="F257" s="216" t="n"/>
      <c r="G257" s="217" t="n"/>
      <c r="H257" s="217" t="n"/>
      <c r="I257" s="217" t="n"/>
      <c r="J257" s="217" t="n"/>
      <c r="K257" s="216" t="n"/>
      <c r="L257" s="217" t="n"/>
      <c r="M257" s="216" t="n"/>
      <c r="N257" s="164">
        <f>IF($K257="","",IF(OR($M257="Concluído",$M257="Cancelado"),"—",DATEVALUE($K257)-TODAY()))</f>
        <v/>
      </c>
    </row>
    <row r="258" ht="30" customHeight="1" s="131">
      <c r="A258" s="216" t="n"/>
      <c r="B258" s="216" t="n"/>
      <c r="C258" s="216" t="n"/>
      <c r="D258" s="217" t="n"/>
      <c r="E258" s="216" t="n"/>
      <c r="F258" s="216" t="n"/>
      <c r="G258" s="217" t="n"/>
      <c r="H258" s="217" t="n"/>
      <c r="I258" s="217" t="n"/>
      <c r="J258" s="217" t="n"/>
      <c r="K258" s="216" t="n"/>
      <c r="L258" s="217" t="n"/>
      <c r="M258" s="216" t="n"/>
      <c r="N258" s="164">
        <f>IF($K258="","",IF(OR($M258="Concluído",$M258="Cancelado"),"—",DATEVALUE($K258)-TODAY()))</f>
        <v/>
      </c>
    </row>
    <row r="259" ht="30" customHeight="1" s="131">
      <c r="A259" s="216" t="n"/>
      <c r="B259" s="216" t="n"/>
      <c r="C259" s="216" t="n"/>
      <c r="D259" s="217" t="n"/>
      <c r="E259" s="216" t="n"/>
      <c r="F259" s="216" t="n"/>
      <c r="G259" s="217" t="n"/>
      <c r="H259" s="217" t="n"/>
      <c r="I259" s="217" t="n"/>
      <c r="J259" s="217" t="n"/>
      <c r="K259" s="216" t="n"/>
      <c r="L259" s="217" t="n"/>
      <c r="M259" s="216" t="n"/>
      <c r="N259" s="164">
        <f>IF($K259="","",IF(OR($M259="Concluído",$M259="Cancelado"),"—",DATEVALUE($K259)-TODAY()))</f>
        <v/>
      </c>
    </row>
    <row r="260" ht="30" customHeight="1" s="131">
      <c r="A260" s="216" t="n"/>
      <c r="B260" s="216" t="n"/>
      <c r="C260" s="216" t="n"/>
      <c r="D260" s="217" t="n"/>
      <c r="E260" s="216" t="n"/>
      <c r="F260" s="216" t="n"/>
      <c r="G260" s="217" t="n"/>
      <c r="H260" s="217" t="n"/>
      <c r="I260" s="217" t="n"/>
      <c r="J260" s="217" t="n"/>
      <c r="K260" s="216" t="n"/>
      <c r="L260" s="217" t="n"/>
      <c r="M260" s="216" t="n"/>
      <c r="N260" s="164">
        <f>IF($K260="","",IF(OR($M260="Concluído",$M260="Cancelado"),"—",DATEVALUE($K260)-TODAY()))</f>
        <v/>
      </c>
    </row>
    <row r="261" ht="30" customHeight="1" s="131">
      <c r="A261" s="216" t="n"/>
      <c r="B261" s="216" t="n"/>
      <c r="C261" s="216" t="n"/>
      <c r="D261" s="217" t="n"/>
      <c r="E261" s="216" t="n"/>
      <c r="F261" s="216" t="n"/>
      <c r="G261" s="217" t="n"/>
      <c r="H261" s="217" t="n"/>
      <c r="I261" s="217" t="n"/>
      <c r="J261" s="217" t="n"/>
      <c r="K261" s="216" t="n"/>
      <c r="L261" s="217" t="n"/>
      <c r="M261" s="216" t="n"/>
      <c r="N261" s="164">
        <f>IF($K261="","",IF(OR($M261="Concluído",$M261="Cancelado"),"—",DATEVALUE($K261)-TODAY()))</f>
        <v/>
      </c>
    </row>
    <row r="262" ht="30" customHeight="1" s="131">
      <c r="A262" s="216" t="n"/>
      <c r="B262" s="216" t="n"/>
      <c r="C262" s="216" t="n"/>
      <c r="D262" s="217" t="n"/>
      <c r="E262" s="216" t="n"/>
      <c r="F262" s="216" t="n"/>
      <c r="G262" s="217" t="n"/>
      <c r="H262" s="217" t="n"/>
      <c r="I262" s="217" t="n"/>
      <c r="J262" s="217" t="n"/>
      <c r="K262" s="216" t="n"/>
      <c r="L262" s="217" t="n"/>
      <c r="M262" s="216" t="n"/>
      <c r="N262" s="164">
        <f>IF($K262="","",IF(OR($M262="Concluído",$M262="Cancelado"),"—",DATEVALUE($K262)-TODAY()))</f>
        <v/>
      </c>
    </row>
    <row r="263" ht="30" customHeight="1" s="131">
      <c r="A263" s="216" t="n"/>
      <c r="B263" s="216" t="n"/>
      <c r="C263" s="216" t="n"/>
      <c r="D263" s="217" t="n"/>
      <c r="E263" s="216" t="n"/>
      <c r="F263" s="216" t="n"/>
      <c r="G263" s="217" t="n"/>
      <c r="H263" s="217" t="n"/>
      <c r="I263" s="217" t="n"/>
      <c r="J263" s="217" t="n"/>
      <c r="K263" s="216" t="n"/>
      <c r="L263" s="217" t="n"/>
      <c r="M263" s="216" t="n"/>
      <c r="N263" s="164">
        <f>IF($K263="","",IF(OR($M263="Concluído",$M263="Cancelado"),"—",DATEVALUE($K263)-TODAY()))</f>
        <v/>
      </c>
    </row>
    <row r="264" ht="30" customHeight="1" s="131">
      <c r="A264" s="216" t="n"/>
      <c r="B264" s="216" t="n"/>
      <c r="C264" s="216" t="n"/>
      <c r="D264" s="217" t="n"/>
      <c r="E264" s="216" t="n"/>
      <c r="F264" s="216" t="n"/>
      <c r="G264" s="217" t="n"/>
      <c r="H264" s="217" t="n"/>
      <c r="I264" s="217" t="n"/>
      <c r="J264" s="217" t="n"/>
      <c r="K264" s="216" t="n"/>
      <c r="L264" s="217" t="n"/>
      <c r="M264" s="216" t="n"/>
      <c r="N264" s="164">
        <f>IF($K264="","",IF(OR($M264="Concluído",$M264="Cancelado"),"—",DATEVALUE($K264)-TODAY()))</f>
        <v/>
      </c>
    </row>
    <row r="265" ht="30" customHeight="1" s="131">
      <c r="A265" s="216" t="n"/>
      <c r="B265" s="216" t="n"/>
      <c r="C265" s="216" t="n"/>
      <c r="D265" s="217" t="n"/>
      <c r="E265" s="216" t="n"/>
      <c r="F265" s="216" t="n"/>
      <c r="G265" s="217" t="n"/>
      <c r="H265" s="217" t="n"/>
      <c r="I265" s="217" t="n"/>
      <c r="J265" s="217" t="n"/>
      <c r="K265" s="216" t="n"/>
      <c r="L265" s="217" t="n"/>
      <c r="M265" s="216" t="n"/>
      <c r="N265" s="164">
        <f>IF($K265="","",IF(OR($M265="Concluído",$M265="Cancelado"),"—",DATEVALUE($K265)-TODAY()))</f>
        <v/>
      </c>
    </row>
    <row r="266" ht="30" customHeight="1" s="131">
      <c r="A266" s="216" t="n"/>
      <c r="B266" s="216" t="n"/>
      <c r="C266" s="216" t="n"/>
      <c r="D266" s="217" t="n"/>
      <c r="E266" s="216" t="n"/>
      <c r="F266" s="216" t="n"/>
      <c r="G266" s="217" t="n"/>
      <c r="H266" s="217" t="n"/>
      <c r="I266" s="217" t="n"/>
      <c r="J266" s="217" t="n"/>
      <c r="K266" s="216" t="n"/>
      <c r="L266" s="217" t="n"/>
      <c r="M266" s="216" t="n"/>
      <c r="N266" s="164">
        <f>IF($K266="","",IF(OR($M266="Concluído",$M266="Cancelado"),"—",DATEVALUE($K266)-TODAY()))</f>
        <v/>
      </c>
    </row>
    <row r="267" ht="30" customHeight="1" s="131">
      <c r="A267" s="216" t="n"/>
      <c r="B267" s="216" t="n"/>
      <c r="C267" s="216" t="n"/>
      <c r="D267" s="217" t="n"/>
      <c r="E267" s="216" t="n"/>
      <c r="F267" s="216" t="n"/>
      <c r="G267" s="217" t="n"/>
      <c r="H267" s="217" t="n"/>
      <c r="I267" s="217" t="n"/>
      <c r="J267" s="217" t="n"/>
      <c r="K267" s="216" t="n"/>
      <c r="L267" s="217" t="n"/>
      <c r="M267" s="216" t="n"/>
      <c r="N267" s="164">
        <f>IF($K267="","",IF(OR($M267="Concluído",$M267="Cancelado"),"—",DATEVALUE($K267)-TODAY()))</f>
        <v/>
      </c>
    </row>
    <row r="268" ht="30" customHeight="1" s="131">
      <c r="A268" s="216" t="n"/>
      <c r="B268" s="216" t="n"/>
      <c r="C268" s="216" t="n"/>
      <c r="D268" s="217" t="n"/>
      <c r="E268" s="216" t="n"/>
      <c r="F268" s="216" t="n"/>
      <c r="G268" s="217" t="n"/>
      <c r="H268" s="217" t="n"/>
      <c r="I268" s="217" t="n"/>
      <c r="J268" s="217" t="n"/>
      <c r="K268" s="216" t="n"/>
      <c r="L268" s="217" t="n"/>
      <c r="M268" s="216" t="n"/>
      <c r="N268" s="164">
        <f>IF($K268="","",IF(OR($M268="Concluído",$M268="Cancelado"),"—",DATEVALUE($K268)-TODAY()))</f>
        <v/>
      </c>
    </row>
    <row r="269" ht="30" customHeight="1" s="131">
      <c r="A269" s="216" t="n"/>
      <c r="B269" s="216" t="n"/>
      <c r="C269" s="216" t="n"/>
      <c r="D269" s="217" t="n"/>
      <c r="E269" s="216" t="n"/>
      <c r="F269" s="216" t="n"/>
      <c r="G269" s="217" t="n"/>
      <c r="H269" s="217" t="n"/>
      <c r="I269" s="217" t="n"/>
      <c r="J269" s="217" t="n"/>
      <c r="K269" s="216" t="n"/>
      <c r="L269" s="217" t="n"/>
      <c r="M269" s="216" t="n"/>
      <c r="N269" s="164">
        <f>IF($K269="","",IF(OR($M269="Concluído",$M269="Cancelado"),"—",DATEVALUE($K269)-TODAY()))</f>
        <v/>
      </c>
    </row>
    <row r="270" ht="30" customHeight="1" s="131">
      <c r="A270" s="216" t="n"/>
      <c r="B270" s="216" t="n"/>
      <c r="C270" s="216" t="n"/>
      <c r="D270" s="217" t="n"/>
      <c r="E270" s="216" t="n"/>
      <c r="F270" s="216" t="n"/>
      <c r="G270" s="217" t="n"/>
      <c r="H270" s="217" t="n"/>
      <c r="I270" s="217" t="n"/>
      <c r="J270" s="217" t="n"/>
      <c r="K270" s="216" t="n"/>
      <c r="L270" s="217" t="n"/>
      <c r="M270" s="216" t="n"/>
      <c r="N270" s="164">
        <f>IF($K270="","",IF(OR($M270="Concluído",$M270="Cancelado"),"—",DATEVALUE($K270)-TODAY()))</f>
        <v/>
      </c>
    </row>
    <row r="271" ht="30" customHeight="1" s="131">
      <c r="A271" s="216" t="n"/>
      <c r="B271" s="216" t="n"/>
      <c r="C271" s="216" t="n"/>
      <c r="D271" s="217" t="n"/>
      <c r="E271" s="216" t="n"/>
      <c r="F271" s="216" t="n"/>
      <c r="G271" s="217" t="n"/>
      <c r="H271" s="217" t="n"/>
      <c r="I271" s="217" t="n"/>
      <c r="J271" s="217" t="n"/>
      <c r="K271" s="216" t="n"/>
      <c r="L271" s="217" t="n"/>
      <c r="M271" s="216" t="n"/>
      <c r="N271" s="164">
        <f>IF($K271="","",IF(OR($M271="Concluído",$M271="Cancelado"),"—",DATEVALUE($K271)-TODAY()))</f>
        <v/>
      </c>
    </row>
    <row r="272" ht="30" customHeight="1" s="131">
      <c r="A272" s="216" t="n"/>
      <c r="B272" s="216" t="n"/>
      <c r="C272" s="216" t="n"/>
      <c r="D272" s="217" t="n"/>
      <c r="E272" s="216" t="n"/>
      <c r="F272" s="216" t="n"/>
      <c r="G272" s="217" t="n"/>
      <c r="H272" s="217" t="n"/>
      <c r="I272" s="217" t="n"/>
      <c r="J272" s="217" t="n"/>
      <c r="K272" s="216" t="n"/>
      <c r="L272" s="217" t="n"/>
      <c r="M272" s="216" t="n"/>
      <c r="N272" s="164">
        <f>IF($K272="","",IF(OR($M272="Concluído",$M272="Cancelado"),"—",DATEVALUE($K272)-TODAY()))</f>
        <v/>
      </c>
    </row>
    <row r="273" ht="30" customHeight="1" s="131">
      <c r="A273" s="216" t="n"/>
      <c r="B273" s="216" t="n"/>
      <c r="C273" s="216" t="n"/>
      <c r="D273" s="217" t="n"/>
      <c r="E273" s="216" t="n"/>
      <c r="F273" s="216" t="n"/>
      <c r="G273" s="217" t="n"/>
      <c r="H273" s="217" t="n"/>
      <c r="I273" s="217" t="n"/>
      <c r="J273" s="217" t="n"/>
      <c r="K273" s="216" t="n"/>
      <c r="L273" s="217" t="n"/>
      <c r="M273" s="216" t="n"/>
      <c r="N273" s="164">
        <f>IF($K273="","",IF(OR($M273="Concluído",$M273="Cancelado"),"—",DATEVALUE($K273)-TODAY()))</f>
        <v/>
      </c>
    </row>
    <row r="274" ht="30" customHeight="1" s="131">
      <c r="A274" s="216" t="n"/>
      <c r="B274" s="216" t="n"/>
      <c r="C274" s="216" t="n"/>
      <c r="D274" s="217" t="n"/>
      <c r="E274" s="216" t="n"/>
      <c r="F274" s="216" t="n"/>
      <c r="G274" s="217" t="n"/>
      <c r="H274" s="217" t="n"/>
      <c r="I274" s="217" t="n"/>
      <c r="J274" s="217" t="n"/>
      <c r="K274" s="216" t="n"/>
      <c r="L274" s="217" t="n"/>
      <c r="M274" s="216" t="n"/>
      <c r="N274" s="164">
        <f>IF($K274="","",IF(OR($M274="Concluído",$M274="Cancelado"),"—",DATEVALUE($K274)-TODAY()))</f>
        <v/>
      </c>
    </row>
    <row r="275" ht="30" customHeight="1" s="131">
      <c r="A275" s="216" t="n"/>
      <c r="B275" s="216" t="n"/>
      <c r="C275" s="216" t="n"/>
      <c r="D275" s="217" t="n"/>
      <c r="E275" s="216" t="n"/>
      <c r="F275" s="216" t="n"/>
      <c r="G275" s="217" t="n"/>
      <c r="H275" s="217" t="n"/>
      <c r="I275" s="217" t="n"/>
      <c r="J275" s="217" t="n"/>
      <c r="K275" s="216" t="n"/>
      <c r="L275" s="217" t="n"/>
      <c r="M275" s="216" t="n"/>
      <c r="N275" s="164">
        <f>IF($K275="","",IF(OR($M275="Concluído",$M275="Cancelado"),"—",DATEVALUE($K275)-TODAY()))</f>
        <v/>
      </c>
    </row>
    <row r="276" ht="30" customHeight="1" s="131">
      <c r="A276" s="216" t="n"/>
      <c r="B276" s="216" t="n"/>
      <c r="C276" s="216" t="n"/>
      <c r="D276" s="217" t="n"/>
      <c r="E276" s="216" t="n"/>
      <c r="F276" s="216" t="n"/>
      <c r="G276" s="217" t="n"/>
      <c r="H276" s="217" t="n"/>
      <c r="I276" s="217" t="n"/>
      <c r="J276" s="217" t="n"/>
      <c r="K276" s="216" t="n"/>
      <c r="L276" s="217" t="n"/>
      <c r="M276" s="216" t="n"/>
      <c r="N276" s="164">
        <f>IF($K276="","",IF(OR($M276="Concluído",$M276="Cancelado"),"—",DATEVALUE($K276)-TODAY()))</f>
        <v/>
      </c>
    </row>
    <row r="277" ht="30" customHeight="1" s="131">
      <c r="A277" s="216" t="n"/>
      <c r="B277" s="216" t="n"/>
      <c r="C277" s="216" t="n"/>
      <c r="D277" s="217" t="n"/>
      <c r="E277" s="216" t="n"/>
      <c r="F277" s="216" t="n"/>
      <c r="G277" s="217" t="n"/>
      <c r="H277" s="217" t="n"/>
      <c r="I277" s="217" t="n"/>
      <c r="J277" s="217" t="n"/>
      <c r="K277" s="216" t="n"/>
      <c r="L277" s="217" t="n"/>
      <c r="M277" s="216" t="n"/>
      <c r="N277" s="164">
        <f>IF($K277="","",IF(OR($M277="Concluído",$M277="Cancelado"),"—",DATEVALUE($K277)-TODAY()))</f>
        <v/>
      </c>
    </row>
    <row r="278" ht="30" customHeight="1" s="131">
      <c r="A278" s="216" t="n"/>
      <c r="B278" s="216" t="n"/>
      <c r="C278" s="216" t="n"/>
      <c r="D278" s="217" t="n"/>
      <c r="E278" s="216" t="n"/>
      <c r="F278" s="216" t="n"/>
      <c r="G278" s="217" t="n"/>
      <c r="H278" s="217" t="n"/>
      <c r="I278" s="217" t="n"/>
      <c r="J278" s="217" t="n"/>
      <c r="K278" s="216" t="n"/>
      <c r="L278" s="217" t="n"/>
      <c r="M278" s="216" t="n"/>
      <c r="N278" s="164">
        <f>IF($K278="","",IF(OR($M278="Concluído",$M278="Cancelado"),"—",DATEVALUE($K278)-TODAY()))</f>
        <v/>
      </c>
    </row>
    <row r="279" ht="30" customHeight="1" s="131">
      <c r="A279" s="216" t="n"/>
      <c r="B279" s="216" t="n"/>
      <c r="C279" s="216" t="n"/>
      <c r="D279" s="217" t="n"/>
      <c r="E279" s="216" t="n"/>
      <c r="F279" s="216" t="n"/>
      <c r="G279" s="217" t="n"/>
      <c r="H279" s="217" t="n"/>
      <c r="I279" s="217" t="n"/>
      <c r="J279" s="217" t="n"/>
      <c r="K279" s="216" t="n"/>
      <c r="L279" s="217" t="n"/>
      <c r="M279" s="216" t="n"/>
      <c r="N279" s="164">
        <f>IF($K279="","",IF(OR($M279="Concluído",$M279="Cancelado"),"—",DATEVALUE($K279)-TODAY()))</f>
        <v/>
      </c>
    </row>
    <row r="280" ht="30" customHeight="1" s="131">
      <c r="A280" s="216" t="n"/>
      <c r="B280" s="216" t="n"/>
      <c r="C280" s="216" t="n"/>
      <c r="D280" s="217" t="n"/>
      <c r="E280" s="216" t="n"/>
      <c r="F280" s="216" t="n"/>
      <c r="G280" s="217" t="n"/>
      <c r="H280" s="217" t="n"/>
      <c r="I280" s="217" t="n"/>
      <c r="J280" s="217" t="n"/>
      <c r="K280" s="216" t="n"/>
      <c r="L280" s="217" t="n"/>
      <c r="M280" s="216" t="n"/>
      <c r="N280" s="164">
        <f>IF($K280="","",IF(OR($M280="Concluído",$M280="Cancelado"),"—",DATEVALUE($K280)-TODAY()))</f>
        <v/>
      </c>
    </row>
    <row r="281" ht="30" customHeight="1" s="131">
      <c r="A281" s="216" t="n"/>
      <c r="B281" s="216" t="n"/>
      <c r="C281" s="216" t="n"/>
      <c r="D281" s="217" t="n"/>
      <c r="E281" s="216" t="n"/>
      <c r="F281" s="216" t="n"/>
      <c r="G281" s="217" t="n"/>
      <c r="H281" s="217" t="n"/>
      <c r="I281" s="217" t="n"/>
      <c r="J281" s="217" t="n"/>
      <c r="K281" s="216" t="n"/>
      <c r="L281" s="217" t="n"/>
      <c r="M281" s="216" t="n"/>
      <c r="N281" s="164">
        <f>IF($K281="","",IF(OR($M281="Concluído",$M281="Cancelado"),"—",DATEVALUE($K281)-TODAY()))</f>
        <v/>
      </c>
    </row>
    <row r="282" ht="30" customHeight="1" s="131">
      <c r="A282" s="216" t="n"/>
      <c r="B282" s="216" t="n"/>
      <c r="C282" s="216" t="n"/>
      <c r="D282" s="217" t="n"/>
      <c r="E282" s="216" t="n"/>
      <c r="F282" s="216" t="n"/>
      <c r="G282" s="217" t="n"/>
      <c r="H282" s="217" t="n"/>
      <c r="I282" s="217" t="n"/>
      <c r="J282" s="217" t="n"/>
      <c r="K282" s="216" t="n"/>
      <c r="L282" s="217" t="n"/>
      <c r="M282" s="216" t="n"/>
      <c r="N282" s="164">
        <f>IF($K282="","",IF(OR($M282="Concluído",$M282="Cancelado"),"—",DATEVALUE($K282)-TODAY()))</f>
        <v/>
      </c>
    </row>
    <row r="283" ht="30" customHeight="1" s="131">
      <c r="A283" s="216" t="n"/>
      <c r="B283" s="216" t="n"/>
      <c r="C283" s="216" t="n"/>
      <c r="D283" s="217" t="n"/>
      <c r="E283" s="216" t="n"/>
      <c r="F283" s="216" t="n"/>
      <c r="G283" s="217" t="n"/>
      <c r="H283" s="217" t="n"/>
      <c r="I283" s="217" t="n"/>
      <c r="J283" s="217" t="n"/>
      <c r="K283" s="216" t="n"/>
      <c r="L283" s="217" t="n"/>
      <c r="M283" s="216" t="n"/>
      <c r="N283" s="164">
        <f>IF($K283="","",IF(OR($M283="Concluído",$M283="Cancelado"),"—",DATEVALUE($K283)-TODAY()))</f>
        <v/>
      </c>
    </row>
    <row r="284" ht="30" customHeight="1" s="131">
      <c r="A284" s="216" t="n"/>
      <c r="B284" s="216" t="n"/>
      <c r="C284" s="216" t="n"/>
      <c r="D284" s="217" t="n"/>
      <c r="E284" s="216" t="n"/>
      <c r="F284" s="216" t="n"/>
      <c r="G284" s="217" t="n"/>
      <c r="H284" s="217" t="n"/>
      <c r="I284" s="217" t="n"/>
      <c r="J284" s="217" t="n"/>
      <c r="K284" s="216" t="n"/>
      <c r="L284" s="217" t="n"/>
      <c r="M284" s="216" t="n"/>
      <c r="N284" s="164">
        <f>IF($K284="","",IF(OR($M284="Concluído",$M284="Cancelado"),"—",DATEVALUE($K284)-TODAY()))</f>
        <v/>
      </c>
    </row>
    <row r="285" ht="30" customHeight="1" s="131">
      <c r="A285" s="216" t="n"/>
      <c r="B285" s="216" t="n"/>
      <c r="C285" s="216" t="n"/>
      <c r="D285" s="217" t="n"/>
      <c r="E285" s="216" t="n"/>
      <c r="F285" s="216" t="n"/>
      <c r="G285" s="217" t="n"/>
      <c r="H285" s="217" t="n"/>
      <c r="I285" s="217" t="n"/>
      <c r="J285" s="217" t="n"/>
      <c r="K285" s="216" t="n"/>
      <c r="L285" s="217" t="n"/>
      <c r="M285" s="216" t="n"/>
      <c r="N285" s="164">
        <f>IF($K285="","",IF(OR($M285="Concluído",$M285="Cancelado"),"—",DATEVALUE($K285)-TODAY()))</f>
        <v/>
      </c>
    </row>
    <row r="286" ht="30" customHeight="1" s="131">
      <c r="A286" s="216" t="n"/>
      <c r="B286" s="216" t="n"/>
      <c r="C286" s="216" t="n"/>
      <c r="D286" s="217" t="n"/>
      <c r="E286" s="216" t="n"/>
      <c r="F286" s="216" t="n"/>
      <c r="G286" s="217" t="n"/>
      <c r="H286" s="217" t="n"/>
      <c r="I286" s="217" t="n"/>
      <c r="J286" s="217" t="n"/>
      <c r="K286" s="216" t="n"/>
      <c r="L286" s="217" t="n"/>
      <c r="M286" s="216" t="n"/>
      <c r="N286" s="164">
        <f>IF($K286="","",IF(OR($M286="Concluído",$M286="Cancelado"),"—",DATEVALUE($K286)-TODAY()))</f>
        <v/>
      </c>
    </row>
    <row r="287" ht="30" customHeight="1" s="131">
      <c r="A287" s="216" t="n"/>
      <c r="B287" s="216" t="n"/>
      <c r="C287" s="216" t="n"/>
      <c r="D287" s="217" t="n"/>
      <c r="E287" s="216" t="n"/>
      <c r="F287" s="216" t="n"/>
      <c r="G287" s="217" t="n"/>
      <c r="H287" s="217" t="n"/>
      <c r="I287" s="217" t="n"/>
      <c r="J287" s="217" t="n"/>
      <c r="K287" s="216" t="n"/>
      <c r="L287" s="217" t="n"/>
      <c r="M287" s="216" t="n"/>
      <c r="N287" s="164">
        <f>IF($K287="","",IF(OR($M287="Concluído",$M287="Cancelado"),"—",DATEVALUE($K287)-TODAY()))</f>
        <v/>
      </c>
    </row>
    <row r="288" ht="30" customHeight="1" s="131">
      <c r="A288" s="216" t="n"/>
      <c r="B288" s="216" t="n"/>
      <c r="C288" s="216" t="n"/>
      <c r="D288" s="217" t="n"/>
      <c r="E288" s="216" t="n"/>
      <c r="F288" s="216" t="n"/>
      <c r="G288" s="217" t="n"/>
      <c r="H288" s="217" t="n"/>
      <c r="I288" s="217" t="n"/>
      <c r="J288" s="217" t="n"/>
      <c r="K288" s="216" t="n"/>
      <c r="L288" s="217" t="n"/>
      <c r="M288" s="216" t="n"/>
      <c r="N288" s="164">
        <f>IF($K288="","",IF(OR($M288="Concluído",$M288="Cancelado"),"—",DATEVALUE($K288)-TODAY()))</f>
        <v/>
      </c>
    </row>
    <row r="289" ht="30" customHeight="1" s="131">
      <c r="A289" s="216" t="n"/>
      <c r="B289" s="216" t="n"/>
      <c r="C289" s="216" t="n"/>
      <c r="D289" s="217" t="n"/>
      <c r="E289" s="216" t="n"/>
      <c r="F289" s="216" t="n"/>
      <c r="G289" s="217" t="n"/>
      <c r="H289" s="217" t="n"/>
      <c r="I289" s="217" t="n"/>
      <c r="J289" s="217" t="n"/>
      <c r="K289" s="216" t="n"/>
      <c r="L289" s="217" t="n"/>
      <c r="M289" s="216" t="n"/>
      <c r="N289" s="164">
        <f>IF($K289="","",IF(OR($M289="Concluído",$M289="Cancelado"),"—",DATEVALUE($K289)-TODAY()))</f>
        <v/>
      </c>
    </row>
    <row r="290" ht="30" customHeight="1" s="131">
      <c r="A290" s="216" t="n"/>
      <c r="B290" s="216" t="n"/>
      <c r="C290" s="216" t="n"/>
      <c r="D290" s="217" t="n"/>
      <c r="E290" s="216" t="n"/>
      <c r="F290" s="216" t="n"/>
      <c r="G290" s="217" t="n"/>
      <c r="H290" s="217" t="n"/>
      <c r="I290" s="217" t="n"/>
      <c r="J290" s="217" t="n"/>
      <c r="K290" s="216" t="n"/>
      <c r="L290" s="217" t="n"/>
      <c r="M290" s="216" t="n"/>
      <c r="N290" s="164">
        <f>IF($K290="","",IF(OR($M290="Concluído",$M290="Cancelado"),"—",DATEVALUE($K290)-TODAY()))</f>
        <v/>
      </c>
    </row>
    <row r="291" ht="30" customHeight="1" s="131">
      <c r="A291" s="216" t="n"/>
      <c r="B291" s="216" t="n"/>
      <c r="C291" s="216" t="n"/>
      <c r="D291" s="217" t="n"/>
      <c r="E291" s="216" t="n"/>
      <c r="F291" s="216" t="n"/>
      <c r="G291" s="217" t="n"/>
      <c r="H291" s="217" t="n"/>
      <c r="I291" s="217" t="n"/>
      <c r="J291" s="217" t="n"/>
      <c r="K291" s="216" t="n"/>
      <c r="L291" s="217" t="n"/>
      <c r="M291" s="216" t="n"/>
      <c r="N291" s="164">
        <f>IF($K291="","",IF(OR($M291="Concluído",$M291="Cancelado"),"—",DATEVALUE($K291)-TODAY()))</f>
        <v/>
      </c>
    </row>
    <row r="292" ht="30" customHeight="1" s="131">
      <c r="A292" s="216" t="n"/>
      <c r="B292" s="216" t="n"/>
      <c r="C292" s="216" t="n"/>
      <c r="D292" s="217" t="n"/>
      <c r="E292" s="216" t="n"/>
      <c r="F292" s="216" t="n"/>
      <c r="G292" s="217" t="n"/>
      <c r="H292" s="217" t="n"/>
      <c r="I292" s="217" t="n"/>
      <c r="J292" s="217" t="n"/>
      <c r="K292" s="216" t="n"/>
      <c r="L292" s="217" t="n"/>
      <c r="M292" s="216" t="n"/>
      <c r="N292" s="164">
        <f>IF($K292="","",IF(OR($M292="Concluído",$M292="Cancelado"),"—",DATEVALUE($K292)-TODAY()))</f>
        <v/>
      </c>
    </row>
    <row r="293" ht="30" customHeight="1" s="131">
      <c r="A293" s="216" t="n"/>
      <c r="B293" s="216" t="n"/>
      <c r="C293" s="216" t="n"/>
      <c r="D293" s="217" t="n"/>
      <c r="E293" s="216" t="n"/>
      <c r="F293" s="216" t="n"/>
      <c r="G293" s="217" t="n"/>
      <c r="H293" s="217" t="n"/>
      <c r="I293" s="217" t="n"/>
      <c r="J293" s="217" t="n"/>
      <c r="K293" s="216" t="n"/>
      <c r="L293" s="217" t="n"/>
      <c r="M293" s="216" t="n"/>
      <c r="N293" s="164">
        <f>IF($K293="","",IF(OR($M293="Concluído",$M293="Cancelado"),"—",DATEVALUE($K293)-TODAY()))</f>
        <v/>
      </c>
    </row>
    <row r="294" ht="30" customHeight="1" s="131">
      <c r="A294" s="216" t="n"/>
      <c r="B294" s="216" t="n"/>
      <c r="C294" s="216" t="n"/>
      <c r="D294" s="217" t="n"/>
      <c r="E294" s="216" t="n"/>
      <c r="F294" s="216" t="n"/>
      <c r="G294" s="217" t="n"/>
      <c r="H294" s="217" t="n"/>
      <c r="I294" s="217" t="n"/>
      <c r="J294" s="217" t="n"/>
      <c r="K294" s="216" t="n"/>
      <c r="L294" s="217" t="n"/>
      <c r="M294" s="216" t="n"/>
      <c r="N294" s="164">
        <f>IF($K294="","",IF(OR($M294="Concluído",$M294="Cancelado"),"—",DATEVALUE($K294)-TODAY()))</f>
        <v/>
      </c>
    </row>
    <row r="295" ht="30" customHeight="1" s="131">
      <c r="A295" s="216" t="n"/>
      <c r="B295" s="216" t="n"/>
      <c r="C295" s="216" t="n"/>
      <c r="D295" s="217" t="n"/>
      <c r="E295" s="216" t="n"/>
      <c r="F295" s="216" t="n"/>
      <c r="G295" s="217" t="n"/>
      <c r="H295" s="217" t="n"/>
      <c r="I295" s="217" t="n"/>
      <c r="J295" s="217" t="n"/>
      <c r="K295" s="216" t="n"/>
      <c r="L295" s="217" t="n"/>
      <c r="M295" s="216" t="n"/>
      <c r="N295" s="164">
        <f>IF($K295="","",IF(OR($M295="Concluído",$M295="Cancelado"),"—",DATEVALUE($K295)-TODAY()))</f>
        <v/>
      </c>
    </row>
    <row r="296" ht="30" customHeight="1" s="131">
      <c r="A296" s="216" t="n"/>
      <c r="B296" s="216" t="n"/>
      <c r="C296" s="216" t="n"/>
      <c r="D296" s="217" t="n"/>
      <c r="E296" s="216" t="n"/>
      <c r="F296" s="216" t="n"/>
      <c r="G296" s="217" t="n"/>
      <c r="H296" s="217" t="n"/>
      <c r="I296" s="217" t="n"/>
      <c r="J296" s="217" t="n"/>
      <c r="K296" s="216" t="n"/>
      <c r="L296" s="217" t="n"/>
      <c r="M296" s="216" t="n"/>
      <c r="N296" s="164">
        <f>IF($K296="","",IF(OR($M296="Concluído",$M296="Cancelado"),"—",DATEVALUE($K296)-TODAY()))</f>
        <v/>
      </c>
    </row>
    <row r="297" ht="30" customHeight="1" s="131">
      <c r="A297" s="216" t="n"/>
      <c r="B297" s="216" t="n"/>
      <c r="C297" s="216" t="n"/>
      <c r="D297" s="217" t="n"/>
      <c r="E297" s="216" t="n"/>
      <c r="F297" s="216" t="n"/>
      <c r="G297" s="217" t="n"/>
      <c r="H297" s="217" t="n"/>
      <c r="I297" s="217" t="n"/>
      <c r="J297" s="217" t="n"/>
      <c r="K297" s="216" t="n"/>
      <c r="L297" s="217" t="n"/>
      <c r="M297" s="216" t="n"/>
      <c r="N297" s="164">
        <f>IF($K297="","",IF(OR($M297="Concluído",$M297="Cancelado"),"—",DATEVALUE($K297)-TODAY()))</f>
        <v/>
      </c>
    </row>
    <row r="298" ht="30" customHeight="1" s="131">
      <c r="A298" s="216" t="n"/>
      <c r="B298" s="216" t="n"/>
      <c r="C298" s="216" t="n"/>
      <c r="D298" s="217" t="n"/>
      <c r="E298" s="216" t="n"/>
      <c r="F298" s="216" t="n"/>
      <c r="G298" s="217" t="n"/>
      <c r="H298" s="217" t="n"/>
      <c r="I298" s="217" t="n"/>
      <c r="J298" s="217" t="n"/>
      <c r="K298" s="216" t="n"/>
      <c r="L298" s="217" t="n"/>
      <c r="M298" s="216" t="n"/>
      <c r="N298" s="164">
        <f>IF($K298="","",IF(OR($M298="Concluído",$M298="Cancelado"),"—",DATEVALUE($K298)-TODAY()))</f>
        <v/>
      </c>
    </row>
    <row r="299" ht="30" customHeight="1" s="131">
      <c r="A299" s="216" t="n"/>
      <c r="B299" s="216" t="n"/>
      <c r="C299" s="216" t="n"/>
      <c r="D299" s="217" t="n"/>
      <c r="E299" s="216" t="n"/>
      <c r="F299" s="216" t="n"/>
      <c r="G299" s="217" t="n"/>
      <c r="H299" s="217" t="n"/>
      <c r="I299" s="217" t="n"/>
      <c r="J299" s="217" t="n"/>
      <c r="K299" s="216" t="n"/>
      <c r="L299" s="217" t="n"/>
      <c r="M299" s="216" t="n"/>
      <c r="N299" s="164">
        <f>IF($K299="","",IF(OR($M299="Concluído",$M299="Cancelado"),"—",DATEVALUE($K299)-TODAY()))</f>
        <v/>
      </c>
    </row>
    <row r="300" ht="30" customHeight="1" s="131">
      <c r="A300" s="216" t="n"/>
      <c r="B300" s="216" t="n"/>
      <c r="C300" s="216" t="n"/>
      <c r="D300" s="217" t="n"/>
      <c r="E300" s="216" t="n"/>
      <c r="F300" s="216" t="n"/>
      <c r="G300" s="217" t="n"/>
      <c r="H300" s="217" t="n"/>
      <c r="I300" s="217" t="n"/>
      <c r="J300" s="217" t="n"/>
      <c r="K300" s="216" t="n"/>
      <c r="L300" s="217" t="n"/>
      <c r="M300" s="216" t="n"/>
      <c r="N300" s="164">
        <f>IF($K300="","",IF(OR($M300="Concluído",$M300="Cancelado"),"—",DATEVALUE($K300)-TODAY()))</f>
        <v/>
      </c>
    </row>
    <row r="301" ht="30" customHeight="1" s="131">
      <c r="A301" s="216" t="n"/>
      <c r="B301" s="216" t="n"/>
      <c r="C301" s="216" t="n"/>
      <c r="D301" s="217" t="n"/>
      <c r="E301" s="216" t="n"/>
      <c r="F301" s="216" t="n"/>
      <c r="G301" s="217" t="n"/>
      <c r="H301" s="217" t="n"/>
      <c r="I301" s="217" t="n"/>
      <c r="J301" s="217" t="n"/>
      <c r="K301" s="216" t="n"/>
      <c r="L301" s="217" t="n"/>
      <c r="M301" s="216" t="n"/>
      <c r="N301" s="164">
        <f>IF($K301="","",IF(OR($M301="Concluído",$M301="Cancelado"),"—",DATEVALUE($K301)-TODAY()))</f>
        <v/>
      </c>
    </row>
    <row r="302" ht="30" customHeight="1" s="131">
      <c r="A302" s="216" t="n"/>
      <c r="B302" s="216" t="n"/>
      <c r="C302" s="216" t="n"/>
      <c r="D302" s="217" t="n"/>
      <c r="E302" s="216" t="n"/>
      <c r="F302" s="216" t="n"/>
      <c r="G302" s="217" t="n"/>
      <c r="H302" s="217" t="n"/>
      <c r="I302" s="217" t="n"/>
      <c r="J302" s="217" t="n"/>
      <c r="K302" s="216" t="n"/>
      <c r="L302" s="217" t="n"/>
      <c r="M302" s="216" t="n"/>
      <c r="N302" s="164">
        <f>IF($K302="","",IF(OR($M302="Concluído",$M302="Cancelado"),"—",DATEVALUE($K302)-TODAY()))</f>
        <v/>
      </c>
    </row>
    <row r="303" ht="30" customHeight="1" s="131">
      <c r="A303" s="216" t="n"/>
      <c r="B303" s="216" t="n"/>
      <c r="C303" s="216" t="n"/>
      <c r="D303" s="217" t="n"/>
      <c r="E303" s="216" t="n"/>
      <c r="F303" s="216" t="n"/>
      <c r="G303" s="217" t="n"/>
      <c r="H303" s="217" t="n"/>
      <c r="I303" s="217" t="n"/>
      <c r="J303" s="217" t="n"/>
      <c r="K303" s="216" t="n"/>
      <c r="L303" s="217" t="n"/>
      <c r="M303" s="216" t="n"/>
      <c r="N303" s="164">
        <f>IF($K303="","",IF(OR($M303="Concluído",$M303="Cancelado"),"—",DATEVALUE($K303)-TODAY()))</f>
        <v/>
      </c>
    </row>
    <row r="304" ht="30" customHeight="1" s="131">
      <c r="A304" s="216" t="n"/>
      <c r="B304" s="216" t="n"/>
      <c r="C304" s="216" t="n"/>
      <c r="D304" s="217" t="n"/>
      <c r="E304" s="216" t="n"/>
      <c r="F304" s="216" t="n"/>
      <c r="G304" s="217" t="n"/>
      <c r="H304" s="217" t="n"/>
      <c r="I304" s="217" t="n"/>
      <c r="J304" s="217" t="n"/>
      <c r="K304" s="216" t="n"/>
      <c r="L304" s="217" t="n"/>
      <c r="M304" s="216" t="n"/>
      <c r="N304" s="164">
        <f>IF($K304="","",IF(OR($M304="Concluído",$M304="Cancelado"),"—",DATEVALUE($K304)-TODAY()))</f>
        <v/>
      </c>
    </row>
    <row r="305" ht="30" customHeight="1" s="131">
      <c r="A305" s="216" t="n"/>
      <c r="B305" s="216" t="n"/>
      <c r="C305" s="216" t="n"/>
      <c r="D305" s="217" t="n"/>
      <c r="E305" s="216" t="n"/>
      <c r="F305" s="216" t="n"/>
      <c r="G305" s="217" t="n"/>
      <c r="H305" s="217" t="n"/>
      <c r="I305" s="217" t="n"/>
      <c r="J305" s="217" t="n"/>
      <c r="K305" s="216" t="n"/>
      <c r="L305" s="217" t="n"/>
      <c r="M305" s="216" t="n"/>
      <c r="N305" s="164">
        <f>IF($K305="","",IF(OR($M305="Concluído",$M305="Cancelado"),"—",DATEVALUE($K305)-TODAY()))</f>
        <v/>
      </c>
    </row>
    <row r="306" ht="30" customHeight="1" s="131">
      <c r="A306" s="216" t="n"/>
      <c r="B306" s="216" t="n"/>
      <c r="C306" s="216" t="n"/>
      <c r="D306" s="217" t="n"/>
      <c r="E306" s="216" t="n"/>
      <c r="F306" s="216" t="n"/>
      <c r="G306" s="217" t="n"/>
      <c r="H306" s="217" t="n"/>
      <c r="I306" s="217" t="n"/>
      <c r="J306" s="217" t="n"/>
      <c r="K306" s="216" t="n"/>
      <c r="L306" s="217" t="n"/>
      <c r="M306" s="216" t="n"/>
      <c r="N306" s="164">
        <f>IF($K306="","",IF(OR($M306="Concluído",$M306="Cancelado"),"—",DATEVALUE($K306)-TODAY()))</f>
        <v/>
      </c>
    </row>
    <row r="307" ht="30" customHeight="1" s="131">
      <c r="A307" s="216" t="n"/>
      <c r="B307" s="216" t="n"/>
      <c r="C307" s="216" t="n"/>
      <c r="D307" s="217" t="n"/>
      <c r="E307" s="216" t="n"/>
      <c r="F307" s="216" t="n"/>
      <c r="G307" s="217" t="n"/>
      <c r="H307" s="217" t="n"/>
      <c r="I307" s="217" t="n"/>
      <c r="J307" s="217" t="n"/>
      <c r="K307" s="216" t="n"/>
      <c r="L307" s="217" t="n"/>
      <c r="M307" s="216" t="n"/>
      <c r="N307" s="164">
        <f>IF($K307="","",IF(OR($M307="Concluído",$M307="Cancelado"),"—",DATEVALUE($K307)-TODAY()))</f>
        <v/>
      </c>
    </row>
    <row r="308" ht="30" customHeight="1" s="131">
      <c r="A308" s="216" t="n"/>
      <c r="B308" s="216" t="n"/>
      <c r="C308" s="216" t="n"/>
      <c r="D308" s="217" t="n"/>
      <c r="E308" s="216" t="n"/>
      <c r="F308" s="216" t="n"/>
      <c r="G308" s="217" t="n"/>
      <c r="H308" s="217" t="n"/>
      <c r="I308" s="217" t="n"/>
      <c r="J308" s="217" t="n"/>
      <c r="K308" s="216" t="n"/>
      <c r="L308" s="217" t="n"/>
      <c r="M308" s="216" t="n"/>
      <c r="N308" s="164">
        <f>IF($K308="","",IF(OR($M308="Concluído",$M308="Cancelado"),"—",DATEVALUE($K308)-TODAY()))</f>
        <v/>
      </c>
    </row>
    <row r="309"/>
    <row r="310" ht="15" customHeight="1" s="131">
      <c r="A310" s="140" t="n"/>
    </row>
  </sheetData>
  <mergeCells count="4">
    <mergeCell ref="G5:N5"/>
    <mergeCell ref="A2:N2"/>
    <mergeCell ref="A310:N310"/>
    <mergeCell ref="A1:N1"/>
  </mergeCells>
  <conditionalFormatting sqref="G5">
    <cfRule type="expression" rank="0" priority="2" equalAverage="0" aboveAverage="0" dxfId="8" text="" percent="0" bottom="0">
      <formula>AND($B$5&gt;0,$D$5&lt;$B$5)</formula>
    </cfRule>
    <cfRule type="expression" rank="0" priority="3" equalAverage="0" aboveAverage="0" dxfId="9" text="" percent="0" bottom="0">
      <formula>AND($B$5&gt;0,$D$5&gt;=$B$5)</formula>
    </cfRule>
  </conditionalFormatting>
  <dataValidations count="3">
    <dataValidation sqref="C9:C308" showDropDown="0" showInputMessage="0" showErrorMessage="0" allowBlank="1" type="list" errorStyle="stop" operator="between">
      <formula1>'LISTAS DE APOIO'!$B$5:$B$7</formula1>
      <formula2>0</formula2>
    </dataValidation>
    <dataValidation sqref="B9:B308" showDropDown="0" showInputMessage="0" showErrorMessage="0" allowBlank="1" type="list" errorStyle="stop" operator="between">
      <formula1>DIM_MES!$B$5:$B$148</formula1>
      <formula2>0</formula2>
    </dataValidation>
    <dataValidation sqref="M9:M308" showDropDown="0" showInputMessage="0" showErrorMessage="0" allowBlank="1" type="list" errorStyle="stop" operator="between">
      <formula1>'LISTAS DE APOIO'!$F$5:$F$9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C6E0B4"/>
    <outlinePr summaryBelow="1" summaryRight="1"/>
    <pageSetUpPr fitToPage="0"/>
  </sheetPr>
  <dimension ref="A1:J1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14" customWidth="1" style="130" min="1" max="1"/>
    <col width="22" customWidth="1" style="130" min="2" max="2"/>
    <col width="34" customWidth="1" style="130" min="3" max="6"/>
    <col width="18" customWidth="1" style="131" min="4" max="4"/>
    <col width="19" customWidth="1" style="131" min="5" max="5"/>
    <col width="17" customWidth="1" style="131" min="6" max="6"/>
    <col width="18" customWidth="1" style="130" min="7" max="7"/>
    <col width="17" customWidth="1" style="130" min="8" max="8"/>
    <col width="18" customWidth="1" style="130" min="9" max="9"/>
    <col width="28" customWidth="1" style="130" min="10" max="10"/>
  </cols>
  <sheetData>
    <row r="1" ht="24" customHeight="1" s="131">
      <c r="A1" s="132" t="inlineStr">
        <is>
          <t>BASE — DADM-01 · Taxa de Evasão</t>
        </is>
      </c>
    </row>
    <row r="2" ht="30" customHeight="1" s="131">
      <c r="A2" s="133" t="inlineStr">
        <is>
          <t>Desligamentos mensais por curso. A base inicial é herdada automaticamente da população acadêmica do mês anterior.</t>
        </is>
      </c>
    </row>
    <row r="3"/>
    <row r="4" ht="30" customHeight="1" s="131">
      <c r="A4" s="199" t="inlineStr">
        <is>
          <t>Período</t>
        </is>
      </c>
      <c r="B4" s="199" t="inlineStr">
        <is>
          <t>Diretoria Acadêmica</t>
        </is>
      </c>
      <c r="C4" s="199" t="inlineStr">
        <is>
          <t>Curso</t>
        </is>
      </c>
      <c r="D4" s="199" t="inlineStr">
        <is>
          <t>Modalidade</t>
        </is>
      </c>
      <c r="E4" s="199" t="inlineStr">
        <is>
          <t>Alunos no Início</t>
        </is>
      </c>
      <c r="F4" s="199" t="inlineStr">
        <is>
          <t>Desligamentos</t>
        </is>
      </c>
      <c r="G4" s="199" t="inlineStr">
        <is>
          <t>Taxa de Evasão</t>
        </is>
      </c>
      <c r="H4" s="199" t="inlineStr">
        <is>
          <t>Meta vigente</t>
        </is>
      </c>
      <c r="I4" s="199" t="inlineStr">
        <is>
          <t>Status</t>
        </is>
      </c>
      <c r="J4" s="199" t="inlineStr">
        <is>
          <t>Lançado por</t>
        </is>
      </c>
    </row>
    <row r="5" ht="15" customHeight="1" s="131">
      <c r="A5" s="164" t="n"/>
      <c r="B5" s="218" t="n"/>
      <c r="C5" s="164" t="n"/>
      <c r="D5" s="164" t="n"/>
      <c r="E5" s="164" t="n"/>
      <c r="F5" s="164" t="n"/>
      <c r="G5" s="169" t="n"/>
      <c r="H5" s="219" t="n"/>
      <c r="I5" s="220" t="n"/>
      <c r="J5" s="221" t="n"/>
    </row>
    <row r="6" ht="15" customHeight="1" s="131">
      <c r="A6" s="164" t="n"/>
      <c r="B6" s="218" t="n"/>
      <c r="C6" s="164" t="n"/>
      <c r="D6" s="164" t="n"/>
      <c r="E6" s="164" t="n"/>
      <c r="F6" s="164" t="n"/>
      <c r="G6" s="169" t="n"/>
      <c r="H6" s="219" t="n"/>
      <c r="I6" s="220" t="n"/>
      <c r="J6" s="221" t="n"/>
    </row>
    <row r="7" ht="15" customHeight="1" s="131">
      <c r="A7" s="164" t="n"/>
      <c r="B7" s="218" t="n"/>
      <c r="C7" s="164" t="n"/>
      <c r="D7" s="164" t="n"/>
      <c r="E7" s="164" t="n"/>
      <c r="F7" s="164" t="n"/>
      <c r="G7" s="169" t="n"/>
      <c r="H7" s="219" t="n"/>
      <c r="I7" s="220" t="n"/>
      <c r="J7" s="221" t="n"/>
    </row>
    <row r="8" ht="15" customHeight="1" s="131">
      <c r="A8" s="164" t="n"/>
      <c r="B8" s="218" t="n"/>
      <c r="C8" s="164" t="n"/>
      <c r="D8" s="164" t="n"/>
      <c r="E8" s="164" t="n"/>
      <c r="F8" s="164" t="n"/>
      <c r="G8" s="169" t="n"/>
      <c r="H8" s="219" t="n"/>
      <c r="I8" s="220" t="n"/>
      <c r="J8" s="221" t="n"/>
    </row>
    <row r="9" ht="15" customHeight="1" s="131">
      <c r="A9" s="164" t="n"/>
      <c r="B9" s="218" t="n"/>
      <c r="C9" s="164" t="n"/>
      <c r="D9" s="164" t="n"/>
      <c r="E9" s="164" t="n"/>
      <c r="F9" s="164" t="n"/>
      <c r="G9" s="169" t="n"/>
      <c r="H9" s="219" t="n"/>
      <c r="I9" s="220" t="n"/>
      <c r="J9" s="221" t="n"/>
    </row>
    <row r="10" ht="15" customHeight="1" s="131">
      <c r="A10" s="164" t="n"/>
      <c r="B10" s="218" t="n"/>
      <c r="C10" s="164" t="n"/>
      <c r="D10" s="164" t="n"/>
      <c r="E10" s="164" t="n"/>
      <c r="F10" s="164" t="n"/>
      <c r="G10" s="169" t="n"/>
      <c r="H10" s="219" t="n"/>
      <c r="I10" s="220" t="n"/>
      <c r="J10" s="221" t="n"/>
    </row>
    <row r="11" ht="15" customHeight="1" s="131">
      <c r="A11" s="164" t="n"/>
      <c r="B11" s="218" t="n"/>
      <c r="C11" s="164" t="n"/>
      <c r="D11" s="164" t="n"/>
      <c r="E11" s="164" t="n"/>
      <c r="F11" s="164" t="n"/>
      <c r="G11" s="169" t="n"/>
      <c r="H11" s="219" t="n"/>
      <c r="I11" s="220" t="n"/>
      <c r="J11" s="221" t="n"/>
    </row>
    <row r="12" ht="15" customHeight="1" s="131">
      <c r="A12" s="164" t="n"/>
      <c r="B12" s="218" t="n"/>
      <c r="C12" s="164" t="n"/>
      <c r="D12" s="164" t="n"/>
      <c r="E12" s="164" t="n"/>
      <c r="F12" s="164" t="n"/>
      <c r="G12" s="169" t="n"/>
      <c r="H12" s="219" t="n"/>
      <c r="I12" s="220" t="n"/>
      <c r="J12" s="221" t="n"/>
    </row>
    <row r="13" ht="15" customHeight="1" s="131">
      <c r="A13" s="164" t="n"/>
      <c r="B13" s="218" t="n"/>
      <c r="C13" s="164" t="n"/>
      <c r="D13" s="164" t="n"/>
      <c r="E13" s="164" t="n"/>
      <c r="F13" s="164" t="n"/>
      <c r="G13" s="169" t="n"/>
      <c r="H13" s="219" t="n"/>
      <c r="I13" s="220" t="n"/>
      <c r="J13" s="221" t="n"/>
    </row>
    <row r="14" ht="15" customHeight="1" s="131">
      <c r="A14" s="164" t="n"/>
      <c r="B14" s="218" t="n"/>
      <c r="C14" s="164" t="n"/>
      <c r="D14" s="164" t="n"/>
      <c r="E14" s="164" t="n"/>
      <c r="F14" s="164" t="n"/>
      <c r="G14" s="169" t="n"/>
      <c r="H14" s="219" t="n"/>
      <c r="I14" s="220" t="n"/>
      <c r="J14" s="221" t="n"/>
    </row>
    <row r="15" ht="15" customHeight="1" s="131">
      <c r="A15" s="164" t="n"/>
      <c r="B15" s="218" t="n"/>
      <c r="C15" s="164" t="n"/>
      <c r="D15" s="164" t="n"/>
      <c r="E15" s="164" t="n"/>
      <c r="F15" s="164" t="n"/>
      <c r="G15" s="169" t="n"/>
      <c r="H15" s="219" t="n"/>
      <c r="I15" s="220" t="n"/>
      <c r="J15" s="221" t="n"/>
    </row>
    <row r="16" ht="15" customHeight="1" s="131">
      <c r="A16" s="164" t="n"/>
      <c r="B16" s="218" t="n"/>
      <c r="C16" s="164" t="n"/>
      <c r="D16" s="164" t="n"/>
      <c r="E16" s="164" t="n"/>
      <c r="F16" s="164" t="n"/>
      <c r="G16" s="169" t="n"/>
      <c r="H16" s="219" t="n"/>
      <c r="I16" s="220" t="n"/>
      <c r="J16" s="221" t="n"/>
    </row>
    <row r="17" ht="15" customHeight="1" s="131">
      <c r="A17" s="164" t="n"/>
      <c r="B17" s="218" t="n"/>
      <c r="C17" s="164" t="n"/>
      <c r="D17" s="164" t="n"/>
      <c r="E17" s="164" t="n"/>
      <c r="F17" s="164" t="n"/>
      <c r="G17" s="169" t="n"/>
      <c r="H17" s="219" t="n"/>
      <c r="I17" s="220" t="n"/>
      <c r="J17" s="221" t="n"/>
    </row>
    <row r="18" ht="15" customHeight="1" s="131">
      <c r="A18" s="164" t="n"/>
      <c r="B18" s="218" t="n"/>
      <c r="C18" s="164" t="n"/>
      <c r="D18" s="164" t="n"/>
      <c r="E18" s="164" t="n"/>
      <c r="F18" s="164" t="n"/>
      <c r="G18" s="169" t="n"/>
      <c r="H18" s="219" t="n"/>
      <c r="I18" s="220" t="n"/>
      <c r="J18" s="221" t="n"/>
    </row>
    <row r="19" ht="15" customHeight="1" s="131">
      <c r="A19" s="164" t="n"/>
      <c r="B19" s="218" t="n"/>
      <c r="C19" s="164" t="n"/>
      <c r="D19" s="164" t="n"/>
      <c r="E19" s="164" t="n"/>
      <c r="F19" s="164" t="n"/>
      <c r="G19" s="169" t="n"/>
      <c r="H19" s="219" t="n"/>
      <c r="I19" s="220" t="n"/>
      <c r="J19" s="221" t="n"/>
    </row>
    <row r="20" ht="15" customHeight="1" s="131">
      <c r="A20" s="164" t="n"/>
      <c r="B20" s="218" t="n"/>
      <c r="C20" s="164" t="n"/>
      <c r="D20" s="164" t="n"/>
      <c r="E20" s="164" t="n"/>
      <c r="F20" s="164" t="n"/>
      <c r="G20" s="169" t="n"/>
      <c r="H20" s="219" t="n"/>
      <c r="I20" s="220" t="n"/>
      <c r="J20" s="221" t="n"/>
    </row>
    <row r="21" ht="15" customHeight="1" s="131">
      <c r="A21" s="164" t="n"/>
      <c r="B21" s="218" t="n"/>
      <c r="C21" s="164" t="n"/>
      <c r="D21" s="164" t="n"/>
      <c r="E21" s="164" t="n"/>
      <c r="F21" s="164" t="n"/>
      <c r="G21" s="169" t="n"/>
      <c r="H21" s="219" t="n"/>
      <c r="I21" s="220" t="n"/>
      <c r="J21" s="221" t="n"/>
    </row>
    <row r="22" ht="15" customHeight="1" s="131">
      <c r="A22" s="164" t="n"/>
      <c r="B22" s="218" t="n"/>
      <c r="C22" s="164" t="n"/>
      <c r="D22" s="164" t="n"/>
      <c r="E22" s="164" t="n"/>
      <c r="F22" s="164" t="n"/>
      <c r="G22" s="169" t="n"/>
      <c r="H22" s="219" t="n"/>
      <c r="I22" s="220" t="n"/>
      <c r="J22" s="221" t="n"/>
    </row>
    <row r="23" ht="15" customHeight="1" s="131">
      <c r="A23" s="164" t="n"/>
      <c r="B23" s="218" t="n"/>
      <c r="C23" s="164" t="n"/>
      <c r="D23" s="164" t="n"/>
      <c r="E23" s="164" t="n"/>
      <c r="F23" s="164" t="n"/>
      <c r="G23" s="169" t="n"/>
      <c r="H23" s="219" t="n"/>
      <c r="I23" s="220" t="n"/>
      <c r="J23" s="221" t="n"/>
    </row>
    <row r="24" ht="15" customHeight="1" s="131">
      <c r="A24" s="164" t="n"/>
      <c r="B24" s="218" t="n"/>
      <c r="C24" s="164" t="n"/>
      <c r="D24" s="164" t="n"/>
      <c r="E24" s="164" t="n"/>
      <c r="F24" s="164" t="n"/>
      <c r="G24" s="169" t="n"/>
      <c r="H24" s="219" t="n"/>
      <c r="I24" s="220" t="n"/>
      <c r="J24" s="221" t="n"/>
    </row>
    <row r="25" ht="15" customHeight="1" s="131">
      <c r="A25" s="164" t="n"/>
      <c r="B25" s="218" t="n"/>
      <c r="C25" s="164" t="n"/>
      <c r="D25" s="164" t="n"/>
      <c r="E25" s="164" t="n"/>
      <c r="F25" s="164" t="n"/>
      <c r="G25" s="169" t="n"/>
      <c r="H25" s="219" t="n"/>
      <c r="I25" s="220" t="n"/>
      <c r="J25" s="221" t="n"/>
    </row>
    <row r="26" ht="15" customHeight="1" s="131">
      <c r="A26" s="164" t="n"/>
      <c r="B26" s="218" t="n"/>
      <c r="C26" s="164" t="n"/>
      <c r="D26" s="164" t="n"/>
      <c r="E26" s="164" t="n"/>
      <c r="F26" s="164" t="n"/>
      <c r="G26" s="169" t="n"/>
      <c r="H26" s="219" t="n"/>
      <c r="I26" s="220" t="n"/>
      <c r="J26" s="221" t="n"/>
    </row>
    <row r="27" ht="15" customHeight="1" s="131">
      <c r="A27" s="164" t="n"/>
      <c r="B27" s="218" t="n"/>
      <c r="C27" s="164" t="n"/>
      <c r="D27" s="164" t="n"/>
      <c r="E27" s="164" t="n"/>
      <c r="F27" s="164" t="n"/>
      <c r="G27" s="169" t="n"/>
      <c r="H27" s="219" t="n"/>
      <c r="I27" s="220" t="n"/>
      <c r="J27" s="221" t="n"/>
    </row>
    <row r="28" ht="15" customHeight="1" s="131">
      <c r="A28" s="164" t="n"/>
      <c r="B28" s="218" t="n"/>
      <c r="C28" s="164" t="n"/>
      <c r="D28" s="164" t="n"/>
      <c r="E28" s="164" t="n"/>
      <c r="F28" s="164" t="n"/>
      <c r="G28" s="169" t="n"/>
      <c r="H28" s="219" t="n"/>
      <c r="I28" s="220" t="n"/>
      <c r="J28" s="221" t="n"/>
    </row>
    <row r="29" ht="15" customHeight="1" s="131">
      <c r="A29" s="164" t="n"/>
      <c r="B29" s="218" t="n"/>
      <c r="C29" s="164" t="n"/>
      <c r="D29" s="164" t="n"/>
      <c r="E29" s="164" t="n"/>
      <c r="F29" s="164" t="n"/>
      <c r="G29" s="169" t="n"/>
      <c r="H29" s="219" t="n"/>
      <c r="I29" s="220" t="n"/>
      <c r="J29" s="221" t="n"/>
    </row>
    <row r="30" ht="15" customHeight="1" s="131">
      <c r="A30" s="164" t="n"/>
      <c r="B30" s="218" t="n"/>
      <c r="C30" s="164" t="n"/>
      <c r="D30" s="164" t="n"/>
      <c r="E30" s="164" t="n"/>
      <c r="F30" s="164" t="n"/>
      <c r="G30" s="169" t="n"/>
      <c r="H30" s="219" t="n"/>
      <c r="I30" s="220" t="n"/>
      <c r="J30" s="221" t="n"/>
    </row>
    <row r="31" ht="15" customHeight="1" s="131">
      <c r="A31" s="164" t="n"/>
      <c r="B31" s="218" t="n"/>
      <c r="C31" s="164" t="n"/>
      <c r="D31" s="164" t="n"/>
      <c r="E31" s="164" t="n"/>
      <c r="F31" s="164" t="n"/>
      <c r="G31" s="169" t="n"/>
      <c r="H31" s="219" t="n"/>
      <c r="I31" s="220" t="n"/>
      <c r="J31" s="221" t="n"/>
    </row>
    <row r="32" ht="15" customHeight="1" s="131">
      <c r="A32" s="220" t="n"/>
      <c r="B32" s="222" t="n"/>
      <c r="C32" s="220" t="n"/>
      <c r="D32" s="220" t="n"/>
      <c r="E32" s="220" t="n"/>
      <c r="F32" s="220" t="n"/>
      <c r="G32" s="169" t="n"/>
      <c r="H32" s="219" t="n"/>
      <c r="I32" s="220" t="n"/>
      <c r="J32" s="221" t="n"/>
    </row>
    <row r="33" ht="15" customHeight="1" s="131">
      <c r="A33" s="220" t="n"/>
      <c r="B33" s="222" t="n"/>
      <c r="C33" s="220" t="n"/>
      <c r="D33" s="220" t="n"/>
      <c r="E33" s="220" t="n"/>
      <c r="F33" s="220" t="n"/>
      <c r="G33" s="169" t="n"/>
      <c r="H33" s="219" t="n"/>
      <c r="I33" s="220" t="n"/>
      <c r="J33" s="221" t="n"/>
    </row>
    <row r="34" ht="15" customHeight="1" s="131">
      <c r="A34" s="220" t="n"/>
      <c r="B34" s="222" t="n"/>
      <c r="C34" s="220" t="n"/>
      <c r="D34" s="220" t="n"/>
      <c r="E34" s="220" t="n"/>
      <c r="F34" s="220" t="n"/>
      <c r="G34" s="169" t="n"/>
      <c r="H34" s="219" t="n"/>
      <c r="I34" s="220" t="n"/>
      <c r="J34" s="221" t="n"/>
    </row>
    <row r="35" ht="15" customHeight="1" s="131">
      <c r="A35" s="220" t="n"/>
      <c r="B35" s="222" t="n"/>
      <c r="C35" s="220" t="n"/>
      <c r="D35" s="220" t="n"/>
      <c r="E35" s="220" t="n"/>
      <c r="F35" s="220" t="n"/>
      <c r="G35" s="169" t="n"/>
      <c r="H35" s="219" t="n"/>
      <c r="I35" s="220" t="n"/>
      <c r="J35" s="221" t="n"/>
    </row>
    <row r="36" ht="15" customHeight="1" s="131">
      <c r="A36" s="220" t="n"/>
      <c r="B36" s="222" t="n"/>
      <c r="C36" s="220" t="n"/>
      <c r="D36" s="220" t="n"/>
      <c r="E36" s="220" t="n"/>
      <c r="F36" s="220" t="n"/>
      <c r="G36" s="169" t="n"/>
      <c r="H36" s="219" t="n"/>
      <c r="I36" s="220" t="n"/>
      <c r="J36" s="221" t="n"/>
    </row>
    <row r="37" ht="15" customHeight="1" s="131">
      <c r="A37" s="220" t="n"/>
      <c r="B37" s="222" t="n"/>
      <c r="C37" s="220" t="n"/>
      <c r="D37" s="220" t="n"/>
      <c r="E37" s="220" t="n"/>
      <c r="F37" s="220" t="n"/>
      <c r="G37" s="169" t="n"/>
      <c r="H37" s="219" t="n"/>
      <c r="I37" s="220" t="n"/>
      <c r="J37" s="221" t="n"/>
    </row>
    <row r="38" ht="15" customHeight="1" s="131">
      <c r="A38" s="220" t="n"/>
      <c r="B38" s="222" t="n"/>
      <c r="C38" s="220" t="n"/>
      <c r="D38" s="220" t="n"/>
      <c r="E38" s="220" t="n"/>
      <c r="F38" s="220" t="n"/>
      <c r="G38" s="169" t="n"/>
      <c r="H38" s="219" t="n"/>
      <c r="I38" s="220" t="n"/>
      <c r="J38" s="221" t="n"/>
    </row>
    <row r="39" ht="15" customHeight="1" s="131">
      <c r="A39" s="220" t="n"/>
      <c r="B39" s="222" t="n"/>
      <c r="C39" s="220" t="n"/>
      <c r="D39" s="220" t="n"/>
      <c r="E39" s="220" t="n"/>
      <c r="F39" s="220" t="n"/>
      <c r="G39" s="169" t="n"/>
      <c r="H39" s="219" t="n"/>
      <c r="I39" s="220" t="n"/>
      <c r="J39" s="221" t="n"/>
    </row>
    <row r="40" ht="15" customHeight="1" s="131">
      <c r="A40" s="220" t="n"/>
      <c r="B40" s="222" t="n"/>
      <c r="C40" s="220" t="n"/>
      <c r="D40" s="220" t="n"/>
      <c r="E40" s="220" t="n"/>
      <c r="F40" s="220" t="n"/>
      <c r="G40" s="169" t="n"/>
      <c r="H40" s="219" t="n"/>
      <c r="I40" s="220" t="n"/>
      <c r="J40" s="221" t="n"/>
    </row>
    <row r="41" ht="15" customHeight="1" s="131">
      <c r="A41" s="220" t="n"/>
      <c r="B41" s="222" t="n"/>
      <c r="C41" s="220" t="n"/>
      <c r="D41" s="220" t="n"/>
      <c r="E41" s="220" t="n"/>
      <c r="F41" s="220" t="n"/>
      <c r="G41" s="169" t="n"/>
      <c r="H41" s="219" t="n"/>
      <c r="I41" s="220" t="n"/>
      <c r="J41" s="221" t="n"/>
    </row>
    <row r="42" ht="15" customHeight="1" s="131">
      <c r="A42" s="220" t="n"/>
      <c r="B42" s="222" t="n"/>
      <c r="C42" s="220" t="n"/>
      <c r="D42" s="220" t="n"/>
      <c r="E42" s="220" t="n"/>
      <c r="F42" s="220" t="n"/>
      <c r="G42" s="169" t="n"/>
      <c r="H42" s="219" t="n"/>
      <c r="I42" s="220" t="n"/>
      <c r="J42" s="221" t="n"/>
    </row>
    <row r="43" ht="15" customHeight="1" s="131">
      <c r="A43" s="220" t="n"/>
      <c r="B43" s="222" t="n"/>
      <c r="C43" s="220" t="n"/>
      <c r="D43" s="220" t="n"/>
      <c r="E43" s="220" t="n"/>
      <c r="F43" s="220" t="n"/>
      <c r="G43" s="169" t="n"/>
      <c r="H43" s="219" t="n"/>
      <c r="I43" s="220" t="n"/>
      <c r="J43" s="221" t="n"/>
    </row>
    <row r="44" ht="15" customHeight="1" s="131">
      <c r="A44" s="220" t="n"/>
      <c r="B44" s="222" t="n"/>
      <c r="C44" s="220" t="n"/>
      <c r="D44" s="220" t="n"/>
      <c r="E44" s="220" t="n"/>
      <c r="F44" s="220" t="n"/>
      <c r="G44" s="169" t="n"/>
      <c r="H44" s="219" t="n"/>
      <c r="I44" s="220" t="n"/>
      <c r="J44" s="221" t="n"/>
    </row>
    <row r="45" ht="15" customHeight="1" s="131">
      <c r="A45" s="220" t="n"/>
      <c r="B45" s="222" t="n"/>
      <c r="C45" s="220" t="n"/>
      <c r="D45" s="220" t="n"/>
      <c r="E45" s="220" t="n"/>
      <c r="F45" s="220" t="n"/>
      <c r="G45" s="169" t="n"/>
      <c r="H45" s="219" t="n"/>
      <c r="I45" s="220" t="n"/>
      <c r="J45" s="221" t="n"/>
    </row>
    <row r="46" ht="15" customHeight="1" s="131">
      <c r="A46" s="220" t="n"/>
      <c r="B46" s="222" t="n"/>
      <c r="C46" s="220" t="n"/>
      <c r="D46" s="220" t="n"/>
      <c r="E46" s="220" t="n"/>
      <c r="F46" s="220" t="n"/>
      <c r="G46" s="169" t="n"/>
      <c r="H46" s="219" t="n"/>
      <c r="I46" s="220" t="n"/>
      <c r="J46" s="221" t="n"/>
    </row>
    <row r="47" ht="15" customHeight="1" s="131">
      <c r="A47" s="220" t="n"/>
      <c r="B47" s="222" t="n"/>
      <c r="C47" s="220" t="n"/>
      <c r="D47" s="220" t="n"/>
      <c r="E47" s="220" t="n"/>
      <c r="F47" s="220" t="n"/>
      <c r="G47" s="169" t="n"/>
      <c r="H47" s="219" t="n"/>
      <c r="I47" s="220" t="n"/>
      <c r="J47" s="221" t="n"/>
    </row>
    <row r="48" ht="15" customHeight="1" s="131">
      <c r="A48" s="220" t="n"/>
      <c r="B48" s="222" t="n"/>
      <c r="C48" s="220" t="n"/>
      <c r="D48" s="220" t="n"/>
      <c r="E48" s="220" t="n"/>
      <c r="F48" s="220" t="n"/>
      <c r="G48" s="169" t="n"/>
      <c r="H48" s="219" t="n"/>
      <c r="I48" s="220" t="n"/>
      <c r="J48" s="221" t="n"/>
    </row>
    <row r="49" ht="15" customHeight="1" s="131">
      <c r="A49" s="220" t="n"/>
      <c r="B49" s="222" t="n"/>
      <c r="C49" s="220" t="n"/>
      <c r="D49" s="220" t="n"/>
      <c r="E49" s="220" t="n"/>
      <c r="F49" s="220" t="n"/>
      <c r="G49" s="169" t="n"/>
      <c r="H49" s="219" t="n"/>
      <c r="I49" s="220" t="n"/>
      <c r="J49" s="221" t="n"/>
    </row>
    <row r="50" ht="15" customHeight="1" s="131">
      <c r="A50" s="220" t="n"/>
      <c r="B50" s="222" t="n"/>
      <c r="C50" s="220" t="n"/>
      <c r="D50" s="220" t="n"/>
      <c r="E50" s="220" t="n"/>
      <c r="F50" s="220" t="n"/>
      <c r="G50" s="169" t="n"/>
      <c r="H50" s="219" t="n"/>
      <c r="I50" s="220" t="n"/>
      <c r="J50" s="221" t="n"/>
    </row>
    <row r="51" ht="15" customHeight="1" s="131">
      <c r="A51" s="220" t="n"/>
      <c r="B51" s="222" t="n"/>
      <c r="C51" s="220" t="n"/>
      <c r="D51" s="220" t="n"/>
      <c r="E51" s="220" t="n"/>
      <c r="F51" s="220" t="n"/>
      <c r="G51" s="169" t="n"/>
      <c r="H51" s="219" t="n"/>
      <c r="I51" s="220" t="n"/>
      <c r="J51" s="221" t="n"/>
    </row>
    <row r="52" ht="15" customHeight="1" s="131">
      <c r="A52" s="220" t="n"/>
      <c r="B52" s="222" t="n"/>
      <c r="C52" s="220" t="n"/>
      <c r="D52" s="220" t="n"/>
      <c r="E52" s="220" t="n"/>
      <c r="F52" s="220" t="n"/>
      <c r="G52" s="169" t="n"/>
      <c r="H52" s="219" t="n"/>
      <c r="I52" s="220" t="n"/>
      <c r="J52" s="221" t="n"/>
    </row>
    <row r="53" ht="15" customHeight="1" s="131">
      <c r="A53" s="220" t="n"/>
      <c r="B53" s="222" t="n"/>
      <c r="C53" s="220" t="n"/>
      <c r="D53" s="220" t="n"/>
      <c r="E53" s="220" t="n"/>
      <c r="F53" s="220" t="n"/>
      <c r="G53" s="169" t="n"/>
      <c r="H53" s="219" t="n"/>
      <c r="I53" s="220" t="n"/>
      <c r="J53" s="221" t="n"/>
    </row>
    <row r="54" ht="15" customHeight="1" s="131">
      <c r="A54" s="220" t="n"/>
      <c r="B54" s="222" t="n"/>
      <c r="C54" s="220" t="n"/>
      <c r="D54" s="220" t="n"/>
      <c r="E54" s="220" t="n"/>
      <c r="F54" s="220" t="n"/>
      <c r="G54" s="169" t="n"/>
      <c r="H54" s="219" t="n"/>
      <c r="I54" s="220" t="n"/>
      <c r="J54" s="221" t="n"/>
    </row>
    <row r="55" ht="15" customHeight="1" s="131">
      <c r="A55" s="220" t="n"/>
      <c r="B55" s="222" t="n"/>
      <c r="C55" s="220" t="n"/>
      <c r="D55" s="220" t="n"/>
      <c r="E55" s="220" t="n"/>
      <c r="F55" s="220" t="n"/>
      <c r="G55" s="169" t="n"/>
      <c r="H55" s="219" t="n"/>
      <c r="I55" s="220" t="n"/>
      <c r="J55" s="221" t="n"/>
    </row>
    <row r="56" ht="15" customHeight="1" s="131">
      <c r="A56" s="220" t="n"/>
      <c r="B56" s="222" t="n"/>
      <c r="C56" s="220" t="n"/>
      <c r="D56" s="220" t="n"/>
      <c r="E56" s="220" t="n"/>
      <c r="F56" s="220" t="n"/>
      <c r="G56" s="169" t="n"/>
      <c r="H56" s="219" t="n"/>
      <c r="I56" s="220" t="n"/>
      <c r="J56" s="221" t="n"/>
    </row>
    <row r="57" ht="15" customHeight="1" s="131">
      <c r="A57" s="220" t="n"/>
      <c r="B57" s="222" t="n"/>
      <c r="C57" s="220" t="n"/>
      <c r="D57" s="220" t="n"/>
      <c r="E57" s="220" t="n"/>
      <c r="F57" s="220" t="n"/>
      <c r="G57" s="169" t="n"/>
      <c r="H57" s="219" t="n"/>
      <c r="I57" s="220" t="n"/>
      <c r="J57" s="221" t="n"/>
    </row>
    <row r="58" ht="15" customHeight="1" s="131">
      <c r="A58" s="220" t="n"/>
      <c r="B58" s="222" t="n"/>
      <c r="C58" s="220" t="n"/>
      <c r="D58" s="220" t="n"/>
      <c r="E58" s="220" t="n"/>
      <c r="F58" s="220" t="n"/>
      <c r="G58" s="169" t="n"/>
      <c r="H58" s="219" t="n"/>
      <c r="I58" s="220" t="n"/>
      <c r="J58" s="221" t="n"/>
    </row>
    <row r="59" ht="15" customHeight="1" s="131">
      <c r="A59" s="220" t="n"/>
      <c r="B59" s="222" t="n"/>
      <c r="C59" s="220" t="n"/>
      <c r="D59" s="220" t="n"/>
      <c r="E59" s="220" t="n"/>
      <c r="F59" s="220" t="n"/>
      <c r="G59" s="169" t="n"/>
      <c r="H59" s="219" t="n"/>
      <c r="I59" s="220" t="n"/>
      <c r="J59" s="221" t="n"/>
    </row>
    <row r="60" ht="15" customHeight="1" s="131">
      <c r="A60" s="220" t="n"/>
      <c r="B60" s="222" t="n"/>
      <c r="C60" s="220" t="n"/>
      <c r="D60" s="220" t="n"/>
      <c r="E60" s="220" t="n"/>
      <c r="F60" s="220" t="n"/>
      <c r="G60" s="169" t="n"/>
      <c r="H60" s="219" t="n"/>
      <c r="I60" s="220" t="n"/>
      <c r="J60" s="221" t="n"/>
    </row>
    <row r="61" ht="15" customHeight="1" s="131">
      <c r="A61" s="220" t="n"/>
      <c r="B61" s="222" t="n"/>
      <c r="C61" s="220" t="n"/>
      <c r="D61" s="220" t="n"/>
      <c r="E61" s="220" t="n"/>
      <c r="F61" s="220" t="n"/>
      <c r="G61" s="169" t="n"/>
      <c r="H61" s="219" t="n"/>
      <c r="I61" s="220" t="n"/>
      <c r="J61" s="221" t="n"/>
    </row>
    <row r="62" ht="15" customHeight="1" s="131">
      <c r="A62" s="220" t="n"/>
      <c r="B62" s="222" t="n"/>
      <c r="C62" s="220" t="n"/>
      <c r="D62" s="220" t="n"/>
      <c r="E62" s="220" t="n"/>
      <c r="F62" s="220" t="n"/>
      <c r="G62" s="169" t="n"/>
      <c r="H62" s="219" t="n"/>
      <c r="I62" s="220" t="n"/>
      <c r="J62" s="221" t="n"/>
    </row>
    <row r="63" ht="15" customHeight="1" s="131">
      <c r="A63" s="220" t="n"/>
      <c r="B63" s="222" t="n"/>
      <c r="C63" s="220" t="n"/>
      <c r="D63" s="220" t="n"/>
      <c r="E63" s="220" t="n"/>
      <c r="F63" s="220" t="n"/>
      <c r="G63" s="169" t="n"/>
      <c r="H63" s="219" t="n"/>
      <c r="I63" s="220" t="n"/>
      <c r="J63" s="221" t="n"/>
    </row>
    <row r="64" ht="15" customHeight="1" s="131">
      <c r="A64" s="220" t="n"/>
      <c r="B64" s="222" t="n"/>
      <c r="C64" s="220" t="n"/>
      <c r="D64" s="220" t="n"/>
      <c r="E64" s="220" t="n"/>
      <c r="F64" s="220" t="n"/>
      <c r="G64" s="169" t="n"/>
      <c r="H64" s="219" t="n"/>
      <c r="I64" s="220" t="n"/>
      <c r="J64" s="221" t="n"/>
    </row>
    <row r="65" ht="15" customHeight="1" s="131">
      <c r="A65" s="220" t="n"/>
      <c r="B65" s="222" t="n"/>
      <c r="C65" s="220" t="n"/>
      <c r="D65" s="220" t="n"/>
      <c r="E65" s="220" t="n"/>
      <c r="F65" s="220" t="n"/>
      <c r="G65" s="169" t="n"/>
      <c r="H65" s="219" t="n"/>
      <c r="I65" s="220" t="n"/>
      <c r="J65" s="221" t="n"/>
    </row>
    <row r="66" ht="15" customHeight="1" s="131">
      <c r="A66" s="220" t="n"/>
      <c r="B66" s="222" t="n"/>
      <c r="C66" s="220" t="n"/>
      <c r="D66" s="220" t="n"/>
      <c r="E66" s="220" t="n"/>
      <c r="F66" s="220" t="n"/>
      <c r="G66" s="169" t="n"/>
      <c r="H66" s="219" t="n"/>
      <c r="I66" s="220" t="n"/>
      <c r="J66" s="221" t="n"/>
    </row>
    <row r="67" ht="15" customHeight="1" s="131">
      <c r="A67" s="220" t="n"/>
      <c r="B67" s="222" t="n"/>
      <c r="C67" s="220" t="n"/>
      <c r="D67" s="220" t="n"/>
      <c r="E67" s="220" t="n"/>
      <c r="F67" s="220" t="n"/>
      <c r="G67" s="169" t="n"/>
      <c r="H67" s="219" t="n"/>
      <c r="I67" s="220" t="n"/>
      <c r="J67" s="221" t="n"/>
    </row>
    <row r="68" ht="15" customHeight="1" s="131">
      <c r="A68" s="220" t="n"/>
      <c r="B68" s="222" t="n"/>
      <c r="C68" s="220" t="n"/>
      <c r="D68" s="220" t="n"/>
      <c r="E68" s="220" t="n"/>
      <c r="F68" s="220" t="n"/>
      <c r="G68" s="169" t="n"/>
      <c r="H68" s="219" t="n"/>
      <c r="I68" s="220" t="n"/>
      <c r="J68" s="221" t="n"/>
    </row>
    <row r="69" ht="15" customHeight="1" s="131">
      <c r="A69" s="220" t="n"/>
      <c r="B69" s="222" t="n"/>
      <c r="C69" s="220" t="n"/>
      <c r="D69" s="220" t="n"/>
      <c r="E69" s="220" t="n"/>
      <c r="F69" s="220" t="n"/>
      <c r="G69" s="169" t="n"/>
      <c r="H69" s="219" t="n"/>
      <c r="I69" s="220" t="n"/>
      <c r="J69" s="221" t="n"/>
    </row>
    <row r="70" ht="15" customHeight="1" s="131">
      <c r="A70" s="220" t="n"/>
      <c r="B70" s="222" t="n"/>
      <c r="C70" s="220" t="n"/>
      <c r="D70" s="220" t="n"/>
      <c r="E70" s="220" t="n"/>
      <c r="F70" s="220" t="n"/>
      <c r="G70" s="169" t="n"/>
      <c r="H70" s="219" t="n"/>
      <c r="I70" s="220" t="n"/>
      <c r="J70" s="221" t="n"/>
    </row>
    <row r="71" ht="15" customHeight="1" s="131">
      <c r="A71" s="220" t="n"/>
      <c r="B71" s="222" t="n"/>
      <c r="C71" s="220" t="n"/>
      <c r="D71" s="220" t="n"/>
      <c r="E71" s="220" t="n"/>
      <c r="F71" s="220" t="n"/>
      <c r="G71" s="169" t="n"/>
      <c r="H71" s="219" t="n"/>
      <c r="I71" s="220" t="n"/>
      <c r="J71" s="221" t="n"/>
    </row>
    <row r="72" ht="15" customHeight="1" s="131">
      <c r="A72" s="220" t="n"/>
      <c r="B72" s="222" t="n"/>
      <c r="C72" s="220" t="n"/>
      <c r="D72" s="220" t="n"/>
      <c r="E72" s="220" t="n"/>
      <c r="F72" s="220" t="n"/>
      <c r="G72" s="169" t="n"/>
      <c r="H72" s="219" t="n"/>
      <c r="I72" s="220" t="n"/>
      <c r="J72" s="221" t="n"/>
    </row>
    <row r="73" ht="15" customHeight="1" s="131">
      <c r="A73" s="220" t="n"/>
      <c r="B73" s="222" t="n"/>
      <c r="C73" s="220" t="n"/>
      <c r="D73" s="220" t="n"/>
      <c r="E73" s="220" t="n"/>
      <c r="F73" s="220" t="n"/>
      <c r="G73" s="169" t="n"/>
      <c r="H73" s="219" t="n"/>
      <c r="I73" s="220" t="n"/>
      <c r="J73" s="221" t="n"/>
    </row>
    <row r="74" ht="15" customHeight="1" s="131">
      <c r="A74" s="220" t="n"/>
      <c r="B74" s="222" t="n"/>
      <c r="C74" s="220" t="n"/>
      <c r="D74" s="220" t="n"/>
      <c r="E74" s="220" t="n"/>
      <c r="F74" s="220" t="n"/>
      <c r="G74" s="169" t="n"/>
      <c r="H74" s="219" t="n"/>
      <c r="I74" s="220" t="n"/>
      <c r="J74" s="221" t="n"/>
    </row>
    <row r="75" ht="15" customHeight="1" s="131">
      <c r="A75" s="220" t="n"/>
      <c r="B75" s="222" t="n"/>
      <c r="C75" s="220" t="n"/>
      <c r="D75" s="220" t="n"/>
      <c r="E75" s="220" t="n"/>
      <c r="F75" s="220" t="n"/>
      <c r="G75" s="169" t="n"/>
      <c r="H75" s="219" t="n"/>
      <c r="I75" s="220" t="n"/>
      <c r="J75" s="221" t="n"/>
    </row>
    <row r="76" ht="15" customHeight="1" s="131">
      <c r="A76" s="220" t="n"/>
      <c r="B76" s="222" t="n"/>
      <c r="C76" s="220" t="n"/>
      <c r="D76" s="220" t="n"/>
      <c r="E76" s="220" t="n"/>
      <c r="F76" s="220" t="n"/>
      <c r="G76" s="169" t="n"/>
      <c r="H76" s="219" t="n"/>
      <c r="I76" s="220" t="n"/>
      <c r="J76" s="221" t="n"/>
    </row>
    <row r="77" ht="15" customHeight="1" s="131">
      <c r="A77" s="220" t="n"/>
      <c r="B77" s="222" t="n"/>
      <c r="C77" s="220" t="n"/>
      <c r="D77" s="220" t="n"/>
      <c r="E77" s="220" t="n"/>
      <c r="F77" s="220" t="n"/>
      <c r="G77" s="169" t="n"/>
      <c r="H77" s="219" t="n"/>
      <c r="I77" s="220" t="n"/>
      <c r="J77" s="221" t="n"/>
    </row>
    <row r="78" ht="15" customHeight="1" s="131">
      <c r="A78" s="220" t="n"/>
      <c r="B78" s="222" t="n"/>
      <c r="C78" s="220" t="n"/>
      <c r="D78" s="220" t="n"/>
      <c r="E78" s="220" t="n"/>
      <c r="F78" s="220" t="n"/>
      <c r="G78" s="169" t="n"/>
      <c r="H78" s="219" t="n"/>
      <c r="I78" s="220" t="n"/>
      <c r="J78" s="221" t="n"/>
    </row>
    <row r="79" ht="15" customHeight="1" s="131">
      <c r="A79" s="220" t="n"/>
      <c r="B79" s="222" t="n"/>
      <c r="C79" s="220" t="n"/>
      <c r="D79" s="220" t="n"/>
      <c r="E79" s="220" t="n"/>
      <c r="F79" s="220" t="n"/>
      <c r="G79" s="169" t="n"/>
      <c r="H79" s="219" t="n"/>
      <c r="I79" s="220" t="n"/>
      <c r="J79" s="221" t="n"/>
    </row>
    <row r="80" ht="15" customHeight="1" s="131">
      <c r="A80" s="220" t="n"/>
      <c r="B80" s="222" t="n"/>
      <c r="C80" s="220" t="n"/>
      <c r="D80" s="220" t="n"/>
      <c r="E80" s="220" t="n"/>
      <c r="F80" s="220" t="n"/>
      <c r="G80" s="169" t="n"/>
      <c r="H80" s="219" t="n"/>
      <c r="I80" s="220" t="n"/>
      <c r="J80" s="221" t="n"/>
    </row>
    <row r="81" ht="15" customHeight="1" s="131">
      <c r="A81" s="220" t="n"/>
      <c r="B81" s="222" t="n"/>
      <c r="C81" s="220" t="n"/>
      <c r="D81" s="220" t="n"/>
      <c r="E81" s="220" t="n"/>
      <c r="F81" s="220" t="n"/>
      <c r="G81" s="169" t="n"/>
      <c r="H81" s="219" t="n"/>
      <c r="I81" s="220" t="n"/>
      <c r="J81" s="221" t="n"/>
    </row>
    <row r="82" ht="15" customHeight="1" s="131">
      <c r="A82" s="220" t="n"/>
      <c r="B82" s="222" t="n"/>
      <c r="C82" s="220" t="n"/>
      <c r="D82" s="220" t="n"/>
      <c r="E82" s="220" t="n"/>
      <c r="F82" s="220" t="n"/>
      <c r="G82" s="169" t="n"/>
      <c r="H82" s="219" t="n"/>
      <c r="I82" s="220" t="n"/>
      <c r="J82" s="221" t="n"/>
    </row>
    <row r="83" ht="15" customHeight="1" s="131">
      <c r="A83" s="220" t="n"/>
      <c r="B83" s="222" t="n"/>
      <c r="C83" s="220" t="n"/>
      <c r="D83" s="220" t="n"/>
      <c r="E83" s="220" t="n"/>
      <c r="F83" s="220" t="n"/>
      <c r="G83" s="169" t="n"/>
      <c r="H83" s="219" t="n"/>
      <c r="I83" s="220" t="n"/>
      <c r="J83" s="221" t="n"/>
    </row>
    <row r="84" ht="15" customHeight="1" s="131">
      <c r="A84" s="220" t="n"/>
      <c r="B84" s="222" t="n"/>
      <c r="C84" s="220" t="n"/>
      <c r="D84" s="220" t="n"/>
      <c r="E84" s="220" t="n"/>
      <c r="F84" s="220" t="n"/>
      <c r="G84" s="169" t="n"/>
      <c r="H84" s="219" t="n"/>
      <c r="I84" s="220" t="n"/>
      <c r="J84" s="221" t="n"/>
    </row>
    <row r="85" ht="15" customHeight="1" s="131">
      <c r="A85" s="220" t="n"/>
      <c r="B85" s="222" t="n"/>
      <c r="C85" s="220" t="n"/>
      <c r="D85" s="220" t="n"/>
      <c r="E85" s="220" t="n"/>
      <c r="F85" s="220" t="n"/>
      <c r="G85" s="169" t="n"/>
      <c r="H85" s="219" t="n"/>
      <c r="I85" s="220" t="n"/>
      <c r="J85" s="221" t="n"/>
    </row>
    <row r="86" ht="15" customHeight="1" s="131">
      <c r="A86" s="220" t="n"/>
      <c r="B86" s="222" t="n"/>
      <c r="C86" s="220" t="n"/>
      <c r="D86" s="220" t="n"/>
      <c r="E86" s="220" t="n"/>
      <c r="F86" s="220" t="n"/>
      <c r="G86" s="169" t="n"/>
      <c r="H86" s="219" t="n"/>
      <c r="I86" s="220" t="n"/>
      <c r="J86" s="221" t="n"/>
    </row>
    <row r="87" ht="15" customHeight="1" s="131">
      <c r="A87" s="220" t="n"/>
      <c r="B87" s="222" t="n"/>
      <c r="C87" s="220" t="n"/>
      <c r="D87" s="220" t="n"/>
      <c r="E87" s="220" t="n"/>
      <c r="F87" s="220" t="n"/>
      <c r="G87" s="169" t="n"/>
      <c r="H87" s="219" t="n"/>
      <c r="I87" s="220" t="n"/>
      <c r="J87" s="221" t="n"/>
    </row>
    <row r="88" ht="15" customHeight="1" s="131">
      <c r="A88" s="220" t="n"/>
      <c r="B88" s="222" t="n"/>
      <c r="C88" s="220" t="n"/>
      <c r="D88" s="220" t="n"/>
      <c r="E88" s="220" t="n"/>
      <c r="F88" s="220" t="n"/>
      <c r="G88" s="169" t="n"/>
      <c r="H88" s="219" t="n"/>
      <c r="I88" s="220" t="n"/>
      <c r="J88" s="221" t="n"/>
    </row>
    <row r="89" ht="15" customHeight="1" s="131">
      <c r="A89" s="220" t="n"/>
      <c r="B89" s="222" t="n"/>
      <c r="C89" s="220" t="n"/>
      <c r="D89" s="220" t="n"/>
      <c r="E89" s="220" t="n"/>
      <c r="F89" s="220" t="n"/>
      <c r="G89" s="169" t="n"/>
      <c r="H89" s="219" t="n"/>
      <c r="I89" s="220" t="n"/>
      <c r="J89" s="221" t="n"/>
    </row>
    <row r="90" ht="15" customHeight="1" s="131">
      <c r="A90" s="220" t="n"/>
      <c r="B90" s="222" t="n"/>
      <c r="C90" s="220" t="n"/>
      <c r="D90" s="220" t="n"/>
      <c r="E90" s="220" t="n"/>
      <c r="F90" s="220" t="n"/>
      <c r="G90" s="169" t="n"/>
      <c r="H90" s="219" t="n"/>
      <c r="I90" s="220" t="n"/>
      <c r="J90" s="221" t="n"/>
    </row>
    <row r="91" ht="15" customHeight="1" s="131">
      <c r="A91" s="220" t="n"/>
      <c r="B91" s="222" t="n"/>
      <c r="C91" s="220" t="n"/>
      <c r="D91" s="220" t="n"/>
      <c r="E91" s="220" t="n"/>
      <c r="F91" s="220" t="n"/>
      <c r="G91" s="169" t="n"/>
      <c r="H91" s="219" t="n"/>
      <c r="I91" s="220" t="n"/>
      <c r="J91" s="221" t="n"/>
    </row>
    <row r="92" ht="15" customHeight="1" s="131">
      <c r="A92" s="220" t="n"/>
      <c r="B92" s="222" t="n"/>
      <c r="C92" s="220" t="n"/>
      <c r="D92" s="220" t="n"/>
      <c r="E92" s="220" t="n"/>
      <c r="F92" s="220" t="n"/>
      <c r="G92" s="169" t="n"/>
      <c r="H92" s="219" t="n"/>
      <c r="I92" s="220" t="n"/>
      <c r="J92" s="221" t="n"/>
    </row>
    <row r="93" ht="15" customHeight="1" s="131">
      <c r="A93" s="220" t="n"/>
      <c r="B93" s="222" t="n"/>
      <c r="C93" s="220" t="n"/>
      <c r="D93" s="220" t="n"/>
      <c r="E93" s="220" t="n"/>
      <c r="F93" s="220" t="n"/>
      <c r="G93" s="169" t="n"/>
      <c r="H93" s="219" t="n"/>
      <c r="I93" s="220" t="n"/>
      <c r="J93" s="221" t="n"/>
    </row>
    <row r="94" ht="15" customHeight="1" s="131">
      <c r="A94" s="220" t="n"/>
      <c r="B94" s="222" t="n"/>
      <c r="C94" s="220" t="n"/>
      <c r="D94" s="220" t="n"/>
      <c r="E94" s="220" t="n"/>
      <c r="F94" s="220" t="n"/>
      <c r="G94" s="169" t="n"/>
      <c r="H94" s="219" t="n"/>
      <c r="I94" s="220" t="n"/>
      <c r="J94" s="221" t="n"/>
    </row>
    <row r="95" ht="15" customHeight="1" s="131">
      <c r="A95" s="220" t="n"/>
      <c r="B95" s="222" t="n"/>
      <c r="C95" s="220" t="n"/>
      <c r="D95" s="220" t="n"/>
      <c r="E95" s="220" t="n"/>
      <c r="F95" s="220" t="n"/>
      <c r="G95" s="169" t="n"/>
      <c r="H95" s="219" t="n"/>
      <c r="I95" s="220" t="n"/>
      <c r="J95" s="221" t="n"/>
    </row>
    <row r="96" ht="15" customHeight="1" s="131">
      <c r="A96" s="220" t="n"/>
      <c r="B96" s="222" t="n"/>
      <c r="C96" s="220" t="n"/>
      <c r="D96" s="220" t="n"/>
      <c r="E96" s="220" t="n"/>
      <c r="F96" s="220" t="n"/>
      <c r="G96" s="169" t="n"/>
      <c r="H96" s="219" t="n"/>
      <c r="I96" s="220" t="n"/>
      <c r="J96" s="221" t="n"/>
    </row>
    <row r="97" ht="15" customHeight="1" s="131">
      <c r="A97" s="220" t="n"/>
      <c r="B97" s="222" t="n"/>
      <c r="C97" s="220" t="n"/>
      <c r="D97" s="220" t="n"/>
      <c r="E97" s="220" t="n"/>
      <c r="F97" s="220" t="n"/>
      <c r="G97" s="169" t="n"/>
      <c r="H97" s="219" t="n"/>
      <c r="I97" s="220" t="n"/>
      <c r="J97" s="221" t="n"/>
    </row>
    <row r="98" ht="15" customHeight="1" s="131">
      <c r="A98" s="220" t="n"/>
      <c r="B98" s="222" t="n"/>
      <c r="C98" s="220" t="n"/>
      <c r="D98" s="220" t="n"/>
      <c r="E98" s="220" t="n"/>
      <c r="F98" s="220" t="n"/>
      <c r="G98" s="169" t="n"/>
      <c r="H98" s="219" t="n"/>
      <c r="I98" s="220" t="n"/>
      <c r="J98" s="221" t="n"/>
    </row>
    <row r="99" ht="15" customHeight="1" s="131">
      <c r="A99" s="220" t="n"/>
      <c r="B99" s="222" t="n"/>
      <c r="C99" s="220" t="n"/>
      <c r="D99" s="220" t="n"/>
      <c r="E99" s="220" t="n"/>
      <c r="F99" s="220" t="n"/>
      <c r="G99" s="169" t="n"/>
      <c r="H99" s="219" t="n"/>
      <c r="I99" s="220" t="n"/>
      <c r="J99" s="221" t="n"/>
    </row>
    <row r="100" ht="15" customHeight="1" s="131">
      <c r="A100" s="220" t="n"/>
      <c r="B100" s="222" t="n"/>
      <c r="C100" s="220" t="n"/>
      <c r="D100" s="220" t="n"/>
      <c r="E100" s="220" t="n"/>
      <c r="F100" s="220" t="n"/>
      <c r="G100" s="169" t="n"/>
      <c r="H100" s="219" t="n"/>
      <c r="I100" s="220" t="n"/>
      <c r="J100" s="221" t="n"/>
    </row>
    <row r="101" ht="15" customHeight="1" s="131">
      <c r="A101" s="220" t="n"/>
      <c r="B101" s="222" t="n"/>
      <c r="C101" s="220" t="n"/>
      <c r="D101" s="220" t="n"/>
      <c r="E101" s="220" t="n"/>
      <c r="F101" s="220" t="n"/>
      <c r="G101" s="169" t="n"/>
      <c r="H101" s="219" t="n"/>
      <c r="I101" s="220" t="n"/>
      <c r="J101" s="221" t="n"/>
    </row>
    <row r="102" ht="15" customHeight="1" s="131">
      <c r="A102" s="220" t="n"/>
      <c r="B102" s="222" t="n"/>
      <c r="C102" s="220" t="n"/>
      <c r="D102" s="220" t="n"/>
      <c r="E102" s="220" t="n"/>
      <c r="F102" s="220" t="n"/>
      <c r="G102" s="169" t="n"/>
      <c r="H102" s="219" t="n"/>
      <c r="I102" s="220" t="n"/>
      <c r="J102" s="221" t="n"/>
    </row>
    <row r="103" ht="15" customHeight="1" s="131">
      <c r="A103" s="220" t="n"/>
      <c r="B103" s="222" t="n"/>
      <c r="C103" s="220" t="n"/>
      <c r="D103" s="220" t="n"/>
      <c r="E103" s="220" t="n"/>
      <c r="F103" s="220" t="n"/>
      <c r="G103" s="169" t="n"/>
      <c r="H103" s="219" t="n"/>
      <c r="I103" s="220" t="n"/>
      <c r="J103" s="221" t="n"/>
    </row>
    <row r="104" ht="15" customHeight="1" s="131">
      <c r="A104" s="220" t="n"/>
      <c r="B104" s="222" t="n"/>
      <c r="C104" s="220" t="n"/>
      <c r="D104" s="220" t="n"/>
      <c r="E104" s="220" t="n"/>
      <c r="F104" s="220" t="n"/>
      <c r="G104" s="169" t="n"/>
      <c r="H104" s="219" t="n"/>
      <c r="I104" s="220" t="n"/>
      <c r="J104" s="221" t="n"/>
    </row>
    <row r="105" ht="15" customHeight="1" s="131">
      <c r="A105" s="220" t="n"/>
      <c r="B105" s="222" t="n"/>
      <c r="C105" s="220" t="n"/>
      <c r="D105" s="220" t="n"/>
      <c r="E105" s="220" t="n"/>
      <c r="F105" s="220" t="n"/>
      <c r="G105" s="169" t="n"/>
      <c r="H105" s="219" t="n"/>
      <c r="I105" s="220" t="n"/>
      <c r="J105" s="221" t="n"/>
    </row>
    <row r="106" ht="15" customHeight="1" s="131">
      <c r="A106" s="220" t="n"/>
      <c r="B106" s="222" t="n"/>
      <c r="C106" s="220" t="n"/>
      <c r="D106" s="220" t="n"/>
      <c r="E106" s="220" t="n"/>
      <c r="F106" s="220" t="n"/>
      <c r="G106" s="169" t="n"/>
      <c r="H106" s="219" t="n"/>
      <c r="I106" s="220" t="n"/>
      <c r="J106" s="221" t="n"/>
    </row>
    <row r="107" ht="15" customHeight="1" s="131">
      <c r="A107" s="220" t="n"/>
      <c r="B107" s="222" t="n"/>
      <c r="C107" s="220" t="n"/>
      <c r="D107" s="220" t="n"/>
      <c r="E107" s="220" t="n"/>
      <c r="F107" s="220" t="n"/>
      <c r="G107" s="169" t="n"/>
      <c r="H107" s="219" t="n"/>
      <c r="I107" s="220" t="n"/>
      <c r="J107" s="221" t="n"/>
    </row>
    <row r="108" ht="15" customHeight="1" s="131">
      <c r="A108" s="220" t="n"/>
      <c r="B108" s="222" t="n"/>
      <c r="C108" s="220" t="n"/>
      <c r="D108" s="220" t="n"/>
      <c r="E108" s="220" t="n"/>
      <c r="F108" s="220" t="n"/>
      <c r="G108" s="169" t="n"/>
      <c r="H108" s="219" t="n"/>
      <c r="I108" s="220" t="n"/>
      <c r="J108" s="221" t="n"/>
    </row>
    <row r="109" ht="15" customHeight="1" s="131">
      <c r="A109" s="220" t="n"/>
      <c r="B109" s="222" t="n"/>
      <c r="C109" s="220" t="n"/>
      <c r="D109" s="220" t="n"/>
      <c r="E109" s="220" t="n"/>
      <c r="F109" s="220" t="n"/>
      <c r="G109" s="169" t="n"/>
      <c r="H109" s="219" t="n"/>
      <c r="I109" s="220" t="n"/>
      <c r="J109" s="221" t="n"/>
    </row>
    <row r="110" ht="15" customHeight="1" s="131">
      <c r="A110" s="220" t="n"/>
      <c r="B110" s="222" t="n"/>
      <c r="C110" s="220" t="n"/>
      <c r="D110" s="220" t="n"/>
      <c r="E110" s="220" t="n"/>
      <c r="F110" s="220" t="n"/>
      <c r="G110" s="169" t="n"/>
      <c r="H110" s="219" t="n"/>
      <c r="I110" s="220" t="n"/>
      <c r="J110" s="221" t="n"/>
    </row>
    <row r="111" ht="15" customHeight="1" s="131">
      <c r="A111" s="220" t="n"/>
      <c r="B111" s="222" t="n"/>
      <c r="C111" s="220" t="n"/>
      <c r="D111" s="220" t="n"/>
      <c r="E111" s="220" t="n"/>
      <c r="F111" s="220" t="n"/>
      <c r="G111" s="169" t="n"/>
      <c r="H111" s="219" t="n"/>
      <c r="I111" s="220" t="n"/>
      <c r="J111" s="221" t="n"/>
    </row>
    <row r="112" ht="15" customHeight="1" s="131">
      <c r="A112" s="220" t="n"/>
      <c r="B112" s="222" t="n"/>
      <c r="C112" s="220" t="n"/>
      <c r="D112" s="220" t="n"/>
      <c r="E112" s="220" t="n"/>
      <c r="F112" s="220" t="n"/>
      <c r="G112" s="169" t="n"/>
      <c r="H112" s="219" t="n"/>
      <c r="I112" s="220" t="n"/>
      <c r="J112" s="221" t="n"/>
    </row>
    <row r="113" ht="15" customHeight="1" s="131">
      <c r="A113" s="220" t="n"/>
      <c r="B113" s="222" t="n"/>
      <c r="C113" s="220" t="n"/>
      <c r="D113" s="220" t="n"/>
      <c r="E113" s="220" t="n"/>
      <c r="F113" s="220" t="n"/>
      <c r="G113" s="169" t="n"/>
      <c r="H113" s="219" t="n"/>
      <c r="I113" s="220" t="n"/>
      <c r="J113" s="221" t="n"/>
    </row>
    <row r="114" ht="15" customHeight="1" s="131">
      <c r="A114" s="220" t="n"/>
      <c r="B114" s="222" t="n"/>
      <c r="C114" s="220" t="n"/>
      <c r="D114" s="220" t="n"/>
      <c r="E114" s="220" t="n"/>
      <c r="F114" s="220" t="n"/>
      <c r="G114" s="169" t="n"/>
      <c r="H114" s="219" t="n"/>
      <c r="I114" s="220" t="n"/>
      <c r="J114" s="221" t="n"/>
    </row>
    <row r="115" ht="15" customHeight="1" s="131">
      <c r="A115" s="220" t="n"/>
      <c r="B115" s="222" t="n"/>
      <c r="C115" s="220" t="n"/>
      <c r="D115" s="220" t="n"/>
      <c r="E115" s="220" t="n"/>
      <c r="F115" s="220" t="n"/>
      <c r="G115" s="169" t="n"/>
      <c r="H115" s="219" t="n"/>
      <c r="I115" s="220" t="n"/>
      <c r="J115" s="221" t="n"/>
    </row>
    <row r="116" ht="15" customHeight="1" s="131">
      <c r="A116" s="220" t="n"/>
      <c r="B116" s="222" t="n"/>
      <c r="C116" s="220" t="n"/>
      <c r="D116" s="220" t="n"/>
      <c r="E116" s="220" t="n"/>
      <c r="F116" s="220" t="n"/>
      <c r="G116" s="169" t="n"/>
      <c r="H116" s="219" t="n"/>
      <c r="I116" s="220" t="n"/>
      <c r="J116" s="221" t="n"/>
    </row>
    <row r="117" ht="15" customHeight="1" s="131">
      <c r="A117" s="220" t="n"/>
      <c r="B117" s="222" t="n"/>
      <c r="C117" s="220" t="n"/>
      <c r="D117" s="220" t="n"/>
      <c r="E117" s="220" t="n"/>
      <c r="F117" s="220" t="n"/>
      <c r="G117" s="169" t="n"/>
      <c r="H117" s="219" t="n"/>
      <c r="I117" s="220" t="n"/>
      <c r="J117" s="221" t="n"/>
    </row>
    <row r="118" ht="15" customHeight="1" s="131">
      <c r="A118" s="220" t="n"/>
      <c r="B118" s="222" t="n"/>
      <c r="C118" s="220" t="n"/>
      <c r="D118" s="220" t="n"/>
      <c r="E118" s="220" t="n"/>
      <c r="F118" s="220" t="n"/>
      <c r="G118" s="169" t="n"/>
      <c r="H118" s="219" t="n"/>
      <c r="I118" s="220" t="n"/>
      <c r="J118" s="221" t="n"/>
    </row>
    <row r="119" ht="15" customHeight="1" s="131">
      <c r="A119" s="220" t="n"/>
      <c r="B119" s="222" t="n"/>
      <c r="C119" s="220" t="n"/>
      <c r="D119" s="220" t="n"/>
      <c r="E119" s="220" t="n"/>
      <c r="F119" s="220" t="n"/>
      <c r="G119" s="169" t="n"/>
      <c r="H119" s="219" t="n"/>
      <c r="I119" s="220" t="n"/>
      <c r="J119" s="221" t="n"/>
    </row>
    <row r="120" ht="15" customHeight="1" s="131">
      <c r="A120" s="220" t="n"/>
      <c r="B120" s="222" t="n"/>
      <c r="C120" s="220" t="n"/>
      <c r="D120" s="220" t="n"/>
      <c r="E120" s="220" t="n"/>
      <c r="F120" s="220" t="n"/>
      <c r="G120" s="169" t="n"/>
      <c r="H120" s="219" t="n"/>
      <c r="I120" s="220" t="n"/>
      <c r="J120" s="221" t="n"/>
    </row>
    <row r="121" ht="15" customHeight="1" s="131">
      <c r="A121" s="220" t="n"/>
      <c r="B121" s="222" t="n"/>
      <c r="C121" s="220" t="n"/>
      <c r="D121" s="220" t="n"/>
      <c r="E121" s="220" t="n"/>
      <c r="F121" s="220" t="n"/>
      <c r="G121" s="169" t="n"/>
      <c r="H121" s="219" t="n"/>
      <c r="I121" s="220" t="n"/>
      <c r="J121" s="221" t="n"/>
    </row>
    <row r="122" ht="15" customHeight="1" s="131">
      <c r="A122" s="220" t="n"/>
      <c r="B122" s="222" t="n"/>
      <c r="C122" s="220" t="n"/>
      <c r="D122" s="220" t="n"/>
      <c r="E122" s="220" t="n"/>
      <c r="F122" s="220" t="n"/>
      <c r="G122" s="169" t="n"/>
      <c r="H122" s="219" t="n"/>
      <c r="I122" s="220" t="n"/>
      <c r="J122" s="221" t="n"/>
    </row>
    <row r="123" ht="15" customHeight="1" s="131">
      <c r="A123" s="220" t="n"/>
      <c r="B123" s="222" t="n"/>
      <c r="C123" s="220" t="n"/>
      <c r="D123" s="220" t="n"/>
      <c r="E123" s="220" t="n"/>
      <c r="F123" s="220" t="n"/>
      <c r="G123" s="169" t="n"/>
      <c r="H123" s="219" t="n"/>
      <c r="I123" s="220" t="n"/>
      <c r="J123" s="221" t="n"/>
    </row>
    <row r="124" ht="15" customHeight="1" s="131">
      <c r="A124" s="220" t="n"/>
      <c r="B124" s="222" t="n"/>
      <c r="C124" s="220" t="n"/>
      <c r="D124" s="220" t="n"/>
      <c r="E124" s="220" t="n"/>
      <c r="F124" s="220" t="n"/>
      <c r="G124" s="169" t="n"/>
      <c r="H124" s="219" t="n"/>
      <c r="I124" s="220" t="n"/>
      <c r="J124" s="221" t="n"/>
    </row>
    <row r="125" ht="15" customHeight="1" s="131">
      <c r="A125" s="220" t="n"/>
      <c r="B125" s="222" t="n"/>
      <c r="C125" s="220" t="n"/>
      <c r="D125" s="220" t="n"/>
      <c r="E125" s="220" t="n"/>
      <c r="F125" s="220" t="n"/>
      <c r="G125" s="169" t="n"/>
      <c r="H125" s="219" t="n"/>
      <c r="I125" s="220" t="n"/>
      <c r="J125" s="221" t="n"/>
    </row>
    <row r="126" ht="15" customHeight="1" s="131">
      <c r="A126" s="220" t="n"/>
      <c r="B126" s="222" t="n"/>
      <c r="C126" s="220" t="n"/>
      <c r="D126" s="220" t="n"/>
      <c r="E126" s="220" t="n"/>
      <c r="F126" s="220" t="n"/>
      <c r="G126" s="169" t="n"/>
      <c r="H126" s="219" t="n"/>
      <c r="I126" s="220" t="n"/>
      <c r="J126" s="221" t="n"/>
    </row>
    <row r="127" ht="15" customHeight="1" s="131">
      <c r="A127" s="220" t="n"/>
      <c r="B127" s="222" t="n"/>
      <c r="C127" s="220" t="n"/>
      <c r="D127" s="220" t="n"/>
      <c r="E127" s="220" t="n"/>
      <c r="F127" s="220" t="n"/>
      <c r="G127" s="169" t="n"/>
      <c r="H127" s="219" t="n"/>
      <c r="I127" s="220" t="n"/>
      <c r="J127" s="221" t="n"/>
    </row>
    <row r="128" ht="15" customHeight="1" s="131">
      <c r="A128" s="220" t="n"/>
      <c r="B128" s="222" t="n"/>
      <c r="C128" s="220" t="n"/>
      <c r="D128" s="220" t="n"/>
      <c r="E128" s="220" t="n"/>
      <c r="F128" s="220" t="n"/>
      <c r="G128" s="169" t="n"/>
      <c r="H128" s="219" t="n"/>
      <c r="I128" s="220" t="n"/>
      <c r="J128" s="221" t="n"/>
    </row>
    <row r="129" ht="15" customHeight="1" s="131">
      <c r="A129" s="220" t="n"/>
      <c r="B129" s="222" t="n"/>
      <c r="C129" s="220" t="n"/>
      <c r="D129" s="220" t="n"/>
      <c r="E129" s="220" t="n"/>
      <c r="F129" s="220" t="n"/>
      <c r="G129" s="169" t="n"/>
      <c r="H129" s="219" t="n"/>
      <c r="I129" s="220" t="n"/>
      <c r="J129" s="221" t="n"/>
    </row>
    <row r="130" ht="15" customHeight="1" s="131">
      <c r="A130" s="220" t="n"/>
      <c r="B130" s="222" t="n"/>
      <c r="C130" s="220" t="n"/>
      <c r="D130" s="220" t="n"/>
      <c r="E130" s="220" t="n"/>
      <c r="F130" s="220" t="n"/>
      <c r="G130" s="169" t="n"/>
      <c r="H130" s="219" t="n"/>
      <c r="I130" s="220" t="n"/>
      <c r="J130" s="221" t="n"/>
    </row>
    <row r="131" ht="15" customHeight="1" s="131">
      <c r="A131" s="220" t="n"/>
      <c r="B131" s="222" t="n"/>
      <c r="C131" s="220" t="n"/>
      <c r="D131" s="220" t="n"/>
      <c r="E131" s="220" t="n"/>
      <c r="F131" s="220" t="n"/>
      <c r="G131" s="169" t="n"/>
      <c r="H131" s="219" t="n"/>
      <c r="I131" s="220" t="n"/>
      <c r="J131" s="221" t="n"/>
    </row>
    <row r="132" ht="15" customHeight="1" s="131">
      <c r="A132" s="220" t="n"/>
      <c r="B132" s="222" t="n"/>
      <c r="C132" s="220" t="n"/>
      <c r="D132" s="220" t="n"/>
      <c r="E132" s="220" t="n"/>
      <c r="F132" s="220" t="n"/>
      <c r="G132" s="169" t="n"/>
      <c r="H132" s="219" t="n"/>
      <c r="I132" s="220" t="n"/>
      <c r="J132" s="221" t="n"/>
    </row>
    <row r="133" ht="15" customHeight="1" s="131">
      <c r="A133" s="220" t="n"/>
      <c r="B133" s="222" t="n"/>
      <c r="C133" s="220" t="n"/>
      <c r="D133" s="220" t="n"/>
      <c r="E133" s="220" t="n"/>
      <c r="F133" s="220" t="n"/>
      <c r="G133" s="169" t="n"/>
      <c r="H133" s="219" t="n"/>
      <c r="I133" s="220" t="n"/>
      <c r="J133" s="221" t="n"/>
    </row>
    <row r="134" ht="15" customHeight="1" s="131">
      <c r="A134" s="220" t="n"/>
      <c r="B134" s="222" t="n"/>
      <c r="C134" s="220" t="n"/>
      <c r="D134" s="220" t="n"/>
      <c r="E134" s="220" t="n"/>
      <c r="F134" s="220" t="n"/>
      <c r="G134" s="169" t="n"/>
      <c r="H134" s="219" t="n"/>
      <c r="I134" s="220" t="n"/>
      <c r="J134" s="221" t="n"/>
    </row>
    <row r="135" ht="15" customHeight="1" s="131">
      <c r="A135" s="220" t="n"/>
      <c r="B135" s="222" t="n"/>
      <c r="C135" s="220" t="n"/>
      <c r="D135" s="220" t="n"/>
      <c r="E135" s="220" t="n"/>
      <c r="F135" s="220" t="n"/>
      <c r="G135" s="169" t="n"/>
      <c r="H135" s="219" t="n"/>
      <c r="I135" s="220" t="n"/>
      <c r="J135" s="221" t="n"/>
    </row>
    <row r="136" ht="15" customHeight="1" s="131">
      <c r="A136" s="220" t="n"/>
      <c r="B136" s="222" t="n"/>
      <c r="C136" s="220" t="n"/>
      <c r="D136" s="220" t="n"/>
      <c r="E136" s="220" t="n"/>
      <c r="F136" s="220" t="n"/>
      <c r="G136" s="169" t="n"/>
      <c r="H136" s="219" t="n"/>
      <c r="I136" s="220" t="n"/>
      <c r="J136" s="221" t="n"/>
    </row>
    <row r="137" ht="15" customHeight="1" s="131">
      <c r="A137" s="220" t="n"/>
      <c r="B137" s="222" t="n"/>
      <c r="C137" s="220" t="n"/>
      <c r="D137" s="220" t="n"/>
      <c r="E137" s="220" t="n"/>
      <c r="F137" s="220" t="n"/>
      <c r="G137" s="169" t="n"/>
      <c r="H137" s="219" t="n"/>
      <c r="I137" s="220" t="n"/>
      <c r="J137" s="221" t="n"/>
    </row>
    <row r="138" ht="15" customHeight="1" s="131">
      <c r="A138" s="220" t="n"/>
      <c r="B138" s="222" t="n"/>
      <c r="C138" s="220" t="n"/>
      <c r="D138" s="220" t="n"/>
      <c r="E138" s="220" t="n"/>
      <c r="F138" s="220" t="n"/>
      <c r="G138" s="169" t="n"/>
      <c r="H138" s="219" t="n"/>
      <c r="I138" s="220" t="n"/>
      <c r="J138" s="221" t="n"/>
    </row>
    <row r="139" ht="15" customHeight="1" s="131">
      <c r="A139" s="220" t="n"/>
      <c r="B139" s="222" t="n"/>
      <c r="C139" s="220" t="n"/>
      <c r="D139" s="220" t="n"/>
      <c r="E139" s="220" t="n"/>
      <c r="F139" s="220" t="n"/>
      <c r="G139" s="169" t="n"/>
      <c r="H139" s="219" t="n"/>
      <c r="I139" s="220" t="n"/>
      <c r="J139" s="221" t="n"/>
    </row>
    <row r="140" ht="15" customHeight="1" s="131">
      <c r="A140" s="220" t="n"/>
      <c r="B140" s="222" t="n"/>
      <c r="C140" s="220" t="n"/>
      <c r="D140" s="220" t="n"/>
      <c r="E140" s="220" t="n"/>
      <c r="F140" s="220" t="n"/>
      <c r="G140" s="169" t="n"/>
      <c r="H140" s="219" t="n"/>
      <c r="I140" s="220" t="n"/>
      <c r="J140" s="221" t="n"/>
    </row>
    <row r="141" ht="15" customHeight="1" s="131">
      <c r="A141" s="220" t="n"/>
      <c r="B141" s="222" t="n"/>
      <c r="C141" s="220" t="n"/>
      <c r="D141" s="220" t="n"/>
      <c r="E141" s="220" t="n"/>
      <c r="F141" s="220" t="n"/>
      <c r="G141" s="169" t="n"/>
      <c r="H141" s="219" t="n"/>
      <c r="I141" s="220" t="n"/>
      <c r="J141" s="221" t="n"/>
    </row>
    <row r="142" ht="15" customHeight="1" s="131">
      <c r="A142" s="220" t="n"/>
      <c r="B142" s="222" t="n"/>
      <c r="C142" s="220" t="n"/>
      <c r="D142" s="220" t="n"/>
      <c r="E142" s="220" t="n"/>
      <c r="F142" s="220" t="n"/>
      <c r="G142" s="169" t="n"/>
      <c r="H142" s="219" t="n"/>
      <c r="I142" s="220" t="n"/>
      <c r="J142" s="221" t="n"/>
    </row>
    <row r="143" ht="15" customHeight="1" s="131">
      <c r="A143" s="220" t="n"/>
      <c r="B143" s="222" t="n"/>
      <c r="C143" s="220" t="n"/>
      <c r="D143" s="220" t="n"/>
      <c r="E143" s="220" t="n"/>
      <c r="F143" s="220" t="n"/>
      <c r="G143" s="169" t="n"/>
      <c r="H143" s="219" t="n"/>
      <c r="I143" s="220" t="n"/>
      <c r="J143" s="221" t="n"/>
    </row>
    <row r="144" ht="15" customHeight="1" s="131">
      <c r="A144" s="220" t="n"/>
      <c r="B144" s="222" t="n"/>
      <c r="C144" s="220" t="n"/>
      <c r="D144" s="220" t="n"/>
      <c r="E144" s="220" t="n"/>
      <c r="F144" s="220" t="n"/>
      <c r="G144" s="169" t="n"/>
      <c r="H144" s="219" t="n"/>
      <c r="I144" s="220" t="n"/>
      <c r="J144" s="221" t="n"/>
    </row>
    <row r="145" ht="15" customHeight="1" s="131">
      <c r="A145" s="220" t="n"/>
      <c r="B145" s="222" t="n"/>
      <c r="C145" s="220" t="n"/>
      <c r="D145" s="220" t="n"/>
      <c r="E145" s="220" t="n"/>
      <c r="F145" s="220" t="n"/>
      <c r="G145" s="169" t="n"/>
      <c r="H145" s="219" t="n"/>
      <c r="I145" s="220" t="n"/>
      <c r="J145" s="221" t="n"/>
    </row>
    <row r="146" ht="15" customHeight="1" s="131">
      <c r="A146" s="220" t="n"/>
      <c r="B146" s="222" t="n"/>
      <c r="C146" s="220" t="n"/>
      <c r="D146" s="220" t="n"/>
      <c r="E146" s="220" t="n"/>
      <c r="F146" s="220" t="n"/>
      <c r="G146" s="169" t="n"/>
      <c r="H146" s="219" t="n"/>
      <c r="I146" s="220" t="n"/>
      <c r="J146" s="221" t="n"/>
    </row>
    <row r="147" ht="15" customHeight="1" s="131">
      <c r="A147" s="220" t="n"/>
      <c r="B147" s="222" t="n"/>
      <c r="C147" s="220" t="n"/>
      <c r="D147" s="220" t="n"/>
      <c r="E147" s="220" t="n"/>
      <c r="F147" s="220" t="n"/>
      <c r="G147" s="169" t="n"/>
      <c r="H147" s="219" t="n"/>
      <c r="I147" s="220" t="n"/>
      <c r="J147" s="221" t="n"/>
    </row>
    <row r="148" ht="15" customHeight="1" s="131">
      <c r="A148" s="220" t="n"/>
      <c r="B148" s="222" t="n"/>
      <c r="C148" s="220" t="n"/>
      <c r="D148" s="220" t="n"/>
      <c r="E148" s="220" t="n"/>
      <c r="F148" s="220" t="n"/>
      <c r="G148" s="169" t="n"/>
      <c r="H148" s="219" t="n"/>
      <c r="I148" s="220" t="n"/>
      <c r="J148" s="221" t="n"/>
    </row>
    <row r="149" ht="15" customHeight="1" s="131">
      <c r="A149" s="220" t="n"/>
      <c r="B149" s="222" t="n"/>
      <c r="C149" s="220" t="n"/>
      <c r="D149" s="220" t="n"/>
      <c r="E149" s="220" t="n"/>
      <c r="F149" s="220" t="n"/>
      <c r="G149" s="169" t="n"/>
      <c r="H149" s="219" t="n"/>
      <c r="I149" s="220" t="n"/>
      <c r="J149" s="221" t="n"/>
    </row>
    <row r="150" ht="15" customHeight="1" s="131">
      <c r="A150" s="220" t="n"/>
      <c r="B150" s="222" t="n"/>
      <c r="C150" s="220" t="n"/>
      <c r="D150" s="220" t="n"/>
      <c r="E150" s="220" t="n"/>
      <c r="F150" s="220" t="n"/>
      <c r="G150" s="169" t="n"/>
      <c r="H150" s="219" t="n"/>
      <c r="I150" s="220" t="n"/>
      <c r="J150" s="221" t="n"/>
    </row>
    <row r="151" ht="15" customHeight="1" s="131">
      <c r="A151" s="220" t="n"/>
      <c r="B151" s="222" t="n"/>
      <c r="C151" s="220" t="n"/>
      <c r="D151" s="220" t="n"/>
      <c r="E151" s="220" t="n"/>
      <c r="F151" s="220" t="n"/>
      <c r="G151" s="169" t="n"/>
      <c r="H151" s="219" t="n"/>
      <c r="I151" s="220" t="n"/>
      <c r="J151" s="221" t="n"/>
    </row>
    <row r="152" ht="15" customHeight="1" s="131">
      <c r="A152" s="220" t="n"/>
      <c r="B152" s="222" t="n"/>
      <c r="C152" s="220" t="n"/>
      <c r="D152" s="220" t="n"/>
      <c r="E152" s="220" t="n"/>
      <c r="F152" s="220" t="n"/>
      <c r="G152" s="169" t="n"/>
      <c r="H152" s="219" t="n"/>
      <c r="I152" s="220" t="n"/>
      <c r="J152" s="221" t="n"/>
    </row>
    <row r="153" ht="15" customHeight="1" s="131">
      <c r="A153" s="220" t="n"/>
      <c r="B153" s="222" t="n"/>
      <c r="C153" s="220" t="n"/>
      <c r="D153" s="220" t="n"/>
      <c r="E153" s="220" t="n"/>
      <c r="F153" s="220" t="n"/>
      <c r="G153" s="169" t="n"/>
      <c r="H153" s="219" t="n"/>
      <c r="I153" s="220" t="n"/>
      <c r="J153" s="221" t="n"/>
    </row>
    <row r="154" ht="15" customHeight="1" s="131">
      <c r="A154" s="220" t="n"/>
      <c r="B154" s="222" t="n"/>
      <c r="C154" s="220" t="n"/>
      <c r="D154" s="220" t="n"/>
      <c r="E154" s="220" t="n"/>
      <c r="F154" s="220" t="n"/>
      <c r="G154" s="169" t="n"/>
      <c r="H154" s="219" t="n"/>
      <c r="I154" s="220" t="n"/>
      <c r="J154" s="221" t="n"/>
    </row>
    <row r="155" ht="15" customHeight="1" s="131">
      <c r="A155" s="220" t="n"/>
      <c r="B155" s="222" t="n"/>
      <c r="C155" s="220" t="n"/>
      <c r="D155" s="220" t="n"/>
      <c r="E155" s="220" t="n"/>
      <c r="F155" s="220" t="n"/>
      <c r="G155" s="169" t="n"/>
      <c r="H155" s="219" t="n"/>
      <c r="I155" s="220" t="n"/>
      <c r="J155" s="221" t="n"/>
    </row>
    <row r="156" ht="15" customHeight="1" s="131">
      <c r="A156" s="220" t="n"/>
      <c r="B156" s="222" t="n"/>
      <c r="C156" s="220" t="n"/>
      <c r="D156" s="220" t="n"/>
      <c r="E156" s="220" t="n"/>
      <c r="F156" s="220" t="n"/>
      <c r="G156" s="169" t="n"/>
      <c r="H156" s="219" t="n"/>
      <c r="I156" s="220" t="n"/>
      <c r="J156" s="221" t="n"/>
    </row>
    <row r="157" ht="15" customHeight="1" s="131">
      <c r="A157" s="220" t="n"/>
      <c r="B157" s="222" t="n"/>
      <c r="C157" s="220" t="n"/>
      <c r="D157" s="220" t="n"/>
      <c r="E157" s="220" t="n"/>
      <c r="F157" s="220" t="n"/>
      <c r="G157" s="169" t="n"/>
      <c r="H157" s="219" t="n"/>
      <c r="I157" s="220" t="n"/>
      <c r="J157" s="221" t="n"/>
    </row>
    <row r="158" ht="15" customHeight="1" s="131">
      <c r="A158" s="220" t="n"/>
      <c r="B158" s="222" t="n"/>
      <c r="C158" s="220" t="n"/>
      <c r="D158" s="220" t="n"/>
      <c r="E158" s="220" t="n"/>
      <c r="F158" s="220" t="n"/>
      <c r="G158" s="169" t="n"/>
      <c r="H158" s="219" t="n"/>
      <c r="I158" s="220" t="n"/>
      <c r="J158" s="221" t="n"/>
    </row>
    <row r="159" ht="15" customHeight="1" s="131">
      <c r="A159" s="220" t="n"/>
      <c r="B159" s="222" t="n"/>
      <c r="C159" s="220" t="n"/>
      <c r="D159" s="220" t="n"/>
      <c r="E159" s="220" t="n"/>
      <c r="F159" s="220" t="n"/>
      <c r="G159" s="169" t="n"/>
      <c r="H159" s="219" t="n"/>
      <c r="I159" s="220" t="n"/>
      <c r="J159" s="221" t="n"/>
    </row>
    <row r="160" ht="15" customHeight="1" s="131">
      <c r="A160" s="220" t="n"/>
      <c r="B160" s="222" t="n"/>
      <c r="C160" s="220" t="n"/>
      <c r="D160" s="220" t="n"/>
      <c r="E160" s="220" t="n"/>
      <c r="F160" s="220" t="n"/>
      <c r="G160" s="169" t="n"/>
      <c r="H160" s="219" t="n"/>
      <c r="I160" s="220" t="n"/>
      <c r="J160" s="221" t="n"/>
    </row>
    <row r="161" ht="15" customHeight="1" s="131">
      <c r="A161" s="220" t="n"/>
      <c r="B161" s="222" t="n"/>
      <c r="C161" s="220" t="n"/>
      <c r="D161" s="220" t="n"/>
      <c r="E161" s="220" t="n"/>
      <c r="F161" s="220" t="n"/>
      <c r="G161" s="169" t="n"/>
      <c r="H161" s="219" t="n"/>
      <c r="I161" s="220" t="n"/>
      <c r="J161" s="221" t="n"/>
    </row>
    <row r="162" ht="15" customHeight="1" s="131">
      <c r="A162" s="220" t="n"/>
      <c r="B162" s="222" t="n"/>
      <c r="C162" s="220" t="n"/>
      <c r="D162" s="220" t="n"/>
      <c r="E162" s="220" t="n"/>
      <c r="F162" s="220" t="n"/>
      <c r="G162" s="169" t="n"/>
      <c r="H162" s="219" t="n"/>
      <c r="I162" s="220" t="n"/>
      <c r="J162" s="221" t="n"/>
    </row>
    <row r="163" ht="15" customHeight="1" s="131">
      <c r="A163" s="220" t="n"/>
      <c r="B163" s="222" t="n"/>
      <c r="C163" s="220" t="n"/>
      <c r="D163" s="220" t="n"/>
      <c r="E163" s="220" t="n"/>
      <c r="F163" s="220" t="n"/>
      <c r="G163" s="169" t="n"/>
      <c r="H163" s="219" t="n"/>
      <c r="I163" s="220" t="n"/>
      <c r="J163" s="221" t="n"/>
    </row>
    <row r="164" ht="15" customHeight="1" s="131">
      <c r="A164" s="220" t="n"/>
      <c r="B164" s="222" t="n"/>
      <c r="C164" s="220" t="n"/>
      <c r="D164" s="220" t="n"/>
      <c r="E164" s="220" t="n"/>
      <c r="F164" s="220" t="n"/>
      <c r="G164" s="169" t="n"/>
      <c r="H164" s="219" t="n"/>
      <c r="I164" s="220" t="n"/>
      <c r="J164" s="221" t="n"/>
    </row>
    <row r="165" ht="15" customHeight="1" s="131">
      <c r="A165" s="220" t="n"/>
      <c r="B165" s="222" t="n"/>
      <c r="C165" s="220" t="n"/>
      <c r="D165" s="220" t="n"/>
      <c r="E165" s="220" t="n"/>
      <c r="F165" s="220" t="n"/>
      <c r="G165" s="169" t="n"/>
      <c r="H165" s="219" t="n"/>
      <c r="I165" s="220" t="n"/>
      <c r="J165" s="221" t="n"/>
    </row>
    <row r="166" ht="15" customHeight="1" s="131">
      <c r="A166" s="220" t="n"/>
      <c r="B166" s="222" t="n"/>
      <c r="C166" s="220" t="n"/>
      <c r="D166" s="220" t="n"/>
      <c r="E166" s="220" t="n"/>
      <c r="F166" s="220" t="n"/>
      <c r="G166" s="169" t="n"/>
      <c r="H166" s="219" t="n"/>
      <c r="I166" s="220" t="n"/>
      <c r="J166" s="221" t="n"/>
    </row>
    <row r="167" ht="15" customHeight="1" s="131">
      <c r="A167" s="220" t="n"/>
      <c r="B167" s="222" t="n"/>
      <c r="C167" s="220" t="n"/>
      <c r="D167" s="220" t="n"/>
      <c r="E167" s="220" t="n"/>
      <c r="F167" s="220" t="n"/>
      <c r="G167" s="169" t="n"/>
      <c r="H167" s="219" t="n"/>
      <c r="I167" s="220" t="n"/>
      <c r="J167" s="221" t="n"/>
    </row>
    <row r="168" ht="15" customHeight="1" s="131">
      <c r="A168" s="220" t="n"/>
      <c r="B168" s="222" t="n"/>
      <c r="C168" s="220" t="n"/>
      <c r="D168" s="220" t="n"/>
      <c r="E168" s="220" t="n"/>
      <c r="F168" s="220" t="n"/>
      <c r="G168" s="169" t="n"/>
      <c r="H168" s="219" t="n"/>
      <c r="I168" s="220" t="n"/>
      <c r="J168" s="221" t="n"/>
    </row>
    <row r="169" ht="15" customHeight="1" s="131">
      <c r="A169" s="220" t="n"/>
      <c r="B169" s="222" t="n"/>
      <c r="C169" s="220" t="n"/>
      <c r="D169" s="220" t="n"/>
      <c r="E169" s="220" t="n"/>
      <c r="F169" s="220" t="n"/>
      <c r="G169" s="169" t="n"/>
      <c r="H169" s="219" t="n"/>
      <c r="I169" s="220" t="n"/>
      <c r="J169" s="221" t="n"/>
    </row>
    <row r="170" ht="15" customHeight="1" s="131">
      <c r="A170" s="220" t="n"/>
      <c r="B170" s="222" t="n"/>
      <c r="C170" s="220" t="n"/>
      <c r="D170" s="220" t="n"/>
      <c r="E170" s="220" t="n"/>
      <c r="F170" s="220" t="n"/>
      <c r="G170" s="169" t="n"/>
      <c r="H170" s="219" t="n"/>
      <c r="I170" s="220" t="n"/>
      <c r="J170" s="221" t="n"/>
    </row>
    <row r="171" ht="15" customHeight="1" s="131">
      <c r="A171" s="220" t="n"/>
      <c r="B171" s="222" t="n"/>
      <c r="C171" s="220" t="n"/>
      <c r="D171" s="220" t="n"/>
      <c r="E171" s="220" t="n"/>
      <c r="F171" s="220" t="n"/>
      <c r="G171" s="169" t="n"/>
      <c r="H171" s="219" t="n"/>
      <c r="I171" s="220" t="n"/>
      <c r="J171" s="221" t="n"/>
    </row>
    <row r="172" ht="15" customHeight="1" s="131">
      <c r="A172" s="220" t="n"/>
      <c r="B172" s="222" t="n"/>
      <c r="C172" s="220" t="n"/>
      <c r="D172" s="220" t="n"/>
      <c r="E172" s="220" t="n"/>
      <c r="F172" s="220" t="n"/>
      <c r="G172" s="169" t="n"/>
      <c r="H172" s="219" t="n"/>
      <c r="I172" s="220" t="n"/>
      <c r="J172" s="221" t="n"/>
    </row>
    <row r="173" ht="15" customHeight="1" s="131">
      <c r="A173" s="220" t="n"/>
      <c r="B173" s="222" t="n"/>
      <c r="C173" s="220" t="n"/>
      <c r="D173" s="220" t="n"/>
      <c r="E173" s="220" t="n"/>
      <c r="F173" s="220" t="n"/>
      <c r="G173" s="169" t="n"/>
      <c r="H173" s="219" t="n"/>
      <c r="I173" s="220" t="n"/>
      <c r="J173" s="221" t="n"/>
    </row>
    <row r="174" ht="15" customHeight="1" s="131">
      <c r="A174" s="220" t="n"/>
      <c r="B174" s="222" t="n"/>
      <c r="C174" s="220" t="n"/>
      <c r="D174" s="220" t="n"/>
      <c r="E174" s="220" t="n"/>
      <c r="F174" s="220" t="n"/>
      <c r="G174" s="169" t="n"/>
      <c r="H174" s="219" t="n"/>
      <c r="I174" s="220" t="n"/>
      <c r="J174" s="221" t="n"/>
    </row>
    <row r="175" ht="15" customHeight="1" s="131">
      <c r="A175" s="220" t="n"/>
      <c r="B175" s="222" t="n"/>
      <c r="C175" s="220" t="n"/>
      <c r="D175" s="220" t="n"/>
      <c r="E175" s="220" t="n"/>
      <c r="F175" s="220" t="n"/>
      <c r="G175" s="169" t="n"/>
      <c r="H175" s="219" t="n"/>
      <c r="I175" s="220" t="n"/>
      <c r="J175" s="221" t="n"/>
    </row>
    <row r="176" ht="15" customHeight="1" s="131">
      <c r="A176" s="220" t="n"/>
      <c r="B176" s="222" t="n"/>
      <c r="C176" s="220" t="n"/>
      <c r="D176" s="220" t="n"/>
      <c r="E176" s="220" t="n"/>
      <c r="F176" s="220" t="n"/>
      <c r="G176" s="169" t="n"/>
      <c r="H176" s="219" t="n"/>
      <c r="I176" s="220" t="n"/>
      <c r="J176" s="221" t="n"/>
    </row>
    <row r="177" ht="15" customHeight="1" s="131">
      <c r="A177" s="220" t="n"/>
      <c r="B177" s="222" t="n"/>
      <c r="C177" s="220" t="n"/>
      <c r="D177" s="220" t="n"/>
      <c r="E177" s="220" t="n"/>
      <c r="F177" s="220" t="n"/>
      <c r="G177" s="169" t="n"/>
      <c r="H177" s="219" t="n"/>
      <c r="I177" s="220" t="n"/>
      <c r="J177" s="221" t="n"/>
    </row>
    <row r="178" ht="15" customHeight="1" s="131">
      <c r="A178" s="220" t="n"/>
      <c r="B178" s="222" t="n"/>
      <c r="C178" s="220" t="n"/>
      <c r="D178" s="220" t="n"/>
      <c r="E178" s="220" t="n"/>
      <c r="F178" s="220" t="n"/>
      <c r="G178" s="169" t="n"/>
      <c r="H178" s="219" t="n"/>
      <c r="I178" s="220" t="n"/>
      <c r="J178" s="221" t="n"/>
    </row>
    <row r="179" ht="15" customHeight="1" s="131">
      <c r="A179" s="220" t="n"/>
      <c r="B179" s="222" t="n"/>
      <c r="C179" s="220" t="n"/>
      <c r="D179" s="220" t="n"/>
      <c r="E179" s="220" t="n"/>
      <c r="F179" s="220" t="n"/>
      <c r="G179" s="169" t="n"/>
      <c r="H179" s="219" t="n"/>
      <c r="I179" s="220" t="n"/>
      <c r="J179" s="221" t="n"/>
    </row>
    <row r="180" ht="15" customHeight="1" s="131">
      <c r="A180" s="220" t="n"/>
      <c r="B180" s="222" t="n"/>
      <c r="C180" s="220" t="n"/>
      <c r="D180" s="220" t="n"/>
      <c r="E180" s="220" t="n"/>
      <c r="F180" s="220" t="n"/>
      <c r="G180" s="169" t="n"/>
      <c r="H180" s="219" t="n"/>
      <c r="I180" s="220" t="n"/>
      <c r="J180" s="221" t="n"/>
    </row>
    <row r="181" ht="15" customHeight="1" s="131">
      <c r="A181" s="220" t="n"/>
      <c r="B181" s="222" t="n"/>
      <c r="C181" s="220" t="n"/>
      <c r="D181" s="220" t="n"/>
      <c r="E181" s="220" t="n"/>
      <c r="F181" s="220" t="n"/>
      <c r="G181" s="169" t="n"/>
      <c r="H181" s="219" t="n"/>
      <c r="I181" s="220" t="n"/>
      <c r="J181" s="221" t="n"/>
    </row>
    <row r="182" ht="15" customHeight="1" s="131">
      <c r="A182" s="220" t="n"/>
      <c r="B182" s="222" t="n"/>
      <c r="C182" s="220" t="n"/>
      <c r="D182" s="220" t="n"/>
      <c r="E182" s="220" t="n"/>
      <c r="F182" s="220" t="n"/>
      <c r="G182" s="169" t="n"/>
      <c r="H182" s="219" t="n"/>
      <c r="I182" s="220" t="n"/>
      <c r="J182" s="221" t="n"/>
    </row>
    <row r="183" ht="15" customHeight="1" s="131">
      <c r="A183" s="220" t="n"/>
      <c r="B183" s="222" t="n"/>
      <c r="C183" s="220" t="n"/>
      <c r="D183" s="220" t="n"/>
      <c r="E183" s="220" t="n"/>
      <c r="F183" s="220" t="n"/>
      <c r="G183" s="169" t="n"/>
      <c r="H183" s="219" t="n"/>
      <c r="I183" s="220" t="n"/>
      <c r="J183" s="221" t="n"/>
    </row>
    <row r="184" ht="15" customHeight="1" s="131">
      <c r="A184" s="220" t="n"/>
      <c r="B184" s="222" t="n"/>
      <c r="C184" s="220" t="n"/>
      <c r="D184" s="220" t="n"/>
      <c r="E184" s="220" t="n"/>
      <c r="F184" s="220" t="n"/>
      <c r="G184" s="169" t="n"/>
      <c r="H184" s="219" t="n"/>
      <c r="I184" s="220" t="n"/>
      <c r="J184" s="221" t="n"/>
    </row>
    <row r="185" ht="15" customHeight="1" s="131">
      <c r="A185" s="220" t="n"/>
      <c r="B185" s="222" t="n"/>
      <c r="C185" s="220" t="n"/>
      <c r="D185" s="220" t="n"/>
      <c r="E185" s="220" t="n"/>
      <c r="F185" s="220" t="n"/>
      <c r="G185" s="169" t="n"/>
      <c r="H185" s="219" t="n"/>
      <c r="I185" s="220" t="n"/>
      <c r="J185" s="221" t="n"/>
    </row>
    <row r="186" ht="15" customHeight="1" s="131">
      <c r="A186" s="220" t="n"/>
      <c r="B186" s="222" t="n"/>
      <c r="C186" s="220" t="n"/>
      <c r="D186" s="220" t="n"/>
      <c r="E186" s="220" t="n"/>
      <c r="F186" s="220" t="n"/>
      <c r="G186" s="169" t="n"/>
      <c r="H186" s="219" t="n"/>
      <c r="I186" s="220" t="n"/>
      <c r="J186" s="221" t="n"/>
    </row>
    <row r="187" ht="15" customHeight="1" s="131">
      <c r="A187" s="220" t="n"/>
      <c r="B187" s="222" t="n"/>
      <c r="C187" s="220" t="n"/>
      <c r="D187" s="220" t="n"/>
      <c r="E187" s="220" t="n"/>
      <c r="F187" s="220" t="n"/>
      <c r="G187" s="169" t="n"/>
      <c r="H187" s="219" t="n"/>
      <c r="I187" s="220" t="n"/>
      <c r="J187" s="221" t="n"/>
    </row>
    <row r="188" ht="15" customHeight="1" s="131">
      <c r="A188" s="220" t="n"/>
      <c r="B188" s="222" t="n"/>
      <c r="C188" s="220" t="n"/>
      <c r="D188" s="220" t="n"/>
      <c r="E188" s="220" t="n"/>
      <c r="F188" s="220" t="n"/>
      <c r="G188" s="169" t="n"/>
      <c r="H188" s="219" t="n"/>
      <c r="I188" s="220" t="n"/>
      <c r="J188" s="221" t="n"/>
    </row>
    <row r="189" ht="15" customHeight="1" s="131">
      <c r="A189" s="220" t="n"/>
      <c r="B189" s="222" t="n"/>
      <c r="C189" s="220" t="n"/>
      <c r="D189" s="220" t="n"/>
      <c r="E189" s="220" t="n"/>
      <c r="F189" s="220" t="n"/>
      <c r="G189" s="169" t="n"/>
      <c r="H189" s="219" t="n"/>
      <c r="I189" s="220" t="n"/>
      <c r="J189" s="221" t="n"/>
    </row>
    <row r="190" ht="15" customHeight="1" s="131">
      <c r="A190" s="220" t="n"/>
      <c r="B190" s="222" t="n"/>
      <c r="C190" s="220" t="n"/>
      <c r="D190" s="220" t="n"/>
      <c r="E190" s="220" t="n"/>
      <c r="F190" s="220" t="n"/>
      <c r="G190" s="169" t="n"/>
      <c r="H190" s="219" t="n"/>
      <c r="I190" s="220" t="n"/>
      <c r="J190" s="221" t="n"/>
    </row>
    <row r="191" ht="15" customHeight="1" s="131">
      <c r="A191" s="220" t="n"/>
      <c r="B191" s="222" t="n"/>
      <c r="C191" s="220" t="n"/>
      <c r="D191" s="220" t="n"/>
      <c r="E191" s="220" t="n"/>
      <c r="F191" s="220" t="n"/>
      <c r="G191" s="169" t="n"/>
      <c r="H191" s="219" t="n"/>
      <c r="I191" s="220" t="n"/>
      <c r="J191" s="221" t="n"/>
    </row>
    <row r="192" ht="15" customHeight="1" s="131">
      <c r="A192" s="220" t="n"/>
      <c r="B192" s="222" t="n"/>
      <c r="C192" s="220" t="n"/>
      <c r="D192" s="220" t="n"/>
      <c r="E192" s="220" t="n"/>
      <c r="F192" s="220" t="n"/>
      <c r="G192" s="169" t="n"/>
      <c r="H192" s="219" t="n"/>
      <c r="I192" s="220" t="n"/>
      <c r="J192" s="221" t="n"/>
    </row>
    <row r="193" ht="15" customHeight="1" s="131">
      <c r="A193" s="220" t="n"/>
      <c r="B193" s="222" t="n"/>
      <c r="C193" s="220" t="n"/>
      <c r="D193" s="220" t="n"/>
      <c r="E193" s="220" t="n"/>
      <c r="F193" s="220" t="n"/>
      <c r="G193" s="169" t="n"/>
      <c r="H193" s="219" t="n"/>
      <c r="I193" s="220" t="n"/>
      <c r="J193" s="221" t="n"/>
    </row>
    <row r="194" ht="15" customHeight="1" s="131">
      <c r="A194" s="220" t="n"/>
      <c r="B194" s="222" t="n"/>
      <c r="C194" s="220" t="n"/>
      <c r="D194" s="220" t="n"/>
      <c r="E194" s="220" t="n"/>
      <c r="F194" s="220" t="n"/>
      <c r="G194" s="169" t="n"/>
      <c r="H194" s="219" t="n"/>
      <c r="I194" s="220" t="n"/>
      <c r="J194" s="221" t="n"/>
    </row>
    <row r="195" ht="15" customHeight="1" s="131">
      <c r="A195" s="220" t="n"/>
      <c r="B195" s="222" t="n"/>
      <c r="C195" s="220" t="n"/>
      <c r="D195" s="220" t="n"/>
      <c r="E195" s="220" t="n"/>
      <c r="F195" s="220" t="n"/>
      <c r="G195" s="169" t="n"/>
      <c r="H195" s="219" t="n"/>
      <c r="I195" s="220" t="n"/>
      <c r="J195" s="221" t="n"/>
    </row>
    <row r="196" ht="15" customHeight="1" s="131">
      <c r="A196" s="220" t="n"/>
      <c r="B196" s="222" t="n"/>
      <c r="C196" s="220" t="n"/>
      <c r="D196" s="220" t="n"/>
      <c r="E196" s="220" t="n"/>
      <c r="F196" s="220" t="n"/>
      <c r="G196" s="169" t="n"/>
      <c r="H196" s="219" t="n"/>
      <c r="I196" s="220" t="n"/>
      <c r="J196" s="221" t="n"/>
    </row>
    <row r="197" ht="15" customHeight="1" s="131">
      <c r="A197" s="220" t="n"/>
      <c r="B197" s="222" t="n"/>
      <c r="C197" s="220" t="n"/>
      <c r="D197" s="220" t="n"/>
      <c r="E197" s="220" t="n"/>
      <c r="F197" s="220" t="n"/>
      <c r="G197" s="169" t="n"/>
      <c r="H197" s="219" t="n"/>
      <c r="I197" s="220" t="n"/>
      <c r="J197" s="221" t="n"/>
    </row>
    <row r="198" ht="15" customHeight="1" s="131">
      <c r="A198" s="220" t="n"/>
      <c r="B198" s="222" t="n"/>
      <c r="C198" s="220" t="n"/>
      <c r="D198" s="220" t="n"/>
      <c r="E198" s="220" t="n"/>
      <c r="F198" s="220" t="n"/>
      <c r="G198" s="169" t="n"/>
      <c r="H198" s="219" t="n"/>
      <c r="I198" s="220" t="n"/>
      <c r="J198" s="221" t="n"/>
    </row>
    <row r="199" ht="15" customHeight="1" s="131">
      <c r="A199" s="220" t="n"/>
      <c r="B199" s="222" t="n"/>
      <c r="C199" s="220" t="n"/>
      <c r="D199" s="220" t="n"/>
      <c r="E199" s="220" t="n"/>
      <c r="F199" s="220" t="n"/>
      <c r="G199" s="169" t="n"/>
      <c r="H199" s="219" t="n"/>
      <c r="I199" s="220" t="n"/>
      <c r="J199" s="221" t="n"/>
    </row>
    <row r="200" ht="15" customHeight="1" s="131">
      <c r="A200" s="220" t="n"/>
      <c r="B200" s="222" t="n"/>
      <c r="C200" s="220" t="n"/>
      <c r="D200" s="220" t="n"/>
      <c r="E200" s="220" t="n"/>
      <c r="F200" s="220" t="n"/>
      <c r="G200" s="169" t="n"/>
      <c r="H200" s="219" t="n"/>
      <c r="I200" s="220" t="n"/>
      <c r="J200" s="221" t="n"/>
    </row>
    <row r="201" ht="15" customHeight="1" s="131">
      <c r="A201" s="220" t="n"/>
      <c r="B201" s="222" t="n"/>
      <c r="C201" s="220" t="n"/>
      <c r="D201" s="220" t="n"/>
      <c r="E201" s="220" t="n"/>
      <c r="F201" s="220" t="n"/>
      <c r="G201" s="169" t="n"/>
      <c r="H201" s="219" t="n"/>
      <c r="I201" s="220" t="n"/>
      <c r="J201" s="221" t="n"/>
    </row>
    <row r="202" ht="15" customHeight="1" s="131">
      <c r="A202" s="220" t="n"/>
      <c r="B202" s="222" t="n"/>
      <c r="C202" s="220" t="n"/>
      <c r="D202" s="220" t="n"/>
      <c r="E202" s="220" t="n"/>
      <c r="F202" s="220" t="n"/>
      <c r="G202" s="169" t="n"/>
      <c r="H202" s="219" t="n"/>
      <c r="I202" s="220" t="n"/>
      <c r="J202" s="221" t="n"/>
    </row>
    <row r="203" ht="15" customHeight="1" s="131">
      <c r="A203" s="220" t="n"/>
      <c r="B203" s="222" t="n"/>
      <c r="C203" s="220" t="n"/>
      <c r="D203" s="220" t="n"/>
      <c r="E203" s="220" t="n"/>
      <c r="F203" s="220" t="n"/>
      <c r="G203" s="169" t="n"/>
      <c r="H203" s="219" t="n"/>
      <c r="I203" s="220" t="n"/>
      <c r="J203" s="221" t="n"/>
    </row>
    <row r="204" ht="15" customHeight="1" s="131">
      <c r="A204" s="220" t="n"/>
      <c r="B204" s="222" t="n"/>
      <c r="C204" s="220" t="n"/>
      <c r="D204" s="220" t="n"/>
      <c r="E204" s="220" t="n"/>
      <c r="F204" s="220" t="n"/>
      <c r="G204" s="169" t="n"/>
      <c r="H204" s="219" t="n"/>
      <c r="I204" s="220" t="n"/>
      <c r="J204" s="221" t="n"/>
    </row>
    <row r="205" ht="15" customHeight="1" s="131">
      <c r="A205" s="220" t="n"/>
      <c r="B205" s="222" t="n"/>
      <c r="C205" s="220" t="n"/>
      <c r="D205" s="220" t="n"/>
      <c r="E205" s="220" t="n"/>
      <c r="F205" s="220" t="n"/>
      <c r="G205" s="169" t="n"/>
      <c r="H205" s="219" t="n"/>
      <c r="I205" s="220" t="n"/>
      <c r="J205" s="221" t="n"/>
    </row>
    <row r="206" ht="15" customHeight="1" s="131">
      <c r="A206" s="220" t="n"/>
      <c r="B206" s="222" t="n"/>
      <c r="C206" s="220" t="n"/>
      <c r="D206" s="220" t="n"/>
      <c r="E206" s="220" t="n"/>
      <c r="F206" s="220" t="n"/>
      <c r="G206" s="169" t="n"/>
      <c r="H206" s="219" t="n"/>
      <c r="I206" s="220" t="n"/>
      <c r="J206" s="221" t="n"/>
    </row>
    <row r="207" ht="15" customHeight="1" s="131">
      <c r="A207" s="220" t="n"/>
      <c r="B207" s="222" t="n"/>
      <c r="C207" s="220" t="n"/>
      <c r="D207" s="220" t="n"/>
      <c r="E207" s="220" t="n"/>
      <c r="F207" s="220" t="n"/>
      <c r="G207" s="169" t="n"/>
      <c r="H207" s="219" t="n"/>
      <c r="I207" s="220" t="n"/>
      <c r="J207" s="221" t="n"/>
    </row>
    <row r="208" ht="15" customHeight="1" s="131">
      <c r="A208" s="220" t="n"/>
      <c r="B208" s="222" t="n"/>
      <c r="C208" s="220" t="n"/>
      <c r="D208" s="220" t="n"/>
      <c r="E208" s="220" t="n"/>
      <c r="F208" s="220" t="n"/>
      <c r="G208" s="169" t="n"/>
      <c r="H208" s="219" t="n"/>
      <c r="I208" s="220" t="n"/>
      <c r="J208" s="221" t="n"/>
    </row>
    <row r="209" ht="15" customHeight="1" s="131">
      <c r="A209" s="220" t="n"/>
      <c r="B209" s="222" t="n"/>
      <c r="C209" s="220" t="n"/>
      <c r="D209" s="220" t="n"/>
      <c r="E209" s="220" t="n"/>
      <c r="F209" s="220" t="n"/>
      <c r="G209" s="169" t="n"/>
      <c r="H209" s="219" t="n"/>
      <c r="I209" s="220" t="n"/>
      <c r="J209" s="221" t="n"/>
    </row>
    <row r="210" ht="15" customHeight="1" s="131">
      <c r="A210" s="220" t="n"/>
      <c r="B210" s="222" t="n"/>
      <c r="C210" s="220" t="n"/>
      <c r="D210" s="220" t="n"/>
      <c r="E210" s="220" t="n"/>
      <c r="F210" s="220" t="n"/>
      <c r="G210" s="169" t="n"/>
      <c r="H210" s="219" t="n"/>
      <c r="I210" s="220" t="n"/>
      <c r="J210" s="221" t="n"/>
    </row>
    <row r="211" ht="15" customHeight="1" s="131">
      <c r="A211" s="220" t="n"/>
      <c r="B211" s="222" t="n"/>
      <c r="C211" s="220" t="n"/>
      <c r="D211" s="220" t="n"/>
      <c r="E211" s="220" t="n"/>
      <c r="F211" s="220" t="n"/>
      <c r="G211" s="169" t="n"/>
      <c r="H211" s="219" t="n"/>
      <c r="I211" s="220" t="n"/>
      <c r="J211" s="221" t="n"/>
    </row>
    <row r="212" ht="15" customHeight="1" s="131">
      <c r="A212" s="220" t="n"/>
      <c r="B212" s="222" t="n"/>
      <c r="C212" s="220" t="n"/>
      <c r="D212" s="220" t="n"/>
      <c r="E212" s="220" t="n"/>
      <c r="F212" s="220" t="n"/>
      <c r="G212" s="169" t="n"/>
      <c r="H212" s="219" t="n"/>
      <c r="I212" s="220" t="n"/>
      <c r="J212" s="221" t="n"/>
    </row>
    <row r="213" ht="15" customHeight="1" s="131">
      <c r="A213" s="220" t="n"/>
      <c r="B213" s="222" t="n"/>
      <c r="C213" s="220" t="n"/>
      <c r="D213" s="220" t="n"/>
      <c r="E213" s="220" t="n"/>
      <c r="F213" s="220" t="n"/>
      <c r="G213" s="169" t="n"/>
      <c r="H213" s="219" t="n"/>
      <c r="I213" s="220" t="n"/>
      <c r="J213" s="221" t="n"/>
    </row>
    <row r="214" ht="15" customHeight="1" s="131">
      <c r="A214" s="220" t="n"/>
      <c r="B214" s="222" t="n"/>
      <c r="C214" s="220" t="n"/>
      <c r="D214" s="220" t="n"/>
      <c r="E214" s="220" t="n"/>
      <c r="F214" s="220" t="n"/>
      <c r="G214" s="169" t="n"/>
      <c r="H214" s="219" t="n"/>
      <c r="I214" s="220" t="n"/>
      <c r="J214" s="221" t="n"/>
    </row>
    <row r="215" ht="15" customHeight="1" s="131">
      <c r="A215" s="220" t="n"/>
      <c r="B215" s="222" t="n"/>
      <c r="C215" s="220" t="n"/>
      <c r="D215" s="220" t="n"/>
      <c r="E215" s="220" t="n"/>
      <c r="F215" s="220" t="n"/>
      <c r="G215" s="169" t="n"/>
      <c r="H215" s="219" t="n"/>
      <c r="I215" s="220" t="n"/>
      <c r="J215" s="221" t="n"/>
    </row>
    <row r="216" ht="15" customHeight="1" s="131">
      <c r="A216" s="220" t="n"/>
      <c r="B216" s="222" t="n"/>
      <c r="C216" s="220" t="n"/>
      <c r="D216" s="220" t="n"/>
      <c r="E216" s="220" t="n"/>
      <c r="F216" s="220" t="n"/>
      <c r="G216" s="169" t="n"/>
      <c r="H216" s="219" t="n"/>
      <c r="I216" s="220" t="n"/>
      <c r="J216" s="221" t="n"/>
    </row>
    <row r="217" ht="15" customHeight="1" s="131">
      <c r="A217" s="220" t="n"/>
      <c r="B217" s="222" t="n"/>
      <c r="C217" s="220" t="n"/>
      <c r="D217" s="220" t="n"/>
      <c r="E217" s="220" t="n"/>
      <c r="F217" s="220" t="n"/>
      <c r="G217" s="169" t="n"/>
      <c r="H217" s="219" t="n"/>
      <c r="I217" s="220" t="n"/>
      <c r="J217" s="221" t="n"/>
    </row>
    <row r="218" ht="15" customHeight="1" s="131">
      <c r="A218" s="220" t="n"/>
      <c r="B218" s="222" t="n"/>
      <c r="C218" s="220" t="n"/>
      <c r="D218" s="220" t="n"/>
      <c r="E218" s="220" t="n"/>
      <c r="F218" s="220" t="n"/>
      <c r="G218" s="169" t="n"/>
      <c r="H218" s="219" t="n"/>
      <c r="I218" s="220" t="n"/>
      <c r="J218" s="221" t="n"/>
    </row>
    <row r="219" ht="15" customHeight="1" s="131">
      <c r="A219" s="220" t="n"/>
      <c r="B219" s="222" t="n"/>
      <c r="C219" s="220" t="n"/>
      <c r="D219" s="220" t="n"/>
      <c r="E219" s="220" t="n"/>
      <c r="F219" s="220" t="n"/>
      <c r="G219" s="169" t="n"/>
      <c r="H219" s="219" t="n"/>
      <c r="I219" s="220" t="n"/>
      <c r="J219" s="221" t="n"/>
    </row>
    <row r="220" ht="15" customHeight="1" s="131">
      <c r="A220" s="220" t="n"/>
      <c r="B220" s="222" t="n"/>
      <c r="C220" s="220" t="n"/>
      <c r="D220" s="220" t="n"/>
      <c r="E220" s="220" t="n"/>
      <c r="F220" s="220" t="n"/>
      <c r="G220" s="169" t="n"/>
      <c r="H220" s="219" t="n"/>
      <c r="I220" s="220" t="n"/>
      <c r="J220" s="221" t="n"/>
    </row>
    <row r="221" ht="15" customHeight="1" s="131">
      <c r="A221" s="220" t="n"/>
      <c r="B221" s="222" t="n"/>
      <c r="C221" s="220" t="n"/>
      <c r="D221" s="220" t="n"/>
      <c r="E221" s="220" t="n"/>
      <c r="F221" s="220" t="n"/>
      <c r="G221" s="169" t="n"/>
      <c r="H221" s="219" t="n"/>
      <c r="I221" s="220" t="n"/>
      <c r="J221" s="221" t="n"/>
    </row>
    <row r="222" ht="15" customHeight="1" s="131">
      <c r="A222" s="220" t="n"/>
      <c r="B222" s="222" t="n"/>
      <c r="C222" s="220" t="n"/>
      <c r="D222" s="220" t="n"/>
      <c r="E222" s="220" t="n"/>
      <c r="F222" s="220" t="n"/>
      <c r="G222" s="169" t="n"/>
      <c r="H222" s="219" t="n"/>
      <c r="I222" s="220" t="n"/>
      <c r="J222" s="221" t="n"/>
    </row>
    <row r="223" ht="15" customHeight="1" s="131">
      <c r="A223" s="220" t="n"/>
      <c r="B223" s="222" t="n"/>
      <c r="C223" s="220" t="n"/>
      <c r="D223" s="220" t="n"/>
      <c r="E223" s="220" t="n"/>
      <c r="F223" s="220" t="n"/>
      <c r="G223" s="169" t="n"/>
      <c r="H223" s="219" t="n"/>
      <c r="I223" s="220" t="n"/>
      <c r="J223" s="221" t="n"/>
    </row>
    <row r="224" ht="15" customHeight="1" s="131">
      <c r="A224" s="220" t="n"/>
      <c r="B224" s="222" t="n"/>
      <c r="C224" s="220" t="n"/>
      <c r="D224" s="220" t="n"/>
      <c r="E224" s="220" t="n"/>
      <c r="F224" s="220" t="n"/>
      <c r="G224" s="169" t="n"/>
      <c r="H224" s="219" t="n"/>
      <c r="I224" s="220" t="n"/>
      <c r="J224" s="221" t="n"/>
    </row>
    <row r="225" ht="15" customHeight="1" s="131">
      <c r="A225" s="220" t="n"/>
      <c r="B225" s="222" t="n"/>
      <c r="C225" s="220" t="n"/>
      <c r="D225" s="220" t="n"/>
      <c r="E225" s="220" t="n"/>
      <c r="F225" s="220" t="n"/>
      <c r="G225" s="169" t="n"/>
      <c r="H225" s="219" t="n"/>
      <c r="I225" s="220" t="n"/>
      <c r="J225" s="221" t="n"/>
    </row>
    <row r="226" ht="15" customHeight="1" s="131">
      <c r="A226" s="220" t="n"/>
      <c r="B226" s="222" t="n"/>
      <c r="C226" s="220" t="n"/>
      <c r="D226" s="220" t="n"/>
      <c r="E226" s="220" t="n"/>
      <c r="F226" s="220" t="n"/>
      <c r="G226" s="169" t="n"/>
      <c r="H226" s="219" t="n"/>
      <c r="I226" s="220" t="n"/>
      <c r="J226" s="221" t="n"/>
    </row>
    <row r="227" ht="15" customHeight="1" s="131">
      <c r="A227" s="220" t="n"/>
      <c r="B227" s="222" t="n"/>
      <c r="C227" s="220" t="n"/>
      <c r="D227" s="220" t="n"/>
      <c r="E227" s="220" t="n"/>
      <c r="F227" s="220" t="n"/>
      <c r="G227" s="169" t="n"/>
      <c r="H227" s="219" t="n"/>
      <c r="I227" s="220" t="n"/>
      <c r="J227" s="221" t="n"/>
    </row>
    <row r="228" ht="15" customHeight="1" s="131">
      <c r="A228" s="220" t="n"/>
      <c r="B228" s="222" t="n"/>
      <c r="C228" s="220" t="n"/>
      <c r="D228" s="220" t="n"/>
      <c r="E228" s="220" t="n"/>
      <c r="F228" s="220" t="n"/>
      <c r="G228" s="169" t="n"/>
      <c r="H228" s="219" t="n"/>
      <c r="I228" s="220" t="n"/>
      <c r="J228" s="221" t="n"/>
    </row>
    <row r="229" ht="15" customHeight="1" s="131">
      <c r="A229" s="220" t="n"/>
      <c r="B229" s="222" t="n"/>
      <c r="C229" s="220" t="n"/>
      <c r="D229" s="220" t="n"/>
      <c r="E229" s="220" t="n"/>
      <c r="F229" s="220" t="n"/>
      <c r="G229" s="169" t="n"/>
      <c r="H229" s="219" t="n"/>
      <c r="I229" s="220" t="n"/>
      <c r="J229" s="221" t="n"/>
    </row>
    <row r="230" ht="15" customHeight="1" s="131">
      <c r="A230" s="220" t="n"/>
      <c r="B230" s="222" t="n"/>
      <c r="C230" s="220" t="n"/>
      <c r="D230" s="220" t="n"/>
      <c r="E230" s="220" t="n"/>
      <c r="F230" s="220" t="n"/>
      <c r="G230" s="169" t="n"/>
      <c r="H230" s="219" t="n"/>
      <c r="I230" s="220" t="n"/>
      <c r="J230" s="221" t="n"/>
    </row>
    <row r="231" ht="15" customHeight="1" s="131">
      <c r="A231" s="220" t="n"/>
      <c r="B231" s="222" t="n"/>
      <c r="C231" s="220" t="n"/>
      <c r="D231" s="220" t="n"/>
      <c r="E231" s="220" t="n"/>
      <c r="F231" s="220" t="n"/>
      <c r="G231" s="169" t="n"/>
      <c r="H231" s="219" t="n"/>
      <c r="I231" s="220" t="n"/>
      <c r="J231" s="221" t="n"/>
    </row>
    <row r="232" ht="15" customHeight="1" s="131">
      <c r="A232" s="220" t="n"/>
      <c r="B232" s="222" t="n"/>
      <c r="C232" s="220" t="n"/>
      <c r="D232" s="220" t="n"/>
      <c r="E232" s="220" t="n"/>
      <c r="F232" s="220" t="n"/>
      <c r="G232" s="169" t="n"/>
      <c r="H232" s="219" t="n"/>
      <c r="I232" s="220" t="n"/>
      <c r="J232" s="221" t="n"/>
    </row>
    <row r="233" ht="15" customHeight="1" s="131">
      <c r="A233" s="220" t="n"/>
      <c r="B233" s="222" t="n"/>
      <c r="C233" s="220" t="n"/>
      <c r="D233" s="220" t="n"/>
      <c r="E233" s="220" t="n"/>
      <c r="F233" s="220" t="n"/>
      <c r="G233" s="169" t="n"/>
      <c r="H233" s="219" t="n"/>
      <c r="I233" s="220" t="n"/>
      <c r="J233" s="221" t="n"/>
    </row>
    <row r="234" ht="15" customHeight="1" s="131">
      <c r="A234" s="220" t="n"/>
      <c r="B234" s="222" t="n"/>
      <c r="C234" s="220" t="n"/>
      <c r="D234" s="220" t="n"/>
      <c r="E234" s="220" t="n"/>
      <c r="F234" s="220" t="n"/>
      <c r="G234" s="169" t="n"/>
      <c r="H234" s="219" t="n"/>
      <c r="I234" s="220" t="n"/>
      <c r="J234" s="221" t="n"/>
    </row>
    <row r="235" ht="15" customHeight="1" s="131">
      <c r="A235" s="220" t="n"/>
      <c r="B235" s="222" t="n"/>
      <c r="C235" s="220" t="n"/>
      <c r="D235" s="220" t="n"/>
      <c r="E235" s="220" t="n"/>
      <c r="F235" s="220" t="n"/>
      <c r="G235" s="169" t="n"/>
      <c r="H235" s="219" t="n"/>
      <c r="I235" s="220" t="n"/>
      <c r="J235" s="221" t="n"/>
    </row>
    <row r="236" ht="15" customHeight="1" s="131">
      <c r="A236" s="220" t="n"/>
      <c r="B236" s="222" t="n"/>
      <c r="C236" s="220" t="n"/>
      <c r="D236" s="220" t="n"/>
      <c r="E236" s="220" t="n"/>
      <c r="F236" s="220" t="n"/>
      <c r="G236" s="169" t="n"/>
      <c r="H236" s="219" t="n"/>
      <c r="I236" s="220" t="n"/>
      <c r="J236" s="221" t="n"/>
    </row>
    <row r="237" ht="15" customHeight="1" s="131">
      <c r="A237" s="220" t="n"/>
      <c r="B237" s="222" t="n"/>
      <c r="C237" s="220" t="n"/>
      <c r="D237" s="220" t="n"/>
      <c r="E237" s="220" t="n"/>
      <c r="F237" s="220" t="n"/>
      <c r="G237" s="169" t="n"/>
      <c r="H237" s="219" t="n"/>
      <c r="I237" s="220" t="n"/>
      <c r="J237" s="221" t="n"/>
    </row>
    <row r="238" ht="15" customHeight="1" s="131">
      <c r="A238" s="220" t="n"/>
      <c r="B238" s="222" t="n"/>
      <c r="C238" s="220" t="n"/>
      <c r="D238" s="220" t="n"/>
      <c r="E238" s="220" t="n"/>
      <c r="F238" s="220" t="n"/>
      <c r="G238" s="169" t="n"/>
      <c r="H238" s="219" t="n"/>
      <c r="I238" s="220" t="n"/>
      <c r="J238" s="221" t="n"/>
    </row>
    <row r="239" ht="15" customHeight="1" s="131">
      <c r="A239" s="220" t="n"/>
      <c r="B239" s="222" t="n"/>
      <c r="C239" s="220" t="n"/>
      <c r="D239" s="220" t="n"/>
      <c r="E239" s="220" t="n"/>
      <c r="F239" s="220" t="n"/>
      <c r="G239" s="169" t="n"/>
      <c r="H239" s="219" t="n"/>
      <c r="I239" s="220" t="n"/>
      <c r="J239" s="221" t="n"/>
    </row>
    <row r="240" ht="15" customHeight="1" s="131">
      <c r="A240" s="220" t="n"/>
      <c r="B240" s="222" t="n"/>
      <c r="C240" s="220" t="n"/>
      <c r="D240" s="220" t="n"/>
      <c r="E240" s="220" t="n"/>
      <c r="F240" s="220" t="n"/>
      <c r="G240" s="169" t="n"/>
      <c r="H240" s="219" t="n"/>
      <c r="I240" s="220" t="n"/>
      <c r="J240" s="221" t="n"/>
    </row>
    <row r="241" ht="15" customHeight="1" s="131">
      <c r="A241" s="220" t="n"/>
      <c r="B241" s="222" t="n"/>
      <c r="C241" s="220" t="n"/>
      <c r="D241" s="220" t="n"/>
      <c r="E241" s="220" t="n"/>
      <c r="F241" s="220" t="n"/>
      <c r="G241" s="169" t="n"/>
      <c r="H241" s="219" t="n"/>
      <c r="I241" s="220" t="n"/>
      <c r="J241" s="221" t="n"/>
    </row>
    <row r="242" ht="15" customHeight="1" s="131">
      <c r="A242" s="220" t="n"/>
      <c r="B242" s="222" t="n"/>
      <c r="C242" s="220" t="n"/>
      <c r="D242" s="220" t="n"/>
      <c r="E242" s="220" t="n"/>
      <c r="F242" s="220" t="n"/>
      <c r="G242" s="169" t="n"/>
      <c r="H242" s="219" t="n"/>
      <c r="I242" s="220" t="n"/>
      <c r="J242" s="221" t="n"/>
    </row>
    <row r="243" ht="15" customHeight="1" s="131">
      <c r="A243" s="220" t="n"/>
      <c r="B243" s="222" t="n"/>
      <c r="C243" s="220" t="n"/>
      <c r="D243" s="220" t="n"/>
      <c r="E243" s="220" t="n"/>
      <c r="F243" s="220" t="n"/>
      <c r="G243" s="169" t="n"/>
      <c r="H243" s="219" t="n"/>
      <c r="I243" s="220" t="n"/>
      <c r="J243" s="221" t="n"/>
    </row>
    <row r="244" ht="15" customHeight="1" s="131">
      <c r="A244" s="220" t="n"/>
      <c r="B244" s="222" t="n"/>
      <c r="C244" s="220" t="n"/>
      <c r="D244" s="220" t="n"/>
      <c r="E244" s="220" t="n"/>
      <c r="F244" s="220" t="n"/>
      <c r="G244" s="169" t="n"/>
      <c r="H244" s="219" t="n"/>
      <c r="I244" s="220" t="n"/>
      <c r="J244" s="221" t="n"/>
    </row>
    <row r="245" ht="15" customHeight="1" s="131">
      <c r="A245" s="220" t="n"/>
      <c r="B245" s="222" t="n"/>
      <c r="C245" s="220" t="n"/>
      <c r="D245" s="220" t="n"/>
      <c r="E245" s="220" t="n"/>
      <c r="F245" s="220" t="n"/>
      <c r="G245" s="169" t="n"/>
      <c r="H245" s="219" t="n"/>
      <c r="I245" s="220" t="n"/>
      <c r="J245" s="221" t="n"/>
    </row>
    <row r="246" ht="15" customHeight="1" s="131">
      <c r="A246" s="220" t="n"/>
      <c r="B246" s="222" t="n"/>
      <c r="C246" s="220" t="n"/>
      <c r="D246" s="220" t="n"/>
      <c r="E246" s="220" t="n"/>
      <c r="F246" s="220" t="n"/>
      <c r="G246" s="169" t="n"/>
      <c r="H246" s="219" t="n"/>
      <c r="I246" s="220" t="n"/>
      <c r="J246" s="221" t="n"/>
    </row>
    <row r="247" ht="15" customHeight="1" s="131">
      <c r="A247" s="220" t="n"/>
      <c r="B247" s="222" t="n"/>
      <c r="C247" s="220" t="n"/>
      <c r="D247" s="220" t="n"/>
      <c r="E247" s="220" t="n"/>
      <c r="F247" s="220" t="n"/>
      <c r="G247" s="169" t="n"/>
      <c r="H247" s="219" t="n"/>
      <c r="I247" s="220" t="n"/>
      <c r="J247" s="221" t="n"/>
    </row>
    <row r="248" ht="15" customHeight="1" s="131">
      <c r="A248" s="220" t="n"/>
      <c r="B248" s="222" t="n"/>
      <c r="C248" s="220" t="n"/>
      <c r="D248" s="220" t="n"/>
      <c r="E248" s="220" t="n"/>
      <c r="F248" s="220" t="n"/>
      <c r="G248" s="169" t="n"/>
      <c r="H248" s="219" t="n"/>
      <c r="I248" s="220" t="n"/>
      <c r="J248" s="221" t="n"/>
    </row>
    <row r="249" ht="15" customHeight="1" s="131">
      <c r="A249" s="220" t="n"/>
      <c r="B249" s="222" t="n"/>
      <c r="C249" s="220" t="n"/>
      <c r="D249" s="220" t="n"/>
      <c r="E249" s="220" t="n"/>
      <c r="F249" s="220" t="n"/>
      <c r="G249" s="169" t="n"/>
      <c r="H249" s="219" t="n"/>
      <c r="I249" s="220" t="n"/>
      <c r="J249" s="221" t="n"/>
    </row>
    <row r="250" ht="15" customHeight="1" s="131">
      <c r="A250" s="220" t="n"/>
      <c r="B250" s="222" t="n"/>
      <c r="C250" s="220" t="n"/>
      <c r="D250" s="220" t="n"/>
      <c r="E250" s="220" t="n"/>
      <c r="F250" s="220" t="n"/>
      <c r="G250" s="169" t="n"/>
      <c r="H250" s="219" t="n"/>
      <c r="I250" s="220" t="n"/>
      <c r="J250" s="221" t="n"/>
    </row>
    <row r="251" ht="15" customHeight="1" s="131">
      <c r="A251" s="220" t="n"/>
      <c r="B251" s="222" t="n"/>
      <c r="C251" s="220" t="n"/>
      <c r="D251" s="220" t="n"/>
      <c r="E251" s="220" t="n"/>
      <c r="F251" s="220" t="n"/>
      <c r="G251" s="169" t="n"/>
      <c r="H251" s="219" t="n"/>
      <c r="I251" s="220" t="n"/>
      <c r="J251" s="221" t="n"/>
    </row>
    <row r="252" ht="15" customHeight="1" s="131">
      <c r="A252" s="220" t="n"/>
      <c r="B252" s="222" t="n"/>
      <c r="C252" s="220" t="n"/>
      <c r="D252" s="220" t="n"/>
      <c r="E252" s="220" t="n"/>
      <c r="F252" s="220" t="n"/>
      <c r="G252" s="169" t="n"/>
      <c r="H252" s="219" t="n"/>
      <c r="I252" s="220" t="n"/>
      <c r="J252" s="221" t="n"/>
    </row>
    <row r="253" ht="15" customHeight="1" s="131">
      <c r="A253" s="220" t="n"/>
      <c r="B253" s="222" t="n"/>
      <c r="C253" s="220" t="n"/>
      <c r="D253" s="220" t="n"/>
      <c r="E253" s="220" t="n"/>
      <c r="F253" s="220" t="n"/>
      <c r="G253" s="169" t="n"/>
      <c r="H253" s="219" t="n"/>
      <c r="I253" s="220" t="n"/>
      <c r="J253" s="221" t="n"/>
    </row>
    <row r="254" ht="15" customHeight="1" s="131">
      <c r="A254" s="220" t="n"/>
      <c r="B254" s="222" t="n"/>
      <c r="C254" s="220" t="n"/>
      <c r="D254" s="220" t="n"/>
      <c r="E254" s="220" t="n"/>
      <c r="F254" s="220" t="n"/>
      <c r="G254" s="169" t="n"/>
      <c r="H254" s="219" t="n"/>
      <c r="I254" s="220" t="n"/>
      <c r="J254" s="221" t="n"/>
    </row>
    <row r="255" ht="15" customHeight="1" s="131">
      <c r="A255" s="220" t="n"/>
      <c r="B255" s="222" t="n"/>
      <c r="C255" s="220" t="n"/>
      <c r="D255" s="220" t="n"/>
      <c r="E255" s="220" t="n"/>
      <c r="F255" s="220" t="n"/>
      <c r="G255" s="169" t="n"/>
      <c r="H255" s="219" t="n"/>
      <c r="I255" s="220" t="n"/>
      <c r="J255" s="221" t="n"/>
    </row>
    <row r="256" ht="15" customHeight="1" s="131">
      <c r="A256" s="220" t="n"/>
      <c r="B256" s="222" t="n"/>
      <c r="C256" s="220" t="n"/>
      <c r="D256" s="220" t="n"/>
      <c r="E256" s="220" t="n"/>
      <c r="F256" s="220" t="n"/>
      <c r="G256" s="169" t="n"/>
      <c r="H256" s="219" t="n"/>
      <c r="I256" s="220" t="n"/>
      <c r="J256" s="221" t="n"/>
    </row>
    <row r="257" ht="15" customHeight="1" s="131">
      <c r="A257" s="220" t="n"/>
      <c r="B257" s="222" t="n"/>
      <c r="C257" s="220" t="n"/>
      <c r="D257" s="220" t="n"/>
      <c r="E257" s="220" t="n"/>
      <c r="F257" s="220" t="n"/>
      <c r="G257" s="169" t="n"/>
      <c r="H257" s="219" t="n"/>
      <c r="I257" s="220" t="n"/>
      <c r="J257" s="221" t="n"/>
    </row>
    <row r="258" ht="15" customHeight="1" s="131">
      <c r="A258" s="220" t="n"/>
      <c r="B258" s="222" t="n"/>
      <c r="C258" s="220" t="n"/>
      <c r="D258" s="220" t="n"/>
      <c r="E258" s="220" t="n"/>
      <c r="F258" s="220" t="n"/>
      <c r="G258" s="169" t="n"/>
      <c r="H258" s="219" t="n"/>
      <c r="I258" s="220" t="n"/>
      <c r="J258" s="221" t="n"/>
    </row>
    <row r="259" ht="15" customHeight="1" s="131">
      <c r="A259" s="220" t="n"/>
      <c r="B259" s="222" t="n"/>
      <c r="C259" s="220" t="n"/>
      <c r="D259" s="220" t="n"/>
      <c r="E259" s="220" t="n"/>
      <c r="F259" s="220" t="n"/>
      <c r="G259" s="169" t="n"/>
      <c r="H259" s="219" t="n"/>
      <c r="I259" s="220" t="n"/>
      <c r="J259" s="221" t="n"/>
    </row>
    <row r="260" ht="15" customHeight="1" s="131">
      <c r="A260" s="220" t="n"/>
      <c r="B260" s="222" t="n"/>
      <c r="C260" s="220" t="n"/>
      <c r="D260" s="220" t="n"/>
      <c r="E260" s="220" t="n"/>
      <c r="F260" s="220" t="n"/>
      <c r="G260" s="169" t="n"/>
      <c r="H260" s="219" t="n"/>
      <c r="I260" s="220" t="n"/>
      <c r="J260" s="221" t="n"/>
    </row>
    <row r="261" ht="15" customHeight="1" s="131">
      <c r="A261" s="220" t="n"/>
      <c r="B261" s="222" t="n"/>
      <c r="C261" s="220" t="n"/>
      <c r="D261" s="220" t="n"/>
      <c r="E261" s="220" t="n"/>
      <c r="F261" s="220" t="n"/>
      <c r="G261" s="169" t="n"/>
      <c r="H261" s="219" t="n"/>
      <c r="I261" s="220" t="n"/>
      <c r="J261" s="221" t="n"/>
    </row>
    <row r="262" ht="15" customHeight="1" s="131">
      <c r="A262" s="220" t="n"/>
      <c r="B262" s="222" t="n"/>
      <c r="C262" s="220" t="n"/>
      <c r="D262" s="220" t="n"/>
      <c r="E262" s="220" t="n"/>
      <c r="F262" s="220" t="n"/>
      <c r="G262" s="169" t="n"/>
      <c r="H262" s="219" t="n"/>
      <c r="I262" s="220" t="n"/>
      <c r="J262" s="221" t="n"/>
    </row>
    <row r="263" ht="15" customHeight="1" s="131">
      <c r="A263" s="220" t="n"/>
      <c r="B263" s="222" t="n"/>
      <c r="C263" s="220" t="n"/>
      <c r="D263" s="220" t="n"/>
      <c r="E263" s="220" t="n"/>
      <c r="F263" s="220" t="n"/>
      <c r="G263" s="169" t="n"/>
      <c r="H263" s="219" t="n"/>
      <c r="I263" s="220" t="n"/>
      <c r="J263" s="221" t="n"/>
    </row>
    <row r="264" ht="15" customHeight="1" s="131">
      <c r="A264" s="220" t="n"/>
      <c r="B264" s="222" t="n"/>
      <c r="C264" s="220" t="n"/>
      <c r="D264" s="220" t="n"/>
      <c r="E264" s="220" t="n"/>
      <c r="F264" s="220" t="n"/>
      <c r="G264" s="169" t="n"/>
      <c r="H264" s="219" t="n"/>
      <c r="I264" s="220" t="n"/>
      <c r="J264" s="221" t="n"/>
    </row>
    <row r="265" ht="15" customHeight="1" s="131">
      <c r="A265" s="220" t="n"/>
      <c r="B265" s="222" t="n"/>
      <c r="C265" s="220" t="n"/>
      <c r="D265" s="220" t="n"/>
      <c r="E265" s="220" t="n"/>
      <c r="F265" s="220" t="n"/>
      <c r="G265" s="169" t="n"/>
      <c r="H265" s="219" t="n"/>
      <c r="I265" s="220" t="n"/>
      <c r="J265" s="221" t="n"/>
    </row>
    <row r="266" ht="15" customHeight="1" s="131">
      <c r="A266" s="220" t="n"/>
      <c r="B266" s="222" t="n"/>
      <c r="C266" s="220" t="n"/>
      <c r="D266" s="220" t="n"/>
      <c r="E266" s="220" t="n"/>
      <c r="F266" s="220" t="n"/>
      <c r="G266" s="169" t="n"/>
      <c r="H266" s="219" t="n"/>
      <c r="I266" s="220" t="n"/>
      <c r="J266" s="221" t="n"/>
    </row>
    <row r="267" ht="15" customHeight="1" s="131">
      <c r="A267" s="220" t="n"/>
      <c r="B267" s="222" t="n"/>
      <c r="C267" s="220" t="n"/>
      <c r="D267" s="220" t="n"/>
      <c r="E267" s="220" t="n"/>
      <c r="F267" s="220" t="n"/>
      <c r="G267" s="169" t="n"/>
      <c r="H267" s="219" t="n"/>
      <c r="I267" s="220" t="n"/>
      <c r="J267" s="221" t="n"/>
    </row>
    <row r="268" ht="15" customHeight="1" s="131">
      <c r="A268" s="220" t="n"/>
      <c r="B268" s="222" t="n"/>
      <c r="C268" s="220" t="n"/>
      <c r="D268" s="220" t="n"/>
      <c r="E268" s="220" t="n"/>
      <c r="F268" s="220" t="n"/>
      <c r="G268" s="169" t="n"/>
      <c r="H268" s="219" t="n"/>
      <c r="I268" s="220" t="n"/>
      <c r="J268" s="221" t="n"/>
    </row>
    <row r="269" ht="15" customHeight="1" s="131">
      <c r="A269" s="220" t="n"/>
      <c r="B269" s="222" t="n"/>
      <c r="C269" s="220" t="n"/>
      <c r="D269" s="220" t="n"/>
      <c r="E269" s="220" t="n"/>
      <c r="F269" s="220" t="n"/>
      <c r="G269" s="169" t="n"/>
      <c r="H269" s="219" t="n"/>
      <c r="I269" s="220" t="n"/>
      <c r="J269" s="221" t="n"/>
    </row>
    <row r="270" ht="15" customHeight="1" s="131">
      <c r="A270" s="220" t="n"/>
      <c r="B270" s="222" t="n"/>
      <c r="C270" s="220" t="n"/>
      <c r="D270" s="220" t="n"/>
      <c r="E270" s="220" t="n"/>
      <c r="F270" s="220" t="n"/>
      <c r="G270" s="169" t="n"/>
      <c r="H270" s="219" t="n"/>
      <c r="I270" s="220" t="n"/>
      <c r="J270" s="221" t="n"/>
    </row>
    <row r="271" ht="15" customHeight="1" s="131">
      <c r="A271" s="220" t="n"/>
      <c r="B271" s="222" t="n"/>
      <c r="C271" s="220" t="n"/>
      <c r="D271" s="220" t="n"/>
      <c r="E271" s="220" t="n"/>
      <c r="F271" s="220" t="n"/>
      <c r="G271" s="169" t="n"/>
      <c r="H271" s="219" t="n"/>
      <c r="I271" s="220" t="n"/>
      <c r="J271" s="221" t="n"/>
    </row>
    <row r="272" ht="15" customHeight="1" s="131">
      <c r="A272" s="220" t="n"/>
      <c r="B272" s="222" t="n"/>
      <c r="C272" s="220" t="n"/>
      <c r="D272" s="220" t="n"/>
      <c r="E272" s="220" t="n"/>
      <c r="F272" s="220" t="n"/>
      <c r="G272" s="169" t="n"/>
      <c r="H272" s="219" t="n"/>
      <c r="I272" s="220" t="n"/>
      <c r="J272" s="221" t="n"/>
    </row>
    <row r="273" ht="15" customHeight="1" s="131">
      <c r="A273" s="220" t="n"/>
      <c r="B273" s="222" t="n"/>
      <c r="C273" s="220" t="n"/>
      <c r="D273" s="220" t="n"/>
      <c r="E273" s="220" t="n"/>
      <c r="F273" s="220" t="n"/>
      <c r="G273" s="169" t="n"/>
      <c r="H273" s="219" t="n"/>
      <c r="I273" s="220" t="n"/>
      <c r="J273" s="221" t="n"/>
    </row>
    <row r="274" ht="15" customHeight="1" s="131">
      <c r="A274" s="220" t="n"/>
      <c r="B274" s="222" t="n"/>
      <c r="C274" s="220" t="n"/>
      <c r="D274" s="220" t="n"/>
      <c r="E274" s="220" t="n"/>
      <c r="F274" s="220" t="n"/>
      <c r="G274" s="169" t="n"/>
      <c r="H274" s="219" t="n"/>
      <c r="I274" s="220" t="n"/>
      <c r="J274" s="221" t="n"/>
    </row>
    <row r="275" ht="15" customHeight="1" s="131">
      <c r="A275" s="220" t="n"/>
      <c r="B275" s="222" t="n"/>
      <c r="C275" s="220" t="n"/>
      <c r="D275" s="220" t="n"/>
      <c r="E275" s="220" t="n"/>
      <c r="F275" s="220" t="n"/>
      <c r="G275" s="169" t="n"/>
      <c r="H275" s="219" t="n"/>
      <c r="I275" s="220" t="n"/>
      <c r="J275" s="221" t="n"/>
    </row>
    <row r="276" ht="15" customHeight="1" s="131">
      <c r="A276" s="220" t="n"/>
      <c r="B276" s="222" t="n"/>
      <c r="C276" s="220" t="n"/>
      <c r="D276" s="220" t="n"/>
      <c r="E276" s="220" t="n"/>
      <c r="F276" s="220" t="n"/>
      <c r="G276" s="169" t="n"/>
      <c r="H276" s="219" t="n"/>
      <c r="I276" s="220" t="n"/>
      <c r="J276" s="221" t="n"/>
    </row>
    <row r="277" ht="15" customHeight="1" s="131">
      <c r="A277" s="220" t="n"/>
      <c r="B277" s="222" t="n"/>
      <c r="C277" s="220" t="n"/>
      <c r="D277" s="220" t="n"/>
      <c r="E277" s="220" t="n"/>
      <c r="F277" s="220" t="n"/>
      <c r="G277" s="169" t="n"/>
      <c r="H277" s="219" t="n"/>
      <c r="I277" s="220" t="n"/>
      <c r="J277" s="221" t="n"/>
    </row>
    <row r="278" ht="15" customHeight="1" s="131">
      <c r="A278" s="220" t="n"/>
      <c r="B278" s="222" t="n"/>
      <c r="C278" s="220" t="n"/>
      <c r="D278" s="220" t="n"/>
      <c r="E278" s="220" t="n"/>
      <c r="F278" s="220" t="n"/>
      <c r="G278" s="169" t="n"/>
      <c r="H278" s="219" t="n"/>
      <c r="I278" s="220" t="n"/>
      <c r="J278" s="221" t="n"/>
    </row>
    <row r="279" ht="15" customHeight="1" s="131">
      <c r="A279" s="220" t="n"/>
      <c r="B279" s="222" t="n"/>
      <c r="C279" s="220" t="n"/>
      <c r="D279" s="220" t="n"/>
      <c r="E279" s="220" t="n"/>
      <c r="F279" s="220" t="n"/>
      <c r="G279" s="169" t="n"/>
      <c r="H279" s="219" t="n"/>
      <c r="I279" s="220" t="n"/>
      <c r="J279" s="221" t="n"/>
    </row>
    <row r="280" ht="15" customHeight="1" s="131">
      <c r="A280" s="220" t="n"/>
      <c r="B280" s="222" t="n"/>
      <c r="C280" s="220" t="n"/>
      <c r="D280" s="220" t="n"/>
      <c r="E280" s="220" t="n"/>
      <c r="F280" s="220" t="n"/>
      <c r="G280" s="169" t="n"/>
      <c r="H280" s="219" t="n"/>
      <c r="I280" s="220" t="n"/>
      <c r="J280" s="221" t="n"/>
    </row>
    <row r="281" ht="15" customHeight="1" s="131">
      <c r="A281" s="220" t="n"/>
      <c r="B281" s="222" t="n"/>
      <c r="C281" s="220" t="n"/>
      <c r="D281" s="220" t="n"/>
      <c r="E281" s="220" t="n"/>
      <c r="F281" s="220" t="n"/>
      <c r="G281" s="169" t="n"/>
      <c r="H281" s="219" t="n"/>
      <c r="I281" s="220" t="n"/>
      <c r="J281" s="221" t="n"/>
    </row>
    <row r="282" ht="15" customHeight="1" s="131">
      <c r="A282" s="220" t="n"/>
      <c r="B282" s="222" t="n"/>
      <c r="C282" s="220" t="n"/>
      <c r="D282" s="220" t="n"/>
      <c r="E282" s="220" t="n"/>
      <c r="F282" s="220" t="n"/>
      <c r="G282" s="169" t="n"/>
      <c r="H282" s="219" t="n"/>
      <c r="I282" s="220" t="n"/>
      <c r="J282" s="221" t="n"/>
    </row>
    <row r="283" ht="15" customHeight="1" s="131">
      <c r="A283" s="220" t="n"/>
      <c r="B283" s="222" t="n"/>
      <c r="C283" s="220" t="n"/>
      <c r="D283" s="220" t="n"/>
      <c r="E283" s="220" t="n"/>
      <c r="F283" s="220" t="n"/>
      <c r="G283" s="169" t="n"/>
      <c r="H283" s="219" t="n"/>
      <c r="I283" s="220" t="n"/>
      <c r="J283" s="221" t="n"/>
    </row>
    <row r="284" ht="15" customHeight="1" s="131">
      <c r="A284" s="220" t="n"/>
      <c r="B284" s="222" t="n"/>
      <c r="C284" s="220" t="n"/>
      <c r="D284" s="220" t="n"/>
      <c r="E284" s="220" t="n"/>
      <c r="F284" s="220" t="n"/>
      <c r="G284" s="169" t="n"/>
      <c r="H284" s="219" t="n"/>
      <c r="I284" s="220" t="n"/>
      <c r="J284" s="221" t="n"/>
    </row>
    <row r="285" ht="15" customHeight="1" s="131">
      <c r="A285" s="220" t="n"/>
      <c r="B285" s="222" t="n"/>
      <c r="C285" s="220" t="n"/>
      <c r="D285" s="220" t="n"/>
      <c r="E285" s="220" t="n"/>
      <c r="F285" s="220" t="n"/>
      <c r="G285" s="169" t="n"/>
      <c r="H285" s="219" t="n"/>
      <c r="I285" s="220" t="n"/>
      <c r="J285" s="221" t="n"/>
    </row>
    <row r="286" ht="15" customHeight="1" s="131">
      <c r="A286" s="220" t="n"/>
      <c r="B286" s="222" t="n"/>
      <c r="C286" s="220" t="n"/>
      <c r="D286" s="220" t="n"/>
      <c r="E286" s="220" t="n"/>
      <c r="F286" s="220" t="n"/>
      <c r="G286" s="169" t="n"/>
      <c r="H286" s="219" t="n"/>
      <c r="I286" s="220" t="n"/>
      <c r="J286" s="221" t="n"/>
    </row>
    <row r="287" ht="15" customHeight="1" s="131">
      <c r="A287" s="220" t="n"/>
      <c r="B287" s="222" t="n"/>
      <c r="C287" s="220" t="n"/>
      <c r="D287" s="220" t="n"/>
      <c r="E287" s="220" t="n"/>
      <c r="F287" s="220" t="n"/>
      <c r="G287" s="169" t="n"/>
      <c r="H287" s="219" t="n"/>
      <c r="I287" s="220" t="n"/>
      <c r="J287" s="221" t="n"/>
    </row>
    <row r="288" ht="15" customHeight="1" s="131">
      <c r="A288" s="220" t="n"/>
      <c r="B288" s="222" t="n"/>
      <c r="C288" s="220" t="n"/>
      <c r="D288" s="220" t="n"/>
      <c r="E288" s="220" t="n"/>
      <c r="F288" s="220" t="n"/>
      <c r="G288" s="169" t="n"/>
      <c r="H288" s="219" t="n"/>
      <c r="I288" s="220" t="n"/>
      <c r="J288" s="221" t="n"/>
    </row>
    <row r="289" ht="15" customHeight="1" s="131">
      <c r="A289" s="220" t="n"/>
      <c r="B289" s="222" t="n"/>
      <c r="C289" s="220" t="n"/>
      <c r="D289" s="220" t="n"/>
      <c r="E289" s="220" t="n"/>
      <c r="F289" s="220" t="n"/>
      <c r="G289" s="169" t="n"/>
      <c r="H289" s="219" t="n"/>
      <c r="I289" s="220" t="n"/>
      <c r="J289" s="221" t="n"/>
    </row>
    <row r="290" ht="15" customHeight="1" s="131">
      <c r="A290" s="220" t="n"/>
      <c r="B290" s="222" t="n"/>
      <c r="C290" s="220" t="n"/>
      <c r="D290" s="220" t="n"/>
      <c r="E290" s="220" t="n"/>
      <c r="F290" s="220" t="n"/>
      <c r="G290" s="169" t="n"/>
      <c r="H290" s="219" t="n"/>
      <c r="I290" s="220" t="n"/>
      <c r="J290" s="221" t="n"/>
    </row>
    <row r="291" ht="15" customHeight="1" s="131">
      <c r="A291" s="220" t="n"/>
      <c r="B291" s="222" t="n"/>
      <c r="C291" s="220" t="n"/>
      <c r="D291" s="220" t="n"/>
      <c r="E291" s="220" t="n"/>
      <c r="F291" s="220" t="n"/>
      <c r="G291" s="169" t="n"/>
      <c r="H291" s="219" t="n"/>
      <c r="I291" s="220" t="n"/>
      <c r="J291" s="221" t="n"/>
    </row>
    <row r="292" ht="15" customHeight="1" s="131">
      <c r="A292" s="220" t="n"/>
      <c r="B292" s="222" t="n"/>
      <c r="C292" s="220" t="n"/>
      <c r="D292" s="220" t="n"/>
      <c r="E292" s="220" t="n"/>
      <c r="F292" s="220" t="n"/>
      <c r="G292" s="169" t="n"/>
      <c r="H292" s="219" t="n"/>
      <c r="I292" s="220" t="n"/>
      <c r="J292" s="221" t="n"/>
    </row>
    <row r="293" ht="15" customHeight="1" s="131">
      <c r="A293" s="220" t="n"/>
      <c r="B293" s="222" t="n"/>
      <c r="C293" s="220" t="n"/>
      <c r="D293" s="220" t="n"/>
      <c r="E293" s="220" t="n"/>
      <c r="F293" s="220" t="n"/>
      <c r="G293" s="169" t="n"/>
      <c r="H293" s="219" t="n"/>
      <c r="I293" s="220" t="n"/>
      <c r="J293" s="221" t="n"/>
    </row>
    <row r="294" ht="15" customHeight="1" s="131">
      <c r="A294" s="220" t="n"/>
      <c r="B294" s="222" t="n"/>
      <c r="C294" s="220" t="n"/>
      <c r="D294" s="220" t="n"/>
      <c r="E294" s="220" t="n"/>
      <c r="F294" s="220" t="n"/>
      <c r="G294" s="169" t="n"/>
      <c r="H294" s="219" t="n"/>
      <c r="I294" s="220" t="n"/>
      <c r="J294" s="221" t="n"/>
    </row>
    <row r="295" ht="15" customHeight="1" s="131">
      <c r="A295" s="220" t="n"/>
      <c r="B295" s="222" t="n"/>
      <c r="C295" s="220" t="n"/>
      <c r="D295" s="220" t="n"/>
      <c r="E295" s="220" t="n"/>
      <c r="F295" s="220" t="n"/>
      <c r="G295" s="169" t="n"/>
      <c r="H295" s="219" t="n"/>
      <c r="I295" s="220" t="n"/>
      <c r="J295" s="221" t="n"/>
    </row>
    <row r="296" ht="15" customHeight="1" s="131">
      <c r="A296" s="220" t="n"/>
      <c r="B296" s="222" t="n"/>
      <c r="C296" s="220" t="n"/>
      <c r="D296" s="220" t="n"/>
      <c r="E296" s="220" t="n"/>
      <c r="F296" s="220" t="n"/>
      <c r="G296" s="169" t="n"/>
      <c r="H296" s="219" t="n"/>
      <c r="I296" s="220" t="n"/>
      <c r="J296" s="221" t="n"/>
    </row>
    <row r="297" ht="15" customHeight="1" s="131">
      <c r="A297" s="220" t="n"/>
      <c r="B297" s="222" t="n"/>
      <c r="C297" s="220" t="n"/>
      <c r="D297" s="220" t="n"/>
      <c r="E297" s="220" t="n"/>
      <c r="F297" s="220" t="n"/>
      <c r="G297" s="169" t="n"/>
      <c r="H297" s="219" t="n"/>
      <c r="I297" s="220" t="n"/>
      <c r="J297" s="221" t="n"/>
    </row>
    <row r="298" ht="15" customHeight="1" s="131">
      <c r="A298" s="220" t="n"/>
      <c r="B298" s="222" t="n"/>
      <c r="C298" s="220" t="n"/>
      <c r="D298" s="220" t="n"/>
      <c r="E298" s="220" t="n"/>
      <c r="F298" s="220" t="n"/>
      <c r="G298" s="169" t="n"/>
      <c r="H298" s="219" t="n"/>
      <c r="I298" s="220" t="n"/>
      <c r="J298" s="221" t="n"/>
    </row>
    <row r="299" ht="15" customHeight="1" s="131">
      <c r="A299" s="220" t="n"/>
      <c r="B299" s="222" t="n"/>
      <c r="C299" s="220" t="n"/>
      <c r="D299" s="220" t="n"/>
      <c r="E299" s="220" t="n"/>
      <c r="F299" s="220" t="n"/>
      <c r="G299" s="169" t="n"/>
      <c r="H299" s="219" t="n"/>
      <c r="I299" s="220" t="n"/>
      <c r="J299" s="221" t="n"/>
    </row>
    <row r="300" ht="15" customHeight="1" s="131">
      <c r="A300" s="220" t="n"/>
      <c r="B300" s="222" t="n"/>
      <c r="C300" s="220" t="n"/>
      <c r="D300" s="220" t="n"/>
      <c r="E300" s="220" t="n"/>
      <c r="F300" s="220" t="n"/>
      <c r="G300" s="169" t="n"/>
      <c r="H300" s="219" t="n"/>
      <c r="I300" s="220" t="n"/>
      <c r="J300" s="221" t="n"/>
    </row>
    <row r="301" ht="15" customHeight="1" s="131">
      <c r="A301" s="220" t="n"/>
      <c r="B301" s="222" t="n"/>
      <c r="C301" s="220" t="n"/>
      <c r="D301" s="220" t="n"/>
      <c r="E301" s="220" t="n"/>
      <c r="F301" s="220" t="n"/>
      <c r="G301" s="169" t="n"/>
      <c r="H301" s="219" t="n"/>
      <c r="I301" s="220" t="n"/>
      <c r="J301" s="221" t="n"/>
    </row>
    <row r="302" ht="15" customHeight="1" s="131">
      <c r="A302" s="220" t="n"/>
      <c r="B302" s="222" t="n"/>
      <c r="C302" s="220" t="n"/>
      <c r="D302" s="220" t="n"/>
      <c r="E302" s="220" t="n"/>
      <c r="F302" s="220" t="n"/>
      <c r="G302" s="169" t="n"/>
      <c r="H302" s="219" t="n"/>
      <c r="I302" s="220" t="n"/>
      <c r="J302" s="221" t="n"/>
    </row>
    <row r="303" ht="15" customHeight="1" s="131">
      <c r="A303" s="220" t="n"/>
      <c r="B303" s="222" t="n"/>
      <c r="C303" s="220" t="n"/>
      <c r="D303" s="220" t="n"/>
      <c r="E303" s="220" t="n"/>
      <c r="F303" s="220" t="n"/>
      <c r="G303" s="169" t="n"/>
      <c r="H303" s="219" t="n"/>
      <c r="I303" s="220" t="n"/>
      <c r="J303" s="221" t="n"/>
    </row>
    <row r="304" ht="15" customHeight="1" s="131">
      <c r="A304" s="220" t="n"/>
      <c r="B304" s="222" t="n"/>
      <c r="C304" s="220" t="n"/>
      <c r="D304" s="220" t="n"/>
      <c r="E304" s="220" t="n"/>
      <c r="F304" s="220" t="n"/>
      <c r="G304" s="169" t="n"/>
      <c r="H304" s="219" t="n"/>
      <c r="I304" s="220" t="n"/>
      <c r="J304" s="221" t="n"/>
    </row>
    <row r="305" ht="15" customHeight="1" s="131">
      <c r="A305" s="220" t="n"/>
      <c r="B305" s="222" t="n"/>
      <c r="C305" s="220" t="n"/>
      <c r="D305" s="220" t="n"/>
      <c r="E305" s="220" t="n"/>
      <c r="F305" s="220" t="n"/>
      <c r="G305" s="169" t="n"/>
      <c r="H305" s="219" t="n"/>
      <c r="I305" s="220" t="n"/>
      <c r="J305" s="221" t="n"/>
    </row>
    <row r="306" ht="15" customHeight="1" s="131">
      <c r="A306" s="220" t="n"/>
      <c r="B306" s="222" t="n"/>
      <c r="C306" s="220" t="n"/>
      <c r="D306" s="220" t="n"/>
      <c r="E306" s="220" t="n"/>
      <c r="F306" s="220" t="n"/>
      <c r="G306" s="169" t="n"/>
      <c r="H306" s="219" t="n"/>
      <c r="I306" s="220" t="n"/>
      <c r="J306" s="221" t="n"/>
    </row>
    <row r="307" ht="15" customHeight="1" s="131">
      <c r="A307" s="220" t="n"/>
      <c r="B307" s="222" t="n"/>
      <c r="C307" s="220" t="n"/>
      <c r="D307" s="220" t="n"/>
      <c r="E307" s="220" t="n"/>
      <c r="F307" s="220" t="n"/>
      <c r="G307" s="169" t="n"/>
      <c r="H307" s="219" t="n"/>
      <c r="I307" s="220" t="n"/>
      <c r="J307" s="221" t="n"/>
    </row>
    <row r="308" ht="15" customHeight="1" s="131">
      <c r="A308" s="220" t="n"/>
      <c r="B308" s="222" t="n"/>
      <c r="C308" s="220" t="n"/>
      <c r="D308" s="220" t="n"/>
      <c r="E308" s="220" t="n"/>
      <c r="F308" s="220" t="n"/>
      <c r="G308" s="169" t="n"/>
      <c r="H308" s="219" t="n"/>
      <c r="I308" s="220" t="n"/>
      <c r="J308" s="221" t="n"/>
    </row>
    <row r="309" ht="15" customHeight="1" s="131">
      <c r="A309" s="220" t="n"/>
      <c r="B309" s="222" t="n"/>
      <c r="C309" s="220" t="n"/>
      <c r="D309" s="220" t="n"/>
      <c r="E309" s="220" t="n"/>
      <c r="F309" s="220" t="n"/>
      <c r="G309" s="169" t="n"/>
      <c r="H309" s="219" t="n"/>
      <c r="I309" s="220" t="n"/>
      <c r="J309" s="221" t="n"/>
    </row>
    <row r="310" ht="15" customHeight="1" s="131">
      <c r="A310" s="220" t="n"/>
      <c r="B310" s="222" t="n"/>
      <c r="C310" s="220" t="n"/>
      <c r="D310" s="220" t="n"/>
      <c r="E310" s="220" t="n"/>
      <c r="F310" s="220" t="n"/>
      <c r="G310" s="169" t="n"/>
      <c r="H310" s="219" t="n"/>
      <c r="I310" s="220" t="n"/>
      <c r="J310" s="221" t="n"/>
    </row>
    <row r="311" ht="15" customHeight="1" s="131">
      <c r="A311" s="220" t="n"/>
      <c r="B311" s="222" t="n"/>
      <c r="C311" s="220" t="n"/>
      <c r="D311" s="220" t="n"/>
      <c r="E311" s="220" t="n"/>
      <c r="F311" s="220" t="n"/>
      <c r="G311" s="169" t="n"/>
      <c r="H311" s="219" t="n"/>
      <c r="I311" s="220" t="n"/>
      <c r="J311" s="221" t="n"/>
    </row>
    <row r="312" ht="15" customHeight="1" s="131">
      <c r="A312" s="220" t="n"/>
      <c r="B312" s="222" t="n"/>
      <c r="C312" s="220" t="n"/>
      <c r="D312" s="220" t="n"/>
      <c r="E312" s="220" t="n"/>
      <c r="F312" s="220" t="n"/>
      <c r="G312" s="169" t="n"/>
      <c r="H312" s="219" t="n"/>
      <c r="I312" s="220" t="n"/>
      <c r="J312" s="221" t="n"/>
    </row>
    <row r="313" ht="15" customHeight="1" s="131">
      <c r="A313" s="220" t="n"/>
      <c r="B313" s="222" t="n"/>
      <c r="C313" s="220" t="n"/>
      <c r="D313" s="220" t="n"/>
      <c r="E313" s="220" t="n"/>
      <c r="F313" s="220" t="n"/>
      <c r="G313" s="169" t="n"/>
      <c r="H313" s="219" t="n"/>
      <c r="I313" s="220" t="n"/>
      <c r="J313" s="221" t="n"/>
    </row>
    <row r="314" ht="15" customHeight="1" s="131">
      <c r="A314" s="220" t="n"/>
      <c r="B314" s="222" t="n"/>
      <c r="C314" s="220" t="n"/>
      <c r="D314" s="220" t="n"/>
      <c r="E314" s="220" t="n"/>
      <c r="F314" s="220" t="n"/>
      <c r="G314" s="169" t="n"/>
      <c r="H314" s="219" t="n"/>
      <c r="I314" s="220" t="n"/>
      <c r="J314" s="221" t="n"/>
    </row>
    <row r="315" ht="15" customHeight="1" s="131">
      <c r="A315" s="220" t="n"/>
      <c r="B315" s="222" t="n"/>
      <c r="C315" s="220" t="n"/>
      <c r="D315" s="220" t="n"/>
      <c r="E315" s="220" t="n"/>
      <c r="F315" s="220" t="n"/>
      <c r="G315" s="169" t="n"/>
      <c r="H315" s="219" t="n"/>
      <c r="I315" s="220" t="n"/>
      <c r="J315" s="221" t="n"/>
    </row>
    <row r="316" ht="15" customHeight="1" s="131">
      <c r="A316" s="220" t="n"/>
      <c r="B316" s="222" t="n"/>
      <c r="C316" s="220" t="n"/>
      <c r="D316" s="220" t="n"/>
      <c r="E316" s="220" t="n"/>
      <c r="F316" s="220" t="n"/>
      <c r="G316" s="169" t="n"/>
      <c r="H316" s="219" t="n"/>
      <c r="I316" s="220" t="n"/>
      <c r="J316" s="221" t="n"/>
    </row>
    <row r="317" ht="15" customHeight="1" s="131">
      <c r="A317" s="220" t="n"/>
      <c r="B317" s="222" t="n"/>
      <c r="C317" s="220" t="n"/>
      <c r="D317" s="220" t="n"/>
      <c r="E317" s="220" t="n"/>
      <c r="F317" s="220" t="n"/>
      <c r="G317" s="169" t="n"/>
      <c r="H317" s="219" t="n"/>
      <c r="I317" s="220" t="n"/>
      <c r="J317" s="221" t="n"/>
    </row>
    <row r="318" ht="15" customHeight="1" s="131">
      <c r="A318" s="220" t="n"/>
      <c r="B318" s="222" t="n"/>
      <c r="C318" s="220" t="n"/>
      <c r="D318" s="220" t="n"/>
      <c r="E318" s="220" t="n"/>
      <c r="F318" s="220" t="n"/>
      <c r="G318" s="169" t="n"/>
      <c r="H318" s="219" t="n"/>
      <c r="I318" s="220" t="n"/>
      <c r="J318" s="221" t="n"/>
    </row>
    <row r="319" ht="15" customHeight="1" s="131">
      <c r="A319" s="220" t="n"/>
      <c r="B319" s="222" t="n"/>
      <c r="C319" s="220" t="n"/>
      <c r="D319" s="220" t="n"/>
      <c r="E319" s="220" t="n"/>
      <c r="F319" s="220" t="n"/>
      <c r="G319" s="169" t="n"/>
      <c r="H319" s="219" t="n"/>
      <c r="I319" s="220" t="n"/>
      <c r="J319" s="221" t="n"/>
    </row>
    <row r="320" ht="15" customHeight="1" s="131">
      <c r="A320" s="220" t="n"/>
      <c r="B320" s="222" t="n"/>
      <c r="C320" s="220" t="n"/>
      <c r="D320" s="220" t="n"/>
      <c r="E320" s="220" t="n"/>
      <c r="F320" s="220" t="n"/>
      <c r="G320" s="169" t="n"/>
      <c r="H320" s="219" t="n"/>
      <c r="I320" s="220" t="n"/>
      <c r="J320" s="221" t="n"/>
    </row>
    <row r="321" ht="15" customHeight="1" s="131">
      <c r="A321" s="220" t="n"/>
      <c r="B321" s="222" t="n"/>
      <c r="C321" s="220" t="n"/>
      <c r="D321" s="220" t="n"/>
      <c r="E321" s="220" t="n"/>
      <c r="F321" s="220" t="n"/>
      <c r="G321" s="169" t="n"/>
      <c r="H321" s="219" t="n"/>
      <c r="I321" s="220" t="n"/>
      <c r="J321" s="221" t="n"/>
    </row>
    <row r="322" ht="15" customHeight="1" s="131">
      <c r="A322" s="220" t="n"/>
      <c r="B322" s="222" t="n"/>
      <c r="C322" s="220" t="n"/>
      <c r="D322" s="220" t="n"/>
      <c r="E322" s="220" t="n"/>
      <c r="F322" s="220" t="n"/>
      <c r="G322" s="169" t="n"/>
      <c r="H322" s="219" t="n"/>
      <c r="I322" s="220" t="n"/>
      <c r="J322" s="221" t="n"/>
    </row>
    <row r="323" ht="15" customHeight="1" s="131">
      <c r="A323" s="220" t="n"/>
      <c r="B323" s="222" t="n"/>
      <c r="C323" s="220" t="n"/>
      <c r="D323" s="220" t="n"/>
      <c r="E323" s="220" t="n"/>
      <c r="F323" s="220" t="n"/>
      <c r="G323" s="169" t="n"/>
      <c r="H323" s="219" t="n"/>
      <c r="I323" s="220" t="n"/>
      <c r="J323" s="221" t="n"/>
    </row>
    <row r="324" ht="15" customHeight="1" s="131">
      <c r="A324" s="220" t="n"/>
      <c r="B324" s="222" t="n"/>
      <c r="C324" s="220" t="n"/>
      <c r="D324" s="220" t="n"/>
      <c r="E324" s="220" t="n"/>
      <c r="F324" s="220" t="n"/>
      <c r="G324" s="169" t="n"/>
      <c r="H324" s="219" t="n"/>
      <c r="I324" s="220" t="n"/>
      <c r="J324" s="221" t="n"/>
    </row>
    <row r="325" ht="15" customHeight="1" s="131">
      <c r="A325" s="220" t="n"/>
      <c r="B325" s="222" t="n"/>
      <c r="C325" s="220" t="n"/>
      <c r="D325" s="220" t="n"/>
      <c r="E325" s="220" t="n"/>
      <c r="F325" s="220" t="n"/>
      <c r="G325" s="169" t="n"/>
      <c r="H325" s="219" t="n"/>
      <c r="I325" s="220" t="n"/>
      <c r="J325" s="221" t="n"/>
    </row>
    <row r="326" ht="15" customHeight="1" s="131">
      <c r="A326" s="220" t="n"/>
      <c r="B326" s="222" t="n"/>
      <c r="C326" s="220" t="n"/>
      <c r="D326" s="220" t="n"/>
      <c r="E326" s="220" t="n"/>
      <c r="F326" s="220" t="n"/>
      <c r="G326" s="169" t="n"/>
      <c r="H326" s="219" t="n"/>
      <c r="I326" s="220" t="n"/>
      <c r="J326" s="221" t="n"/>
    </row>
    <row r="327" ht="15" customHeight="1" s="131">
      <c r="A327" s="220" t="n"/>
      <c r="B327" s="222" t="n"/>
      <c r="C327" s="220" t="n"/>
      <c r="D327" s="220" t="n"/>
      <c r="E327" s="220" t="n"/>
      <c r="F327" s="220" t="n"/>
      <c r="G327" s="169" t="n"/>
      <c r="H327" s="219" t="n"/>
      <c r="I327" s="220" t="n"/>
      <c r="J327" s="221" t="n"/>
    </row>
    <row r="328" ht="15" customHeight="1" s="131">
      <c r="A328" s="220" t="n"/>
      <c r="B328" s="222" t="n"/>
      <c r="C328" s="220" t="n"/>
      <c r="D328" s="220" t="n"/>
      <c r="E328" s="220" t="n"/>
      <c r="F328" s="220" t="n"/>
      <c r="G328" s="169" t="n"/>
      <c r="H328" s="219" t="n"/>
      <c r="I328" s="220" t="n"/>
      <c r="J328" s="221" t="n"/>
    </row>
    <row r="329" ht="15" customHeight="1" s="131">
      <c r="A329" s="220" t="n"/>
      <c r="B329" s="222" t="n"/>
      <c r="C329" s="220" t="n"/>
      <c r="D329" s="220" t="n"/>
      <c r="E329" s="220" t="n"/>
      <c r="F329" s="220" t="n"/>
      <c r="G329" s="169" t="n"/>
      <c r="H329" s="219" t="n"/>
      <c r="I329" s="220" t="n"/>
      <c r="J329" s="221" t="n"/>
    </row>
    <row r="330" ht="15" customHeight="1" s="131">
      <c r="A330" s="220" t="n"/>
      <c r="B330" s="222" t="n"/>
      <c r="C330" s="220" t="n"/>
      <c r="D330" s="220" t="n"/>
      <c r="E330" s="220" t="n"/>
      <c r="F330" s="220" t="n"/>
      <c r="G330" s="169" t="n"/>
      <c r="H330" s="219" t="n"/>
      <c r="I330" s="220" t="n"/>
      <c r="J330" s="221" t="n"/>
    </row>
    <row r="331" ht="15" customHeight="1" s="131">
      <c r="A331" s="220" t="n"/>
      <c r="B331" s="222" t="n"/>
      <c r="C331" s="220" t="n"/>
      <c r="D331" s="220" t="n"/>
      <c r="E331" s="220" t="n"/>
      <c r="F331" s="220" t="n"/>
      <c r="G331" s="169" t="n"/>
      <c r="H331" s="219" t="n"/>
      <c r="I331" s="220" t="n"/>
      <c r="J331" s="221" t="n"/>
    </row>
    <row r="332" ht="15" customHeight="1" s="131">
      <c r="A332" s="220" t="n"/>
      <c r="B332" s="222" t="n"/>
      <c r="C332" s="220" t="n"/>
      <c r="D332" s="220" t="n"/>
      <c r="E332" s="220" t="n"/>
      <c r="F332" s="220" t="n"/>
      <c r="G332" s="169" t="n"/>
      <c r="H332" s="219" t="n"/>
      <c r="I332" s="220" t="n"/>
      <c r="J332" s="221" t="n"/>
    </row>
    <row r="333" ht="15" customHeight="1" s="131">
      <c r="A333" s="220" t="n"/>
      <c r="B333" s="222" t="n"/>
      <c r="C333" s="220" t="n"/>
      <c r="D333" s="220" t="n"/>
      <c r="E333" s="220" t="n"/>
      <c r="F333" s="220" t="n"/>
      <c r="G333" s="169" t="n"/>
      <c r="H333" s="219" t="n"/>
      <c r="I333" s="220" t="n"/>
      <c r="J333" s="221" t="n"/>
    </row>
    <row r="334" ht="15" customHeight="1" s="131">
      <c r="A334" s="220" t="n"/>
      <c r="B334" s="222" t="n"/>
      <c r="C334" s="220" t="n"/>
      <c r="D334" s="220" t="n"/>
      <c r="E334" s="220" t="n"/>
      <c r="F334" s="220" t="n"/>
      <c r="G334" s="169" t="n"/>
      <c r="H334" s="219" t="n"/>
      <c r="I334" s="220" t="n"/>
      <c r="J334" s="221" t="n"/>
    </row>
    <row r="335" ht="15" customHeight="1" s="131">
      <c r="A335" s="220" t="n"/>
      <c r="B335" s="222" t="n"/>
      <c r="C335" s="220" t="n"/>
      <c r="D335" s="220" t="n"/>
      <c r="E335" s="220" t="n"/>
      <c r="F335" s="220" t="n"/>
      <c r="G335" s="169" t="n"/>
      <c r="H335" s="219" t="n"/>
      <c r="I335" s="220" t="n"/>
      <c r="J335" s="221" t="n"/>
    </row>
    <row r="336" ht="15" customHeight="1" s="131">
      <c r="A336" s="220" t="n"/>
      <c r="B336" s="222" t="n"/>
      <c r="C336" s="220" t="n"/>
      <c r="D336" s="220" t="n"/>
      <c r="E336" s="220" t="n"/>
      <c r="F336" s="220" t="n"/>
      <c r="G336" s="169" t="n"/>
      <c r="H336" s="219" t="n"/>
      <c r="I336" s="220" t="n"/>
      <c r="J336" s="221" t="n"/>
    </row>
    <row r="337" ht="15" customHeight="1" s="131">
      <c r="A337" s="220" t="n"/>
      <c r="B337" s="222" t="n"/>
      <c r="C337" s="220" t="n"/>
      <c r="D337" s="220" t="n"/>
      <c r="E337" s="220" t="n"/>
      <c r="F337" s="220" t="n"/>
      <c r="G337" s="169" t="n"/>
      <c r="H337" s="219" t="n"/>
      <c r="I337" s="220" t="n"/>
      <c r="J337" s="221" t="n"/>
    </row>
    <row r="338" ht="15" customHeight="1" s="131">
      <c r="A338" s="220" t="n"/>
      <c r="B338" s="222" t="n"/>
      <c r="C338" s="220" t="n"/>
      <c r="D338" s="220" t="n"/>
      <c r="E338" s="220" t="n"/>
      <c r="F338" s="220" t="n"/>
      <c r="G338" s="169" t="n"/>
      <c r="H338" s="219" t="n"/>
      <c r="I338" s="220" t="n"/>
      <c r="J338" s="221" t="n"/>
    </row>
    <row r="339" ht="15" customHeight="1" s="131">
      <c r="A339" s="220" t="n"/>
      <c r="B339" s="222" t="n"/>
      <c r="C339" s="220" t="n"/>
      <c r="D339" s="220" t="n"/>
      <c r="E339" s="220" t="n"/>
      <c r="F339" s="220" t="n"/>
      <c r="G339" s="169" t="n"/>
      <c r="H339" s="219" t="n"/>
      <c r="I339" s="220" t="n"/>
      <c r="J339" s="221" t="n"/>
    </row>
    <row r="340" ht="15" customHeight="1" s="131">
      <c r="A340" s="220" t="n"/>
      <c r="B340" s="222" t="n"/>
      <c r="C340" s="220" t="n"/>
      <c r="D340" s="220" t="n"/>
      <c r="E340" s="220" t="n"/>
      <c r="F340" s="220" t="n"/>
      <c r="G340" s="169" t="n"/>
      <c r="H340" s="219" t="n"/>
      <c r="I340" s="220" t="n"/>
      <c r="J340" s="221" t="n"/>
    </row>
    <row r="341" ht="15" customHeight="1" s="131">
      <c r="A341" s="220" t="n"/>
      <c r="B341" s="222" t="n"/>
      <c r="C341" s="220" t="n"/>
      <c r="D341" s="220" t="n"/>
      <c r="E341" s="220" t="n"/>
      <c r="F341" s="220" t="n"/>
      <c r="G341" s="169" t="n"/>
      <c r="H341" s="219" t="n"/>
      <c r="I341" s="220" t="n"/>
      <c r="J341" s="221" t="n"/>
    </row>
    <row r="342" ht="15" customHeight="1" s="131">
      <c r="A342" s="220" t="n"/>
      <c r="B342" s="222" t="n"/>
      <c r="C342" s="220" t="n"/>
      <c r="D342" s="220" t="n"/>
      <c r="E342" s="220" t="n"/>
      <c r="F342" s="220" t="n"/>
      <c r="G342" s="169" t="n"/>
      <c r="H342" s="219" t="n"/>
      <c r="I342" s="220" t="n"/>
      <c r="J342" s="221" t="n"/>
    </row>
    <row r="343" ht="15" customHeight="1" s="131">
      <c r="A343" s="220" t="n"/>
      <c r="B343" s="222" t="n"/>
      <c r="C343" s="220" t="n"/>
      <c r="D343" s="220" t="n"/>
      <c r="E343" s="220" t="n"/>
      <c r="F343" s="220" t="n"/>
      <c r="G343" s="169" t="n"/>
      <c r="H343" s="219" t="n"/>
      <c r="I343" s="220" t="n"/>
      <c r="J343" s="221" t="n"/>
    </row>
    <row r="344" ht="15" customHeight="1" s="131">
      <c r="A344" s="220" t="n"/>
      <c r="B344" s="222" t="n"/>
      <c r="C344" s="220" t="n"/>
      <c r="D344" s="220" t="n"/>
      <c r="E344" s="220" t="n"/>
      <c r="F344" s="220" t="n"/>
      <c r="G344" s="169" t="n"/>
      <c r="H344" s="219" t="n"/>
      <c r="I344" s="220" t="n"/>
      <c r="J344" s="221" t="n"/>
    </row>
    <row r="345" ht="15" customHeight="1" s="131">
      <c r="A345" s="220" t="n"/>
      <c r="B345" s="222" t="n"/>
      <c r="C345" s="220" t="n"/>
      <c r="D345" s="220" t="n"/>
      <c r="E345" s="220" t="n"/>
      <c r="F345" s="220" t="n"/>
      <c r="G345" s="169" t="n"/>
      <c r="H345" s="219" t="n"/>
      <c r="I345" s="220" t="n"/>
      <c r="J345" s="221" t="n"/>
    </row>
    <row r="346" ht="15" customHeight="1" s="131">
      <c r="A346" s="220" t="n"/>
      <c r="B346" s="222" t="n"/>
      <c r="C346" s="220" t="n"/>
      <c r="D346" s="220" t="n"/>
      <c r="E346" s="220" t="n"/>
      <c r="F346" s="220" t="n"/>
      <c r="G346" s="169" t="n"/>
      <c r="H346" s="219" t="n"/>
      <c r="I346" s="220" t="n"/>
      <c r="J346" s="221" t="n"/>
    </row>
    <row r="347" ht="15" customHeight="1" s="131">
      <c r="A347" s="220" t="n"/>
      <c r="B347" s="222" t="n"/>
      <c r="C347" s="220" t="n"/>
      <c r="D347" s="220" t="n"/>
      <c r="E347" s="220" t="n"/>
      <c r="F347" s="220" t="n"/>
      <c r="G347" s="169" t="n"/>
      <c r="H347" s="219" t="n"/>
      <c r="I347" s="220" t="n"/>
      <c r="J347" s="221" t="n"/>
    </row>
    <row r="348" ht="15" customHeight="1" s="131">
      <c r="A348" s="220" t="n"/>
      <c r="B348" s="222" t="n"/>
      <c r="C348" s="220" t="n"/>
      <c r="D348" s="220" t="n"/>
      <c r="E348" s="220" t="n"/>
      <c r="F348" s="220" t="n"/>
      <c r="G348" s="169" t="n"/>
      <c r="H348" s="219" t="n"/>
      <c r="I348" s="220" t="n"/>
      <c r="J348" s="221" t="n"/>
    </row>
    <row r="349" ht="15" customHeight="1" s="131">
      <c r="A349" s="220" t="n"/>
      <c r="B349" s="222" t="n"/>
      <c r="C349" s="220" t="n"/>
      <c r="D349" s="220" t="n"/>
      <c r="E349" s="220" t="n"/>
      <c r="F349" s="220" t="n"/>
      <c r="G349" s="169" t="n"/>
      <c r="H349" s="219" t="n"/>
      <c r="I349" s="220" t="n"/>
      <c r="J349" s="221" t="n"/>
    </row>
    <row r="350" ht="15" customHeight="1" s="131">
      <c r="A350" s="220" t="n"/>
      <c r="B350" s="222" t="n"/>
      <c r="C350" s="220" t="n"/>
      <c r="D350" s="220" t="n"/>
      <c r="E350" s="220" t="n"/>
      <c r="F350" s="220" t="n"/>
      <c r="G350" s="169" t="n"/>
      <c r="H350" s="219" t="n"/>
      <c r="I350" s="220" t="n"/>
      <c r="J350" s="221" t="n"/>
    </row>
    <row r="351" ht="15" customHeight="1" s="131">
      <c r="A351" s="220" t="n"/>
      <c r="B351" s="222" t="n"/>
      <c r="C351" s="220" t="n"/>
      <c r="D351" s="220" t="n"/>
      <c r="E351" s="220" t="n"/>
      <c r="F351" s="220" t="n"/>
      <c r="G351" s="169" t="n"/>
      <c r="H351" s="219" t="n"/>
      <c r="I351" s="220" t="n"/>
      <c r="J351" s="221" t="n"/>
    </row>
    <row r="352" ht="15" customHeight="1" s="131">
      <c r="A352" s="220" t="n"/>
      <c r="B352" s="222" t="n"/>
      <c r="C352" s="220" t="n"/>
      <c r="D352" s="220" t="n"/>
      <c r="E352" s="220" t="n"/>
      <c r="F352" s="220" t="n"/>
      <c r="G352" s="169" t="n"/>
      <c r="H352" s="219" t="n"/>
      <c r="I352" s="220" t="n"/>
      <c r="J352" s="221" t="n"/>
    </row>
    <row r="353" ht="15" customHeight="1" s="131">
      <c r="A353" s="220" t="n"/>
      <c r="B353" s="222" t="n"/>
      <c r="C353" s="220" t="n"/>
      <c r="D353" s="220" t="n"/>
      <c r="E353" s="220" t="n"/>
      <c r="F353" s="220" t="n"/>
      <c r="G353" s="169" t="n"/>
      <c r="H353" s="219" t="n"/>
      <c r="I353" s="220" t="n"/>
      <c r="J353" s="221" t="n"/>
    </row>
    <row r="354" ht="15" customHeight="1" s="131">
      <c r="A354" s="220" t="n"/>
      <c r="B354" s="222" t="n"/>
      <c r="C354" s="220" t="n"/>
      <c r="D354" s="220" t="n"/>
      <c r="E354" s="220" t="n"/>
      <c r="F354" s="220" t="n"/>
      <c r="G354" s="169" t="n"/>
      <c r="H354" s="219" t="n"/>
      <c r="I354" s="220" t="n"/>
      <c r="J354" s="221" t="n"/>
    </row>
    <row r="355" ht="15" customHeight="1" s="131">
      <c r="A355" s="220" t="n"/>
      <c r="B355" s="222" t="n"/>
      <c r="C355" s="220" t="n"/>
      <c r="D355" s="220" t="n"/>
      <c r="E355" s="220" t="n"/>
      <c r="F355" s="220" t="n"/>
      <c r="G355" s="169" t="n"/>
      <c r="H355" s="219" t="n"/>
      <c r="I355" s="220" t="n"/>
      <c r="J355" s="221" t="n"/>
    </row>
    <row r="356" ht="15" customHeight="1" s="131">
      <c r="A356" s="220" t="n"/>
      <c r="B356" s="222" t="n"/>
      <c r="C356" s="220" t="n"/>
      <c r="D356" s="220" t="n"/>
      <c r="E356" s="220" t="n"/>
      <c r="F356" s="220" t="n"/>
      <c r="G356" s="169" t="n"/>
      <c r="H356" s="219" t="n"/>
      <c r="I356" s="220" t="n"/>
      <c r="J356" s="221" t="n"/>
    </row>
    <row r="357" ht="15" customHeight="1" s="131">
      <c r="A357" s="220" t="n"/>
      <c r="B357" s="222" t="n"/>
      <c r="C357" s="220" t="n"/>
      <c r="D357" s="220" t="n"/>
      <c r="E357" s="220" t="n"/>
      <c r="F357" s="220" t="n"/>
      <c r="G357" s="169" t="n"/>
      <c r="H357" s="219" t="n"/>
      <c r="I357" s="220" t="n"/>
      <c r="J357" s="221" t="n"/>
    </row>
    <row r="358" ht="15" customHeight="1" s="131">
      <c r="A358" s="220" t="n"/>
      <c r="B358" s="222" t="n"/>
      <c r="C358" s="220" t="n"/>
      <c r="D358" s="220" t="n"/>
      <c r="E358" s="220" t="n"/>
      <c r="F358" s="220" t="n"/>
      <c r="G358" s="169" t="n"/>
      <c r="H358" s="219" t="n"/>
      <c r="I358" s="220" t="n"/>
      <c r="J358" s="221" t="n"/>
    </row>
    <row r="359" ht="15" customHeight="1" s="131">
      <c r="A359" s="220" t="n"/>
      <c r="B359" s="222" t="n"/>
      <c r="C359" s="220" t="n"/>
      <c r="D359" s="220" t="n"/>
      <c r="E359" s="220" t="n"/>
      <c r="F359" s="220" t="n"/>
      <c r="G359" s="169" t="n"/>
      <c r="H359" s="219" t="n"/>
      <c r="I359" s="220" t="n"/>
      <c r="J359" s="221" t="n"/>
    </row>
    <row r="360" ht="15" customHeight="1" s="131">
      <c r="A360" s="220" t="n"/>
      <c r="B360" s="222" t="n"/>
      <c r="C360" s="220" t="n"/>
      <c r="D360" s="220" t="n"/>
      <c r="E360" s="220" t="n"/>
      <c r="F360" s="220" t="n"/>
      <c r="G360" s="169" t="n"/>
      <c r="H360" s="219" t="n"/>
      <c r="I360" s="220" t="n"/>
      <c r="J360" s="221" t="n"/>
    </row>
    <row r="361" ht="15" customHeight="1" s="131">
      <c r="A361" s="220" t="n"/>
      <c r="B361" s="222" t="n"/>
      <c r="C361" s="220" t="n"/>
      <c r="D361" s="220" t="n"/>
      <c r="E361" s="220" t="n"/>
      <c r="F361" s="220" t="n"/>
      <c r="G361" s="169" t="n"/>
      <c r="H361" s="219" t="n"/>
      <c r="I361" s="220" t="n"/>
      <c r="J361" s="221" t="n"/>
    </row>
    <row r="362" ht="15" customHeight="1" s="131">
      <c r="A362" s="220" t="n"/>
      <c r="B362" s="222" t="n"/>
      <c r="C362" s="220" t="n"/>
      <c r="D362" s="220" t="n"/>
      <c r="E362" s="220" t="n"/>
      <c r="F362" s="220" t="n"/>
      <c r="G362" s="169" t="n"/>
      <c r="H362" s="219" t="n"/>
      <c r="I362" s="220" t="n"/>
      <c r="J362" s="221" t="n"/>
    </row>
    <row r="363" ht="15" customHeight="1" s="131">
      <c r="A363" s="220" t="n"/>
      <c r="B363" s="222" t="n"/>
      <c r="C363" s="220" t="n"/>
      <c r="D363" s="220" t="n"/>
      <c r="E363" s="220" t="n"/>
      <c r="F363" s="220" t="n"/>
      <c r="G363" s="169" t="n"/>
      <c r="H363" s="219" t="n"/>
      <c r="I363" s="220" t="n"/>
      <c r="J363" s="221" t="n"/>
    </row>
    <row r="364" ht="15" customHeight="1" s="131">
      <c r="A364" s="220" t="n"/>
      <c r="B364" s="222" t="n"/>
      <c r="C364" s="220" t="n"/>
      <c r="D364" s="220" t="n"/>
      <c r="E364" s="220" t="n"/>
      <c r="F364" s="220" t="n"/>
      <c r="G364" s="169" t="n"/>
      <c r="H364" s="219" t="n"/>
      <c r="I364" s="220" t="n"/>
      <c r="J364" s="221" t="n"/>
    </row>
    <row r="365" ht="15" customHeight="1" s="131">
      <c r="A365" s="220" t="n"/>
      <c r="B365" s="222" t="n"/>
      <c r="C365" s="220" t="n"/>
      <c r="D365" s="220" t="n"/>
      <c r="E365" s="220" t="n"/>
      <c r="F365" s="220" t="n"/>
      <c r="G365" s="169" t="n"/>
      <c r="H365" s="219" t="n"/>
      <c r="I365" s="220" t="n"/>
      <c r="J365" s="221" t="n"/>
    </row>
    <row r="366" ht="15" customHeight="1" s="131">
      <c r="A366" s="220" t="n"/>
      <c r="B366" s="222" t="n"/>
      <c r="C366" s="220" t="n"/>
      <c r="D366" s="220" t="n"/>
      <c r="E366" s="220" t="n"/>
      <c r="F366" s="220" t="n"/>
      <c r="G366" s="169" t="n"/>
      <c r="H366" s="219" t="n"/>
      <c r="I366" s="220" t="n"/>
      <c r="J366" s="221" t="n"/>
    </row>
    <row r="367" ht="15" customHeight="1" s="131">
      <c r="A367" s="220" t="n"/>
      <c r="B367" s="222" t="n"/>
      <c r="C367" s="220" t="n"/>
      <c r="D367" s="220" t="n"/>
      <c r="E367" s="220" t="n"/>
      <c r="F367" s="220" t="n"/>
      <c r="G367" s="169" t="n"/>
      <c r="H367" s="219" t="n"/>
      <c r="I367" s="220" t="n"/>
      <c r="J367" s="221" t="n"/>
    </row>
    <row r="368" ht="15" customHeight="1" s="131">
      <c r="A368" s="220" t="n"/>
      <c r="B368" s="222" t="n"/>
      <c r="C368" s="220" t="n"/>
      <c r="D368" s="220" t="n"/>
      <c r="E368" s="220" t="n"/>
      <c r="F368" s="220" t="n"/>
      <c r="G368" s="169" t="n"/>
      <c r="H368" s="219" t="n"/>
      <c r="I368" s="220" t="n"/>
      <c r="J368" s="221" t="n"/>
    </row>
    <row r="369" ht="15" customHeight="1" s="131">
      <c r="A369" s="220" t="n"/>
      <c r="B369" s="222" t="n"/>
      <c r="C369" s="220" t="n"/>
      <c r="D369" s="220" t="n"/>
      <c r="E369" s="220" t="n"/>
      <c r="F369" s="220" t="n"/>
      <c r="G369" s="169" t="n"/>
      <c r="H369" s="219" t="n"/>
      <c r="I369" s="220" t="n"/>
      <c r="J369" s="221" t="n"/>
    </row>
    <row r="370" ht="15" customHeight="1" s="131">
      <c r="A370" s="220" t="n"/>
      <c r="B370" s="222" t="n"/>
      <c r="C370" s="220" t="n"/>
      <c r="D370" s="220" t="n"/>
      <c r="E370" s="220" t="n"/>
      <c r="F370" s="220" t="n"/>
      <c r="G370" s="169" t="n"/>
      <c r="H370" s="219" t="n"/>
      <c r="I370" s="220" t="n"/>
      <c r="J370" s="221" t="n"/>
    </row>
    <row r="371" ht="15" customHeight="1" s="131">
      <c r="A371" s="220" t="n"/>
      <c r="B371" s="222" t="n"/>
      <c r="C371" s="220" t="n"/>
      <c r="D371" s="220" t="n"/>
      <c r="E371" s="220" t="n"/>
      <c r="F371" s="220" t="n"/>
      <c r="G371" s="169" t="n"/>
      <c r="H371" s="219" t="n"/>
      <c r="I371" s="220" t="n"/>
      <c r="J371" s="221" t="n"/>
    </row>
    <row r="372" ht="15" customHeight="1" s="131">
      <c r="A372" s="220" t="n"/>
      <c r="B372" s="222" t="n"/>
      <c r="C372" s="220" t="n"/>
      <c r="D372" s="220" t="n"/>
      <c r="E372" s="220" t="n"/>
      <c r="F372" s="220" t="n"/>
      <c r="G372" s="169" t="n"/>
      <c r="H372" s="219" t="n"/>
      <c r="I372" s="220" t="n"/>
      <c r="J372" s="221" t="n"/>
    </row>
    <row r="373" ht="15" customHeight="1" s="131">
      <c r="A373" s="220" t="n"/>
      <c r="B373" s="222" t="n"/>
      <c r="C373" s="220" t="n"/>
      <c r="D373" s="220" t="n"/>
      <c r="E373" s="220" t="n"/>
      <c r="F373" s="220" t="n"/>
      <c r="G373" s="169" t="n"/>
      <c r="H373" s="219" t="n"/>
      <c r="I373" s="220" t="n"/>
      <c r="J373" s="221" t="n"/>
    </row>
    <row r="374" ht="15" customHeight="1" s="131">
      <c r="A374" s="220" t="n"/>
      <c r="B374" s="222" t="n"/>
      <c r="C374" s="220" t="n"/>
      <c r="D374" s="220" t="n"/>
      <c r="E374" s="220" t="n"/>
      <c r="F374" s="220" t="n"/>
      <c r="G374" s="169" t="n"/>
      <c r="H374" s="219" t="n"/>
      <c r="I374" s="220" t="n"/>
      <c r="J374" s="221" t="n"/>
    </row>
    <row r="375" ht="15" customHeight="1" s="131">
      <c r="A375" s="220" t="n"/>
      <c r="B375" s="222" t="n"/>
      <c r="C375" s="220" t="n"/>
      <c r="D375" s="220" t="n"/>
      <c r="E375" s="220" t="n"/>
      <c r="F375" s="220" t="n"/>
      <c r="G375" s="169" t="n"/>
      <c r="H375" s="219" t="n"/>
      <c r="I375" s="220" t="n"/>
      <c r="J375" s="221" t="n"/>
    </row>
    <row r="376" ht="15" customHeight="1" s="131">
      <c r="A376" s="220" t="n"/>
      <c r="B376" s="222" t="n"/>
      <c r="C376" s="220" t="n"/>
      <c r="D376" s="220" t="n"/>
      <c r="E376" s="220" t="n"/>
      <c r="F376" s="220" t="n"/>
      <c r="G376" s="169" t="n"/>
      <c r="H376" s="219" t="n"/>
      <c r="I376" s="220" t="n"/>
      <c r="J376" s="221" t="n"/>
    </row>
    <row r="377" ht="15" customHeight="1" s="131">
      <c r="A377" s="220" t="n"/>
      <c r="B377" s="222" t="n"/>
      <c r="C377" s="220" t="n"/>
      <c r="D377" s="220" t="n"/>
      <c r="E377" s="220" t="n"/>
      <c r="F377" s="220" t="n"/>
      <c r="G377" s="169" t="n"/>
      <c r="H377" s="219" t="n"/>
      <c r="I377" s="220" t="n"/>
      <c r="J377" s="221" t="n"/>
    </row>
    <row r="378" ht="15" customHeight="1" s="131">
      <c r="A378" s="220" t="n"/>
      <c r="B378" s="222" t="n"/>
      <c r="C378" s="220" t="n"/>
      <c r="D378" s="220" t="n"/>
      <c r="E378" s="220" t="n"/>
      <c r="F378" s="220" t="n"/>
      <c r="G378" s="169" t="n"/>
      <c r="H378" s="219" t="n"/>
      <c r="I378" s="220" t="n"/>
      <c r="J378" s="221" t="n"/>
    </row>
    <row r="379" ht="15" customHeight="1" s="131">
      <c r="A379" s="220" t="n"/>
      <c r="B379" s="222" t="n"/>
      <c r="C379" s="220" t="n"/>
      <c r="D379" s="220" t="n"/>
      <c r="E379" s="220" t="n"/>
      <c r="F379" s="220" t="n"/>
      <c r="G379" s="169" t="n"/>
      <c r="H379" s="219" t="n"/>
      <c r="I379" s="220" t="n"/>
      <c r="J379" s="221" t="n"/>
    </row>
    <row r="380" ht="15" customHeight="1" s="131">
      <c r="A380" s="220" t="n"/>
      <c r="B380" s="222" t="n"/>
      <c r="C380" s="220" t="n"/>
      <c r="D380" s="220" t="n"/>
      <c r="E380" s="220" t="n"/>
      <c r="F380" s="220" t="n"/>
      <c r="G380" s="169" t="n"/>
      <c r="H380" s="219" t="n"/>
      <c r="I380" s="220" t="n"/>
      <c r="J380" s="221" t="n"/>
    </row>
    <row r="381" ht="15" customHeight="1" s="131">
      <c r="A381" s="220" t="n"/>
      <c r="B381" s="222" t="n"/>
      <c r="C381" s="220" t="n"/>
      <c r="D381" s="220" t="n"/>
      <c r="E381" s="220" t="n"/>
      <c r="F381" s="220" t="n"/>
      <c r="G381" s="169" t="n"/>
      <c r="H381" s="219" t="n"/>
      <c r="I381" s="220" t="n"/>
      <c r="J381" s="221" t="n"/>
    </row>
    <row r="382" ht="15" customHeight="1" s="131">
      <c r="A382" s="220" t="n"/>
      <c r="B382" s="222" t="n"/>
      <c r="C382" s="220" t="n"/>
      <c r="D382" s="220" t="n"/>
      <c r="E382" s="220" t="n"/>
      <c r="F382" s="220" t="n"/>
      <c r="G382" s="169" t="n"/>
      <c r="H382" s="219" t="n"/>
      <c r="I382" s="220" t="n"/>
      <c r="J382" s="221" t="n"/>
    </row>
    <row r="383" ht="15" customHeight="1" s="131">
      <c r="A383" s="220" t="n"/>
      <c r="B383" s="222" t="n"/>
      <c r="C383" s="220" t="n"/>
      <c r="D383" s="220" t="n"/>
      <c r="E383" s="220" t="n"/>
      <c r="F383" s="220" t="n"/>
      <c r="G383" s="169" t="n"/>
      <c r="H383" s="219" t="n"/>
      <c r="I383" s="220" t="n"/>
      <c r="J383" s="221" t="n"/>
    </row>
    <row r="384" ht="15" customHeight="1" s="131">
      <c r="A384" s="220" t="n"/>
      <c r="B384" s="222" t="n"/>
      <c r="C384" s="220" t="n"/>
      <c r="D384" s="220" t="n"/>
      <c r="E384" s="220" t="n"/>
      <c r="F384" s="220" t="n"/>
      <c r="G384" s="169" t="n"/>
      <c r="H384" s="219" t="n"/>
      <c r="I384" s="220" t="n"/>
      <c r="J384" s="221" t="n"/>
    </row>
    <row r="385" ht="15" customHeight="1" s="131">
      <c r="A385" s="220" t="n"/>
      <c r="B385" s="222" t="n"/>
      <c r="C385" s="220" t="n"/>
      <c r="D385" s="220" t="n"/>
      <c r="E385" s="220" t="n"/>
      <c r="F385" s="220" t="n"/>
      <c r="G385" s="169" t="n"/>
      <c r="H385" s="219" t="n"/>
      <c r="I385" s="220" t="n"/>
      <c r="J385" s="221" t="n"/>
    </row>
    <row r="386" ht="15" customHeight="1" s="131">
      <c r="A386" s="220" t="n"/>
      <c r="B386" s="222" t="n"/>
      <c r="C386" s="220" t="n"/>
      <c r="D386" s="220" t="n"/>
      <c r="E386" s="220" t="n"/>
      <c r="F386" s="220" t="n"/>
      <c r="G386" s="169" t="n"/>
      <c r="H386" s="219" t="n"/>
      <c r="I386" s="220" t="n"/>
      <c r="J386" s="221" t="n"/>
    </row>
    <row r="387" ht="15" customHeight="1" s="131">
      <c r="A387" s="220" t="n"/>
      <c r="B387" s="222" t="n"/>
      <c r="C387" s="220" t="n"/>
      <c r="D387" s="220" t="n"/>
      <c r="E387" s="220" t="n"/>
      <c r="F387" s="220" t="n"/>
      <c r="G387" s="169" t="n"/>
      <c r="H387" s="219" t="n"/>
      <c r="I387" s="220" t="n"/>
      <c r="J387" s="221" t="n"/>
    </row>
    <row r="388" ht="15" customHeight="1" s="131">
      <c r="A388" s="220" t="n"/>
      <c r="B388" s="222" t="n"/>
      <c r="C388" s="220" t="n"/>
      <c r="D388" s="220" t="n"/>
      <c r="E388" s="220" t="n"/>
      <c r="F388" s="220" t="n"/>
      <c r="G388" s="169" t="n"/>
      <c r="H388" s="219" t="n"/>
      <c r="I388" s="220" t="n"/>
      <c r="J388" s="221" t="n"/>
    </row>
    <row r="389" ht="15" customHeight="1" s="131">
      <c r="A389" s="220" t="n"/>
      <c r="B389" s="222" t="n"/>
      <c r="C389" s="220" t="n"/>
      <c r="D389" s="220" t="n"/>
      <c r="E389" s="220" t="n"/>
      <c r="F389" s="220" t="n"/>
      <c r="G389" s="169" t="n"/>
      <c r="H389" s="219" t="n"/>
      <c r="I389" s="220" t="n"/>
      <c r="J389" s="221" t="n"/>
    </row>
    <row r="390" ht="15" customHeight="1" s="131">
      <c r="A390" s="220" t="n"/>
      <c r="B390" s="222" t="n"/>
      <c r="C390" s="220" t="n"/>
      <c r="D390" s="220" t="n"/>
      <c r="E390" s="220" t="n"/>
      <c r="F390" s="220" t="n"/>
      <c r="G390" s="169" t="n"/>
      <c r="H390" s="219" t="n"/>
      <c r="I390" s="220" t="n"/>
      <c r="J390" s="221" t="n"/>
    </row>
    <row r="391" ht="15" customHeight="1" s="131">
      <c r="A391" s="220" t="n"/>
      <c r="B391" s="222" t="n"/>
      <c r="C391" s="220" t="n"/>
      <c r="D391" s="220" t="n"/>
      <c r="E391" s="220" t="n"/>
      <c r="F391" s="220" t="n"/>
      <c r="G391" s="169" t="n"/>
      <c r="H391" s="219" t="n"/>
      <c r="I391" s="220" t="n"/>
      <c r="J391" s="221" t="n"/>
    </row>
    <row r="392" ht="15" customHeight="1" s="131">
      <c r="A392" s="220" t="n"/>
      <c r="B392" s="222" t="n"/>
      <c r="C392" s="220" t="n"/>
      <c r="D392" s="220" t="n"/>
      <c r="E392" s="220" t="n"/>
      <c r="F392" s="220" t="n"/>
      <c r="G392" s="169" t="n"/>
      <c r="H392" s="219" t="n"/>
      <c r="I392" s="220" t="n"/>
      <c r="J392" s="221" t="n"/>
    </row>
    <row r="393" ht="15" customHeight="1" s="131">
      <c r="A393" s="220" t="n"/>
      <c r="B393" s="222" t="n"/>
      <c r="C393" s="220" t="n"/>
      <c r="D393" s="220" t="n"/>
      <c r="E393" s="220" t="n"/>
      <c r="F393" s="220" t="n"/>
      <c r="G393" s="169" t="n"/>
      <c r="H393" s="219" t="n"/>
      <c r="I393" s="220" t="n"/>
      <c r="J393" s="221" t="n"/>
    </row>
    <row r="394" ht="15" customHeight="1" s="131">
      <c r="A394" s="220" t="n"/>
      <c r="B394" s="222" t="n"/>
      <c r="C394" s="220" t="n"/>
      <c r="D394" s="220" t="n"/>
      <c r="E394" s="220" t="n"/>
      <c r="F394" s="220" t="n"/>
      <c r="G394" s="169" t="n"/>
      <c r="H394" s="219" t="n"/>
      <c r="I394" s="220" t="n"/>
      <c r="J394" s="221" t="n"/>
    </row>
    <row r="395" ht="15" customHeight="1" s="131">
      <c r="A395" s="220" t="n"/>
      <c r="B395" s="222" t="n"/>
      <c r="C395" s="220" t="n"/>
      <c r="D395" s="220" t="n"/>
      <c r="E395" s="220" t="n"/>
      <c r="F395" s="220" t="n"/>
      <c r="G395" s="169" t="n"/>
      <c r="H395" s="219" t="n"/>
      <c r="I395" s="220" t="n"/>
      <c r="J395" s="221" t="n"/>
    </row>
    <row r="396" ht="15" customHeight="1" s="131">
      <c r="A396" s="220" t="n"/>
      <c r="B396" s="222" t="n"/>
      <c r="C396" s="220" t="n"/>
      <c r="D396" s="220" t="n"/>
      <c r="E396" s="220" t="n"/>
      <c r="F396" s="220" t="n"/>
      <c r="G396" s="169" t="n"/>
      <c r="H396" s="219" t="n"/>
      <c r="I396" s="220" t="n"/>
      <c r="J396" s="221" t="n"/>
    </row>
    <row r="397" ht="15" customHeight="1" s="131">
      <c r="A397" s="220" t="n"/>
      <c r="B397" s="222" t="n"/>
      <c r="C397" s="220" t="n"/>
      <c r="D397" s="220" t="n"/>
      <c r="E397" s="220" t="n"/>
      <c r="F397" s="220" t="n"/>
      <c r="G397" s="169" t="n"/>
      <c r="H397" s="219" t="n"/>
      <c r="I397" s="220" t="n"/>
      <c r="J397" s="221" t="n"/>
    </row>
    <row r="398" ht="15" customHeight="1" s="131">
      <c r="A398" s="220" t="n"/>
      <c r="B398" s="222" t="n"/>
      <c r="C398" s="220" t="n"/>
      <c r="D398" s="220" t="n"/>
      <c r="E398" s="220" t="n"/>
      <c r="F398" s="220" t="n"/>
      <c r="G398" s="169" t="n"/>
      <c r="H398" s="219" t="n"/>
      <c r="I398" s="220" t="n"/>
      <c r="J398" s="221" t="n"/>
    </row>
    <row r="399" ht="15" customHeight="1" s="131">
      <c r="A399" s="220" t="n"/>
      <c r="B399" s="222" t="n"/>
      <c r="C399" s="220" t="n"/>
      <c r="D399" s="220" t="n"/>
      <c r="E399" s="220" t="n"/>
      <c r="F399" s="220" t="n"/>
      <c r="G399" s="169" t="n"/>
      <c r="H399" s="219" t="n"/>
      <c r="I399" s="220" t="n"/>
      <c r="J399" s="221" t="n"/>
    </row>
    <row r="400" ht="15" customHeight="1" s="131">
      <c r="A400" s="220" t="n"/>
      <c r="B400" s="222" t="n"/>
      <c r="C400" s="220" t="n"/>
      <c r="D400" s="220" t="n"/>
      <c r="E400" s="220" t="n"/>
      <c r="F400" s="220" t="n"/>
      <c r="G400" s="169" t="n"/>
      <c r="H400" s="219" t="n"/>
      <c r="I400" s="220" t="n"/>
      <c r="J400" s="221" t="n"/>
    </row>
    <row r="401" ht="15" customHeight="1" s="131">
      <c r="A401" s="220" t="n"/>
      <c r="B401" s="222" t="n"/>
      <c r="C401" s="220" t="n"/>
      <c r="D401" s="220" t="n"/>
      <c r="E401" s="220" t="n"/>
      <c r="F401" s="220" t="n"/>
      <c r="G401" s="169" t="n"/>
      <c r="H401" s="219" t="n"/>
      <c r="I401" s="220" t="n"/>
      <c r="J401" s="221" t="n"/>
    </row>
    <row r="402" ht="15" customHeight="1" s="131">
      <c r="A402" s="220" t="n"/>
      <c r="B402" s="222" t="n"/>
      <c r="C402" s="220" t="n"/>
      <c r="D402" s="220" t="n"/>
      <c r="E402" s="220" t="n"/>
      <c r="F402" s="220" t="n"/>
      <c r="G402" s="169" t="n"/>
      <c r="H402" s="219" t="n"/>
      <c r="I402" s="220" t="n"/>
      <c r="J402" s="221" t="n"/>
    </row>
    <row r="403" ht="15" customHeight="1" s="131">
      <c r="A403" s="220" t="n"/>
      <c r="B403" s="222" t="n"/>
      <c r="C403" s="220" t="n"/>
      <c r="D403" s="220" t="n"/>
      <c r="E403" s="220" t="n"/>
      <c r="F403" s="220" t="n"/>
      <c r="G403" s="169" t="n"/>
      <c r="H403" s="219" t="n"/>
      <c r="I403" s="220" t="n"/>
      <c r="J403" s="221" t="n"/>
    </row>
    <row r="404" ht="15" customHeight="1" s="131">
      <c r="A404" s="220" t="n"/>
      <c r="B404" s="222" t="n"/>
      <c r="C404" s="220" t="n"/>
      <c r="D404" s="220" t="n"/>
      <c r="E404" s="220" t="n"/>
      <c r="F404" s="220" t="n"/>
      <c r="G404" s="169" t="n"/>
      <c r="H404" s="219" t="n"/>
      <c r="I404" s="220" t="n"/>
      <c r="J404" s="221" t="n"/>
    </row>
    <row r="405" ht="15" customHeight="1" s="131">
      <c r="A405" s="220" t="n"/>
      <c r="B405" s="222" t="n"/>
      <c r="C405" s="220" t="n"/>
      <c r="D405" s="220" t="n"/>
      <c r="E405" s="220" t="n"/>
      <c r="F405" s="220" t="n"/>
      <c r="G405" s="169" t="n"/>
      <c r="H405" s="219" t="n"/>
      <c r="I405" s="220" t="n"/>
      <c r="J405" s="221" t="n"/>
    </row>
    <row r="406" ht="15" customHeight="1" s="131">
      <c r="A406" s="220" t="n"/>
      <c r="B406" s="222" t="n"/>
      <c r="C406" s="220" t="n"/>
      <c r="D406" s="220" t="n"/>
      <c r="E406" s="220" t="n"/>
      <c r="F406" s="220" t="n"/>
      <c r="G406" s="169" t="n"/>
      <c r="H406" s="219" t="n"/>
      <c r="I406" s="220" t="n"/>
      <c r="J406" s="221" t="n"/>
    </row>
    <row r="407" ht="15" customHeight="1" s="131">
      <c r="A407" s="220" t="n"/>
      <c r="B407" s="222" t="n"/>
      <c r="C407" s="220" t="n"/>
      <c r="D407" s="220" t="n"/>
      <c r="E407" s="220" t="n"/>
      <c r="F407" s="220" t="n"/>
      <c r="G407" s="169" t="n"/>
      <c r="H407" s="219" t="n"/>
      <c r="I407" s="220" t="n"/>
      <c r="J407" s="221" t="n"/>
    </row>
    <row r="408" ht="15" customHeight="1" s="131">
      <c r="A408" s="220" t="n"/>
      <c r="B408" s="222" t="n"/>
      <c r="C408" s="220" t="n"/>
      <c r="D408" s="220" t="n"/>
      <c r="E408" s="220" t="n"/>
      <c r="F408" s="220" t="n"/>
      <c r="G408" s="169" t="n"/>
      <c r="H408" s="219" t="n"/>
      <c r="I408" s="220" t="n"/>
      <c r="J408" s="221" t="n"/>
    </row>
    <row r="409" ht="15" customHeight="1" s="131">
      <c r="A409" s="220" t="n"/>
      <c r="B409" s="222" t="n"/>
      <c r="C409" s="220" t="n"/>
      <c r="D409" s="220" t="n"/>
      <c r="E409" s="220" t="n"/>
      <c r="F409" s="220" t="n"/>
      <c r="G409" s="169" t="n"/>
      <c r="H409" s="219" t="n"/>
      <c r="I409" s="220" t="n"/>
      <c r="J409" s="221" t="n"/>
    </row>
    <row r="410" ht="15" customHeight="1" s="131">
      <c r="A410" s="220" t="n"/>
      <c r="B410" s="222" t="n"/>
      <c r="C410" s="220" t="n"/>
      <c r="D410" s="220" t="n"/>
      <c r="E410" s="220" t="n"/>
      <c r="F410" s="220" t="n"/>
      <c r="G410" s="169" t="n"/>
      <c r="H410" s="219" t="n"/>
      <c r="I410" s="220" t="n"/>
      <c r="J410" s="221" t="n"/>
    </row>
    <row r="411" ht="15" customHeight="1" s="131">
      <c r="A411" s="220" t="n"/>
      <c r="B411" s="222" t="n"/>
      <c r="C411" s="220" t="n"/>
      <c r="D411" s="220" t="n"/>
      <c r="E411" s="220" t="n"/>
      <c r="F411" s="220" t="n"/>
      <c r="G411" s="169" t="n"/>
      <c r="H411" s="219" t="n"/>
      <c r="I411" s="220" t="n"/>
      <c r="J411" s="221" t="n"/>
    </row>
    <row r="412" ht="15" customHeight="1" s="131">
      <c r="A412" s="220" t="n"/>
      <c r="B412" s="222" t="n"/>
      <c r="C412" s="220" t="n"/>
      <c r="D412" s="220" t="n"/>
      <c r="E412" s="220" t="n"/>
      <c r="F412" s="220" t="n"/>
      <c r="G412" s="169" t="n"/>
      <c r="H412" s="219" t="n"/>
      <c r="I412" s="220" t="n"/>
      <c r="J412" s="221" t="n"/>
    </row>
    <row r="413" ht="15" customHeight="1" s="131">
      <c r="A413" s="220" t="n"/>
      <c r="B413" s="222" t="n"/>
      <c r="C413" s="220" t="n"/>
      <c r="D413" s="220" t="n"/>
      <c r="E413" s="220" t="n"/>
      <c r="F413" s="220" t="n"/>
      <c r="G413" s="169" t="n"/>
      <c r="H413" s="219" t="n"/>
      <c r="I413" s="220" t="n"/>
      <c r="J413" s="221" t="n"/>
    </row>
    <row r="414" ht="15" customHeight="1" s="131">
      <c r="A414" s="220" t="n"/>
      <c r="B414" s="222" t="n"/>
      <c r="C414" s="220" t="n"/>
      <c r="D414" s="220" t="n"/>
      <c r="E414" s="220" t="n"/>
      <c r="F414" s="220" t="n"/>
      <c r="G414" s="169" t="n"/>
      <c r="H414" s="219" t="n"/>
      <c r="I414" s="220" t="n"/>
      <c r="J414" s="221" t="n"/>
    </row>
    <row r="415" ht="15" customHeight="1" s="131">
      <c r="A415" s="220" t="n"/>
      <c r="B415" s="222" t="n"/>
      <c r="C415" s="220" t="n"/>
      <c r="D415" s="220" t="n"/>
      <c r="E415" s="220" t="n"/>
      <c r="F415" s="220" t="n"/>
      <c r="G415" s="169" t="n"/>
      <c r="H415" s="219" t="n"/>
      <c r="I415" s="220" t="n"/>
      <c r="J415" s="221" t="n"/>
    </row>
    <row r="416" ht="15" customHeight="1" s="131">
      <c r="A416" s="220" t="n"/>
      <c r="B416" s="222" t="n"/>
      <c r="C416" s="220" t="n"/>
      <c r="D416" s="220" t="n"/>
      <c r="E416" s="220" t="n"/>
      <c r="F416" s="220" t="n"/>
      <c r="G416" s="169" t="n"/>
      <c r="H416" s="219" t="n"/>
      <c r="I416" s="220" t="n"/>
      <c r="J416" s="221" t="n"/>
    </row>
    <row r="417" ht="15" customHeight="1" s="131">
      <c r="A417" s="220" t="n"/>
      <c r="B417" s="222" t="n"/>
      <c r="C417" s="220" t="n"/>
      <c r="D417" s="220" t="n"/>
      <c r="E417" s="220" t="n"/>
      <c r="F417" s="220" t="n"/>
      <c r="G417" s="169" t="n"/>
      <c r="H417" s="219" t="n"/>
      <c r="I417" s="220" t="n"/>
      <c r="J417" s="221" t="n"/>
    </row>
    <row r="418" ht="15" customHeight="1" s="131">
      <c r="A418" s="220" t="n"/>
      <c r="B418" s="222" t="n"/>
      <c r="C418" s="220" t="n"/>
      <c r="D418" s="220" t="n"/>
      <c r="E418" s="220" t="n"/>
      <c r="F418" s="220" t="n"/>
      <c r="G418" s="169" t="n"/>
      <c r="H418" s="219" t="n"/>
      <c r="I418" s="220" t="n"/>
      <c r="J418" s="221" t="n"/>
    </row>
    <row r="419" ht="15" customHeight="1" s="131">
      <c r="A419" s="220" t="n"/>
      <c r="B419" s="222" t="n"/>
      <c r="C419" s="220" t="n"/>
      <c r="D419" s="220" t="n"/>
      <c r="E419" s="220" t="n"/>
      <c r="F419" s="220" t="n"/>
      <c r="G419" s="169" t="n"/>
      <c r="H419" s="219" t="n"/>
      <c r="I419" s="220" t="n"/>
      <c r="J419" s="221" t="n"/>
    </row>
    <row r="420" ht="15" customHeight="1" s="131">
      <c r="A420" s="220" t="n"/>
      <c r="B420" s="222" t="n"/>
      <c r="C420" s="220" t="n"/>
      <c r="D420" s="220" t="n"/>
      <c r="E420" s="220" t="n"/>
      <c r="F420" s="220" t="n"/>
      <c r="G420" s="169" t="n"/>
      <c r="H420" s="219" t="n"/>
      <c r="I420" s="220" t="n"/>
      <c r="J420" s="221" t="n"/>
    </row>
    <row r="421" ht="15" customHeight="1" s="131">
      <c r="A421" s="220" t="n"/>
      <c r="B421" s="222" t="n"/>
      <c r="C421" s="220" t="n"/>
      <c r="D421" s="220" t="n"/>
      <c r="E421" s="220" t="n"/>
      <c r="F421" s="220" t="n"/>
      <c r="G421" s="169" t="n"/>
      <c r="H421" s="219" t="n"/>
      <c r="I421" s="220" t="n"/>
      <c r="J421" s="221" t="n"/>
    </row>
    <row r="422" ht="15" customHeight="1" s="131">
      <c r="A422" s="220" t="n"/>
      <c r="B422" s="222" t="n"/>
      <c r="C422" s="220" t="n"/>
      <c r="D422" s="220" t="n"/>
      <c r="E422" s="220" t="n"/>
      <c r="F422" s="220" t="n"/>
      <c r="G422" s="169" t="n"/>
      <c r="H422" s="219" t="n"/>
      <c r="I422" s="220" t="n"/>
      <c r="J422" s="221" t="n"/>
    </row>
    <row r="423" ht="15" customHeight="1" s="131">
      <c r="A423" s="220" t="n"/>
      <c r="B423" s="222" t="n"/>
      <c r="C423" s="220" t="n"/>
      <c r="D423" s="220" t="n"/>
      <c r="E423" s="220" t="n"/>
      <c r="F423" s="220" t="n"/>
      <c r="G423" s="169" t="n"/>
      <c r="H423" s="219" t="n"/>
      <c r="I423" s="220" t="n"/>
      <c r="J423" s="221" t="n"/>
    </row>
    <row r="424" ht="15" customHeight="1" s="131">
      <c r="A424" s="220" t="n"/>
      <c r="B424" s="222" t="n"/>
      <c r="C424" s="220" t="n"/>
      <c r="D424" s="220" t="n"/>
      <c r="E424" s="220" t="n"/>
      <c r="F424" s="220" t="n"/>
      <c r="G424" s="169" t="n"/>
      <c r="H424" s="219" t="n"/>
      <c r="I424" s="220" t="n"/>
      <c r="J424" s="221" t="n"/>
    </row>
    <row r="425" ht="15" customHeight="1" s="131">
      <c r="A425" s="220" t="n"/>
      <c r="B425" s="222" t="n"/>
      <c r="C425" s="220" t="n"/>
      <c r="D425" s="220" t="n"/>
      <c r="E425" s="220" t="n"/>
      <c r="F425" s="220" t="n"/>
      <c r="G425" s="169" t="n"/>
      <c r="H425" s="219" t="n"/>
      <c r="I425" s="220" t="n"/>
      <c r="J425" s="221" t="n"/>
    </row>
    <row r="426" ht="15" customHeight="1" s="131">
      <c r="A426" s="220" t="n"/>
      <c r="B426" s="222" t="n"/>
      <c r="C426" s="220" t="n"/>
      <c r="D426" s="220" t="n"/>
      <c r="E426" s="220" t="n"/>
      <c r="F426" s="220" t="n"/>
      <c r="G426" s="169" t="n"/>
      <c r="H426" s="219" t="n"/>
      <c r="I426" s="220" t="n"/>
      <c r="J426" s="221" t="n"/>
    </row>
    <row r="427" ht="15" customHeight="1" s="131">
      <c r="A427" s="220" t="n"/>
      <c r="B427" s="222" t="n"/>
      <c r="C427" s="220" t="n"/>
      <c r="D427" s="220" t="n"/>
      <c r="E427" s="220" t="n"/>
      <c r="F427" s="220" t="n"/>
      <c r="G427" s="169" t="n"/>
      <c r="H427" s="219" t="n"/>
      <c r="I427" s="220" t="n"/>
      <c r="J427" s="221" t="n"/>
    </row>
    <row r="428" ht="15" customHeight="1" s="131">
      <c r="A428" s="220" t="n"/>
      <c r="B428" s="222" t="n"/>
      <c r="C428" s="220" t="n"/>
      <c r="D428" s="220" t="n"/>
      <c r="E428" s="220" t="n"/>
      <c r="F428" s="220" t="n"/>
      <c r="G428" s="169" t="n"/>
      <c r="H428" s="219" t="n"/>
      <c r="I428" s="220" t="n"/>
      <c r="J428" s="221" t="n"/>
    </row>
    <row r="429" ht="15" customHeight="1" s="131">
      <c r="A429" s="220" t="n"/>
      <c r="B429" s="222" t="n"/>
      <c r="C429" s="220" t="n"/>
      <c r="D429" s="220" t="n"/>
      <c r="E429" s="220" t="n"/>
      <c r="F429" s="220" t="n"/>
      <c r="G429" s="169" t="n"/>
      <c r="H429" s="219" t="n"/>
      <c r="I429" s="220" t="n"/>
      <c r="J429" s="221" t="n"/>
    </row>
    <row r="430" ht="15" customHeight="1" s="131">
      <c r="A430" s="220" t="n"/>
      <c r="B430" s="222" t="n"/>
      <c r="C430" s="220" t="n"/>
      <c r="D430" s="220" t="n"/>
      <c r="E430" s="220" t="n"/>
      <c r="F430" s="220" t="n"/>
      <c r="G430" s="169" t="n"/>
      <c r="H430" s="219" t="n"/>
      <c r="I430" s="220" t="n"/>
      <c r="J430" s="221" t="n"/>
    </row>
    <row r="431" ht="15" customHeight="1" s="131">
      <c r="A431" s="220" t="n"/>
      <c r="B431" s="222" t="n"/>
      <c r="C431" s="220" t="n"/>
      <c r="D431" s="220" t="n"/>
      <c r="E431" s="220" t="n"/>
      <c r="F431" s="220" t="n"/>
      <c r="G431" s="169" t="n"/>
      <c r="H431" s="219" t="n"/>
      <c r="I431" s="220" t="n"/>
      <c r="J431" s="221" t="n"/>
    </row>
    <row r="432" ht="15" customHeight="1" s="131">
      <c r="A432" s="220" t="n"/>
      <c r="B432" s="222" t="n"/>
      <c r="C432" s="220" t="n"/>
      <c r="D432" s="220" t="n"/>
      <c r="E432" s="220" t="n"/>
      <c r="F432" s="220" t="n"/>
      <c r="G432" s="169" t="n"/>
      <c r="H432" s="219" t="n"/>
      <c r="I432" s="220" t="n"/>
      <c r="J432" s="221" t="n"/>
    </row>
    <row r="433" ht="15" customHeight="1" s="131">
      <c r="A433" s="220" t="n"/>
      <c r="B433" s="222" t="n"/>
      <c r="C433" s="220" t="n"/>
      <c r="D433" s="220" t="n"/>
      <c r="E433" s="220" t="n"/>
      <c r="F433" s="220" t="n"/>
      <c r="G433" s="169" t="n"/>
      <c r="H433" s="219" t="n"/>
      <c r="I433" s="220" t="n"/>
      <c r="J433" s="221" t="n"/>
    </row>
    <row r="434" ht="15" customHeight="1" s="131">
      <c r="A434" s="220" t="n"/>
      <c r="B434" s="222" t="n"/>
      <c r="C434" s="220" t="n"/>
      <c r="D434" s="220" t="n"/>
      <c r="E434" s="220" t="n"/>
      <c r="F434" s="220" t="n"/>
      <c r="G434" s="169" t="n"/>
      <c r="H434" s="219" t="n"/>
      <c r="I434" s="220" t="n"/>
      <c r="J434" s="221" t="n"/>
    </row>
    <row r="435" ht="15" customHeight="1" s="131">
      <c r="A435" s="220" t="n"/>
      <c r="B435" s="222" t="n"/>
      <c r="C435" s="220" t="n"/>
      <c r="D435" s="220" t="n"/>
      <c r="E435" s="220" t="n"/>
      <c r="F435" s="220" t="n"/>
      <c r="G435" s="169" t="n"/>
      <c r="H435" s="219" t="n"/>
      <c r="I435" s="220" t="n"/>
      <c r="J435" s="221" t="n"/>
    </row>
    <row r="436" ht="15" customHeight="1" s="131">
      <c r="A436" s="220" t="n"/>
      <c r="B436" s="222" t="n"/>
      <c r="C436" s="220" t="n"/>
      <c r="D436" s="220" t="n"/>
      <c r="E436" s="220" t="n"/>
      <c r="F436" s="220" t="n"/>
      <c r="G436" s="169" t="n"/>
      <c r="H436" s="219" t="n"/>
      <c r="I436" s="220" t="n"/>
      <c r="J436" s="221" t="n"/>
    </row>
    <row r="437" ht="15" customHeight="1" s="131">
      <c r="A437" s="220" t="n"/>
      <c r="B437" s="222" t="n"/>
      <c r="C437" s="220" t="n"/>
      <c r="D437" s="220" t="n"/>
      <c r="E437" s="220" t="n"/>
      <c r="F437" s="220" t="n"/>
      <c r="G437" s="169" t="n"/>
      <c r="H437" s="219" t="n"/>
      <c r="I437" s="220" t="n"/>
      <c r="J437" s="221" t="n"/>
    </row>
    <row r="438" ht="15" customHeight="1" s="131">
      <c r="A438" s="220" t="n"/>
      <c r="B438" s="222" t="n"/>
      <c r="C438" s="220" t="n"/>
      <c r="D438" s="220" t="n"/>
      <c r="E438" s="220" t="n"/>
      <c r="F438" s="220" t="n"/>
      <c r="G438" s="169" t="n"/>
      <c r="H438" s="219" t="n"/>
      <c r="I438" s="220" t="n"/>
      <c r="J438" s="221" t="n"/>
    </row>
    <row r="439" ht="15" customHeight="1" s="131">
      <c r="A439" s="220" t="n"/>
      <c r="B439" s="222" t="n"/>
      <c r="C439" s="220" t="n"/>
      <c r="D439" s="220" t="n"/>
      <c r="E439" s="220" t="n"/>
      <c r="F439" s="220" t="n"/>
      <c r="G439" s="169" t="n"/>
      <c r="H439" s="219" t="n"/>
      <c r="I439" s="220" t="n"/>
      <c r="J439" s="221" t="n"/>
    </row>
    <row r="440" ht="15" customHeight="1" s="131">
      <c r="A440" s="220" t="n"/>
      <c r="B440" s="222" t="n"/>
      <c r="C440" s="220" t="n"/>
      <c r="D440" s="220" t="n"/>
      <c r="E440" s="220" t="n"/>
      <c r="F440" s="220" t="n"/>
      <c r="G440" s="169" t="n"/>
      <c r="H440" s="219" t="n"/>
      <c r="I440" s="220" t="n"/>
      <c r="J440" s="221" t="n"/>
    </row>
    <row r="441" ht="15" customHeight="1" s="131">
      <c r="A441" s="220" t="n"/>
      <c r="B441" s="222" t="n"/>
      <c r="C441" s="220" t="n"/>
      <c r="D441" s="220" t="n"/>
      <c r="E441" s="220" t="n"/>
      <c r="F441" s="220" t="n"/>
      <c r="G441" s="169" t="n"/>
      <c r="H441" s="219" t="n"/>
      <c r="I441" s="220" t="n"/>
      <c r="J441" s="221" t="n"/>
    </row>
    <row r="442" ht="15" customHeight="1" s="131">
      <c r="A442" s="220" t="n"/>
      <c r="B442" s="222" t="n"/>
      <c r="C442" s="220" t="n"/>
      <c r="D442" s="220" t="n"/>
      <c r="E442" s="220" t="n"/>
      <c r="F442" s="220" t="n"/>
      <c r="G442" s="169" t="n"/>
      <c r="H442" s="219" t="n"/>
      <c r="I442" s="220" t="n"/>
      <c r="J442" s="221" t="n"/>
    </row>
    <row r="443" ht="15" customHeight="1" s="131">
      <c r="A443" s="220" t="n"/>
      <c r="B443" s="222" t="n"/>
      <c r="C443" s="220" t="n"/>
      <c r="D443" s="220" t="n"/>
      <c r="E443" s="220" t="n"/>
      <c r="F443" s="220" t="n"/>
      <c r="G443" s="169" t="n"/>
      <c r="H443" s="219" t="n"/>
      <c r="I443" s="220" t="n"/>
      <c r="J443" s="221" t="n"/>
    </row>
    <row r="444" ht="15" customHeight="1" s="131">
      <c r="A444" s="220" t="n"/>
      <c r="B444" s="222" t="n"/>
      <c r="C444" s="220" t="n"/>
      <c r="D444" s="220" t="n"/>
      <c r="E444" s="220" t="n"/>
      <c r="F444" s="220" t="n"/>
      <c r="G444" s="169" t="n"/>
      <c r="H444" s="219" t="n"/>
      <c r="I444" s="220" t="n"/>
      <c r="J444" s="221" t="n"/>
    </row>
    <row r="445" ht="15" customHeight="1" s="131">
      <c r="A445" s="220" t="n"/>
      <c r="B445" s="222" t="n"/>
      <c r="C445" s="220" t="n"/>
      <c r="D445" s="220" t="n"/>
      <c r="E445" s="220" t="n"/>
      <c r="F445" s="220" t="n"/>
      <c r="G445" s="169" t="n"/>
      <c r="H445" s="219" t="n"/>
      <c r="I445" s="220" t="n"/>
      <c r="J445" s="221" t="n"/>
    </row>
    <row r="446" ht="15" customHeight="1" s="131">
      <c r="A446" s="220" t="n"/>
      <c r="B446" s="222" t="n"/>
      <c r="C446" s="220" t="n"/>
      <c r="D446" s="220" t="n"/>
      <c r="E446" s="220" t="n"/>
      <c r="F446" s="220" t="n"/>
      <c r="G446" s="169" t="n"/>
      <c r="H446" s="219" t="n"/>
      <c r="I446" s="220" t="n"/>
      <c r="J446" s="221" t="n"/>
    </row>
    <row r="447" ht="15" customHeight="1" s="131">
      <c r="A447" s="220" t="n"/>
      <c r="B447" s="222" t="n"/>
      <c r="C447" s="220" t="n"/>
      <c r="D447" s="220" t="n"/>
      <c r="E447" s="220" t="n"/>
      <c r="F447" s="220" t="n"/>
      <c r="G447" s="169" t="n"/>
      <c r="H447" s="219" t="n"/>
      <c r="I447" s="220" t="n"/>
      <c r="J447" s="221" t="n"/>
    </row>
    <row r="448" ht="15" customHeight="1" s="131">
      <c r="A448" s="220" t="n"/>
      <c r="B448" s="222" t="n"/>
      <c r="C448" s="220" t="n"/>
      <c r="D448" s="220" t="n"/>
      <c r="E448" s="220" t="n"/>
      <c r="F448" s="220" t="n"/>
      <c r="G448" s="169" t="n"/>
      <c r="H448" s="219" t="n"/>
      <c r="I448" s="220" t="n"/>
      <c r="J448" s="221" t="n"/>
    </row>
    <row r="449" ht="15" customHeight="1" s="131">
      <c r="A449" s="220" t="n"/>
      <c r="B449" s="222" t="n"/>
      <c r="C449" s="220" t="n"/>
      <c r="D449" s="220" t="n"/>
      <c r="E449" s="220" t="n"/>
      <c r="F449" s="220" t="n"/>
      <c r="G449" s="169" t="n"/>
      <c r="H449" s="219" t="n"/>
      <c r="I449" s="220" t="n"/>
      <c r="J449" s="221" t="n"/>
    </row>
    <row r="450" ht="15" customHeight="1" s="131">
      <c r="A450" s="220" t="n"/>
      <c r="B450" s="222" t="n"/>
      <c r="C450" s="220" t="n"/>
      <c r="D450" s="220" t="n"/>
      <c r="E450" s="220" t="n"/>
      <c r="F450" s="220" t="n"/>
      <c r="G450" s="169" t="n"/>
      <c r="H450" s="219" t="n"/>
      <c r="I450" s="220" t="n"/>
      <c r="J450" s="221" t="n"/>
    </row>
    <row r="451" ht="15" customHeight="1" s="131">
      <c r="A451" s="220" t="n"/>
      <c r="B451" s="222" t="n"/>
      <c r="C451" s="220" t="n"/>
      <c r="D451" s="220" t="n"/>
      <c r="E451" s="220" t="n"/>
      <c r="F451" s="220" t="n"/>
      <c r="G451" s="169" t="n"/>
      <c r="H451" s="219" t="n"/>
      <c r="I451" s="220" t="n"/>
      <c r="J451" s="221" t="n"/>
    </row>
    <row r="452" ht="15" customHeight="1" s="131">
      <c r="A452" s="220" t="n"/>
      <c r="B452" s="222" t="n"/>
      <c r="C452" s="220" t="n"/>
      <c r="D452" s="220" t="n"/>
      <c r="E452" s="220" t="n"/>
      <c r="F452" s="220" t="n"/>
      <c r="G452" s="169" t="n"/>
      <c r="H452" s="219" t="n"/>
      <c r="I452" s="220" t="n"/>
      <c r="J452" s="221" t="n"/>
    </row>
    <row r="453" ht="15" customHeight="1" s="131">
      <c r="A453" s="220" t="n"/>
      <c r="B453" s="222" t="n"/>
      <c r="C453" s="220" t="n"/>
      <c r="D453" s="220" t="n"/>
      <c r="E453" s="220" t="n"/>
      <c r="F453" s="220" t="n"/>
      <c r="G453" s="169" t="n"/>
      <c r="H453" s="219" t="n"/>
      <c r="I453" s="220" t="n"/>
      <c r="J453" s="221" t="n"/>
    </row>
    <row r="454" ht="15" customHeight="1" s="131">
      <c r="A454" s="220" t="n"/>
      <c r="B454" s="222" t="n"/>
      <c r="C454" s="220" t="n"/>
      <c r="D454" s="220" t="n"/>
      <c r="E454" s="220" t="n"/>
      <c r="F454" s="220" t="n"/>
      <c r="G454" s="169" t="n"/>
      <c r="H454" s="219" t="n"/>
      <c r="I454" s="220" t="n"/>
      <c r="J454" s="221" t="n"/>
    </row>
    <row r="455" ht="15" customHeight="1" s="131">
      <c r="A455" s="220" t="n"/>
      <c r="B455" s="222" t="n"/>
      <c r="C455" s="220" t="n"/>
      <c r="D455" s="220" t="n"/>
      <c r="E455" s="220" t="n"/>
      <c r="F455" s="220" t="n"/>
      <c r="G455" s="169" t="n"/>
      <c r="H455" s="219" t="n"/>
      <c r="I455" s="220" t="n"/>
      <c r="J455" s="221" t="n"/>
    </row>
    <row r="456" ht="15" customHeight="1" s="131">
      <c r="A456" s="220" t="n"/>
      <c r="B456" s="222" t="n"/>
      <c r="C456" s="220" t="n"/>
      <c r="D456" s="220" t="n"/>
      <c r="E456" s="220" t="n"/>
      <c r="F456" s="220" t="n"/>
      <c r="G456" s="169" t="n"/>
      <c r="H456" s="219" t="n"/>
      <c r="I456" s="220" t="n"/>
      <c r="J456" s="221" t="n"/>
    </row>
    <row r="457" ht="15" customHeight="1" s="131">
      <c r="A457" s="220" t="n"/>
      <c r="B457" s="222" t="n"/>
      <c r="C457" s="220" t="n"/>
      <c r="D457" s="220" t="n"/>
      <c r="E457" s="220" t="n"/>
      <c r="F457" s="220" t="n"/>
      <c r="G457" s="169" t="n"/>
      <c r="H457" s="219" t="n"/>
      <c r="I457" s="220" t="n"/>
      <c r="J457" s="221" t="n"/>
    </row>
    <row r="458" ht="15" customHeight="1" s="131">
      <c r="A458" s="220" t="n"/>
      <c r="B458" s="222" t="n"/>
      <c r="C458" s="220" t="n"/>
      <c r="D458" s="220" t="n"/>
      <c r="E458" s="220" t="n"/>
      <c r="F458" s="220" t="n"/>
      <c r="G458" s="169" t="n"/>
      <c r="H458" s="219" t="n"/>
      <c r="I458" s="220" t="n"/>
      <c r="J458" s="221" t="n"/>
    </row>
    <row r="459" ht="15" customHeight="1" s="131">
      <c r="A459" s="220" t="n"/>
      <c r="B459" s="222" t="n"/>
      <c r="C459" s="220" t="n"/>
      <c r="D459" s="220" t="n"/>
      <c r="E459" s="220" t="n"/>
      <c r="F459" s="220" t="n"/>
      <c r="G459" s="169" t="n"/>
      <c r="H459" s="219" t="n"/>
      <c r="I459" s="220" t="n"/>
      <c r="J459" s="221" t="n"/>
    </row>
    <row r="460" ht="15" customHeight="1" s="131">
      <c r="A460" s="220" t="n"/>
      <c r="B460" s="222" t="n"/>
      <c r="C460" s="220" t="n"/>
      <c r="D460" s="220" t="n"/>
      <c r="E460" s="220" t="n"/>
      <c r="F460" s="220" t="n"/>
      <c r="G460" s="169" t="n"/>
      <c r="H460" s="219" t="n"/>
      <c r="I460" s="220" t="n"/>
      <c r="J460" s="221" t="n"/>
    </row>
    <row r="461" ht="15" customHeight="1" s="131">
      <c r="A461" s="220" t="n"/>
      <c r="B461" s="222" t="n"/>
      <c r="C461" s="220" t="n"/>
      <c r="D461" s="220" t="n"/>
      <c r="E461" s="220" t="n"/>
      <c r="F461" s="220" t="n"/>
      <c r="G461" s="169" t="n"/>
      <c r="H461" s="219" t="n"/>
      <c r="I461" s="220" t="n"/>
      <c r="J461" s="221" t="n"/>
    </row>
    <row r="462" ht="15" customHeight="1" s="131">
      <c r="A462" s="220" t="n"/>
      <c r="B462" s="222" t="n"/>
      <c r="C462" s="220" t="n"/>
      <c r="D462" s="220" t="n"/>
      <c r="E462" s="220" t="n"/>
      <c r="F462" s="220" t="n"/>
      <c r="G462" s="169" t="n"/>
      <c r="H462" s="219" t="n"/>
      <c r="I462" s="220" t="n"/>
      <c r="J462" s="221" t="n"/>
    </row>
    <row r="463" ht="15" customHeight="1" s="131">
      <c r="A463" s="220" t="n"/>
      <c r="B463" s="222" t="n"/>
      <c r="C463" s="220" t="n"/>
      <c r="D463" s="220" t="n"/>
      <c r="E463" s="220" t="n"/>
      <c r="F463" s="220" t="n"/>
      <c r="G463" s="169" t="n"/>
      <c r="H463" s="219" t="n"/>
      <c r="I463" s="220" t="n"/>
      <c r="J463" s="221" t="n"/>
    </row>
    <row r="464" ht="15" customHeight="1" s="131">
      <c r="A464" s="220" t="n"/>
      <c r="B464" s="222" t="n"/>
      <c r="C464" s="220" t="n"/>
      <c r="D464" s="220" t="n"/>
      <c r="E464" s="220" t="n"/>
      <c r="F464" s="220" t="n"/>
      <c r="G464" s="169" t="n"/>
      <c r="H464" s="219" t="n"/>
      <c r="I464" s="220" t="n"/>
      <c r="J464" s="221" t="n"/>
    </row>
    <row r="465" ht="15" customHeight="1" s="131">
      <c r="A465" s="220" t="n"/>
      <c r="B465" s="222" t="n"/>
      <c r="C465" s="220" t="n"/>
      <c r="D465" s="220" t="n"/>
      <c r="E465" s="220" t="n"/>
      <c r="F465" s="220" t="n"/>
      <c r="G465" s="169" t="n"/>
      <c r="H465" s="219" t="n"/>
      <c r="I465" s="220" t="n"/>
      <c r="J465" s="221" t="n"/>
    </row>
    <row r="466" ht="15" customHeight="1" s="131">
      <c r="A466" s="220" t="n"/>
      <c r="B466" s="222" t="n"/>
      <c r="C466" s="220" t="n"/>
      <c r="D466" s="220" t="n"/>
      <c r="E466" s="220" t="n"/>
      <c r="F466" s="220" t="n"/>
      <c r="G466" s="169" t="n"/>
      <c r="H466" s="219" t="n"/>
      <c r="I466" s="220" t="n"/>
      <c r="J466" s="221" t="n"/>
    </row>
    <row r="467" ht="15" customHeight="1" s="131">
      <c r="A467" s="220" t="n"/>
      <c r="B467" s="222" t="n"/>
      <c r="C467" s="220" t="n"/>
      <c r="D467" s="220" t="n"/>
      <c r="E467" s="220" t="n"/>
      <c r="F467" s="220" t="n"/>
      <c r="G467" s="169" t="n"/>
      <c r="H467" s="219" t="n"/>
      <c r="I467" s="220" t="n"/>
      <c r="J467" s="221" t="n"/>
    </row>
    <row r="468" ht="15" customHeight="1" s="131">
      <c r="A468" s="220" t="n"/>
      <c r="B468" s="222" t="n"/>
      <c r="C468" s="220" t="n"/>
      <c r="D468" s="220" t="n"/>
      <c r="E468" s="220" t="n"/>
      <c r="F468" s="220" t="n"/>
      <c r="G468" s="169" t="n"/>
      <c r="H468" s="219" t="n"/>
      <c r="I468" s="220" t="n"/>
      <c r="J468" s="221" t="n"/>
    </row>
    <row r="469" ht="15" customHeight="1" s="131">
      <c r="A469" s="220" t="n"/>
      <c r="B469" s="222" t="n"/>
      <c r="C469" s="220" t="n"/>
      <c r="D469" s="220" t="n"/>
      <c r="E469" s="220" t="n"/>
      <c r="F469" s="220" t="n"/>
      <c r="G469" s="169" t="n"/>
      <c r="H469" s="219" t="n"/>
      <c r="I469" s="220" t="n"/>
      <c r="J469" s="221" t="n"/>
    </row>
    <row r="470" ht="15" customHeight="1" s="131">
      <c r="A470" s="220" t="n"/>
      <c r="B470" s="222" t="n"/>
      <c r="C470" s="220" t="n"/>
      <c r="D470" s="220" t="n"/>
      <c r="E470" s="220" t="n"/>
      <c r="F470" s="220" t="n"/>
      <c r="G470" s="169" t="n"/>
      <c r="H470" s="219" t="n"/>
      <c r="I470" s="220" t="n"/>
      <c r="J470" s="221" t="n"/>
    </row>
    <row r="471" ht="15" customHeight="1" s="131">
      <c r="A471" s="220" t="n"/>
      <c r="B471" s="222" t="n"/>
      <c r="C471" s="220" t="n"/>
      <c r="D471" s="220" t="n"/>
      <c r="E471" s="220" t="n"/>
      <c r="F471" s="220" t="n"/>
      <c r="G471" s="169" t="n"/>
      <c r="H471" s="219" t="n"/>
      <c r="I471" s="220" t="n"/>
      <c r="J471" s="221" t="n"/>
    </row>
    <row r="472" ht="15" customHeight="1" s="131">
      <c r="A472" s="220" t="n"/>
      <c r="B472" s="222" t="n"/>
      <c r="C472" s="220" t="n"/>
      <c r="D472" s="220" t="n"/>
      <c r="E472" s="220" t="n"/>
      <c r="F472" s="220" t="n"/>
      <c r="G472" s="169" t="n"/>
      <c r="H472" s="219" t="n"/>
      <c r="I472" s="220" t="n"/>
      <c r="J472" s="221" t="n"/>
    </row>
    <row r="473" ht="15" customHeight="1" s="131">
      <c r="A473" s="220" t="n"/>
      <c r="B473" s="222" t="n"/>
      <c r="C473" s="220" t="n"/>
      <c r="D473" s="220" t="n"/>
      <c r="E473" s="220" t="n"/>
      <c r="F473" s="220" t="n"/>
      <c r="G473" s="169" t="n"/>
      <c r="H473" s="219" t="n"/>
      <c r="I473" s="220" t="n"/>
      <c r="J473" s="221" t="n"/>
    </row>
    <row r="474" ht="15" customHeight="1" s="131">
      <c r="A474" s="220" t="n"/>
      <c r="B474" s="222" t="n"/>
      <c r="C474" s="220" t="n"/>
      <c r="D474" s="220" t="n"/>
      <c r="E474" s="220" t="n"/>
      <c r="F474" s="220" t="n"/>
      <c r="G474" s="169" t="n"/>
      <c r="H474" s="219" t="n"/>
      <c r="I474" s="220" t="n"/>
      <c r="J474" s="221" t="n"/>
    </row>
    <row r="475" ht="15" customHeight="1" s="131">
      <c r="A475" s="220" t="n"/>
      <c r="B475" s="222" t="n"/>
      <c r="C475" s="220" t="n"/>
      <c r="D475" s="220" t="n"/>
      <c r="E475" s="220" t="n"/>
      <c r="F475" s="220" t="n"/>
      <c r="G475" s="169" t="n"/>
      <c r="H475" s="219" t="n"/>
      <c r="I475" s="220" t="n"/>
      <c r="J475" s="221" t="n"/>
    </row>
    <row r="476" ht="15" customHeight="1" s="131">
      <c r="A476" s="220" t="n"/>
      <c r="B476" s="222" t="n"/>
      <c r="C476" s="220" t="n"/>
      <c r="D476" s="220" t="n"/>
      <c r="E476" s="220" t="n"/>
      <c r="F476" s="220" t="n"/>
      <c r="G476" s="169" t="n"/>
      <c r="H476" s="219" t="n"/>
      <c r="I476" s="220" t="n"/>
      <c r="J476" s="221" t="n"/>
    </row>
    <row r="477" ht="15" customHeight="1" s="131">
      <c r="A477" s="220" t="n"/>
      <c r="B477" s="222" t="n"/>
      <c r="C477" s="220" t="n"/>
      <c r="D477" s="220" t="n"/>
      <c r="E477" s="220" t="n"/>
      <c r="F477" s="220" t="n"/>
      <c r="G477" s="169" t="n"/>
      <c r="H477" s="219" t="n"/>
      <c r="I477" s="220" t="n"/>
      <c r="J477" s="221" t="n"/>
    </row>
    <row r="478" ht="15" customHeight="1" s="131">
      <c r="A478" s="220" t="n"/>
      <c r="B478" s="222" t="n"/>
      <c r="C478" s="220" t="n"/>
      <c r="D478" s="220" t="n"/>
      <c r="E478" s="220" t="n"/>
      <c r="F478" s="220" t="n"/>
      <c r="G478" s="169" t="n"/>
      <c r="H478" s="219" t="n"/>
      <c r="I478" s="220" t="n"/>
      <c r="J478" s="221" t="n"/>
    </row>
    <row r="479" ht="15" customHeight="1" s="131">
      <c r="A479" s="220" t="n"/>
      <c r="B479" s="222" t="n"/>
      <c r="C479" s="220" t="n"/>
      <c r="D479" s="220" t="n"/>
      <c r="E479" s="220" t="n"/>
      <c r="F479" s="220" t="n"/>
      <c r="G479" s="169" t="n"/>
      <c r="H479" s="219" t="n"/>
      <c r="I479" s="220" t="n"/>
      <c r="J479" s="221" t="n"/>
    </row>
    <row r="480" ht="15" customHeight="1" s="131">
      <c r="A480" s="220" t="n"/>
      <c r="B480" s="222" t="n"/>
      <c r="C480" s="220" t="n"/>
      <c r="D480" s="220" t="n"/>
      <c r="E480" s="220" t="n"/>
      <c r="F480" s="220" t="n"/>
      <c r="G480" s="169" t="n"/>
      <c r="H480" s="219" t="n"/>
      <c r="I480" s="220" t="n"/>
      <c r="J480" s="221" t="n"/>
    </row>
    <row r="481" ht="15" customHeight="1" s="131">
      <c r="A481" s="220" t="n"/>
      <c r="B481" s="222" t="n"/>
      <c r="C481" s="220" t="n"/>
      <c r="D481" s="220" t="n"/>
      <c r="E481" s="220" t="n"/>
      <c r="F481" s="220" t="n"/>
      <c r="G481" s="169" t="n"/>
      <c r="H481" s="219" t="n"/>
      <c r="I481" s="220" t="n"/>
      <c r="J481" s="221" t="n"/>
    </row>
    <row r="482" ht="15" customHeight="1" s="131">
      <c r="A482" s="220" t="n"/>
      <c r="B482" s="222" t="n"/>
      <c r="C482" s="220" t="n"/>
      <c r="D482" s="220" t="n"/>
      <c r="E482" s="220" t="n"/>
      <c r="F482" s="220" t="n"/>
      <c r="G482" s="169" t="n"/>
      <c r="H482" s="219" t="n"/>
      <c r="I482" s="220" t="n"/>
      <c r="J482" s="221" t="n"/>
    </row>
    <row r="483" ht="15" customHeight="1" s="131">
      <c r="A483" s="220" t="n"/>
      <c r="B483" s="222" t="n"/>
      <c r="C483" s="220" t="n"/>
      <c r="D483" s="220" t="n"/>
      <c r="E483" s="220" t="n"/>
      <c r="F483" s="220" t="n"/>
      <c r="G483" s="169" t="n"/>
      <c r="H483" s="219" t="n"/>
      <c r="I483" s="220" t="n"/>
      <c r="J483" s="221" t="n"/>
    </row>
    <row r="484" ht="15" customHeight="1" s="131">
      <c r="A484" s="220" t="n"/>
      <c r="B484" s="222" t="n"/>
      <c r="C484" s="220" t="n"/>
      <c r="D484" s="220" t="n"/>
      <c r="E484" s="220" t="n"/>
      <c r="F484" s="220" t="n"/>
      <c r="G484" s="169" t="n"/>
      <c r="H484" s="219" t="n"/>
      <c r="I484" s="220" t="n"/>
      <c r="J484" s="221" t="n"/>
    </row>
    <row r="485" ht="15" customHeight="1" s="131">
      <c r="A485" s="220" t="n"/>
      <c r="B485" s="222" t="n"/>
      <c r="C485" s="220" t="n"/>
      <c r="D485" s="220" t="n"/>
      <c r="E485" s="220" t="n"/>
      <c r="F485" s="220" t="n"/>
      <c r="G485" s="169" t="n"/>
      <c r="H485" s="219" t="n"/>
      <c r="I485" s="220" t="n"/>
      <c r="J485" s="221" t="n"/>
    </row>
    <row r="486" ht="15" customHeight="1" s="131">
      <c r="A486" s="220" t="n"/>
      <c r="B486" s="222" t="n"/>
      <c r="C486" s="220" t="n"/>
      <c r="D486" s="220" t="n"/>
      <c r="E486" s="220" t="n"/>
      <c r="F486" s="220" t="n"/>
      <c r="G486" s="169" t="n"/>
      <c r="H486" s="219" t="n"/>
      <c r="I486" s="220" t="n"/>
      <c r="J486" s="221" t="n"/>
    </row>
    <row r="487" ht="15" customHeight="1" s="131">
      <c r="A487" s="220" t="n"/>
      <c r="B487" s="222" t="n"/>
      <c r="C487" s="220" t="n"/>
      <c r="D487" s="220" t="n"/>
      <c r="E487" s="220" t="n"/>
      <c r="F487" s="220" t="n"/>
      <c r="G487" s="169" t="n"/>
      <c r="H487" s="219" t="n"/>
      <c r="I487" s="220" t="n"/>
      <c r="J487" s="221" t="n"/>
    </row>
    <row r="488" ht="15" customHeight="1" s="131">
      <c r="A488" s="220" t="n"/>
      <c r="B488" s="222" t="n"/>
      <c r="C488" s="220" t="n"/>
      <c r="D488" s="220" t="n"/>
      <c r="E488" s="220" t="n"/>
      <c r="F488" s="220" t="n"/>
      <c r="G488" s="169" t="n"/>
      <c r="H488" s="219" t="n"/>
      <c r="I488" s="220" t="n"/>
      <c r="J488" s="221" t="n"/>
    </row>
    <row r="489" ht="15" customHeight="1" s="131">
      <c r="A489" s="220" t="n"/>
      <c r="B489" s="222" t="n"/>
      <c r="C489" s="220" t="n"/>
      <c r="D489" s="220" t="n"/>
      <c r="E489" s="220" t="n"/>
      <c r="F489" s="220" t="n"/>
      <c r="G489" s="169" t="n"/>
      <c r="H489" s="219" t="n"/>
      <c r="I489" s="220" t="n"/>
      <c r="J489" s="221" t="n"/>
    </row>
    <row r="490" ht="15" customHeight="1" s="131">
      <c r="A490" s="220" t="n"/>
      <c r="B490" s="222" t="n"/>
      <c r="C490" s="220" t="n"/>
      <c r="D490" s="220" t="n"/>
      <c r="E490" s="220" t="n"/>
      <c r="F490" s="220" t="n"/>
      <c r="G490" s="169" t="n"/>
      <c r="H490" s="219" t="n"/>
      <c r="I490" s="220" t="n"/>
      <c r="J490" s="221" t="n"/>
    </row>
    <row r="491" ht="15" customHeight="1" s="131">
      <c r="A491" s="220" t="n"/>
      <c r="B491" s="222" t="n"/>
      <c r="C491" s="220" t="n"/>
      <c r="D491" s="220" t="n"/>
      <c r="E491" s="220" t="n"/>
      <c r="F491" s="220" t="n"/>
      <c r="G491" s="169" t="n"/>
      <c r="H491" s="219" t="n"/>
      <c r="I491" s="220" t="n"/>
      <c r="J491" s="221" t="n"/>
    </row>
    <row r="492" ht="15" customHeight="1" s="131">
      <c r="A492" s="220" t="n"/>
      <c r="B492" s="222" t="n"/>
      <c r="C492" s="220" t="n"/>
      <c r="D492" s="220" t="n"/>
      <c r="E492" s="220" t="n"/>
      <c r="F492" s="220" t="n"/>
      <c r="G492" s="169" t="n"/>
      <c r="H492" s="219" t="n"/>
      <c r="I492" s="220" t="n"/>
      <c r="J492" s="221" t="n"/>
    </row>
    <row r="493" ht="15" customHeight="1" s="131">
      <c r="A493" s="220" t="n"/>
      <c r="B493" s="222" t="n"/>
      <c r="C493" s="220" t="n"/>
      <c r="D493" s="220" t="n"/>
      <c r="E493" s="220" t="n"/>
      <c r="F493" s="220" t="n"/>
      <c r="G493" s="169" t="n"/>
      <c r="H493" s="219" t="n"/>
      <c r="I493" s="220" t="n"/>
      <c r="J493" s="221" t="n"/>
    </row>
    <row r="494" ht="15" customHeight="1" s="131">
      <c r="A494" s="220" t="n"/>
      <c r="B494" s="222" t="n"/>
      <c r="C494" s="220" t="n"/>
      <c r="D494" s="220" t="n"/>
      <c r="E494" s="220" t="n"/>
      <c r="F494" s="220" t="n"/>
      <c r="G494" s="169" t="n"/>
      <c r="H494" s="219" t="n"/>
      <c r="I494" s="220" t="n"/>
      <c r="J494" s="221" t="n"/>
    </row>
    <row r="495" ht="15" customHeight="1" s="131">
      <c r="A495" s="220" t="n"/>
      <c r="B495" s="222" t="n"/>
      <c r="C495" s="220" t="n"/>
      <c r="D495" s="220" t="n"/>
      <c r="E495" s="220" t="n"/>
      <c r="F495" s="220" t="n"/>
      <c r="G495" s="169" t="n"/>
      <c r="H495" s="219" t="n"/>
      <c r="I495" s="220" t="n"/>
      <c r="J495" s="221" t="n"/>
    </row>
    <row r="496" ht="15" customHeight="1" s="131">
      <c r="A496" s="220" t="n"/>
      <c r="B496" s="222" t="n"/>
      <c r="C496" s="220" t="n"/>
      <c r="D496" s="220" t="n"/>
      <c r="E496" s="220" t="n"/>
      <c r="F496" s="220" t="n"/>
      <c r="G496" s="169" t="n"/>
      <c r="H496" s="219" t="n"/>
      <c r="I496" s="220" t="n"/>
      <c r="J496" s="221" t="n"/>
    </row>
    <row r="497" ht="15" customHeight="1" s="131">
      <c r="A497" s="220" t="n"/>
      <c r="B497" s="222" t="n"/>
      <c r="C497" s="220" t="n"/>
      <c r="D497" s="220" t="n"/>
      <c r="E497" s="220" t="n"/>
      <c r="F497" s="220" t="n"/>
      <c r="G497" s="169" t="n"/>
      <c r="H497" s="219" t="n"/>
      <c r="I497" s="220" t="n"/>
      <c r="J497" s="221" t="n"/>
    </row>
    <row r="498" ht="15" customHeight="1" s="131">
      <c r="A498" s="220" t="n"/>
      <c r="B498" s="222" t="n"/>
      <c r="C498" s="220" t="n"/>
      <c r="D498" s="220" t="n"/>
      <c r="E498" s="220" t="n"/>
      <c r="F498" s="220" t="n"/>
      <c r="G498" s="169" t="n"/>
      <c r="H498" s="219" t="n"/>
      <c r="I498" s="220" t="n"/>
      <c r="J498" s="221" t="n"/>
    </row>
    <row r="499" ht="15" customHeight="1" s="131">
      <c r="A499" s="220" t="n"/>
      <c r="B499" s="222" t="n"/>
      <c r="C499" s="220" t="n"/>
      <c r="D499" s="220" t="n"/>
      <c r="E499" s="220" t="n"/>
      <c r="F499" s="220" t="n"/>
      <c r="G499" s="169" t="n"/>
      <c r="H499" s="219" t="n"/>
      <c r="I499" s="220" t="n"/>
      <c r="J499" s="221" t="n"/>
    </row>
    <row r="500" ht="15" customHeight="1" s="131">
      <c r="A500" s="220" t="n"/>
      <c r="B500" s="222" t="n"/>
      <c r="C500" s="220" t="n"/>
      <c r="D500" s="220" t="n"/>
      <c r="E500" s="220" t="n"/>
      <c r="F500" s="220" t="n"/>
      <c r="G500" s="169" t="n"/>
      <c r="H500" s="219" t="n"/>
      <c r="I500" s="220" t="n"/>
      <c r="J500" s="221" t="n"/>
    </row>
    <row r="501" ht="15" customHeight="1" s="131">
      <c r="A501" s="220" t="n"/>
      <c r="B501" s="222" t="n"/>
      <c r="C501" s="220" t="n"/>
      <c r="D501" s="220" t="n"/>
      <c r="E501" s="220" t="n"/>
      <c r="F501" s="220" t="n"/>
      <c r="G501" s="169" t="n"/>
      <c r="H501" s="219" t="n"/>
      <c r="I501" s="220" t="n"/>
      <c r="J501" s="221" t="n"/>
    </row>
    <row r="502" ht="15" customHeight="1" s="131">
      <c r="A502" s="220" t="n"/>
      <c r="B502" s="222" t="n"/>
      <c r="C502" s="220" t="n"/>
      <c r="D502" s="220" t="n"/>
      <c r="E502" s="220" t="n"/>
      <c r="F502" s="220" t="n"/>
      <c r="G502" s="169" t="n"/>
      <c r="H502" s="219" t="n"/>
      <c r="I502" s="220" t="n"/>
      <c r="J502" s="221" t="n"/>
    </row>
    <row r="503" ht="15" customHeight="1" s="131">
      <c r="A503" s="220" t="n"/>
      <c r="B503" s="222" t="n"/>
      <c r="C503" s="220" t="n"/>
      <c r="D503" s="220" t="n"/>
      <c r="E503" s="220" t="n"/>
      <c r="F503" s="220" t="n"/>
      <c r="G503" s="169" t="n"/>
      <c r="H503" s="219" t="n"/>
      <c r="I503" s="220" t="n"/>
      <c r="J503" s="221" t="n"/>
    </row>
    <row r="504" ht="15" customHeight="1" s="131">
      <c r="A504" s="220" t="n"/>
      <c r="B504" s="222" t="n"/>
      <c r="C504" s="220" t="n"/>
      <c r="D504" s="220" t="n"/>
      <c r="E504" s="220" t="n"/>
      <c r="F504" s="220" t="n"/>
      <c r="G504" s="169" t="n"/>
      <c r="H504" s="219" t="n"/>
      <c r="I504" s="220" t="n"/>
      <c r="J504" s="221" t="n"/>
    </row>
    <row r="505" ht="15" customHeight="1" s="131">
      <c r="A505" s="220" t="n"/>
      <c r="B505" s="222" t="n"/>
      <c r="C505" s="220" t="n"/>
      <c r="D505" s="220" t="n"/>
      <c r="E505" s="220" t="n"/>
      <c r="F505" s="220" t="n"/>
      <c r="G505" s="169" t="n"/>
      <c r="H505" s="219" t="n"/>
      <c r="I505" s="220" t="n"/>
      <c r="J505" s="221" t="n"/>
    </row>
    <row r="506" ht="15" customHeight="1" s="131">
      <c r="A506" s="220" t="n"/>
      <c r="B506" s="222" t="n"/>
      <c r="C506" s="220" t="n"/>
      <c r="D506" s="220" t="n"/>
      <c r="E506" s="220" t="n"/>
      <c r="F506" s="220" t="n"/>
      <c r="G506" s="169" t="n"/>
      <c r="H506" s="219" t="n"/>
      <c r="I506" s="220" t="n"/>
      <c r="J506" s="221" t="n"/>
    </row>
    <row r="507" ht="15" customHeight="1" s="131">
      <c r="A507" s="220" t="n"/>
      <c r="B507" s="222" t="n"/>
      <c r="C507" s="220" t="n"/>
      <c r="D507" s="220" t="n"/>
      <c r="E507" s="220" t="n"/>
      <c r="F507" s="220" t="n"/>
      <c r="G507" s="169" t="n"/>
      <c r="H507" s="219" t="n"/>
      <c r="I507" s="220" t="n"/>
      <c r="J507" s="221" t="n"/>
    </row>
    <row r="508" ht="15" customHeight="1" s="131">
      <c r="A508" s="220" t="n"/>
      <c r="B508" s="222" t="n"/>
      <c r="C508" s="220" t="n"/>
      <c r="D508" s="220" t="n"/>
      <c r="E508" s="220" t="n"/>
      <c r="F508" s="220" t="n"/>
      <c r="G508" s="169" t="n"/>
      <c r="H508" s="219" t="n"/>
      <c r="I508" s="220" t="n"/>
      <c r="J508" s="221" t="n"/>
    </row>
    <row r="509" ht="15" customHeight="1" s="131">
      <c r="A509" s="220" t="n"/>
      <c r="B509" s="222" t="n"/>
      <c r="C509" s="220" t="n"/>
      <c r="D509" s="220" t="n"/>
      <c r="E509" s="220" t="n"/>
      <c r="F509" s="220" t="n"/>
      <c r="G509" s="169" t="n"/>
      <c r="H509" s="219" t="n"/>
      <c r="I509" s="220" t="n"/>
      <c r="J509" s="221" t="n"/>
    </row>
    <row r="510" ht="15" customHeight="1" s="131">
      <c r="A510" s="220" t="n"/>
      <c r="B510" s="222" t="n"/>
      <c r="C510" s="220" t="n"/>
      <c r="D510" s="220" t="n"/>
      <c r="E510" s="220" t="n"/>
      <c r="F510" s="220" t="n"/>
      <c r="G510" s="169" t="n"/>
      <c r="H510" s="219" t="n"/>
      <c r="I510" s="220" t="n"/>
      <c r="J510" s="221" t="n"/>
    </row>
    <row r="511" ht="15" customHeight="1" s="131">
      <c r="A511" s="220" t="n"/>
      <c r="B511" s="222" t="n"/>
      <c r="C511" s="220" t="n"/>
      <c r="D511" s="220" t="n"/>
      <c r="E511" s="220" t="n"/>
      <c r="F511" s="220" t="n"/>
      <c r="G511" s="169" t="n"/>
      <c r="H511" s="219" t="n"/>
      <c r="I511" s="220" t="n"/>
      <c r="J511" s="221" t="n"/>
    </row>
    <row r="512" ht="15" customHeight="1" s="131">
      <c r="A512" s="220" t="n"/>
      <c r="B512" s="222" t="n"/>
      <c r="C512" s="220" t="n"/>
      <c r="D512" s="220" t="n"/>
      <c r="E512" s="220" t="n"/>
      <c r="F512" s="220" t="n"/>
      <c r="G512" s="169" t="n"/>
      <c r="H512" s="219" t="n"/>
      <c r="I512" s="220" t="n"/>
      <c r="J512" s="221" t="n"/>
    </row>
    <row r="513" ht="15" customHeight="1" s="131">
      <c r="A513" s="220" t="n"/>
      <c r="B513" s="222" t="n"/>
      <c r="C513" s="220" t="n"/>
      <c r="D513" s="220" t="n"/>
      <c r="E513" s="220" t="n"/>
      <c r="F513" s="220" t="n"/>
      <c r="G513" s="169" t="n"/>
      <c r="H513" s="219" t="n"/>
      <c r="I513" s="220" t="n"/>
      <c r="J513" s="221" t="n"/>
    </row>
    <row r="514" ht="15" customHeight="1" s="131">
      <c r="A514" s="220" t="n"/>
      <c r="B514" s="222" t="n"/>
      <c r="C514" s="220" t="n"/>
      <c r="D514" s="220" t="n"/>
      <c r="E514" s="220" t="n"/>
      <c r="F514" s="220" t="n"/>
      <c r="G514" s="169" t="n"/>
      <c r="H514" s="219" t="n"/>
      <c r="I514" s="220" t="n"/>
      <c r="J514" s="221" t="n"/>
    </row>
    <row r="515" ht="15" customHeight="1" s="131">
      <c r="A515" s="220" t="n"/>
      <c r="B515" s="222" t="n"/>
      <c r="C515" s="220" t="n"/>
      <c r="D515" s="220" t="n"/>
      <c r="E515" s="220" t="n"/>
      <c r="F515" s="220" t="n"/>
      <c r="G515" s="169" t="n"/>
      <c r="H515" s="219" t="n"/>
      <c r="I515" s="220" t="n"/>
      <c r="J515" s="221" t="n"/>
    </row>
    <row r="516" ht="15" customHeight="1" s="131">
      <c r="A516" s="220" t="n"/>
      <c r="B516" s="222" t="n"/>
      <c r="C516" s="220" t="n"/>
      <c r="D516" s="220" t="n"/>
      <c r="E516" s="220" t="n"/>
      <c r="F516" s="220" t="n"/>
      <c r="G516" s="169" t="n"/>
      <c r="H516" s="219" t="n"/>
      <c r="I516" s="220" t="n"/>
      <c r="J516" s="221" t="n"/>
    </row>
    <row r="517" ht="15" customHeight="1" s="131">
      <c r="A517" s="220" t="n"/>
      <c r="B517" s="222" t="n"/>
      <c r="C517" s="220" t="n"/>
      <c r="D517" s="220" t="n"/>
      <c r="E517" s="220" t="n"/>
      <c r="F517" s="220" t="n"/>
      <c r="G517" s="169" t="n"/>
      <c r="H517" s="219" t="n"/>
      <c r="I517" s="220" t="n"/>
      <c r="J517" s="221" t="n"/>
    </row>
    <row r="518" ht="15" customHeight="1" s="131">
      <c r="A518" s="220" t="n"/>
      <c r="B518" s="222" t="n"/>
      <c r="C518" s="220" t="n"/>
      <c r="D518" s="220" t="n"/>
      <c r="E518" s="220" t="n"/>
      <c r="F518" s="220" t="n"/>
      <c r="G518" s="169" t="n"/>
      <c r="H518" s="219" t="n"/>
      <c r="I518" s="220" t="n"/>
      <c r="J518" s="221" t="n"/>
    </row>
    <row r="519" ht="15" customHeight="1" s="131">
      <c r="A519" s="220" t="n"/>
      <c r="B519" s="222" t="n"/>
      <c r="C519" s="220" t="n"/>
      <c r="D519" s="220" t="n"/>
      <c r="E519" s="220" t="n"/>
      <c r="F519" s="220" t="n"/>
      <c r="G519" s="169" t="n"/>
      <c r="H519" s="219" t="n"/>
      <c r="I519" s="220" t="n"/>
      <c r="J519" s="221" t="n"/>
    </row>
    <row r="520" ht="15" customHeight="1" s="131">
      <c r="A520" s="220" t="n"/>
      <c r="B520" s="222" t="n"/>
      <c r="C520" s="220" t="n"/>
      <c r="D520" s="220" t="n"/>
      <c r="E520" s="220" t="n"/>
      <c r="F520" s="220" t="n"/>
      <c r="G520" s="169" t="n"/>
      <c r="H520" s="219" t="n"/>
      <c r="I520" s="220" t="n"/>
      <c r="J520" s="221" t="n"/>
    </row>
    <row r="521" ht="15" customHeight="1" s="131">
      <c r="A521" s="220" t="n"/>
      <c r="B521" s="222" t="n"/>
      <c r="C521" s="220" t="n"/>
      <c r="D521" s="220" t="n"/>
      <c r="E521" s="220" t="n"/>
      <c r="F521" s="220" t="n"/>
      <c r="G521" s="169" t="n"/>
      <c r="H521" s="219" t="n"/>
      <c r="I521" s="220" t="n"/>
      <c r="J521" s="221" t="n"/>
    </row>
    <row r="522" ht="15" customHeight="1" s="131">
      <c r="A522" s="220" t="n"/>
      <c r="B522" s="222" t="n"/>
      <c r="C522" s="220" t="n"/>
      <c r="D522" s="220" t="n"/>
      <c r="E522" s="220" t="n"/>
      <c r="F522" s="220" t="n"/>
      <c r="G522" s="169" t="n"/>
      <c r="H522" s="219" t="n"/>
      <c r="I522" s="220" t="n"/>
      <c r="J522" s="221" t="n"/>
    </row>
    <row r="523" ht="15" customHeight="1" s="131">
      <c r="A523" s="220" t="n"/>
      <c r="B523" s="222" t="n"/>
      <c r="C523" s="220" t="n"/>
      <c r="D523" s="220" t="n"/>
      <c r="E523" s="220" t="n"/>
      <c r="F523" s="220" t="n"/>
      <c r="G523" s="169" t="n"/>
      <c r="H523" s="219" t="n"/>
      <c r="I523" s="220" t="n"/>
      <c r="J523" s="221" t="n"/>
    </row>
    <row r="524" ht="15" customHeight="1" s="131">
      <c r="A524" s="220" t="n"/>
      <c r="B524" s="222" t="n"/>
      <c r="C524" s="220" t="n"/>
      <c r="D524" s="220" t="n"/>
      <c r="E524" s="220" t="n"/>
      <c r="F524" s="220" t="n"/>
      <c r="G524" s="169" t="n"/>
      <c r="H524" s="219" t="n"/>
      <c r="I524" s="220" t="n"/>
      <c r="J524" s="221" t="n"/>
    </row>
    <row r="525" ht="15" customHeight="1" s="131">
      <c r="A525" s="220" t="n"/>
      <c r="B525" s="222" t="n"/>
      <c r="C525" s="220" t="n"/>
      <c r="D525" s="220" t="n"/>
      <c r="E525" s="220" t="n"/>
      <c r="F525" s="220" t="n"/>
      <c r="G525" s="169" t="n"/>
      <c r="H525" s="219" t="n"/>
      <c r="I525" s="220" t="n"/>
      <c r="J525" s="221" t="n"/>
    </row>
    <row r="526" ht="15" customHeight="1" s="131">
      <c r="A526" s="220" t="n"/>
      <c r="B526" s="222" t="n"/>
      <c r="C526" s="220" t="n"/>
      <c r="D526" s="220" t="n"/>
      <c r="E526" s="220" t="n"/>
      <c r="F526" s="220" t="n"/>
      <c r="G526" s="169" t="n"/>
      <c r="H526" s="219" t="n"/>
      <c r="I526" s="220" t="n"/>
      <c r="J526" s="221" t="n"/>
    </row>
    <row r="527" ht="15" customHeight="1" s="131">
      <c r="A527" s="220" t="n"/>
      <c r="B527" s="222" t="n"/>
      <c r="C527" s="220" t="n"/>
      <c r="D527" s="220" t="n"/>
      <c r="E527" s="220" t="n"/>
      <c r="F527" s="220" t="n"/>
      <c r="G527" s="169" t="n"/>
      <c r="H527" s="219" t="n"/>
      <c r="I527" s="220" t="n"/>
      <c r="J527" s="221" t="n"/>
    </row>
    <row r="528" ht="15" customHeight="1" s="131">
      <c r="A528" s="220" t="n"/>
      <c r="B528" s="222" t="n"/>
      <c r="C528" s="220" t="n"/>
      <c r="D528" s="220" t="n"/>
      <c r="E528" s="220" t="n"/>
      <c r="F528" s="220" t="n"/>
      <c r="G528" s="169" t="n"/>
      <c r="H528" s="219" t="n"/>
      <c r="I528" s="220" t="n"/>
      <c r="J528" s="221" t="n"/>
    </row>
    <row r="529" ht="15" customHeight="1" s="131">
      <c r="A529" s="220" t="n"/>
      <c r="B529" s="222" t="n"/>
      <c r="C529" s="220" t="n"/>
      <c r="D529" s="220" t="n"/>
      <c r="E529" s="220" t="n"/>
      <c r="F529" s="220" t="n"/>
      <c r="G529" s="169" t="n"/>
      <c r="H529" s="219" t="n"/>
      <c r="I529" s="220" t="n"/>
      <c r="J529" s="221" t="n"/>
    </row>
    <row r="530" ht="15" customHeight="1" s="131">
      <c r="A530" s="220" t="n"/>
      <c r="B530" s="222" t="n"/>
      <c r="C530" s="220" t="n"/>
      <c r="D530" s="220" t="n"/>
      <c r="E530" s="220" t="n"/>
      <c r="F530" s="220" t="n"/>
      <c r="G530" s="169" t="n"/>
      <c r="H530" s="219" t="n"/>
      <c r="I530" s="220" t="n"/>
      <c r="J530" s="221" t="n"/>
    </row>
    <row r="531" ht="15" customHeight="1" s="131">
      <c r="A531" s="220" t="n"/>
      <c r="B531" s="222" t="n"/>
      <c r="C531" s="220" t="n"/>
      <c r="D531" s="220" t="n"/>
      <c r="E531" s="220" t="n"/>
      <c r="F531" s="220" t="n"/>
      <c r="G531" s="169" t="n"/>
      <c r="H531" s="219" t="n"/>
      <c r="I531" s="220" t="n"/>
      <c r="J531" s="221" t="n"/>
    </row>
    <row r="532" ht="15" customHeight="1" s="131">
      <c r="A532" s="220" t="n"/>
      <c r="B532" s="222" t="n"/>
      <c r="C532" s="220" t="n"/>
      <c r="D532" s="220" t="n"/>
      <c r="E532" s="220" t="n"/>
      <c r="F532" s="220" t="n"/>
      <c r="G532" s="169" t="n"/>
      <c r="H532" s="219" t="n"/>
      <c r="I532" s="220" t="n"/>
      <c r="J532" s="221" t="n"/>
    </row>
    <row r="533" ht="15" customHeight="1" s="131">
      <c r="A533" s="220" t="n"/>
      <c r="B533" s="222" t="n"/>
      <c r="C533" s="220" t="n"/>
      <c r="D533" s="220" t="n"/>
      <c r="E533" s="220" t="n"/>
      <c r="F533" s="220" t="n"/>
      <c r="G533" s="169" t="n"/>
      <c r="H533" s="219" t="n"/>
      <c r="I533" s="220" t="n"/>
      <c r="J533" s="221" t="n"/>
    </row>
    <row r="534" ht="15" customHeight="1" s="131">
      <c r="A534" s="220" t="n"/>
      <c r="B534" s="222" t="n"/>
      <c r="C534" s="220" t="n"/>
      <c r="D534" s="220" t="n"/>
      <c r="E534" s="220" t="n"/>
      <c r="F534" s="220" t="n"/>
      <c r="G534" s="169" t="n"/>
      <c r="H534" s="219" t="n"/>
      <c r="I534" s="220" t="n"/>
      <c r="J534" s="221" t="n"/>
    </row>
    <row r="535" ht="15" customHeight="1" s="131">
      <c r="A535" s="220" t="n"/>
      <c r="B535" s="222" t="n"/>
      <c r="C535" s="220" t="n"/>
      <c r="D535" s="220" t="n"/>
      <c r="E535" s="220" t="n"/>
      <c r="F535" s="220" t="n"/>
      <c r="G535" s="169" t="n"/>
      <c r="H535" s="219" t="n"/>
      <c r="I535" s="220" t="n"/>
      <c r="J535" s="221" t="n"/>
    </row>
    <row r="536" ht="15" customHeight="1" s="131">
      <c r="A536" s="220" t="n"/>
      <c r="B536" s="222" t="n"/>
      <c r="C536" s="220" t="n"/>
      <c r="D536" s="220" t="n"/>
      <c r="E536" s="220" t="n"/>
      <c r="F536" s="220" t="n"/>
      <c r="G536" s="169" t="n"/>
      <c r="H536" s="219" t="n"/>
      <c r="I536" s="220" t="n"/>
      <c r="J536" s="221" t="n"/>
    </row>
    <row r="537" ht="15" customHeight="1" s="131">
      <c r="A537" s="220" t="n"/>
      <c r="B537" s="222" t="n"/>
      <c r="C537" s="220" t="n"/>
      <c r="D537" s="220" t="n"/>
      <c r="E537" s="220" t="n"/>
      <c r="F537" s="220" t="n"/>
      <c r="G537" s="169" t="n"/>
      <c r="H537" s="219" t="n"/>
      <c r="I537" s="220" t="n"/>
      <c r="J537" s="221" t="n"/>
    </row>
    <row r="538" ht="15" customHeight="1" s="131">
      <c r="A538" s="220" t="n"/>
      <c r="B538" s="222" t="n"/>
      <c r="C538" s="220" t="n"/>
      <c r="D538" s="220" t="n"/>
      <c r="E538" s="220" t="n"/>
      <c r="F538" s="220" t="n"/>
      <c r="G538" s="169" t="n"/>
      <c r="H538" s="219" t="n"/>
      <c r="I538" s="220" t="n"/>
      <c r="J538" s="221" t="n"/>
    </row>
    <row r="539" ht="15" customHeight="1" s="131">
      <c r="A539" s="220" t="n"/>
      <c r="B539" s="222" t="n"/>
      <c r="C539" s="220" t="n"/>
      <c r="D539" s="220" t="n"/>
      <c r="E539" s="220" t="n"/>
      <c r="F539" s="220" t="n"/>
      <c r="G539" s="169" t="n"/>
      <c r="H539" s="219" t="n"/>
      <c r="I539" s="220" t="n"/>
      <c r="J539" s="221" t="n"/>
    </row>
    <row r="540" ht="15" customHeight="1" s="131">
      <c r="A540" s="220" t="n"/>
      <c r="B540" s="222" t="n"/>
      <c r="C540" s="220" t="n"/>
      <c r="D540" s="220" t="n"/>
      <c r="E540" s="220" t="n"/>
      <c r="F540" s="220" t="n"/>
      <c r="G540" s="169" t="n"/>
      <c r="H540" s="219" t="n"/>
      <c r="I540" s="220" t="n"/>
      <c r="J540" s="221" t="n"/>
    </row>
    <row r="541" ht="15" customHeight="1" s="131">
      <c r="A541" s="220" t="n"/>
      <c r="B541" s="222" t="n"/>
      <c r="C541" s="220" t="n"/>
      <c r="D541" s="220" t="n"/>
      <c r="E541" s="220" t="n"/>
      <c r="F541" s="220" t="n"/>
      <c r="G541" s="169" t="n"/>
      <c r="H541" s="219" t="n"/>
      <c r="I541" s="220" t="n"/>
      <c r="J541" s="221" t="n"/>
    </row>
    <row r="542" ht="15" customHeight="1" s="131">
      <c r="A542" s="220" t="n"/>
      <c r="B542" s="222" t="n"/>
      <c r="C542" s="220" t="n"/>
      <c r="D542" s="220" t="n"/>
      <c r="E542" s="220" t="n"/>
      <c r="F542" s="220" t="n"/>
      <c r="G542" s="169" t="n"/>
      <c r="H542" s="219" t="n"/>
      <c r="I542" s="220" t="n"/>
      <c r="J542" s="221" t="n"/>
    </row>
    <row r="543" ht="15" customHeight="1" s="131">
      <c r="A543" s="220" t="n"/>
      <c r="B543" s="222" t="n"/>
      <c r="C543" s="220" t="n"/>
      <c r="D543" s="220" t="n"/>
      <c r="E543" s="220" t="n"/>
      <c r="F543" s="220" t="n"/>
      <c r="G543" s="169" t="n"/>
      <c r="H543" s="219" t="n"/>
      <c r="I543" s="220" t="n"/>
      <c r="J543" s="221" t="n"/>
    </row>
    <row r="544" ht="15" customHeight="1" s="131">
      <c r="A544" s="220" t="n"/>
      <c r="B544" s="222" t="n"/>
      <c r="C544" s="220" t="n"/>
      <c r="D544" s="220" t="n"/>
      <c r="E544" s="220" t="n"/>
      <c r="F544" s="220" t="n"/>
      <c r="G544" s="169" t="n"/>
      <c r="H544" s="219" t="n"/>
      <c r="I544" s="220" t="n"/>
      <c r="J544" s="221" t="n"/>
    </row>
    <row r="545" ht="15" customHeight="1" s="131">
      <c r="A545" s="220" t="n"/>
      <c r="B545" s="222" t="n"/>
      <c r="C545" s="220" t="n"/>
      <c r="D545" s="220" t="n"/>
      <c r="E545" s="220" t="n"/>
      <c r="F545" s="220" t="n"/>
      <c r="G545" s="169" t="n"/>
      <c r="H545" s="219" t="n"/>
      <c r="I545" s="220" t="n"/>
      <c r="J545" s="221" t="n"/>
    </row>
    <row r="546" ht="15" customHeight="1" s="131">
      <c r="A546" s="220" t="n"/>
      <c r="B546" s="222" t="n"/>
      <c r="C546" s="220" t="n"/>
      <c r="D546" s="220" t="n"/>
      <c r="E546" s="220" t="n"/>
      <c r="F546" s="220" t="n"/>
      <c r="G546" s="169" t="n"/>
      <c r="H546" s="219" t="n"/>
      <c r="I546" s="220" t="n"/>
      <c r="J546" s="221" t="n"/>
    </row>
    <row r="547" ht="15" customHeight="1" s="131">
      <c r="A547" s="220" t="n"/>
      <c r="B547" s="222" t="n"/>
      <c r="C547" s="220" t="n"/>
      <c r="D547" s="220" t="n"/>
      <c r="E547" s="220" t="n"/>
      <c r="F547" s="220" t="n"/>
      <c r="G547" s="169" t="n"/>
      <c r="H547" s="219" t="n"/>
      <c r="I547" s="220" t="n"/>
      <c r="J547" s="221" t="n"/>
    </row>
    <row r="548" ht="15" customHeight="1" s="131">
      <c r="A548" s="220" t="n"/>
      <c r="B548" s="222" t="n"/>
      <c r="C548" s="220" t="n"/>
      <c r="D548" s="220" t="n"/>
      <c r="E548" s="220" t="n"/>
      <c r="F548" s="220" t="n"/>
      <c r="G548" s="169" t="n"/>
      <c r="H548" s="219" t="n"/>
      <c r="I548" s="220" t="n"/>
      <c r="J548" s="221" t="n"/>
    </row>
    <row r="549" ht="15" customHeight="1" s="131">
      <c r="A549" s="220" t="n"/>
      <c r="B549" s="222" t="n"/>
      <c r="C549" s="220" t="n"/>
      <c r="D549" s="220" t="n"/>
      <c r="E549" s="220" t="n"/>
      <c r="F549" s="220" t="n"/>
      <c r="G549" s="169" t="n"/>
      <c r="H549" s="219" t="n"/>
      <c r="I549" s="220" t="n"/>
      <c r="J549" s="221" t="n"/>
    </row>
    <row r="550" ht="15" customHeight="1" s="131">
      <c r="A550" s="220" t="n"/>
      <c r="B550" s="222" t="n"/>
      <c r="C550" s="220" t="n"/>
      <c r="D550" s="220" t="n"/>
      <c r="E550" s="220" t="n"/>
      <c r="F550" s="220" t="n"/>
      <c r="G550" s="169" t="n"/>
      <c r="H550" s="219" t="n"/>
      <c r="I550" s="220" t="n"/>
      <c r="J550" s="221" t="n"/>
    </row>
    <row r="551" ht="15" customHeight="1" s="131">
      <c r="A551" s="220" t="n"/>
      <c r="B551" s="222" t="n"/>
      <c r="C551" s="220" t="n"/>
      <c r="D551" s="220" t="n"/>
      <c r="E551" s="220" t="n"/>
      <c r="F551" s="220" t="n"/>
      <c r="G551" s="169" t="n"/>
      <c r="H551" s="219" t="n"/>
      <c r="I551" s="220" t="n"/>
      <c r="J551" s="221" t="n"/>
    </row>
    <row r="552" ht="15" customHeight="1" s="131">
      <c r="A552" s="220" t="n"/>
      <c r="B552" s="222" t="n"/>
      <c r="C552" s="220" t="n"/>
      <c r="D552" s="220" t="n"/>
      <c r="E552" s="220" t="n"/>
      <c r="F552" s="220" t="n"/>
      <c r="G552" s="169" t="n"/>
      <c r="H552" s="219" t="n"/>
      <c r="I552" s="220" t="n"/>
      <c r="J552" s="221" t="n"/>
    </row>
    <row r="553" ht="15" customHeight="1" s="131">
      <c r="A553" s="220" t="n"/>
      <c r="B553" s="222" t="n"/>
      <c r="C553" s="220" t="n"/>
      <c r="D553" s="220" t="n"/>
      <c r="E553" s="220" t="n"/>
      <c r="F553" s="220" t="n"/>
      <c r="G553" s="169" t="n"/>
      <c r="H553" s="219" t="n"/>
      <c r="I553" s="220" t="n"/>
      <c r="J553" s="221" t="n"/>
    </row>
    <row r="554" ht="15" customHeight="1" s="131">
      <c r="A554" s="220" t="n"/>
      <c r="B554" s="222" t="n"/>
      <c r="C554" s="220" t="n"/>
      <c r="D554" s="220" t="n"/>
      <c r="E554" s="220" t="n"/>
      <c r="F554" s="220" t="n"/>
      <c r="G554" s="169" t="n"/>
      <c r="H554" s="219" t="n"/>
      <c r="I554" s="220" t="n"/>
      <c r="J554" s="221" t="n"/>
    </row>
    <row r="555" ht="15" customHeight="1" s="131">
      <c r="A555" s="220" t="n"/>
      <c r="B555" s="222" t="n"/>
      <c r="C555" s="220" t="n"/>
      <c r="D555" s="220" t="n"/>
      <c r="E555" s="220" t="n"/>
      <c r="F555" s="220" t="n"/>
      <c r="G555" s="169" t="n"/>
      <c r="H555" s="219" t="n"/>
      <c r="I555" s="220" t="n"/>
      <c r="J555" s="221" t="n"/>
    </row>
    <row r="556" ht="15" customHeight="1" s="131">
      <c r="A556" s="220" t="n"/>
      <c r="B556" s="222" t="n"/>
      <c r="C556" s="220" t="n"/>
      <c r="D556" s="220" t="n"/>
      <c r="E556" s="220" t="n"/>
      <c r="F556" s="220" t="n"/>
      <c r="G556" s="169" t="n"/>
      <c r="H556" s="219" t="n"/>
      <c r="I556" s="220" t="n"/>
      <c r="J556" s="221" t="n"/>
    </row>
    <row r="557" ht="15" customHeight="1" s="131">
      <c r="A557" s="220" t="n"/>
      <c r="B557" s="222" t="n"/>
      <c r="C557" s="220" t="n"/>
      <c r="D557" s="220" t="n"/>
      <c r="E557" s="220" t="n"/>
      <c r="F557" s="220" t="n"/>
      <c r="G557" s="169" t="n"/>
      <c r="H557" s="219" t="n"/>
      <c r="I557" s="220" t="n"/>
      <c r="J557" s="221" t="n"/>
    </row>
    <row r="558" ht="15" customHeight="1" s="131">
      <c r="A558" s="220" t="n"/>
      <c r="B558" s="222" t="n"/>
      <c r="C558" s="220" t="n"/>
      <c r="D558" s="220" t="n"/>
      <c r="E558" s="220" t="n"/>
      <c r="F558" s="220" t="n"/>
      <c r="G558" s="169" t="n"/>
      <c r="H558" s="219" t="n"/>
      <c r="I558" s="220" t="n"/>
      <c r="J558" s="221" t="n"/>
    </row>
    <row r="559" ht="15" customHeight="1" s="131">
      <c r="A559" s="220" t="n"/>
      <c r="B559" s="222" t="n"/>
      <c r="C559" s="220" t="n"/>
      <c r="D559" s="220" t="n"/>
      <c r="E559" s="220" t="n"/>
      <c r="F559" s="220" t="n"/>
      <c r="G559" s="169" t="n"/>
      <c r="H559" s="219" t="n"/>
      <c r="I559" s="220" t="n"/>
      <c r="J559" s="221" t="n"/>
    </row>
    <row r="560" ht="15" customHeight="1" s="131">
      <c r="A560" s="220" t="n"/>
      <c r="B560" s="222" t="n"/>
      <c r="C560" s="220" t="n"/>
      <c r="D560" s="220" t="n"/>
      <c r="E560" s="220" t="n"/>
      <c r="F560" s="220" t="n"/>
      <c r="G560" s="169" t="n"/>
      <c r="H560" s="219" t="n"/>
      <c r="I560" s="220" t="n"/>
      <c r="J560" s="221" t="n"/>
    </row>
    <row r="561" ht="15" customHeight="1" s="131">
      <c r="A561" s="220" t="n"/>
      <c r="B561" s="222" t="n"/>
      <c r="C561" s="220" t="n"/>
      <c r="D561" s="220" t="n"/>
      <c r="E561" s="220" t="n"/>
      <c r="F561" s="220" t="n"/>
      <c r="G561" s="169" t="n"/>
      <c r="H561" s="219" t="n"/>
      <c r="I561" s="220" t="n"/>
      <c r="J561" s="221" t="n"/>
    </row>
    <row r="562" ht="15" customHeight="1" s="131">
      <c r="A562" s="220" t="n"/>
      <c r="B562" s="222" t="n"/>
      <c r="C562" s="220" t="n"/>
      <c r="D562" s="220" t="n"/>
      <c r="E562" s="220" t="n"/>
      <c r="F562" s="220" t="n"/>
      <c r="G562" s="169" t="n"/>
      <c r="H562" s="219" t="n"/>
      <c r="I562" s="220" t="n"/>
      <c r="J562" s="221" t="n"/>
    </row>
    <row r="563" ht="15" customHeight="1" s="131">
      <c r="A563" s="220" t="n"/>
      <c r="B563" s="222" t="n"/>
      <c r="C563" s="220" t="n"/>
      <c r="D563" s="220" t="n"/>
      <c r="E563" s="220" t="n"/>
      <c r="F563" s="220" t="n"/>
      <c r="G563" s="169" t="n"/>
      <c r="H563" s="219" t="n"/>
      <c r="I563" s="220" t="n"/>
      <c r="J563" s="221" t="n"/>
    </row>
    <row r="564" ht="15" customHeight="1" s="131">
      <c r="A564" s="220" t="n"/>
      <c r="B564" s="222" t="n"/>
      <c r="C564" s="220" t="n"/>
      <c r="D564" s="220" t="n"/>
      <c r="E564" s="220" t="n"/>
      <c r="F564" s="220" t="n"/>
      <c r="G564" s="169" t="n"/>
      <c r="H564" s="219" t="n"/>
      <c r="I564" s="220" t="n"/>
      <c r="J564" s="221" t="n"/>
    </row>
    <row r="565" ht="15" customHeight="1" s="131">
      <c r="A565" s="220" t="n"/>
      <c r="B565" s="222" t="n"/>
      <c r="C565" s="220" t="n"/>
      <c r="D565" s="220" t="n"/>
      <c r="E565" s="220" t="n"/>
      <c r="F565" s="220" t="n"/>
      <c r="G565" s="169" t="n"/>
      <c r="H565" s="219" t="n"/>
      <c r="I565" s="220" t="n"/>
      <c r="J565" s="221" t="n"/>
    </row>
    <row r="566" ht="15" customHeight="1" s="131">
      <c r="A566" s="220" t="n"/>
      <c r="B566" s="222" t="n"/>
      <c r="C566" s="220" t="n"/>
      <c r="D566" s="220" t="n"/>
      <c r="E566" s="220" t="n"/>
      <c r="F566" s="220" t="n"/>
      <c r="G566" s="169" t="n"/>
      <c r="H566" s="219" t="n"/>
      <c r="I566" s="220" t="n"/>
      <c r="J566" s="221" t="n"/>
    </row>
    <row r="567" ht="15" customHeight="1" s="131">
      <c r="A567" s="220" t="n"/>
      <c r="B567" s="222" t="n"/>
      <c r="C567" s="220" t="n"/>
      <c r="D567" s="220" t="n"/>
      <c r="E567" s="220" t="n"/>
      <c r="F567" s="220" t="n"/>
      <c r="G567" s="169" t="n"/>
      <c r="H567" s="219" t="n"/>
      <c r="I567" s="220" t="n"/>
      <c r="J567" s="221" t="n"/>
    </row>
    <row r="568" ht="15" customHeight="1" s="131">
      <c r="A568" s="220" t="n"/>
      <c r="B568" s="222" t="n"/>
      <c r="C568" s="220" t="n"/>
      <c r="D568" s="220" t="n"/>
      <c r="E568" s="220" t="n"/>
      <c r="F568" s="220" t="n"/>
      <c r="G568" s="169" t="n"/>
      <c r="H568" s="219" t="n"/>
      <c r="I568" s="220" t="n"/>
      <c r="J568" s="221" t="n"/>
    </row>
    <row r="569" ht="15" customHeight="1" s="131">
      <c r="A569" s="220" t="n"/>
      <c r="B569" s="222" t="n"/>
      <c r="C569" s="220" t="n"/>
      <c r="D569" s="220" t="n"/>
      <c r="E569" s="220" t="n"/>
      <c r="F569" s="220" t="n"/>
      <c r="G569" s="169" t="n"/>
      <c r="H569" s="219" t="n"/>
      <c r="I569" s="220" t="n"/>
      <c r="J569" s="221" t="n"/>
    </row>
    <row r="570" ht="15" customHeight="1" s="131">
      <c r="A570" s="220" t="n"/>
      <c r="B570" s="222" t="n"/>
      <c r="C570" s="220" t="n"/>
      <c r="D570" s="220" t="n"/>
      <c r="E570" s="220" t="n"/>
      <c r="F570" s="220" t="n"/>
      <c r="G570" s="169" t="n"/>
      <c r="H570" s="219" t="n"/>
      <c r="I570" s="220" t="n"/>
      <c r="J570" s="221" t="n"/>
    </row>
    <row r="571" ht="15" customHeight="1" s="131">
      <c r="A571" s="220" t="n"/>
      <c r="B571" s="222" t="n"/>
      <c r="C571" s="220" t="n"/>
      <c r="D571" s="220" t="n"/>
      <c r="E571" s="220" t="n"/>
      <c r="F571" s="220" t="n"/>
      <c r="G571" s="169" t="n"/>
      <c r="H571" s="219" t="n"/>
      <c r="I571" s="220" t="n"/>
      <c r="J571" s="221" t="n"/>
    </row>
    <row r="572" ht="15" customHeight="1" s="131">
      <c r="A572" s="220" t="n"/>
      <c r="B572" s="222" t="n"/>
      <c r="C572" s="220" t="n"/>
      <c r="D572" s="220" t="n"/>
      <c r="E572" s="220" t="n"/>
      <c r="F572" s="220" t="n"/>
      <c r="G572" s="169" t="n"/>
      <c r="H572" s="219" t="n"/>
      <c r="I572" s="220" t="n"/>
      <c r="J572" s="221" t="n"/>
    </row>
    <row r="573" ht="15" customHeight="1" s="131">
      <c r="A573" s="220" t="n"/>
      <c r="B573" s="222" t="n"/>
      <c r="C573" s="220" t="n"/>
      <c r="D573" s="220" t="n"/>
      <c r="E573" s="220" t="n"/>
      <c r="F573" s="220" t="n"/>
      <c r="G573" s="169" t="n"/>
      <c r="H573" s="219" t="n"/>
      <c r="I573" s="220" t="n"/>
      <c r="J573" s="221" t="n"/>
    </row>
    <row r="574" ht="15" customHeight="1" s="131">
      <c r="A574" s="220" t="n"/>
      <c r="B574" s="222" t="n"/>
      <c r="C574" s="220" t="n"/>
      <c r="D574" s="220" t="n"/>
      <c r="E574" s="220" t="n"/>
      <c r="F574" s="220" t="n"/>
      <c r="G574" s="169" t="n"/>
      <c r="H574" s="219" t="n"/>
      <c r="I574" s="220" t="n"/>
      <c r="J574" s="221" t="n"/>
    </row>
    <row r="575" ht="15" customHeight="1" s="131">
      <c r="A575" s="220" t="n"/>
      <c r="B575" s="222" t="n"/>
      <c r="C575" s="220" t="n"/>
      <c r="D575" s="220" t="n"/>
      <c r="E575" s="220" t="n"/>
      <c r="F575" s="220" t="n"/>
      <c r="G575" s="169" t="n"/>
      <c r="H575" s="219" t="n"/>
      <c r="I575" s="220" t="n"/>
      <c r="J575" s="221" t="n"/>
    </row>
    <row r="576" ht="15" customHeight="1" s="131">
      <c r="A576" s="220" t="n"/>
      <c r="B576" s="222" t="n"/>
      <c r="C576" s="220" t="n"/>
      <c r="D576" s="220" t="n"/>
      <c r="E576" s="220" t="n"/>
      <c r="F576" s="220" t="n"/>
      <c r="G576" s="169" t="n"/>
      <c r="H576" s="219" t="n"/>
      <c r="I576" s="220" t="n"/>
      <c r="J576" s="221" t="n"/>
    </row>
    <row r="577" ht="15" customHeight="1" s="131">
      <c r="A577" s="220" t="n"/>
      <c r="B577" s="222" t="n"/>
      <c r="C577" s="220" t="n"/>
      <c r="D577" s="220" t="n"/>
      <c r="E577" s="220" t="n"/>
      <c r="F577" s="220" t="n"/>
      <c r="G577" s="169" t="n"/>
      <c r="H577" s="219" t="n"/>
      <c r="I577" s="220" t="n"/>
      <c r="J577" s="221" t="n"/>
    </row>
    <row r="578" ht="15" customHeight="1" s="131">
      <c r="A578" s="220" t="n"/>
      <c r="B578" s="222" t="n"/>
      <c r="C578" s="220" t="n"/>
      <c r="D578" s="220" t="n"/>
      <c r="E578" s="220" t="n"/>
      <c r="F578" s="220" t="n"/>
      <c r="G578" s="169" t="n"/>
      <c r="H578" s="219" t="n"/>
      <c r="I578" s="220" t="n"/>
      <c r="J578" s="221" t="n"/>
    </row>
    <row r="579" ht="15" customHeight="1" s="131">
      <c r="A579" s="220" t="n"/>
      <c r="B579" s="222" t="n"/>
      <c r="C579" s="220" t="n"/>
      <c r="D579" s="220" t="n"/>
      <c r="E579" s="220" t="n"/>
      <c r="F579" s="220" t="n"/>
      <c r="G579" s="169" t="n"/>
      <c r="H579" s="219" t="n"/>
      <c r="I579" s="220" t="n"/>
      <c r="J579" s="221" t="n"/>
    </row>
    <row r="580" ht="15" customHeight="1" s="131">
      <c r="A580" s="220" t="n"/>
      <c r="B580" s="222" t="n"/>
      <c r="C580" s="220" t="n"/>
      <c r="D580" s="220" t="n"/>
      <c r="E580" s="220" t="n"/>
      <c r="F580" s="220" t="n"/>
      <c r="G580" s="169" t="n"/>
      <c r="H580" s="219" t="n"/>
      <c r="I580" s="220" t="n"/>
      <c r="J580" s="221" t="n"/>
    </row>
    <row r="581" ht="15" customHeight="1" s="131">
      <c r="A581" s="220" t="n"/>
      <c r="B581" s="222" t="n"/>
      <c r="C581" s="220" t="n"/>
      <c r="D581" s="220" t="n"/>
      <c r="E581" s="220" t="n"/>
      <c r="F581" s="220" t="n"/>
      <c r="G581" s="169" t="n"/>
      <c r="H581" s="219" t="n"/>
      <c r="I581" s="220" t="n"/>
      <c r="J581" s="221" t="n"/>
    </row>
    <row r="582" ht="15" customHeight="1" s="131">
      <c r="A582" s="220" t="n"/>
      <c r="B582" s="222" t="n"/>
      <c r="C582" s="220" t="n"/>
      <c r="D582" s="220" t="n"/>
      <c r="E582" s="220" t="n"/>
      <c r="F582" s="220" t="n"/>
      <c r="G582" s="169" t="n"/>
      <c r="H582" s="219" t="n"/>
      <c r="I582" s="220" t="n"/>
      <c r="J582" s="221" t="n"/>
    </row>
    <row r="583" ht="15" customHeight="1" s="131">
      <c r="A583" s="220" t="n"/>
      <c r="B583" s="222" t="n"/>
      <c r="C583" s="220" t="n"/>
      <c r="D583" s="220" t="n"/>
      <c r="E583" s="220" t="n"/>
      <c r="F583" s="220" t="n"/>
      <c r="G583" s="169" t="n"/>
      <c r="H583" s="219" t="n"/>
      <c r="I583" s="220" t="n"/>
      <c r="J583" s="221" t="n"/>
    </row>
    <row r="584" ht="15" customHeight="1" s="131">
      <c r="A584" s="220" t="n"/>
      <c r="B584" s="222" t="n"/>
      <c r="C584" s="220" t="n"/>
      <c r="D584" s="220" t="n"/>
      <c r="E584" s="220" t="n"/>
      <c r="F584" s="220" t="n"/>
      <c r="G584" s="169" t="n"/>
      <c r="H584" s="219" t="n"/>
      <c r="I584" s="220" t="n"/>
      <c r="J584" s="221" t="n"/>
    </row>
    <row r="585" ht="15" customHeight="1" s="131">
      <c r="A585" s="220" t="n"/>
      <c r="B585" s="222" t="n"/>
      <c r="C585" s="220" t="n"/>
      <c r="D585" s="220" t="n"/>
      <c r="E585" s="220" t="n"/>
      <c r="F585" s="220" t="n"/>
      <c r="G585" s="169" t="n"/>
      <c r="H585" s="219" t="n"/>
      <c r="I585" s="220" t="n"/>
      <c r="J585" s="221" t="n"/>
    </row>
    <row r="586" ht="15" customHeight="1" s="131">
      <c r="A586" s="220" t="n"/>
      <c r="B586" s="222" t="n"/>
      <c r="C586" s="220" t="n"/>
      <c r="D586" s="220" t="n"/>
      <c r="E586" s="220" t="n"/>
      <c r="F586" s="220" t="n"/>
      <c r="G586" s="169" t="n"/>
      <c r="H586" s="219" t="n"/>
      <c r="I586" s="220" t="n"/>
      <c r="J586" s="221" t="n"/>
    </row>
    <row r="587" ht="15" customHeight="1" s="131">
      <c r="A587" s="220" t="n"/>
      <c r="B587" s="222" t="n"/>
      <c r="C587" s="220" t="n"/>
      <c r="D587" s="220" t="n"/>
      <c r="E587" s="220" t="n"/>
      <c r="F587" s="220" t="n"/>
      <c r="G587" s="169" t="n"/>
      <c r="H587" s="219" t="n"/>
      <c r="I587" s="220" t="n"/>
      <c r="J587" s="221" t="n"/>
    </row>
    <row r="588" ht="15" customHeight="1" s="131">
      <c r="A588" s="220" t="n"/>
      <c r="B588" s="222" t="n"/>
      <c r="C588" s="220" t="n"/>
      <c r="D588" s="220" t="n"/>
      <c r="E588" s="220" t="n"/>
      <c r="F588" s="220" t="n"/>
      <c r="G588" s="169" t="n"/>
      <c r="H588" s="219" t="n"/>
      <c r="I588" s="220" t="n"/>
      <c r="J588" s="221" t="n"/>
    </row>
    <row r="589" ht="15" customHeight="1" s="131">
      <c r="A589" s="220" t="n"/>
      <c r="B589" s="222" t="n"/>
      <c r="C589" s="220" t="n"/>
      <c r="D589" s="220" t="n"/>
      <c r="E589" s="220" t="n"/>
      <c r="F589" s="220" t="n"/>
      <c r="G589" s="169" t="n"/>
      <c r="H589" s="219" t="n"/>
      <c r="I589" s="220" t="n"/>
      <c r="J589" s="221" t="n"/>
    </row>
    <row r="590" ht="15" customHeight="1" s="131">
      <c r="A590" s="220" t="n"/>
      <c r="B590" s="222" t="n"/>
      <c r="C590" s="220" t="n"/>
      <c r="D590" s="220" t="n"/>
      <c r="E590" s="220" t="n"/>
      <c r="F590" s="220" t="n"/>
      <c r="G590" s="169" t="n"/>
      <c r="H590" s="219" t="n"/>
      <c r="I590" s="220" t="n"/>
      <c r="J590" s="221" t="n"/>
    </row>
    <row r="591" ht="15" customHeight="1" s="131">
      <c r="A591" s="220" t="n"/>
      <c r="B591" s="222" t="n"/>
      <c r="C591" s="220" t="n"/>
      <c r="D591" s="220" t="n"/>
      <c r="E591" s="220" t="n"/>
      <c r="F591" s="220" t="n"/>
      <c r="G591" s="169" t="n"/>
      <c r="H591" s="219" t="n"/>
      <c r="I591" s="220" t="n"/>
      <c r="J591" s="221" t="n"/>
    </row>
    <row r="592" ht="15" customHeight="1" s="131">
      <c r="A592" s="220" t="n"/>
      <c r="B592" s="222" t="n"/>
      <c r="C592" s="220" t="n"/>
      <c r="D592" s="220" t="n"/>
      <c r="E592" s="220" t="n"/>
      <c r="F592" s="220" t="n"/>
      <c r="G592" s="169" t="n"/>
      <c r="H592" s="219" t="n"/>
      <c r="I592" s="220" t="n"/>
      <c r="J592" s="221" t="n"/>
    </row>
    <row r="593" ht="15" customHeight="1" s="131">
      <c r="A593" s="220" t="n"/>
      <c r="B593" s="222" t="n"/>
      <c r="C593" s="220" t="n"/>
      <c r="D593" s="220" t="n"/>
      <c r="E593" s="220" t="n"/>
      <c r="F593" s="220" t="n"/>
      <c r="G593" s="169" t="n"/>
      <c r="H593" s="219" t="n"/>
      <c r="I593" s="220" t="n"/>
      <c r="J593" s="221" t="n"/>
    </row>
    <row r="594" ht="15" customHeight="1" s="131">
      <c r="A594" s="220" t="n"/>
      <c r="B594" s="222" t="n"/>
      <c r="C594" s="220" t="n"/>
      <c r="D594" s="220" t="n"/>
      <c r="E594" s="220" t="n"/>
      <c r="F594" s="220" t="n"/>
      <c r="G594" s="169" t="n"/>
      <c r="H594" s="219" t="n"/>
      <c r="I594" s="220" t="n"/>
      <c r="J594" s="221" t="n"/>
    </row>
    <row r="595" ht="15" customHeight="1" s="131">
      <c r="A595" s="220" t="n"/>
      <c r="B595" s="222" t="n"/>
      <c r="C595" s="220" t="n"/>
      <c r="D595" s="220" t="n"/>
      <c r="E595" s="220" t="n"/>
      <c r="F595" s="220" t="n"/>
      <c r="G595" s="169" t="n"/>
      <c r="H595" s="219" t="n"/>
      <c r="I595" s="220" t="n"/>
      <c r="J595" s="221" t="n"/>
    </row>
    <row r="596" ht="15" customHeight="1" s="131">
      <c r="A596" s="220" t="n"/>
      <c r="B596" s="222" t="n"/>
      <c r="C596" s="220" t="n"/>
      <c r="D596" s="220" t="n"/>
      <c r="E596" s="220" t="n"/>
      <c r="F596" s="220" t="n"/>
      <c r="G596" s="169" t="n"/>
      <c r="H596" s="219" t="n"/>
      <c r="I596" s="220" t="n"/>
      <c r="J596" s="221" t="n"/>
    </row>
    <row r="597" ht="15" customHeight="1" s="131">
      <c r="A597" s="220" t="n"/>
      <c r="B597" s="222" t="n"/>
      <c r="C597" s="220" t="n"/>
      <c r="D597" s="220" t="n"/>
      <c r="E597" s="220" t="n"/>
      <c r="F597" s="220" t="n"/>
      <c r="G597" s="169" t="n"/>
      <c r="H597" s="219" t="n"/>
      <c r="I597" s="220" t="n"/>
      <c r="J597" s="221" t="n"/>
    </row>
    <row r="598" ht="15" customHeight="1" s="131">
      <c r="A598" s="220" t="n"/>
      <c r="B598" s="222" t="n"/>
      <c r="C598" s="220" t="n"/>
      <c r="D598" s="220" t="n"/>
      <c r="E598" s="220" t="n"/>
      <c r="F598" s="220" t="n"/>
      <c r="G598" s="169" t="n"/>
      <c r="H598" s="219" t="n"/>
      <c r="I598" s="220" t="n"/>
      <c r="J598" s="221" t="n"/>
    </row>
    <row r="599" ht="15" customHeight="1" s="131">
      <c r="A599" s="220" t="n"/>
      <c r="B599" s="222" t="n"/>
      <c r="C599" s="220" t="n"/>
      <c r="D599" s="220" t="n"/>
      <c r="E599" s="220" t="n"/>
      <c r="F599" s="220" t="n"/>
      <c r="G599" s="169" t="n"/>
      <c r="H599" s="219" t="n"/>
      <c r="I599" s="220" t="n"/>
      <c r="J599" s="221" t="n"/>
    </row>
    <row r="600" ht="15" customHeight="1" s="131">
      <c r="A600" s="220" t="n"/>
      <c r="B600" s="222" t="n"/>
      <c r="C600" s="220" t="n"/>
      <c r="D600" s="220" t="n"/>
      <c r="E600" s="220" t="n"/>
      <c r="F600" s="220" t="n"/>
      <c r="G600" s="169" t="n"/>
      <c r="H600" s="219" t="n"/>
      <c r="I600" s="220" t="n"/>
      <c r="J600" s="221" t="n"/>
    </row>
    <row r="601" ht="15" customHeight="1" s="131">
      <c r="A601" s="220" t="n"/>
      <c r="B601" s="222" t="n"/>
      <c r="C601" s="220" t="n"/>
      <c r="D601" s="220" t="n"/>
      <c r="E601" s="220" t="n"/>
      <c r="F601" s="220" t="n"/>
      <c r="G601" s="169" t="n"/>
      <c r="H601" s="219" t="n"/>
      <c r="I601" s="220" t="n"/>
      <c r="J601" s="221" t="n"/>
    </row>
    <row r="602" ht="15" customHeight="1" s="131">
      <c r="A602" s="220" t="n"/>
      <c r="B602" s="222" t="n"/>
      <c r="C602" s="220" t="n"/>
      <c r="D602" s="220" t="n"/>
      <c r="E602" s="220" t="n"/>
      <c r="F602" s="220" t="n"/>
      <c r="G602" s="169" t="n"/>
      <c r="H602" s="219" t="n"/>
      <c r="I602" s="220" t="n"/>
      <c r="J602" s="221" t="n"/>
    </row>
    <row r="603" ht="15" customHeight="1" s="131">
      <c r="A603" s="220" t="n"/>
      <c r="B603" s="222" t="n"/>
      <c r="C603" s="220" t="n"/>
      <c r="D603" s="220" t="n"/>
      <c r="E603" s="220" t="n"/>
      <c r="F603" s="220" t="n"/>
      <c r="G603" s="169" t="n"/>
      <c r="H603" s="219" t="n"/>
      <c r="I603" s="220" t="n"/>
      <c r="J603" s="221" t="n"/>
    </row>
    <row r="604" ht="15" customHeight="1" s="131">
      <c r="A604" s="220" t="n"/>
      <c r="B604" s="222" t="n"/>
      <c r="C604" s="220" t="n"/>
      <c r="D604" s="220" t="n"/>
      <c r="E604" s="220" t="n"/>
      <c r="F604" s="220" t="n"/>
      <c r="G604" s="169" t="n"/>
      <c r="H604" s="219" t="n"/>
      <c r="I604" s="220" t="n"/>
      <c r="J604" s="221" t="n"/>
    </row>
    <row r="605" ht="15" customHeight="1" s="131">
      <c r="A605" s="220" t="n"/>
      <c r="B605" s="222" t="n"/>
      <c r="C605" s="220" t="n"/>
      <c r="D605" s="220" t="n"/>
      <c r="E605" s="220" t="n"/>
      <c r="F605" s="220" t="n"/>
      <c r="G605" s="169" t="n"/>
      <c r="H605" s="219" t="n"/>
      <c r="I605" s="220" t="n"/>
      <c r="J605" s="221" t="n"/>
    </row>
    <row r="606" ht="15" customHeight="1" s="131">
      <c r="A606" s="220" t="n"/>
      <c r="B606" s="222" t="n"/>
      <c r="C606" s="220" t="n"/>
      <c r="D606" s="220" t="n"/>
      <c r="E606" s="220" t="n"/>
      <c r="F606" s="220" t="n"/>
      <c r="G606" s="169" t="n"/>
      <c r="H606" s="219" t="n"/>
      <c r="I606" s="220" t="n"/>
      <c r="J606" s="221" t="n"/>
    </row>
    <row r="607" ht="15" customHeight="1" s="131">
      <c r="A607" s="220" t="n"/>
      <c r="B607" s="222" t="n"/>
      <c r="C607" s="220" t="n"/>
      <c r="D607" s="220" t="n"/>
      <c r="E607" s="220" t="n"/>
      <c r="F607" s="220" t="n"/>
      <c r="G607" s="169" t="n"/>
      <c r="H607" s="219" t="n"/>
      <c r="I607" s="220" t="n"/>
      <c r="J607" s="221" t="n"/>
    </row>
    <row r="608" ht="15" customHeight="1" s="131">
      <c r="A608" s="220" t="n"/>
      <c r="B608" s="222" t="n"/>
      <c r="C608" s="220" t="n"/>
      <c r="D608" s="220" t="n"/>
      <c r="E608" s="220" t="n"/>
      <c r="F608" s="220" t="n"/>
      <c r="G608" s="169" t="n"/>
      <c r="H608" s="219" t="n"/>
      <c r="I608" s="220" t="n"/>
      <c r="J608" s="221" t="n"/>
    </row>
    <row r="609" ht="15" customHeight="1" s="131">
      <c r="A609" s="220" t="n"/>
      <c r="B609" s="222" t="n"/>
      <c r="C609" s="220" t="n"/>
      <c r="D609" s="220" t="n"/>
      <c r="E609" s="220" t="n"/>
      <c r="F609" s="220" t="n"/>
      <c r="G609" s="169" t="n"/>
      <c r="H609" s="219" t="n"/>
      <c r="I609" s="220" t="n"/>
      <c r="J609" s="221" t="n"/>
    </row>
    <row r="610" ht="15" customHeight="1" s="131">
      <c r="A610" s="220" t="n"/>
      <c r="B610" s="222" t="n"/>
      <c r="C610" s="220" t="n"/>
      <c r="D610" s="220" t="n"/>
      <c r="E610" s="220" t="n"/>
      <c r="F610" s="220" t="n"/>
      <c r="G610" s="169" t="n"/>
      <c r="H610" s="219" t="n"/>
      <c r="I610" s="220" t="n"/>
      <c r="J610" s="221" t="n"/>
    </row>
    <row r="611" ht="15" customHeight="1" s="131">
      <c r="A611" s="220" t="n"/>
      <c r="B611" s="222" t="n"/>
      <c r="C611" s="220" t="n"/>
      <c r="D611" s="220" t="n"/>
      <c r="E611" s="220" t="n"/>
      <c r="F611" s="220" t="n"/>
      <c r="G611" s="169" t="n"/>
      <c r="H611" s="219" t="n"/>
      <c r="I611" s="220" t="n"/>
      <c r="J611" s="221" t="n"/>
    </row>
    <row r="612" ht="15" customHeight="1" s="131">
      <c r="A612" s="220" t="n"/>
      <c r="B612" s="222" t="n"/>
      <c r="C612" s="220" t="n"/>
      <c r="D612" s="220" t="n"/>
      <c r="E612" s="220" t="n"/>
      <c r="F612" s="220" t="n"/>
      <c r="G612" s="169" t="n"/>
      <c r="H612" s="219" t="n"/>
      <c r="I612" s="220" t="n"/>
      <c r="J612" s="221" t="n"/>
    </row>
    <row r="613" ht="15" customHeight="1" s="131">
      <c r="A613" s="220" t="n"/>
      <c r="B613" s="222" t="n"/>
      <c r="C613" s="220" t="n"/>
      <c r="D613" s="220" t="n"/>
      <c r="E613" s="220" t="n"/>
      <c r="F613" s="220" t="n"/>
      <c r="G613" s="169" t="n"/>
      <c r="H613" s="219" t="n"/>
      <c r="I613" s="220" t="n"/>
      <c r="J613" s="221" t="n"/>
    </row>
    <row r="614" ht="15" customHeight="1" s="131">
      <c r="A614" s="220" t="n"/>
      <c r="B614" s="222" t="n"/>
      <c r="C614" s="220" t="n"/>
      <c r="D614" s="220" t="n"/>
      <c r="E614" s="220" t="n"/>
      <c r="F614" s="220" t="n"/>
      <c r="G614" s="169" t="n"/>
      <c r="H614" s="219" t="n"/>
      <c r="I614" s="220" t="n"/>
      <c r="J614" s="221" t="n"/>
    </row>
    <row r="615" ht="15" customHeight="1" s="131">
      <c r="A615" s="220" t="n"/>
      <c r="B615" s="222" t="n"/>
      <c r="C615" s="220" t="n"/>
      <c r="D615" s="220" t="n"/>
      <c r="E615" s="220" t="n"/>
      <c r="F615" s="220" t="n"/>
      <c r="G615" s="169" t="n"/>
      <c r="H615" s="219" t="n"/>
      <c r="I615" s="220" t="n"/>
      <c r="J615" s="221" t="n"/>
    </row>
    <row r="616" ht="15" customHeight="1" s="131">
      <c r="A616" s="220" t="n"/>
      <c r="B616" s="222" t="n"/>
      <c r="C616" s="220" t="n"/>
      <c r="D616" s="220" t="n"/>
      <c r="E616" s="220" t="n"/>
      <c r="F616" s="220" t="n"/>
      <c r="G616" s="169" t="n"/>
      <c r="H616" s="219" t="n"/>
      <c r="I616" s="220" t="n"/>
      <c r="J616" s="221" t="n"/>
    </row>
    <row r="617" ht="15" customHeight="1" s="131">
      <c r="A617" s="220" t="n"/>
      <c r="B617" s="222" t="n"/>
      <c r="C617" s="220" t="n"/>
      <c r="D617" s="220" t="n"/>
      <c r="E617" s="220" t="n"/>
      <c r="F617" s="220" t="n"/>
      <c r="G617" s="169" t="n"/>
      <c r="H617" s="219" t="n"/>
      <c r="I617" s="220" t="n"/>
      <c r="J617" s="221" t="n"/>
    </row>
    <row r="618" ht="15" customHeight="1" s="131">
      <c r="A618" s="220" t="n"/>
      <c r="B618" s="222" t="n"/>
      <c r="C618" s="220" t="n"/>
      <c r="D618" s="220" t="n"/>
      <c r="E618" s="220" t="n"/>
      <c r="F618" s="220" t="n"/>
      <c r="G618" s="169" t="n"/>
      <c r="H618" s="219" t="n"/>
      <c r="I618" s="220" t="n"/>
      <c r="J618" s="221" t="n"/>
    </row>
    <row r="619" ht="15" customHeight="1" s="131">
      <c r="A619" s="220" t="n"/>
      <c r="B619" s="222" t="n"/>
      <c r="C619" s="220" t="n"/>
      <c r="D619" s="220" t="n"/>
      <c r="E619" s="220" t="n"/>
      <c r="F619" s="220" t="n"/>
      <c r="G619" s="169" t="n"/>
      <c r="H619" s="219" t="n"/>
      <c r="I619" s="220" t="n"/>
      <c r="J619" s="221" t="n"/>
    </row>
    <row r="620" ht="15" customHeight="1" s="131">
      <c r="A620" s="220" t="n"/>
      <c r="B620" s="222" t="n"/>
      <c r="C620" s="220" t="n"/>
      <c r="D620" s="220" t="n"/>
      <c r="E620" s="220" t="n"/>
      <c r="F620" s="220" t="n"/>
      <c r="G620" s="169" t="n"/>
      <c r="H620" s="219" t="n"/>
      <c r="I620" s="220" t="n"/>
      <c r="J620" s="221" t="n"/>
    </row>
    <row r="621" ht="15" customHeight="1" s="131">
      <c r="A621" s="220" t="n"/>
      <c r="B621" s="222" t="n"/>
      <c r="C621" s="220" t="n"/>
      <c r="D621" s="220" t="n"/>
      <c r="E621" s="220" t="n"/>
      <c r="F621" s="220" t="n"/>
      <c r="G621" s="169" t="n"/>
      <c r="H621" s="219" t="n"/>
      <c r="I621" s="220" t="n"/>
      <c r="J621" s="221" t="n"/>
    </row>
    <row r="622" ht="15" customHeight="1" s="131">
      <c r="A622" s="220" t="n"/>
      <c r="B622" s="222" t="n"/>
      <c r="C622" s="220" t="n"/>
      <c r="D622" s="220" t="n"/>
      <c r="E622" s="220" t="n"/>
      <c r="F622" s="220" t="n"/>
      <c r="G622" s="169" t="n"/>
      <c r="H622" s="219" t="n"/>
      <c r="I622" s="220" t="n"/>
      <c r="J622" s="221" t="n"/>
    </row>
    <row r="623" ht="15" customHeight="1" s="131">
      <c r="A623" s="220" t="n"/>
      <c r="B623" s="222" t="n"/>
      <c r="C623" s="220" t="n"/>
      <c r="D623" s="220" t="n"/>
      <c r="E623" s="220" t="n"/>
      <c r="F623" s="220" t="n"/>
      <c r="G623" s="169" t="n"/>
      <c r="H623" s="219" t="n"/>
      <c r="I623" s="220" t="n"/>
      <c r="J623" s="221" t="n"/>
    </row>
    <row r="624" ht="15" customHeight="1" s="131">
      <c r="A624" s="220" t="n"/>
      <c r="B624" s="222" t="n"/>
      <c r="C624" s="220" t="n"/>
      <c r="D624" s="220" t="n"/>
      <c r="E624" s="220" t="n"/>
      <c r="F624" s="220" t="n"/>
      <c r="G624" s="169" t="n"/>
      <c r="H624" s="219" t="n"/>
      <c r="I624" s="220" t="n"/>
      <c r="J624" s="221" t="n"/>
    </row>
    <row r="625" ht="15" customHeight="1" s="131">
      <c r="A625" s="220" t="n"/>
      <c r="B625" s="222" t="n"/>
      <c r="C625" s="220" t="n"/>
      <c r="D625" s="220" t="n"/>
      <c r="E625" s="220" t="n"/>
      <c r="F625" s="220" t="n"/>
      <c r="G625" s="169" t="n"/>
      <c r="H625" s="219" t="n"/>
      <c r="I625" s="220" t="n"/>
      <c r="J625" s="221" t="n"/>
    </row>
    <row r="626" ht="15" customHeight="1" s="131">
      <c r="A626" s="220" t="n"/>
      <c r="B626" s="222" t="n"/>
      <c r="C626" s="220" t="n"/>
      <c r="D626" s="220" t="n"/>
      <c r="E626" s="220" t="n"/>
      <c r="F626" s="220" t="n"/>
      <c r="G626" s="169" t="n"/>
      <c r="H626" s="219" t="n"/>
      <c r="I626" s="220" t="n"/>
      <c r="J626" s="221" t="n"/>
    </row>
    <row r="627" ht="15" customHeight="1" s="131">
      <c r="A627" s="220" t="n"/>
      <c r="B627" s="222" t="n"/>
      <c r="C627" s="220" t="n"/>
      <c r="D627" s="220" t="n"/>
      <c r="E627" s="220" t="n"/>
      <c r="F627" s="220" t="n"/>
      <c r="G627" s="169" t="n"/>
      <c r="H627" s="219" t="n"/>
      <c r="I627" s="220" t="n"/>
      <c r="J627" s="221" t="n"/>
    </row>
    <row r="628" ht="15" customHeight="1" s="131">
      <c r="A628" s="220" t="n"/>
      <c r="B628" s="222" t="n"/>
      <c r="C628" s="220" t="n"/>
      <c r="D628" s="220" t="n"/>
      <c r="E628" s="220" t="n"/>
      <c r="F628" s="220" t="n"/>
      <c r="G628" s="169" t="n"/>
      <c r="H628" s="219" t="n"/>
      <c r="I628" s="220" t="n"/>
      <c r="J628" s="221" t="n"/>
    </row>
    <row r="629" ht="15" customHeight="1" s="131">
      <c r="A629" s="220" t="n"/>
      <c r="B629" s="222" t="n"/>
      <c r="C629" s="220" t="n"/>
      <c r="D629" s="220" t="n"/>
      <c r="E629" s="220" t="n"/>
      <c r="F629" s="220" t="n"/>
      <c r="G629" s="169" t="n"/>
      <c r="H629" s="219" t="n"/>
      <c r="I629" s="220" t="n"/>
      <c r="J629" s="221" t="n"/>
    </row>
    <row r="630" ht="15" customHeight="1" s="131">
      <c r="A630" s="220" t="n"/>
      <c r="B630" s="222" t="n"/>
      <c r="C630" s="220" t="n"/>
      <c r="D630" s="220" t="n"/>
      <c r="E630" s="220" t="n"/>
      <c r="F630" s="220" t="n"/>
      <c r="G630" s="169" t="n"/>
      <c r="H630" s="219" t="n"/>
      <c r="I630" s="220" t="n"/>
      <c r="J630" s="221" t="n"/>
    </row>
    <row r="631" ht="15" customHeight="1" s="131">
      <c r="A631" s="220" t="n"/>
      <c r="B631" s="222" t="n"/>
      <c r="C631" s="220" t="n"/>
      <c r="D631" s="220" t="n"/>
      <c r="E631" s="220" t="n"/>
      <c r="F631" s="220" t="n"/>
      <c r="G631" s="169" t="n"/>
      <c r="H631" s="219" t="n"/>
      <c r="I631" s="220" t="n"/>
      <c r="J631" s="221" t="n"/>
    </row>
    <row r="632" ht="15" customHeight="1" s="131">
      <c r="A632" s="220" t="n"/>
      <c r="B632" s="222" t="n"/>
      <c r="C632" s="220" t="n"/>
      <c r="D632" s="220" t="n"/>
      <c r="E632" s="220" t="n"/>
      <c r="F632" s="220" t="n"/>
      <c r="G632" s="169" t="n"/>
      <c r="H632" s="219" t="n"/>
      <c r="I632" s="220" t="n"/>
      <c r="J632" s="221" t="n"/>
    </row>
    <row r="633" ht="15" customHeight="1" s="131">
      <c r="A633" s="220" t="n"/>
      <c r="B633" s="222" t="n"/>
      <c r="C633" s="220" t="n"/>
      <c r="D633" s="220" t="n"/>
      <c r="E633" s="220" t="n"/>
      <c r="F633" s="220" t="n"/>
      <c r="G633" s="169" t="n"/>
      <c r="H633" s="219" t="n"/>
      <c r="I633" s="220" t="n"/>
      <c r="J633" s="221" t="n"/>
    </row>
    <row r="634" ht="15" customHeight="1" s="131">
      <c r="A634" s="220" t="n"/>
      <c r="B634" s="222" t="n"/>
      <c r="C634" s="220" t="n"/>
      <c r="D634" s="220" t="n"/>
      <c r="E634" s="220" t="n"/>
      <c r="F634" s="220" t="n"/>
      <c r="G634" s="169" t="n"/>
      <c r="H634" s="219" t="n"/>
      <c r="I634" s="220" t="n"/>
      <c r="J634" s="221" t="n"/>
    </row>
    <row r="635" ht="15" customHeight="1" s="131">
      <c r="A635" s="220" t="n"/>
      <c r="B635" s="222" t="n"/>
      <c r="C635" s="220" t="n"/>
      <c r="D635" s="220" t="n"/>
      <c r="E635" s="220" t="n"/>
      <c r="F635" s="220" t="n"/>
      <c r="G635" s="169" t="n"/>
      <c r="H635" s="219" t="n"/>
      <c r="I635" s="220" t="n"/>
      <c r="J635" s="221" t="n"/>
    </row>
    <row r="636" ht="15" customHeight="1" s="131">
      <c r="A636" s="220" t="n"/>
      <c r="B636" s="222" t="n"/>
      <c r="C636" s="220" t="n"/>
      <c r="D636" s="220" t="n"/>
      <c r="E636" s="220" t="n"/>
      <c r="F636" s="220" t="n"/>
      <c r="G636" s="169" t="n"/>
      <c r="H636" s="219" t="n"/>
      <c r="I636" s="220" t="n"/>
      <c r="J636" s="221" t="n"/>
    </row>
    <row r="637" ht="15" customHeight="1" s="131">
      <c r="A637" s="220" t="n"/>
      <c r="B637" s="222" t="n"/>
      <c r="C637" s="220" t="n"/>
      <c r="D637" s="220" t="n"/>
      <c r="E637" s="220" t="n"/>
      <c r="F637" s="220" t="n"/>
      <c r="G637" s="169" t="n"/>
      <c r="H637" s="219" t="n"/>
      <c r="I637" s="220" t="n"/>
      <c r="J637" s="221" t="n"/>
    </row>
    <row r="638" ht="15" customHeight="1" s="131">
      <c r="A638" s="220" t="n"/>
      <c r="B638" s="222" t="n"/>
      <c r="C638" s="220" t="n"/>
      <c r="D638" s="220" t="n"/>
      <c r="E638" s="220" t="n"/>
      <c r="F638" s="220" t="n"/>
      <c r="G638" s="169" t="n"/>
      <c r="H638" s="219" t="n"/>
      <c r="I638" s="220" t="n"/>
      <c r="J638" s="221" t="n"/>
    </row>
    <row r="639" ht="15" customHeight="1" s="131">
      <c r="A639" s="220" t="n"/>
      <c r="B639" s="222" t="n"/>
      <c r="C639" s="220" t="n"/>
      <c r="D639" s="220" t="n"/>
      <c r="E639" s="220" t="n"/>
      <c r="F639" s="220" t="n"/>
      <c r="G639" s="169" t="n"/>
      <c r="H639" s="219" t="n"/>
      <c r="I639" s="220" t="n"/>
      <c r="J639" s="221" t="n"/>
    </row>
    <row r="640" ht="15" customHeight="1" s="131">
      <c r="A640" s="220" t="n"/>
      <c r="B640" s="222" t="n"/>
      <c r="C640" s="220" t="n"/>
      <c r="D640" s="220" t="n"/>
      <c r="E640" s="220" t="n"/>
      <c r="F640" s="220" t="n"/>
      <c r="G640" s="169" t="n"/>
      <c r="H640" s="219" t="n"/>
      <c r="I640" s="220" t="n"/>
      <c r="J640" s="221" t="n"/>
    </row>
    <row r="641" ht="15" customHeight="1" s="131">
      <c r="A641" s="220" t="n"/>
      <c r="B641" s="222" t="n"/>
      <c r="C641" s="220" t="n"/>
      <c r="D641" s="220" t="n"/>
      <c r="E641" s="220" t="n"/>
      <c r="F641" s="220" t="n"/>
      <c r="G641" s="169" t="n"/>
      <c r="H641" s="219" t="n"/>
      <c r="I641" s="220" t="n"/>
      <c r="J641" s="221" t="n"/>
    </row>
    <row r="642" ht="15" customHeight="1" s="131">
      <c r="A642" s="220" t="n"/>
      <c r="B642" s="222" t="n"/>
      <c r="C642" s="220" t="n"/>
      <c r="D642" s="220" t="n"/>
      <c r="E642" s="220" t="n"/>
      <c r="F642" s="220" t="n"/>
      <c r="G642" s="169" t="n"/>
      <c r="H642" s="219" t="n"/>
      <c r="I642" s="220" t="n"/>
      <c r="J642" s="221" t="n"/>
    </row>
    <row r="643" ht="15" customHeight="1" s="131">
      <c r="A643" s="220" t="n"/>
      <c r="B643" s="222" t="n"/>
      <c r="C643" s="220" t="n"/>
      <c r="D643" s="220" t="n"/>
      <c r="E643" s="220" t="n"/>
      <c r="F643" s="220" t="n"/>
      <c r="G643" s="169" t="n"/>
      <c r="H643" s="219" t="n"/>
      <c r="I643" s="220" t="n"/>
      <c r="J643" s="221" t="n"/>
    </row>
    <row r="644" ht="15" customHeight="1" s="131">
      <c r="A644" s="220" t="n"/>
      <c r="B644" s="222" t="n"/>
      <c r="C644" s="220" t="n"/>
      <c r="D644" s="220" t="n"/>
      <c r="E644" s="220" t="n"/>
      <c r="F644" s="220" t="n"/>
      <c r="G644" s="169" t="n"/>
      <c r="H644" s="219" t="n"/>
      <c r="I644" s="220" t="n"/>
      <c r="J644" s="221" t="n"/>
    </row>
    <row r="645" ht="15" customHeight="1" s="131">
      <c r="A645" s="220" t="n"/>
      <c r="B645" s="222" t="n"/>
      <c r="C645" s="220" t="n"/>
      <c r="D645" s="220" t="n"/>
      <c r="E645" s="220" t="n"/>
      <c r="F645" s="220" t="n"/>
      <c r="G645" s="169" t="n"/>
      <c r="H645" s="219" t="n"/>
      <c r="I645" s="220" t="n"/>
      <c r="J645" s="221" t="n"/>
    </row>
    <row r="646" ht="15" customHeight="1" s="131">
      <c r="A646" s="220" t="n"/>
      <c r="B646" s="222" t="n"/>
      <c r="C646" s="220" t="n"/>
      <c r="D646" s="220" t="n"/>
      <c r="E646" s="220" t="n"/>
      <c r="F646" s="220" t="n"/>
      <c r="G646" s="169" t="n"/>
      <c r="H646" s="219" t="n"/>
      <c r="I646" s="220" t="n"/>
      <c r="J646" s="221" t="n"/>
    </row>
    <row r="647" ht="15" customHeight="1" s="131">
      <c r="A647" s="220" t="n"/>
      <c r="B647" s="222" t="n"/>
      <c r="C647" s="220" t="n"/>
      <c r="D647" s="220" t="n"/>
      <c r="E647" s="220" t="n"/>
      <c r="F647" s="220" t="n"/>
      <c r="G647" s="169" t="n"/>
      <c r="H647" s="219" t="n"/>
      <c r="I647" s="220" t="n"/>
      <c r="J647" s="221" t="n"/>
    </row>
    <row r="648" ht="15" customHeight="1" s="131">
      <c r="A648" s="220" t="n"/>
      <c r="B648" s="222" t="n"/>
      <c r="C648" s="220" t="n"/>
      <c r="D648" s="220" t="n"/>
      <c r="E648" s="220" t="n"/>
      <c r="F648" s="220" t="n"/>
      <c r="G648" s="169" t="n"/>
      <c r="H648" s="219" t="n"/>
      <c r="I648" s="220" t="n"/>
      <c r="J648" s="221" t="n"/>
    </row>
    <row r="649" ht="15" customHeight="1" s="131">
      <c r="A649" s="220" t="n"/>
      <c r="B649" s="222" t="n"/>
      <c r="C649" s="220" t="n"/>
      <c r="D649" s="220" t="n"/>
      <c r="E649" s="220" t="n"/>
      <c r="F649" s="220" t="n"/>
      <c r="G649" s="169" t="n"/>
      <c r="H649" s="219" t="n"/>
      <c r="I649" s="220" t="n"/>
      <c r="J649" s="221" t="n"/>
    </row>
    <row r="650" ht="15" customHeight="1" s="131">
      <c r="A650" s="220" t="n"/>
      <c r="B650" s="222" t="n"/>
      <c r="C650" s="220" t="n"/>
      <c r="D650" s="220" t="n"/>
      <c r="E650" s="220" t="n"/>
      <c r="F650" s="220" t="n"/>
      <c r="G650" s="169" t="n"/>
      <c r="H650" s="219" t="n"/>
      <c r="I650" s="220" t="n"/>
      <c r="J650" s="221" t="n"/>
    </row>
    <row r="651" ht="15" customHeight="1" s="131">
      <c r="A651" s="220" t="n"/>
      <c r="B651" s="222" t="n"/>
      <c r="C651" s="220" t="n"/>
      <c r="D651" s="220" t="n"/>
      <c r="E651" s="220" t="n"/>
      <c r="F651" s="220" t="n"/>
      <c r="G651" s="169" t="n"/>
      <c r="H651" s="219" t="n"/>
      <c r="I651" s="220" t="n"/>
      <c r="J651" s="221" t="n"/>
    </row>
    <row r="652" ht="15" customHeight="1" s="131">
      <c r="A652" s="220" t="n"/>
      <c r="B652" s="222" t="n"/>
      <c r="C652" s="220" t="n"/>
      <c r="D652" s="220" t="n"/>
      <c r="E652" s="220" t="n"/>
      <c r="F652" s="220" t="n"/>
      <c r="G652" s="169" t="n"/>
      <c r="H652" s="219" t="n"/>
      <c r="I652" s="220" t="n"/>
      <c r="J652" s="221" t="n"/>
    </row>
    <row r="653" ht="15" customHeight="1" s="131">
      <c r="A653" s="220" t="n"/>
      <c r="B653" s="222" t="n"/>
      <c r="C653" s="220" t="n"/>
      <c r="D653" s="220" t="n"/>
      <c r="E653" s="220" t="n"/>
      <c r="F653" s="220" t="n"/>
      <c r="G653" s="169" t="n"/>
      <c r="H653" s="219" t="n"/>
      <c r="I653" s="220" t="n"/>
      <c r="J653" s="221" t="n"/>
    </row>
    <row r="654" ht="15" customHeight="1" s="131">
      <c r="A654" s="220" t="n"/>
      <c r="B654" s="222" t="n"/>
      <c r="C654" s="220" t="n"/>
      <c r="D654" s="220" t="n"/>
      <c r="E654" s="220" t="n"/>
      <c r="F654" s="220" t="n"/>
      <c r="G654" s="169" t="n"/>
      <c r="H654" s="219" t="n"/>
      <c r="I654" s="220" t="n"/>
      <c r="J654" s="221" t="n"/>
    </row>
    <row r="655" ht="15" customHeight="1" s="131">
      <c r="A655" s="220" t="n"/>
      <c r="B655" s="222" t="n"/>
      <c r="C655" s="220" t="n"/>
      <c r="D655" s="220" t="n"/>
      <c r="E655" s="220" t="n"/>
      <c r="F655" s="220" t="n"/>
      <c r="G655" s="169" t="n"/>
      <c r="H655" s="219" t="n"/>
      <c r="I655" s="220" t="n"/>
      <c r="J655" s="221" t="n"/>
    </row>
    <row r="656" ht="15" customHeight="1" s="131">
      <c r="A656" s="220" t="n"/>
      <c r="B656" s="222" t="n"/>
      <c r="C656" s="220" t="n"/>
      <c r="D656" s="220" t="n"/>
      <c r="E656" s="220" t="n"/>
      <c r="F656" s="220" t="n"/>
      <c r="G656" s="169" t="n"/>
      <c r="H656" s="219" t="n"/>
      <c r="I656" s="220" t="n"/>
      <c r="J656" s="221" t="n"/>
    </row>
    <row r="657" ht="15" customHeight="1" s="131">
      <c r="A657" s="220" t="n"/>
      <c r="B657" s="222" t="n"/>
      <c r="C657" s="220" t="n"/>
      <c r="D657" s="220" t="n"/>
      <c r="E657" s="220" t="n"/>
      <c r="F657" s="220" t="n"/>
      <c r="G657" s="169" t="n"/>
      <c r="H657" s="219" t="n"/>
      <c r="I657" s="220" t="n"/>
      <c r="J657" s="221" t="n"/>
    </row>
    <row r="658" ht="15" customHeight="1" s="131">
      <c r="A658" s="220" t="n"/>
      <c r="B658" s="222" t="n"/>
      <c r="C658" s="220" t="n"/>
      <c r="D658" s="220" t="n"/>
      <c r="E658" s="220" t="n"/>
      <c r="F658" s="220" t="n"/>
      <c r="G658" s="169" t="n"/>
      <c r="H658" s="219" t="n"/>
      <c r="I658" s="220" t="n"/>
      <c r="J658" s="221" t="n"/>
    </row>
    <row r="659" ht="15" customHeight="1" s="131">
      <c r="A659" s="220" t="n"/>
      <c r="B659" s="222" t="n"/>
      <c r="C659" s="220" t="n"/>
      <c r="D659" s="220" t="n"/>
      <c r="E659" s="220" t="n"/>
      <c r="F659" s="220" t="n"/>
      <c r="G659" s="169" t="n"/>
      <c r="H659" s="219" t="n"/>
      <c r="I659" s="220" t="n"/>
      <c r="J659" s="221" t="n"/>
    </row>
    <row r="660" ht="15" customHeight="1" s="131">
      <c r="A660" s="220" t="n"/>
      <c r="B660" s="222" t="n"/>
      <c r="C660" s="220" t="n"/>
      <c r="D660" s="220" t="n"/>
      <c r="E660" s="220" t="n"/>
      <c r="F660" s="220" t="n"/>
      <c r="G660" s="169" t="n"/>
      <c r="H660" s="219" t="n"/>
      <c r="I660" s="220" t="n"/>
      <c r="J660" s="221" t="n"/>
    </row>
    <row r="661" ht="15" customHeight="1" s="131">
      <c r="A661" s="220" t="n"/>
      <c r="B661" s="222" t="n"/>
      <c r="C661" s="220" t="n"/>
      <c r="D661" s="220" t="n"/>
      <c r="E661" s="220" t="n"/>
      <c r="F661" s="220" t="n"/>
      <c r="G661" s="169" t="n"/>
      <c r="H661" s="219" t="n"/>
      <c r="I661" s="220" t="n"/>
      <c r="J661" s="221" t="n"/>
    </row>
    <row r="662" ht="15" customHeight="1" s="131">
      <c r="A662" s="220" t="n"/>
      <c r="B662" s="222" t="n"/>
      <c r="C662" s="220" t="n"/>
      <c r="D662" s="220" t="n"/>
      <c r="E662" s="220" t="n"/>
      <c r="F662" s="220" t="n"/>
      <c r="G662" s="169" t="n"/>
      <c r="H662" s="219" t="n"/>
      <c r="I662" s="220" t="n"/>
      <c r="J662" s="221" t="n"/>
    </row>
    <row r="663" ht="15" customHeight="1" s="131">
      <c r="A663" s="220" t="n"/>
      <c r="B663" s="222" t="n"/>
      <c r="C663" s="220" t="n"/>
      <c r="D663" s="220" t="n"/>
      <c r="E663" s="220" t="n"/>
      <c r="F663" s="220" t="n"/>
      <c r="G663" s="169" t="n"/>
      <c r="H663" s="219" t="n"/>
      <c r="I663" s="220" t="n"/>
      <c r="J663" s="221" t="n"/>
    </row>
    <row r="664" ht="15" customHeight="1" s="131">
      <c r="A664" s="220" t="n"/>
      <c r="B664" s="222" t="n"/>
      <c r="C664" s="220" t="n"/>
      <c r="D664" s="220" t="n"/>
      <c r="E664" s="220" t="n"/>
      <c r="F664" s="220" t="n"/>
      <c r="G664" s="169" t="n"/>
      <c r="H664" s="219" t="n"/>
      <c r="I664" s="220" t="n"/>
      <c r="J664" s="221" t="n"/>
    </row>
    <row r="665" ht="15" customHeight="1" s="131">
      <c r="A665" s="220" t="n"/>
      <c r="B665" s="222" t="n"/>
      <c r="C665" s="220" t="n"/>
      <c r="D665" s="220" t="n"/>
      <c r="E665" s="220" t="n"/>
      <c r="F665" s="220" t="n"/>
      <c r="G665" s="169" t="n"/>
      <c r="H665" s="219" t="n"/>
      <c r="I665" s="220" t="n"/>
      <c r="J665" s="221" t="n"/>
    </row>
    <row r="666" ht="15" customHeight="1" s="131">
      <c r="A666" s="220" t="n"/>
      <c r="B666" s="222" t="n"/>
      <c r="C666" s="220" t="n"/>
      <c r="D666" s="220" t="n"/>
      <c r="E666" s="220" t="n"/>
      <c r="F666" s="220" t="n"/>
      <c r="G666" s="169" t="n"/>
      <c r="H666" s="219" t="n"/>
      <c r="I666" s="220" t="n"/>
      <c r="J666" s="221" t="n"/>
    </row>
    <row r="667" ht="15" customHeight="1" s="131">
      <c r="A667" s="220" t="n"/>
      <c r="B667" s="222" t="n"/>
      <c r="C667" s="220" t="n"/>
      <c r="D667" s="220" t="n"/>
      <c r="E667" s="220" t="n"/>
      <c r="F667" s="220" t="n"/>
      <c r="G667" s="169" t="n"/>
      <c r="H667" s="219" t="n"/>
      <c r="I667" s="220" t="n"/>
      <c r="J667" s="221" t="n"/>
    </row>
    <row r="668" ht="15" customHeight="1" s="131">
      <c r="A668" s="220" t="n"/>
      <c r="B668" s="222" t="n"/>
      <c r="C668" s="220" t="n"/>
      <c r="D668" s="220" t="n"/>
      <c r="E668" s="220" t="n"/>
      <c r="F668" s="220" t="n"/>
      <c r="G668" s="169" t="n"/>
      <c r="H668" s="219" t="n"/>
      <c r="I668" s="220" t="n"/>
      <c r="J668" s="221" t="n"/>
    </row>
    <row r="669" ht="15" customHeight="1" s="131">
      <c r="A669" s="220" t="n"/>
      <c r="B669" s="222" t="n"/>
      <c r="C669" s="220" t="n"/>
      <c r="D669" s="220" t="n"/>
      <c r="E669" s="220" t="n"/>
      <c r="F669" s="220" t="n"/>
      <c r="G669" s="169" t="n"/>
      <c r="H669" s="219" t="n"/>
      <c r="I669" s="220" t="n"/>
      <c r="J669" s="221" t="n"/>
    </row>
    <row r="670" ht="15" customHeight="1" s="131">
      <c r="A670" s="220" t="n"/>
      <c r="B670" s="222" t="n"/>
      <c r="C670" s="220" t="n"/>
      <c r="D670" s="220" t="n"/>
      <c r="E670" s="220" t="n"/>
      <c r="F670" s="220" t="n"/>
      <c r="G670" s="169" t="n"/>
      <c r="H670" s="219" t="n"/>
      <c r="I670" s="220" t="n"/>
      <c r="J670" s="221" t="n"/>
    </row>
    <row r="671" ht="15" customHeight="1" s="131">
      <c r="A671" s="220" t="n"/>
      <c r="B671" s="222" t="n"/>
      <c r="C671" s="220" t="n"/>
      <c r="D671" s="220" t="n"/>
      <c r="E671" s="220" t="n"/>
      <c r="F671" s="220" t="n"/>
      <c r="G671" s="169" t="n"/>
      <c r="H671" s="219" t="n"/>
      <c r="I671" s="220" t="n"/>
      <c r="J671" s="221" t="n"/>
    </row>
    <row r="672" ht="15" customHeight="1" s="131">
      <c r="A672" s="220" t="n"/>
      <c r="B672" s="222" t="n"/>
      <c r="C672" s="220" t="n"/>
      <c r="D672" s="220" t="n"/>
      <c r="E672" s="220" t="n"/>
      <c r="F672" s="220" t="n"/>
      <c r="G672" s="169" t="n"/>
      <c r="H672" s="219" t="n"/>
      <c r="I672" s="220" t="n"/>
      <c r="J672" s="221" t="n"/>
    </row>
    <row r="673" ht="15" customHeight="1" s="131">
      <c r="A673" s="220" t="n"/>
      <c r="B673" s="222" t="n"/>
      <c r="C673" s="220" t="n"/>
      <c r="D673" s="220" t="n"/>
      <c r="E673" s="220" t="n"/>
      <c r="F673" s="220" t="n"/>
      <c r="G673" s="169" t="n"/>
      <c r="H673" s="219" t="n"/>
      <c r="I673" s="220" t="n"/>
      <c r="J673" s="221" t="n"/>
    </row>
    <row r="674" ht="15" customHeight="1" s="131">
      <c r="A674" s="220" t="n"/>
      <c r="B674" s="222" t="n"/>
      <c r="C674" s="220" t="n"/>
      <c r="D674" s="220" t="n"/>
      <c r="E674" s="220" t="n"/>
      <c r="F674" s="220" t="n"/>
      <c r="G674" s="169" t="n"/>
      <c r="H674" s="219" t="n"/>
      <c r="I674" s="220" t="n"/>
      <c r="J674" s="221" t="n"/>
    </row>
    <row r="675" ht="15" customHeight="1" s="131">
      <c r="A675" s="220" t="n"/>
      <c r="B675" s="222" t="n"/>
      <c r="C675" s="220" t="n"/>
      <c r="D675" s="220" t="n"/>
      <c r="E675" s="220" t="n"/>
      <c r="F675" s="220" t="n"/>
      <c r="G675" s="169" t="n"/>
      <c r="H675" s="219" t="n"/>
      <c r="I675" s="220" t="n"/>
      <c r="J675" s="221" t="n"/>
    </row>
    <row r="676" ht="15" customHeight="1" s="131">
      <c r="A676" s="220" t="n"/>
      <c r="B676" s="222" t="n"/>
      <c r="C676" s="220" t="n"/>
      <c r="D676" s="220" t="n"/>
      <c r="E676" s="220" t="n"/>
      <c r="F676" s="220" t="n"/>
      <c r="G676" s="169" t="n"/>
      <c r="H676" s="219" t="n"/>
      <c r="I676" s="220" t="n"/>
      <c r="J676" s="221" t="n"/>
    </row>
    <row r="677" ht="15" customHeight="1" s="131">
      <c r="A677" s="220" t="n"/>
      <c r="B677" s="222" t="n"/>
      <c r="C677" s="220" t="n"/>
      <c r="D677" s="220" t="n"/>
      <c r="E677" s="220" t="n"/>
      <c r="F677" s="220" t="n"/>
      <c r="G677" s="169" t="n"/>
      <c r="H677" s="219" t="n"/>
      <c r="I677" s="220" t="n"/>
      <c r="J677" s="221" t="n"/>
    </row>
    <row r="678" ht="15" customHeight="1" s="131">
      <c r="A678" s="220" t="n"/>
      <c r="B678" s="222" t="n"/>
      <c r="C678" s="220" t="n"/>
      <c r="D678" s="220" t="n"/>
      <c r="E678" s="220" t="n"/>
      <c r="F678" s="220" t="n"/>
      <c r="G678" s="169" t="n"/>
      <c r="H678" s="219" t="n"/>
      <c r="I678" s="220" t="n"/>
      <c r="J678" s="221" t="n"/>
    </row>
    <row r="679" ht="15" customHeight="1" s="131">
      <c r="A679" s="220" t="n"/>
      <c r="B679" s="222" t="n"/>
      <c r="C679" s="220" t="n"/>
      <c r="D679" s="220" t="n"/>
      <c r="E679" s="220" t="n"/>
      <c r="F679" s="220" t="n"/>
      <c r="G679" s="169" t="n"/>
      <c r="H679" s="219" t="n"/>
      <c r="I679" s="220" t="n"/>
      <c r="J679" s="221" t="n"/>
    </row>
    <row r="680" ht="15" customHeight="1" s="131">
      <c r="A680" s="220" t="n"/>
      <c r="B680" s="222" t="n"/>
      <c r="C680" s="220" t="n"/>
      <c r="D680" s="220" t="n"/>
      <c r="E680" s="220" t="n"/>
      <c r="F680" s="220" t="n"/>
      <c r="G680" s="169" t="n"/>
      <c r="H680" s="219" t="n"/>
      <c r="I680" s="220" t="n"/>
      <c r="J680" s="221" t="n"/>
    </row>
    <row r="681" ht="15" customHeight="1" s="131">
      <c r="A681" s="220" t="n"/>
      <c r="B681" s="222" t="n"/>
      <c r="C681" s="220" t="n"/>
      <c r="D681" s="220" t="n"/>
      <c r="E681" s="220" t="n"/>
      <c r="F681" s="220" t="n"/>
      <c r="G681" s="169" t="n"/>
      <c r="H681" s="219" t="n"/>
      <c r="I681" s="220" t="n"/>
      <c r="J681" s="221" t="n"/>
    </row>
    <row r="682" ht="15" customHeight="1" s="131">
      <c r="A682" s="220" t="n"/>
      <c r="B682" s="222" t="n"/>
      <c r="C682" s="220" t="n"/>
      <c r="D682" s="220" t="n"/>
      <c r="E682" s="220" t="n"/>
      <c r="F682" s="220" t="n"/>
      <c r="G682" s="169" t="n"/>
      <c r="H682" s="219" t="n"/>
      <c r="I682" s="220" t="n"/>
      <c r="J682" s="221" t="n"/>
    </row>
    <row r="683" ht="15" customHeight="1" s="131">
      <c r="A683" s="220" t="n"/>
      <c r="B683" s="222" t="n"/>
      <c r="C683" s="220" t="n"/>
      <c r="D683" s="220" t="n"/>
      <c r="E683" s="220" t="n"/>
      <c r="F683" s="220" t="n"/>
      <c r="G683" s="169" t="n"/>
      <c r="H683" s="219" t="n"/>
      <c r="I683" s="220" t="n"/>
      <c r="J683" s="221" t="n"/>
    </row>
    <row r="684" ht="15" customHeight="1" s="131">
      <c r="A684" s="220" t="n"/>
      <c r="B684" s="222" t="n"/>
      <c r="C684" s="220" t="n"/>
      <c r="D684" s="220" t="n"/>
      <c r="E684" s="220" t="n"/>
      <c r="F684" s="220" t="n"/>
      <c r="G684" s="169" t="n"/>
      <c r="H684" s="219" t="n"/>
      <c r="I684" s="220" t="n"/>
      <c r="J684" s="221" t="n"/>
    </row>
    <row r="685" ht="15" customHeight="1" s="131">
      <c r="A685" s="220" t="n"/>
      <c r="B685" s="222" t="n"/>
      <c r="C685" s="220" t="n"/>
      <c r="D685" s="220" t="n"/>
      <c r="E685" s="220" t="n"/>
      <c r="F685" s="220" t="n"/>
      <c r="G685" s="169" t="n"/>
      <c r="H685" s="219" t="n"/>
      <c r="I685" s="220" t="n"/>
      <c r="J685" s="221" t="n"/>
    </row>
    <row r="686" ht="15" customHeight="1" s="131">
      <c r="A686" s="220" t="n"/>
      <c r="B686" s="222" t="n"/>
      <c r="C686" s="220" t="n"/>
      <c r="D686" s="220" t="n"/>
      <c r="E686" s="220" t="n"/>
      <c r="F686" s="220" t="n"/>
      <c r="G686" s="169" t="n"/>
      <c r="H686" s="219" t="n"/>
      <c r="I686" s="220" t="n"/>
      <c r="J686" s="221" t="n"/>
    </row>
    <row r="687" ht="15" customHeight="1" s="131">
      <c r="A687" s="220" t="n"/>
      <c r="B687" s="222" t="n"/>
      <c r="C687" s="220" t="n"/>
      <c r="D687" s="220" t="n"/>
      <c r="E687" s="220" t="n"/>
      <c r="F687" s="220" t="n"/>
      <c r="G687" s="169" t="n"/>
      <c r="H687" s="219" t="n"/>
      <c r="I687" s="220" t="n"/>
      <c r="J687" s="221" t="n"/>
    </row>
    <row r="688" ht="15" customHeight="1" s="131">
      <c r="A688" s="220" t="n"/>
      <c r="B688" s="222" t="n"/>
      <c r="C688" s="220" t="n"/>
      <c r="D688" s="220" t="n"/>
      <c r="E688" s="220" t="n"/>
      <c r="F688" s="220" t="n"/>
      <c r="G688" s="169" t="n"/>
      <c r="H688" s="219" t="n"/>
      <c r="I688" s="220" t="n"/>
      <c r="J688" s="221" t="n"/>
    </row>
    <row r="689" ht="15" customHeight="1" s="131">
      <c r="A689" s="220" t="n"/>
      <c r="B689" s="222" t="n"/>
      <c r="C689" s="220" t="n"/>
      <c r="D689" s="220" t="n"/>
      <c r="E689" s="220" t="n"/>
      <c r="F689" s="220" t="n"/>
      <c r="G689" s="169" t="n"/>
      <c r="H689" s="219" t="n"/>
      <c r="I689" s="220" t="n"/>
      <c r="J689" s="221" t="n"/>
    </row>
    <row r="690" ht="15" customHeight="1" s="131">
      <c r="A690" s="220" t="n"/>
      <c r="B690" s="222" t="n"/>
      <c r="C690" s="220" t="n"/>
      <c r="D690" s="220" t="n"/>
      <c r="E690" s="220" t="n"/>
      <c r="F690" s="220" t="n"/>
      <c r="G690" s="169" t="n"/>
      <c r="H690" s="219" t="n"/>
      <c r="I690" s="220" t="n"/>
      <c r="J690" s="221" t="n"/>
    </row>
    <row r="691" ht="15" customHeight="1" s="131">
      <c r="A691" s="220" t="n"/>
      <c r="B691" s="222" t="n"/>
      <c r="C691" s="220" t="n"/>
      <c r="D691" s="220" t="n"/>
      <c r="E691" s="220" t="n"/>
      <c r="F691" s="220" t="n"/>
      <c r="G691" s="169" t="n"/>
      <c r="H691" s="219" t="n"/>
      <c r="I691" s="220" t="n"/>
      <c r="J691" s="221" t="n"/>
    </row>
    <row r="692" ht="15" customHeight="1" s="131">
      <c r="A692" s="220" t="n"/>
      <c r="B692" s="222" t="n"/>
      <c r="C692" s="220" t="n"/>
      <c r="D692" s="220" t="n"/>
      <c r="E692" s="220" t="n"/>
      <c r="F692" s="220" t="n"/>
      <c r="G692" s="169" t="n"/>
      <c r="H692" s="219" t="n"/>
      <c r="I692" s="220" t="n"/>
      <c r="J692" s="221" t="n"/>
    </row>
    <row r="693" ht="15" customHeight="1" s="131">
      <c r="A693" s="220" t="n"/>
      <c r="B693" s="222" t="n"/>
      <c r="C693" s="220" t="n"/>
      <c r="D693" s="220" t="n"/>
      <c r="E693" s="220" t="n"/>
      <c r="F693" s="220" t="n"/>
      <c r="G693" s="169" t="n"/>
      <c r="H693" s="219" t="n"/>
      <c r="I693" s="220" t="n"/>
      <c r="J693" s="221" t="n"/>
    </row>
    <row r="694" ht="15" customHeight="1" s="131">
      <c r="A694" s="220" t="n"/>
      <c r="B694" s="222" t="n"/>
      <c r="C694" s="220" t="n"/>
      <c r="D694" s="220" t="n"/>
      <c r="E694" s="220" t="n"/>
      <c r="F694" s="220" t="n"/>
      <c r="G694" s="169" t="n"/>
      <c r="H694" s="219" t="n"/>
      <c r="I694" s="220" t="n"/>
      <c r="J694" s="221" t="n"/>
    </row>
    <row r="695" ht="15" customHeight="1" s="131">
      <c r="A695" s="220" t="n"/>
      <c r="B695" s="222" t="n"/>
      <c r="C695" s="220" t="n"/>
      <c r="D695" s="220" t="n"/>
      <c r="E695" s="220" t="n"/>
      <c r="F695" s="220" t="n"/>
      <c r="G695" s="169" t="n"/>
      <c r="H695" s="219" t="n"/>
      <c r="I695" s="220" t="n"/>
      <c r="J695" s="221" t="n"/>
    </row>
    <row r="696" ht="15" customHeight="1" s="131">
      <c r="A696" s="220" t="n"/>
      <c r="B696" s="222" t="n"/>
      <c r="C696" s="220" t="n"/>
      <c r="D696" s="220" t="n"/>
      <c r="E696" s="220" t="n"/>
      <c r="F696" s="220" t="n"/>
      <c r="G696" s="169" t="n"/>
      <c r="H696" s="219" t="n"/>
      <c r="I696" s="220" t="n"/>
      <c r="J696" s="221" t="n"/>
    </row>
    <row r="697" ht="15" customHeight="1" s="131">
      <c r="A697" s="220" t="n"/>
      <c r="B697" s="222" t="n"/>
      <c r="C697" s="220" t="n"/>
      <c r="D697" s="220" t="n"/>
      <c r="E697" s="220" t="n"/>
      <c r="F697" s="220" t="n"/>
      <c r="G697" s="169" t="n"/>
      <c r="H697" s="219" t="n"/>
      <c r="I697" s="220" t="n"/>
      <c r="J697" s="221" t="n"/>
    </row>
    <row r="698" ht="15" customHeight="1" s="131">
      <c r="A698" s="220" t="n"/>
      <c r="B698" s="222" t="n"/>
      <c r="C698" s="220" t="n"/>
      <c r="D698" s="220" t="n"/>
      <c r="E698" s="220" t="n"/>
      <c r="F698" s="220" t="n"/>
      <c r="G698" s="169" t="n"/>
      <c r="H698" s="219" t="n"/>
      <c r="I698" s="220" t="n"/>
      <c r="J698" s="221" t="n"/>
    </row>
    <row r="699" ht="15" customHeight="1" s="131">
      <c r="A699" s="220" t="n"/>
      <c r="B699" s="222" t="n"/>
      <c r="C699" s="220" t="n"/>
      <c r="D699" s="220" t="n"/>
      <c r="E699" s="220" t="n"/>
      <c r="F699" s="220" t="n"/>
      <c r="G699" s="169" t="n"/>
      <c r="H699" s="219" t="n"/>
      <c r="I699" s="220" t="n"/>
      <c r="J699" s="221" t="n"/>
    </row>
    <row r="700" ht="15" customHeight="1" s="131">
      <c r="A700" s="220" t="n"/>
      <c r="B700" s="222" t="n"/>
      <c r="C700" s="220" t="n"/>
      <c r="D700" s="220" t="n"/>
      <c r="E700" s="220" t="n"/>
      <c r="F700" s="220" t="n"/>
      <c r="G700" s="169" t="n"/>
      <c r="H700" s="219" t="n"/>
      <c r="I700" s="220" t="n"/>
      <c r="J700" s="221" t="n"/>
    </row>
    <row r="701" ht="15" customHeight="1" s="131">
      <c r="A701" s="220" t="n"/>
      <c r="B701" s="222" t="n"/>
      <c r="C701" s="220" t="n"/>
      <c r="D701" s="220" t="n"/>
      <c r="E701" s="220" t="n"/>
      <c r="F701" s="220" t="n"/>
      <c r="G701" s="169" t="n"/>
      <c r="H701" s="219" t="n"/>
      <c r="I701" s="220" t="n"/>
      <c r="J701" s="221" t="n"/>
    </row>
    <row r="702" ht="15" customHeight="1" s="131">
      <c r="A702" s="220" t="n"/>
      <c r="B702" s="222" t="n"/>
      <c r="C702" s="220" t="n"/>
      <c r="D702" s="220" t="n"/>
      <c r="E702" s="220" t="n"/>
      <c r="F702" s="220" t="n"/>
      <c r="G702" s="169" t="n"/>
      <c r="H702" s="219" t="n"/>
      <c r="I702" s="220" t="n"/>
      <c r="J702" s="221" t="n"/>
    </row>
    <row r="703" ht="15" customHeight="1" s="131">
      <c r="A703" s="220" t="n"/>
      <c r="B703" s="222" t="n"/>
      <c r="C703" s="220" t="n"/>
      <c r="D703" s="220" t="n"/>
      <c r="E703" s="220" t="n"/>
      <c r="F703" s="220" t="n"/>
      <c r="G703" s="169" t="n"/>
      <c r="H703" s="219" t="n"/>
      <c r="I703" s="220" t="n"/>
      <c r="J703" s="221" t="n"/>
    </row>
    <row r="704" ht="15" customHeight="1" s="131">
      <c r="A704" s="220" t="n"/>
      <c r="B704" s="222" t="n"/>
      <c r="C704" s="220" t="n"/>
      <c r="D704" s="220" t="n"/>
      <c r="E704" s="220" t="n"/>
      <c r="F704" s="220" t="n"/>
      <c r="G704" s="169" t="n"/>
      <c r="H704" s="219" t="n"/>
      <c r="I704" s="220" t="n"/>
      <c r="J704" s="221" t="n"/>
    </row>
    <row r="705" ht="15" customHeight="1" s="131">
      <c r="A705" s="220" t="n"/>
      <c r="B705" s="222" t="n"/>
      <c r="C705" s="220" t="n"/>
      <c r="D705" s="220" t="n"/>
      <c r="E705" s="220" t="n"/>
      <c r="F705" s="220" t="n"/>
      <c r="G705" s="169" t="n"/>
      <c r="H705" s="219" t="n"/>
      <c r="I705" s="220" t="n"/>
      <c r="J705" s="221" t="n"/>
    </row>
    <row r="706" ht="15" customHeight="1" s="131">
      <c r="A706" s="220" t="n"/>
      <c r="B706" s="222" t="n"/>
      <c r="C706" s="220" t="n"/>
      <c r="D706" s="220" t="n"/>
      <c r="E706" s="220" t="n"/>
      <c r="F706" s="220" t="n"/>
      <c r="G706" s="169" t="n"/>
      <c r="H706" s="219" t="n"/>
      <c r="I706" s="220" t="n"/>
      <c r="J706" s="221" t="n"/>
    </row>
    <row r="707" ht="15" customHeight="1" s="131">
      <c r="A707" s="220" t="n"/>
      <c r="B707" s="222" t="n"/>
      <c r="C707" s="220" t="n"/>
      <c r="D707" s="220" t="n"/>
      <c r="E707" s="220" t="n"/>
      <c r="F707" s="220" t="n"/>
      <c r="G707" s="169" t="n"/>
      <c r="H707" s="219" t="n"/>
      <c r="I707" s="220" t="n"/>
      <c r="J707" s="221" t="n"/>
    </row>
    <row r="708" ht="15" customHeight="1" s="131">
      <c r="A708" s="220" t="n"/>
      <c r="B708" s="222" t="n"/>
      <c r="C708" s="220" t="n"/>
      <c r="D708" s="220" t="n"/>
      <c r="E708" s="220" t="n"/>
      <c r="F708" s="220" t="n"/>
      <c r="G708" s="169" t="n"/>
      <c r="H708" s="219" t="n"/>
      <c r="I708" s="220" t="n"/>
      <c r="J708" s="221" t="n"/>
    </row>
    <row r="709" ht="15" customHeight="1" s="131">
      <c r="A709" s="220" t="n"/>
      <c r="B709" s="222" t="n"/>
      <c r="C709" s="220" t="n"/>
      <c r="D709" s="220" t="n"/>
      <c r="E709" s="220" t="n"/>
      <c r="F709" s="220" t="n"/>
      <c r="G709" s="169" t="n"/>
      <c r="H709" s="219" t="n"/>
      <c r="I709" s="220" t="n"/>
      <c r="J709" s="221" t="n"/>
    </row>
    <row r="710" ht="15" customHeight="1" s="131">
      <c r="A710" s="220" t="n"/>
      <c r="B710" s="222" t="n"/>
      <c r="C710" s="220" t="n"/>
      <c r="D710" s="220" t="n"/>
      <c r="E710" s="220" t="n"/>
      <c r="F710" s="220" t="n"/>
      <c r="G710" s="169" t="n"/>
      <c r="H710" s="219" t="n"/>
      <c r="I710" s="220" t="n"/>
      <c r="J710" s="221" t="n"/>
    </row>
    <row r="711" ht="15" customHeight="1" s="131">
      <c r="A711" s="220" t="n"/>
      <c r="B711" s="222" t="n"/>
      <c r="C711" s="220" t="n"/>
      <c r="D711" s="220" t="n"/>
      <c r="E711" s="220" t="n"/>
      <c r="F711" s="220" t="n"/>
      <c r="G711" s="169" t="n"/>
      <c r="H711" s="219" t="n"/>
      <c r="I711" s="220" t="n"/>
      <c r="J711" s="221" t="n"/>
    </row>
    <row r="712" ht="15" customHeight="1" s="131">
      <c r="A712" s="220" t="n"/>
      <c r="B712" s="222" t="n"/>
      <c r="C712" s="220" t="n"/>
      <c r="D712" s="220" t="n"/>
      <c r="E712" s="220" t="n"/>
      <c r="F712" s="220" t="n"/>
      <c r="G712" s="169" t="n"/>
      <c r="H712" s="219" t="n"/>
      <c r="I712" s="220" t="n"/>
      <c r="J712" s="221" t="n"/>
    </row>
    <row r="713" ht="15" customHeight="1" s="131">
      <c r="A713" s="220" t="n"/>
      <c r="B713" s="222" t="n"/>
      <c r="C713" s="220" t="n"/>
      <c r="D713" s="220" t="n"/>
      <c r="E713" s="220" t="n"/>
      <c r="F713" s="220" t="n"/>
      <c r="G713" s="169" t="n"/>
      <c r="H713" s="219" t="n"/>
      <c r="I713" s="220" t="n"/>
      <c r="J713" s="221" t="n"/>
    </row>
    <row r="714" ht="15" customHeight="1" s="131">
      <c r="A714" s="220" t="n"/>
      <c r="B714" s="222" t="n"/>
      <c r="C714" s="220" t="n"/>
      <c r="D714" s="220" t="n"/>
      <c r="E714" s="220" t="n"/>
      <c r="F714" s="220" t="n"/>
      <c r="G714" s="169" t="n"/>
      <c r="H714" s="219" t="n"/>
      <c r="I714" s="220" t="n"/>
      <c r="J714" s="221" t="n"/>
    </row>
    <row r="715" ht="15" customHeight="1" s="131">
      <c r="A715" s="220" t="n"/>
      <c r="B715" s="222" t="n"/>
      <c r="C715" s="220" t="n"/>
      <c r="D715" s="220" t="n"/>
      <c r="E715" s="220" t="n"/>
      <c r="F715" s="220" t="n"/>
      <c r="G715" s="169" t="n"/>
      <c r="H715" s="219" t="n"/>
      <c r="I715" s="220" t="n"/>
      <c r="J715" s="221" t="n"/>
    </row>
    <row r="716" ht="15" customHeight="1" s="131">
      <c r="A716" s="220" t="n"/>
      <c r="B716" s="222" t="n"/>
      <c r="C716" s="220" t="n"/>
      <c r="D716" s="220" t="n"/>
      <c r="E716" s="220" t="n"/>
      <c r="F716" s="220" t="n"/>
      <c r="G716" s="169" t="n"/>
      <c r="H716" s="219" t="n"/>
      <c r="I716" s="220" t="n"/>
      <c r="J716" s="221" t="n"/>
    </row>
    <row r="717" ht="15" customHeight="1" s="131">
      <c r="A717" s="220" t="n"/>
      <c r="B717" s="222" t="n"/>
      <c r="C717" s="220" t="n"/>
      <c r="D717" s="220" t="n"/>
      <c r="E717" s="220" t="n"/>
      <c r="F717" s="220" t="n"/>
      <c r="G717" s="169" t="n"/>
      <c r="H717" s="219" t="n"/>
      <c r="I717" s="220" t="n"/>
      <c r="J717" s="221" t="n"/>
    </row>
    <row r="718" ht="15" customHeight="1" s="131">
      <c r="A718" s="220" t="n"/>
      <c r="B718" s="222" t="n"/>
      <c r="C718" s="220" t="n"/>
      <c r="D718" s="220" t="n"/>
      <c r="E718" s="220" t="n"/>
      <c r="F718" s="220" t="n"/>
      <c r="G718" s="169" t="n"/>
      <c r="H718" s="219" t="n"/>
      <c r="I718" s="220" t="n"/>
      <c r="J718" s="221" t="n"/>
    </row>
    <row r="719" ht="15" customHeight="1" s="131">
      <c r="A719" s="220" t="n"/>
      <c r="B719" s="222" t="n"/>
      <c r="C719" s="220" t="n"/>
      <c r="D719" s="220" t="n"/>
      <c r="E719" s="220" t="n"/>
      <c r="F719" s="220" t="n"/>
      <c r="G719" s="169" t="n"/>
      <c r="H719" s="219" t="n"/>
      <c r="I719" s="220" t="n"/>
      <c r="J719" s="221" t="n"/>
    </row>
    <row r="720" ht="15" customHeight="1" s="131">
      <c r="A720" s="220" t="n"/>
      <c r="B720" s="222" t="n"/>
      <c r="C720" s="220" t="n"/>
      <c r="D720" s="220" t="n"/>
      <c r="E720" s="220" t="n"/>
      <c r="F720" s="220" t="n"/>
      <c r="G720" s="169" t="n"/>
      <c r="H720" s="219" t="n"/>
      <c r="I720" s="220" t="n"/>
      <c r="J720" s="221" t="n"/>
    </row>
    <row r="721" ht="15" customHeight="1" s="131">
      <c r="A721" s="220" t="n"/>
      <c r="B721" s="222" t="n"/>
      <c r="C721" s="220" t="n"/>
      <c r="D721" s="220" t="n"/>
      <c r="E721" s="220" t="n"/>
      <c r="F721" s="220" t="n"/>
      <c r="G721" s="169" t="n"/>
      <c r="H721" s="219" t="n"/>
      <c r="I721" s="220" t="n"/>
      <c r="J721" s="221" t="n"/>
    </row>
    <row r="722" ht="15" customHeight="1" s="131">
      <c r="A722" s="220" t="n"/>
      <c r="B722" s="222" t="n"/>
      <c r="C722" s="220" t="n"/>
      <c r="D722" s="220" t="n"/>
      <c r="E722" s="220" t="n"/>
      <c r="F722" s="220" t="n"/>
      <c r="G722" s="169" t="n"/>
      <c r="H722" s="219" t="n"/>
      <c r="I722" s="220" t="n"/>
      <c r="J722" s="221" t="n"/>
    </row>
    <row r="723" ht="15" customHeight="1" s="131">
      <c r="A723" s="220" t="n"/>
      <c r="B723" s="222" t="n"/>
      <c r="C723" s="220" t="n"/>
      <c r="D723" s="220" t="n"/>
      <c r="E723" s="220" t="n"/>
      <c r="F723" s="220" t="n"/>
      <c r="G723" s="169" t="n"/>
      <c r="H723" s="219" t="n"/>
      <c r="I723" s="220" t="n"/>
      <c r="J723" s="221" t="n"/>
    </row>
    <row r="724" ht="15" customHeight="1" s="131">
      <c r="A724" s="220" t="n"/>
      <c r="B724" s="222" t="n"/>
      <c r="C724" s="220" t="n"/>
      <c r="D724" s="220" t="n"/>
      <c r="E724" s="220" t="n"/>
      <c r="F724" s="220" t="n"/>
      <c r="G724" s="169" t="n"/>
      <c r="H724" s="219" t="n"/>
      <c r="I724" s="220" t="n"/>
      <c r="J724" s="221" t="n"/>
    </row>
    <row r="725" ht="15" customHeight="1" s="131">
      <c r="A725" s="220" t="n"/>
      <c r="B725" s="222" t="n"/>
      <c r="C725" s="220" t="n"/>
      <c r="D725" s="220" t="n"/>
      <c r="E725" s="220" t="n"/>
      <c r="F725" s="220" t="n"/>
      <c r="G725" s="169" t="n"/>
      <c r="H725" s="219" t="n"/>
      <c r="I725" s="220" t="n"/>
      <c r="J725" s="221" t="n"/>
    </row>
    <row r="726" ht="15" customHeight="1" s="131">
      <c r="A726" s="220" t="n"/>
      <c r="B726" s="222" t="n"/>
      <c r="C726" s="220" t="n"/>
      <c r="D726" s="220" t="n"/>
      <c r="E726" s="220" t="n"/>
      <c r="F726" s="220" t="n"/>
      <c r="G726" s="169" t="n"/>
      <c r="H726" s="219" t="n"/>
      <c r="I726" s="220" t="n"/>
      <c r="J726" s="221" t="n"/>
    </row>
    <row r="727" ht="15" customHeight="1" s="131">
      <c r="A727" s="220" t="n"/>
      <c r="B727" s="222" t="n"/>
      <c r="C727" s="220" t="n"/>
      <c r="D727" s="220" t="n"/>
      <c r="E727" s="220" t="n"/>
      <c r="F727" s="220" t="n"/>
      <c r="G727" s="169" t="n"/>
      <c r="H727" s="219" t="n"/>
      <c r="I727" s="220" t="n"/>
      <c r="J727" s="221" t="n"/>
    </row>
    <row r="728" ht="15" customHeight="1" s="131">
      <c r="A728" s="220" t="n"/>
      <c r="B728" s="222" t="n"/>
      <c r="C728" s="220" t="n"/>
      <c r="D728" s="220" t="n"/>
      <c r="E728" s="220" t="n"/>
      <c r="F728" s="220" t="n"/>
      <c r="G728" s="169" t="n"/>
      <c r="H728" s="219" t="n"/>
      <c r="I728" s="220" t="n"/>
      <c r="J728" s="221" t="n"/>
    </row>
    <row r="729" ht="15" customHeight="1" s="131">
      <c r="A729" s="220" t="n"/>
      <c r="B729" s="222" t="n"/>
      <c r="C729" s="220" t="n"/>
      <c r="D729" s="220" t="n"/>
      <c r="E729" s="220" t="n"/>
      <c r="F729" s="220" t="n"/>
      <c r="G729" s="169" t="n"/>
      <c r="H729" s="219" t="n"/>
      <c r="I729" s="220" t="n"/>
      <c r="J729" s="221" t="n"/>
    </row>
    <row r="730" ht="15" customHeight="1" s="131">
      <c r="A730" s="220" t="n"/>
      <c r="B730" s="222" t="n"/>
      <c r="C730" s="220" t="n"/>
      <c r="D730" s="220" t="n"/>
      <c r="E730" s="220" t="n"/>
      <c r="F730" s="220" t="n"/>
      <c r="G730" s="169" t="n"/>
      <c r="H730" s="219" t="n"/>
      <c r="I730" s="220" t="n"/>
      <c r="J730" s="221" t="n"/>
    </row>
    <row r="731" ht="15" customHeight="1" s="131">
      <c r="A731" s="220" t="n"/>
      <c r="B731" s="222" t="n"/>
      <c r="C731" s="220" t="n"/>
      <c r="D731" s="220" t="n"/>
      <c r="E731" s="220" t="n"/>
      <c r="F731" s="220" t="n"/>
      <c r="G731" s="169" t="n"/>
      <c r="H731" s="219" t="n"/>
      <c r="I731" s="220" t="n"/>
      <c r="J731" s="221" t="n"/>
    </row>
    <row r="732" ht="15" customHeight="1" s="131">
      <c r="A732" s="220" t="n"/>
      <c r="B732" s="222" t="n"/>
      <c r="C732" s="220" t="n"/>
      <c r="D732" s="220" t="n"/>
      <c r="E732" s="220" t="n"/>
      <c r="F732" s="220" t="n"/>
      <c r="G732" s="169" t="n"/>
      <c r="H732" s="219" t="n"/>
      <c r="I732" s="220" t="n"/>
      <c r="J732" s="221" t="n"/>
    </row>
    <row r="733" ht="15" customHeight="1" s="131">
      <c r="A733" s="220" t="n"/>
      <c r="B733" s="222" t="n"/>
      <c r="C733" s="220" t="n"/>
      <c r="D733" s="220" t="n"/>
      <c r="E733" s="220" t="n"/>
      <c r="F733" s="220" t="n"/>
      <c r="G733" s="169" t="n"/>
      <c r="H733" s="219" t="n"/>
      <c r="I733" s="220" t="n"/>
      <c r="J733" s="221" t="n"/>
    </row>
    <row r="734" ht="15" customHeight="1" s="131">
      <c r="A734" s="220" t="n"/>
      <c r="B734" s="222" t="n"/>
      <c r="C734" s="220" t="n"/>
      <c r="D734" s="220" t="n"/>
      <c r="E734" s="220" t="n"/>
      <c r="F734" s="220" t="n"/>
      <c r="G734" s="169" t="n"/>
      <c r="H734" s="219" t="n"/>
      <c r="I734" s="220" t="n"/>
      <c r="J734" s="221" t="n"/>
    </row>
    <row r="735" ht="15" customHeight="1" s="131">
      <c r="A735" s="220" t="n"/>
      <c r="B735" s="222" t="n"/>
      <c r="C735" s="220" t="n"/>
      <c r="D735" s="220" t="n"/>
      <c r="E735" s="220" t="n"/>
      <c r="F735" s="220" t="n"/>
      <c r="G735" s="169" t="n"/>
      <c r="H735" s="219" t="n"/>
      <c r="I735" s="220" t="n"/>
      <c r="J735" s="221" t="n"/>
    </row>
    <row r="736" ht="15" customHeight="1" s="131">
      <c r="A736" s="220" t="n"/>
      <c r="B736" s="222" t="n"/>
      <c r="C736" s="220" t="n"/>
      <c r="D736" s="220" t="n"/>
      <c r="E736" s="220" t="n"/>
      <c r="F736" s="220" t="n"/>
      <c r="G736" s="169" t="n"/>
      <c r="H736" s="219" t="n"/>
      <c r="I736" s="220" t="n"/>
      <c r="J736" s="221" t="n"/>
    </row>
    <row r="737" ht="15" customHeight="1" s="131">
      <c r="A737" s="220" t="n"/>
      <c r="B737" s="222" t="n"/>
      <c r="C737" s="220" t="n"/>
      <c r="D737" s="220" t="n"/>
      <c r="E737" s="220" t="n"/>
      <c r="F737" s="220" t="n"/>
      <c r="G737" s="169" t="n"/>
      <c r="H737" s="219" t="n"/>
      <c r="I737" s="220" t="n"/>
      <c r="J737" s="221" t="n"/>
    </row>
    <row r="738" ht="15" customHeight="1" s="131">
      <c r="A738" s="220" t="n"/>
      <c r="B738" s="222" t="n"/>
      <c r="C738" s="220" t="n"/>
      <c r="D738" s="220" t="n"/>
      <c r="E738" s="220" t="n"/>
      <c r="F738" s="220" t="n"/>
      <c r="G738" s="169" t="n"/>
      <c r="H738" s="219" t="n"/>
      <c r="I738" s="220" t="n"/>
      <c r="J738" s="221" t="n"/>
    </row>
    <row r="739" ht="15" customHeight="1" s="131">
      <c r="A739" s="220" t="n"/>
      <c r="B739" s="222" t="n"/>
      <c r="C739" s="220" t="n"/>
      <c r="D739" s="220" t="n"/>
      <c r="E739" s="220" t="n"/>
      <c r="F739" s="220" t="n"/>
      <c r="G739" s="169" t="n"/>
      <c r="H739" s="219" t="n"/>
      <c r="I739" s="220" t="n"/>
      <c r="J739" s="221" t="n"/>
    </row>
    <row r="740" ht="15" customHeight="1" s="131">
      <c r="A740" s="220" t="n"/>
      <c r="B740" s="222" t="n"/>
      <c r="C740" s="220" t="n"/>
      <c r="D740" s="220" t="n"/>
      <c r="E740" s="220" t="n"/>
      <c r="F740" s="220" t="n"/>
      <c r="G740" s="169" t="n"/>
      <c r="H740" s="219" t="n"/>
      <c r="I740" s="220" t="n"/>
      <c r="J740" s="221" t="n"/>
    </row>
    <row r="741" ht="15" customHeight="1" s="131">
      <c r="A741" s="220" t="n"/>
      <c r="B741" s="222" t="n"/>
      <c r="C741" s="220" t="n"/>
      <c r="D741" s="220" t="n"/>
      <c r="E741" s="220" t="n"/>
      <c r="F741" s="220" t="n"/>
      <c r="G741" s="169" t="n"/>
      <c r="H741" s="219" t="n"/>
      <c r="I741" s="220" t="n"/>
      <c r="J741" s="221" t="n"/>
    </row>
    <row r="742" ht="15" customHeight="1" s="131">
      <c r="A742" s="220" t="n"/>
      <c r="B742" s="222" t="n"/>
      <c r="C742" s="220" t="n"/>
      <c r="D742" s="220" t="n"/>
      <c r="E742" s="220" t="n"/>
      <c r="F742" s="220" t="n"/>
      <c r="G742" s="169" t="n"/>
      <c r="H742" s="219" t="n"/>
      <c r="I742" s="220" t="n"/>
      <c r="J742" s="221" t="n"/>
    </row>
    <row r="743" ht="15" customHeight="1" s="131">
      <c r="A743" s="220" t="n"/>
      <c r="B743" s="222" t="n"/>
      <c r="C743" s="220" t="n"/>
      <c r="D743" s="220" t="n"/>
      <c r="E743" s="220" t="n"/>
      <c r="F743" s="220" t="n"/>
      <c r="G743" s="169" t="n"/>
      <c r="H743" s="219" t="n"/>
      <c r="I743" s="220" t="n"/>
      <c r="J743" s="221" t="n"/>
    </row>
    <row r="744" ht="15" customHeight="1" s="131">
      <c r="A744" s="220" t="n"/>
      <c r="B744" s="222" t="n"/>
      <c r="C744" s="220" t="n"/>
      <c r="D744" s="220" t="n"/>
      <c r="E744" s="220" t="n"/>
      <c r="F744" s="220" t="n"/>
      <c r="G744" s="169" t="n"/>
      <c r="H744" s="219" t="n"/>
      <c r="I744" s="220" t="n"/>
      <c r="J744" s="221" t="n"/>
    </row>
    <row r="745" ht="15" customHeight="1" s="131">
      <c r="A745" s="220" t="n"/>
      <c r="B745" s="222" t="n"/>
      <c r="C745" s="220" t="n"/>
      <c r="D745" s="220" t="n"/>
      <c r="E745" s="220" t="n"/>
      <c r="F745" s="220" t="n"/>
      <c r="G745" s="169" t="n"/>
      <c r="H745" s="219" t="n"/>
      <c r="I745" s="220" t="n"/>
      <c r="J745" s="221" t="n"/>
    </row>
    <row r="746" ht="15" customHeight="1" s="131">
      <c r="A746" s="220" t="n"/>
      <c r="B746" s="222" t="n"/>
      <c r="C746" s="220" t="n"/>
      <c r="D746" s="220" t="n"/>
      <c r="E746" s="220" t="n"/>
      <c r="F746" s="220" t="n"/>
      <c r="G746" s="169" t="n"/>
      <c r="H746" s="219" t="n"/>
      <c r="I746" s="220" t="n"/>
      <c r="J746" s="221" t="n"/>
    </row>
    <row r="747" ht="15" customHeight="1" s="131">
      <c r="A747" s="220" t="n"/>
      <c r="B747" s="222" t="n"/>
      <c r="C747" s="220" t="n"/>
      <c r="D747" s="220" t="n"/>
      <c r="E747" s="220" t="n"/>
      <c r="F747" s="220" t="n"/>
      <c r="G747" s="169" t="n"/>
      <c r="H747" s="219" t="n"/>
      <c r="I747" s="220" t="n"/>
      <c r="J747" s="221" t="n"/>
    </row>
    <row r="748" ht="15" customHeight="1" s="131">
      <c r="A748" s="220" t="n"/>
      <c r="B748" s="222" t="n"/>
      <c r="C748" s="220" t="n"/>
      <c r="D748" s="220" t="n"/>
      <c r="E748" s="220" t="n"/>
      <c r="F748" s="220" t="n"/>
      <c r="G748" s="169" t="n"/>
      <c r="H748" s="219" t="n"/>
      <c r="I748" s="220" t="n"/>
      <c r="J748" s="221" t="n"/>
    </row>
    <row r="749" ht="15" customHeight="1" s="131">
      <c r="A749" s="220" t="n"/>
      <c r="B749" s="222" t="n"/>
      <c r="C749" s="220" t="n"/>
      <c r="D749" s="220" t="n"/>
      <c r="E749" s="220" t="n"/>
      <c r="F749" s="220" t="n"/>
      <c r="G749" s="169" t="n"/>
      <c r="H749" s="219" t="n"/>
      <c r="I749" s="220" t="n"/>
      <c r="J749" s="221" t="n"/>
    </row>
    <row r="750" ht="15" customHeight="1" s="131">
      <c r="A750" s="220" t="n"/>
      <c r="B750" s="222" t="n"/>
      <c r="C750" s="220" t="n"/>
      <c r="D750" s="220" t="n"/>
      <c r="E750" s="220" t="n"/>
      <c r="F750" s="220" t="n"/>
      <c r="G750" s="169" t="n"/>
      <c r="H750" s="219" t="n"/>
      <c r="I750" s="220" t="n"/>
      <c r="J750" s="221" t="n"/>
    </row>
    <row r="751" ht="15" customHeight="1" s="131">
      <c r="A751" s="220" t="n"/>
      <c r="B751" s="222" t="n"/>
      <c r="C751" s="220" t="n"/>
      <c r="D751" s="220" t="n"/>
      <c r="E751" s="220" t="n"/>
      <c r="F751" s="220" t="n"/>
      <c r="G751" s="169" t="n"/>
      <c r="H751" s="219" t="n"/>
      <c r="I751" s="220" t="n"/>
      <c r="J751" s="221" t="n"/>
    </row>
    <row r="752" ht="15" customHeight="1" s="131">
      <c r="A752" s="220" t="n"/>
      <c r="B752" s="222" t="n"/>
      <c r="C752" s="220" t="n"/>
      <c r="D752" s="220" t="n"/>
      <c r="E752" s="220" t="n"/>
      <c r="F752" s="220" t="n"/>
      <c r="G752" s="169" t="n"/>
      <c r="H752" s="219" t="n"/>
      <c r="I752" s="220" t="n"/>
      <c r="J752" s="221" t="n"/>
    </row>
    <row r="753" ht="15" customHeight="1" s="131">
      <c r="A753" s="220" t="n"/>
      <c r="B753" s="222" t="n"/>
      <c r="C753" s="220" t="n"/>
      <c r="D753" s="220" t="n"/>
      <c r="E753" s="220" t="n"/>
      <c r="F753" s="220" t="n"/>
      <c r="G753" s="169" t="n"/>
      <c r="H753" s="219" t="n"/>
      <c r="I753" s="220" t="n"/>
      <c r="J753" s="221" t="n"/>
    </row>
    <row r="754" ht="15" customHeight="1" s="131">
      <c r="A754" s="220" t="n"/>
      <c r="B754" s="222" t="n"/>
      <c r="C754" s="220" t="n"/>
      <c r="D754" s="220" t="n"/>
      <c r="E754" s="220" t="n"/>
      <c r="F754" s="220" t="n"/>
      <c r="G754" s="169" t="n"/>
      <c r="H754" s="219" t="n"/>
      <c r="I754" s="220" t="n"/>
      <c r="J754" s="221" t="n"/>
    </row>
    <row r="755" ht="15" customHeight="1" s="131">
      <c r="A755" s="220" t="n"/>
      <c r="B755" s="222" t="n"/>
      <c r="C755" s="220" t="n"/>
      <c r="D755" s="220" t="n"/>
      <c r="E755" s="220" t="n"/>
      <c r="F755" s="220" t="n"/>
      <c r="G755" s="169" t="n"/>
      <c r="H755" s="219" t="n"/>
      <c r="I755" s="220" t="n"/>
      <c r="J755" s="221" t="n"/>
    </row>
    <row r="756" ht="15" customHeight="1" s="131">
      <c r="A756" s="220" t="n"/>
      <c r="B756" s="222" t="n"/>
      <c r="C756" s="220" t="n"/>
      <c r="D756" s="220" t="n"/>
      <c r="E756" s="220" t="n"/>
      <c r="F756" s="220" t="n"/>
      <c r="G756" s="169" t="n"/>
      <c r="H756" s="219" t="n"/>
      <c r="I756" s="220" t="n"/>
      <c r="J756" s="221" t="n"/>
    </row>
    <row r="757" ht="15" customHeight="1" s="131">
      <c r="A757" s="220" t="n"/>
      <c r="B757" s="222" t="n"/>
      <c r="C757" s="220" t="n"/>
      <c r="D757" s="220" t="n"/>
      <c r="E757" s="220" t="n"/>
      <c r="F757" s="220" t="n"/>
      <c r="G757" s="169" t="n"/>
      <c r="H757" s="219" t="n"/>
      <c r="I757" s="220" t="n"/>
      <c r="J757" s="221" t="n"/>
    </row>
    <row r="758" ht="15" customHeight="1" s="131">
      <c r="A758" s="220" t="n"/>
      <c r="B758" s="222" t="n"/>
      <c r="C758" s="220" t="n"/>
      <c r="D758" s="220" t="n"/>
      <c r="E758" s="220" t="n"/>
      <c r="F758" s="220" t="n"/>
      <c r="G758" s="169" t="n"/>
      <c r="H758" s="219" t="n"/>
      <c r="I758" s="220" t="n"/>
      <c r="J758" s="221" t="n"/>
    </row>
    <row r="759" ht="15" customHeight="1" s="131">
      <c r="A759" s="220" t="n"/>
      <c r="B759" s="222" t="n"/>
      <c r="C759" s="220" t="n"/>
      <c r="D759" s="220" t="n"/>
      <c r="E759" s="220" t="n"/>
      <c r="F759" s="220" t="n"/>
      <c r="G759" s="169" t="n"/>
      <c r="H759" s="219" t="n"/>
      <c r="I759" s="220" t="n"/>
      <c r="J759" s="221" t="n"/>
    </row>
    <row r="760" ht="15" customHeight="1" s="131">
      <c r="A760" s="220" t="n"/>
      <c r="B760" s="222" t="n"/>
      <c r="C760" s="220" t="n"/>
      <c r="D760" s="220" t="n"/>
      <c r="E760" s="220" t="n"/>
      <c r="F760" s="220" t="n"/>
      <c r="G760" s="169" t="n"/>
      <c r="H760" s="219" t="n"/>
      <c r="I760" s="220" t="n"/>
      <c r="J760" s="221" t="n"/>
    </row>
    <row r="761" ht="15" customHeight="1" s="131">
      <c r="A761" s="220" t="n"/>
      <c r="B761" s="222" t="n"/>
      <c r="C761" s="220" t="n"/>
      <c r="D761" s="220" t="n"/>
      <c r="E761" s="220" t="n"/>
      <c r="F761" s="220" t="n"/>
      <c r="G761" s="169" t="n"/>
      <c r="H761" s="219" t="n"/>
      <c r="I761" s="220" t="n"/>
      <c r="J761" s="221" t="n"/>
    </row>
    <row r="762" ht="15" customHeight="1" s="131">
      <c r="A762" s="220" t="n"/>
      <c r="B762" s="222" t="n"/>
      <c r="C762" s="220" t="n"/>
      <c r="D762" s="220" t="n"/>
      <c r="E762" s="220" t="n"/>
      <c r="F762" s="220" t="n"/>
      <c r="G762" s="169" t="n"/>
      <c r="H762" s="219" t="n"/>
      <c r="I762" s="220" t="n"/>
      <c r="J762" s="221" t="n"/>
    </row>
    <row r="763" ht="15" customHeight="1" s="131">
      <c r="A763" s="220" t="n"/>
      <c r="B763" s="222" t="n"/>
      <c r="C763" s="220" t="n"/>
      <c r="D763" s="220" t="n"/>
      <c r="E763" s="220" t="n"/>
      <c r="F763" s="220" t="n"/>
      <c r="G763" s="169" t="n"/>
      <c r="H763" s="219" t="n"/>
      <c r="I763" s="220" t="n"/>
      <c r="J763" s="221" t="n"/>
    </row>
    <row r="764" ht="15" customHeight="1" s="131">
      <c r="A764" s="220" t="n"/>
      <c r="B764" s="222" t="n"/>
      <c r="C764" s="220" t="n"/>
      <c r="D764" s="220" t="n"/>
      <c r="E764" s="220" t="n"/>
      <c r="F764" s="220" t="n"/>
      <c r="G764" s="169" t="n"/>
      <c r="H764" s="219" t="n"/>
      <c r="I764" s="220" t="n"/>
      <c r="J764" s="221" t="n"/>
    </row>
    <row r="765" ht="15" customHeight="1" s="131">
      <c r="A765" s="220" t="n"/>
      <c r="B765" s="222" t="n"/>
      <c r="C765" s="220" t="n"/>
      <c r="D765" s="220" t="n"/>
      <c r="E765" s="220" t="n"/>
      <c r="F765" s="220" t="n"/>
      <c r="G765" s="169" t="n"/>
      <c r="H765" s="219" t="n"/>
      <c r="I765" s="220" t="n"/>
      <c r="J765" s="221" t="n"/>
    </row>
    <row r="766" ht="15" customHeight="1" s="131">
      <c r="A766" s="220" t="n"/>
      <c r="B766" s="222" t="n"/>
      <c r="C766" s="220" t="n"/>
      <c r="D766" s="220" t="n"/>
      <c r="E766" s="220" t="n"/>
      <c r="F766" s="220" t="n"/>
      <c r="G766" s="169" t="n"/>
      <c r="H766" s="219" t="n"/>
      <c r="I766" s="220" t="n"/>
      <c r="J766" s="221" t="n"/>
    </row>
    <row r="767" ht="15" customHeight="1" s="131">
      <c r="A767" s="220" t="n"/>
      <c r="B767" s="222" t="n"/>
      <c r="C767" s="220" t="n"/>
      <c r="D767" s="220" t="n"/>
      <c r="E767" s="220" t="n"/>
      <c r="F767" s="220" t="n"/>
      <c r="G767" s="169" t="n"/>
      <c r="H767" s="219" t="n"/>
      <c r="I767" s="220" t="n"/>
      <c r="J767" s="221" t="n"/>
    </row>
    <row r="768" ht="15" customHeight="1" s="131">
      <c r="A768" s="220" t="n"/>
      <c r="B768" s="222" t="n"/>
      <c r="C768" s="220" t="n"/>
      <c r="D768" s="220" t="n"/>
      <c r="E768" s="220" t="n"/>
      <c r="F768" s="220" t="n"/>
      <c r="G768" s="169" t="n"/>
      <c r="H768" s="219" t="n"/>
      <c r="I768" s="220" t="n"/>
      <c r="J768" s="221" t="n"/>
    </row>
    <row r="769" ht="15" customHeight="1" s="131">
      <c r="A769" s="220" t="n"/>
      <c r="B769" s="222" t="n"/>
      <c r="C769" s="220" t="n"/>
      <c r="D769" s="220" t="n"/>
      <c r="E769" s="220" t="n"/>
      <c r="F769" s="220" t="n"/>
      <c r="G769" s="169" t="n"/>
      <c r="H769" s="219" t="n"/>
      <c r="I769" s="220" t="n"/>
      <c r="J769" s="221" t="n"/>
    </row>
    <row r="770" ht="15" customHeight="1" s="131">
      <c r="A770" s="220" t="n"/>
      <c r="B770" s="222" t="n"/>
      <c r="C770" s="220" t="n"/>
      <c r="D770" s="220" t="n"/>
      <c r="E770" s="220" t="n"/>
      <c r="F770" s="220" t="n"/>
      <c r="G770" s="169" t="n"/>
      <c r="H770" s="219" t="n"/>
      <c r="I770" s="220" t="n"/>
      <c r="J770" s="221" t="n"/>
    </row>
    <row r="771" ht="15" customHeight="1" s="131">
      <c r="A771" s="220" t="n"/>
      <c r="B771" s="222" t="n"/>
      <c r="C771" s="220" t="n"/>
      <c r="D771" s="220" t="n"/>
      <c r="E771" s="220" t="n"/>
      <c r="F771" s="220" t="n"/>
      <c r="G771" s="169" t="n"/>
      <c r="H771" s="219" t="n"/>
      <c r="I771" s="220" t="n"/>
      <c r="J771" s="221" t="n"/>
    </row>
    <row r="772" ht="15" customHeight="1" s="131">
      <c r="A772" s="220" t="n"/>
      <c r="B772" s="222" t="n"/>
      <c r="C772" s="220" t="n"/>
      <c r="D772" s="220" t="n"/>
      <c r="E772" s="220" t="n"/>
      <c r="F772" s="220" t="n"/>
      <c r="G772" s="169" t="n"/>
      <c r="H772" s="219" t="n"/>
      <c r="I772" s="220" t="n"/>
      <c r="J772" s="221" t="n"/>
    </row>
    <row r="773" ht="15" customHeight="1" s="131">
      <c r="A773" s="220" t="n"/>
      <c r="B773" s="222" t="n"/>
      <c r="C773" s="220" t="n"/>
      <c r="D773" s="220" t="n"/>
      <c r="E773" s="220" t="n"/>
      <c r="F773" s="220" t="n"/>
      <c r="G773" s="169" t="n"/>
      <c r="H773" s="219" t="n"/>
      <c r="I773" s="220" t="n"/>
      <c r="J773" s="221" t="n"/>
    </row>
    <row r="774" ht="15" customHeight="1" s="131">
      <c r="A774" s="220" t="n"/>
      <c r="B774" s="222" t="n"/>
      <c r="C774" s="220" t="n"/>
      <c r="D774" s="220" t="n"/>
      <c r="E774" s="220" t="n"/>
      <c r="F774" s="220" t="n"/>
      <c r="G774" s="169" t="n"/>
      <c r="H774" s="219" t="n"/>
      <c r="I774" s="220" t="n"/>
      <c r="J774" s="221" t="n"/>
    </row>
    <row r="775" ht="15" customHeight="1" s="131">
      <c r="A775" s="220" t="n"/>
      <c r="B775" s="222" t="n"/>
      <c r="C775" s="220" t="n"/>
      <c r="D775" s="220" t="n"/>
      <c r="E775" s="220" t="n"/>
      <c r="F775" s="220" t="n"/>
      <c r="G775" s="169" t="n"/>
      <c r="H775" s="219" t="n"/>
      <c r="I775" s="220" t="n"/>
      <c r="J775" s="221" t="n"/>
    </row>
    <row r="776" ht="15" customHeight="1" s="131">
      <c r="A776" s="220" t="n"/>
      <c r="B776" s="222" t="n"/>
      <c r="C776" s="220" t="n"/>
      <c r="D776" s="220" t="n"/>
      <c r="E776" s="220" t="n"/>
      <c r="F776" s="220" t="n"/>
      <c r="G776" s="169" t="n"/>
      <c r="H776" s="219" t="n"/>
      <c r="I776" s="220" t="n"/>
      <c r="J776" s="221" t="n"/>
    </row>
    <row r="777" ht="15" customHeight="1" s="131">
      <c r="A777" s="220" t="n"/>
      <c r="B777" s="222" t="n"/>
      <c r="C777" s="220" t="n"/>
      <c r="D777" s="220" t="n"/>
      <c r="E777" s="220" t="n"/>
      <c r="F777" s="220" t="n"/>
      <c r="G777" s="169" t="n"/>
      <c r="H777" s="219" t="n"/>
      <c r="I777" s="220" t="n"/>
      <c r="J777" s="221" t="n"/>
    </row>
    <row r="778" ht="15" customHeight="1" s="131">
      <c r="A778" s="220" t="n"/>
      <c r="B778" s="222" t="n"/>
      <c r="C778" s="220" t="n"/>
      <c r="D778" s="220" t="n"/>
      <c r="E778" s="220" t="n"/>
      <c r="F778" s="220" t="n"/>
      <c r="G778" s="169" t="n"/>
      <c r="H778" s="219" t="n"/>
      <c r="I778" s="220" t="n"/>
      <c r="J778" s="221" t="n"/>
    </row>
    <row r="779" ht="15" customHeight="1" s="131">
      <c r="A779" s="220" t="n"/>
      <c r="B779" s="222" t="n"/>
      <c r="C779" s="220" t="n"/>
      <c r="D779" s="220" t="n"/>
      <c r="E779" s="220" t="n"/>
      <c r="F779" s="220" t="n"/>
      <c r="G779" s="169" t="n"/>
      <c r="H779" s="219" t="n"/>
      <c r="I779" s="220" t="n"/>
      <c r="J779" s="221" t="n"/>
    </row>
    <row r="780" ht="15" customHeight="1" s="131">
      <c r="A780" s="220" t="n"/>
      <c r="B780" s="222" t="n"/>
      <c r="C780" s="220" t="n"/>
      <c r="D780" s="220" t="n"/>
      <c r="E780" s="220" t="n"/>
      <c r="F780" s="220" t="n"/>
      <c r="G780" s="169" t="n"/>
      <c r="H780" s="219" t="n"/>
      <c r="I780" s="220" t="n"/>
      <c r="J780" s="221" t="n"/>
    </row>
    <row r="781" ht="15" customHeight="1" s="131">
      <c r="A781" s="220" t="n"/>
      <c r="B781" s="222" t="n"/>
      <c r="C781" s="220" t="n"/>
      <c r="D781" s="220" t="n"/>
      <c r="E781" s="220" t="n"/>
      <c r="F781" s="220" t="n"/>
      <c r="G781" s="169" t="n"/>
      <c r="H781" s="219" t="n"/>
      <c r="I781" s="220" t="n"/>
      <c r="J781" s="221" t="n"/>
    </row>
    <row r="782" ht="15" customHeight="1" s="131">
      <c r="A782" s="220" t="n"/>
      <c r="B782" s="222" t="n"/>
      <c r="C782" s="220" t="n"/>
      <c r="D782" s="220" t="n"/>
      <c r="E782" s="220" t="n"/>
      <c r="F782" s="220" t="n"/>
      <c r="G782" s="169" t="n"/>
      <c r="H782" s="219" t="n"/>
      <c r="I782" s="220" t="n"/>
      <c r="J782" s="221" t="n"/>
    </row>
    <row r="783" ht="15" customHeight="1" s="131">
      <c r="A783" s="220" t="n"/>
      <c r="B783" s="222" t="n"/>
      <c r="C783" s="220" t="n"/>
      <c r="D783" s="220" t="n"/>
      <c r="E783" s="220" t="n"/>
      <c r="F783" s="220" t="n"/>
      <c r="G783" s="169" t="n"/>
      <c r="H783" s="219" t="n"/>
      <c r="I783" s="220" t="n"/>
      <c r="J783" s="221" t="n"/>
    </row>
    <row r="784" ht="15" customHeight="1" s="131">
      <c r="A784" s="220" t="n"/>
      <c r="B784" s="222" t="n"/>
      <c r="C784" s="220" t="n"/>
      <c r="D784" s="220" t="n"/>
      <c r="E784" s="220" t="n"/>
      <c r="F784" s="220" t="n"/>
      <c r="G784" s="169" t="n"/>
      <c r="H784" s="219" t="n"/>
      <c r="I784" s="220" t="n"/>
      <c r="J784" s="221" t="n"/>
    </row>
    <row r="785" ht="15" customHeight="1" s="131">
      <c r="A785" s="220" t="n"/>
      <c r="B785" s="222" t="n"/>
      <c r="C785" s="220" t="n"/>
      <c r="D785" s="220" t="n"/>
      <c r="E785" s="220" t="n"/>
      <c r="F785" s="220" t="n"/>
      <c r="G785" s="169" t="n"/>
      <c r="H785" s="219" t="n"/>
      <c r="I785" s="220" t="n"/>
      <c r="J785" s="221" t="n"/>
    </row>
    <row r="786" ht="15" customHeight="1" s="131">
      <c r="A786" s="220" t="n"/>
      <c r="B786" s="222" t="n"/>
      <c r="C786" s="220" t="n"/>
      <c r="D786" s="220" t="n"/>
      <c r="E786" s="220" t="n"/>
      <c r="F786" s="220" t="n"/>
      <c r="G786" s="169" t="n"/>
      <c r="H786" s="219" t="n"/>
      <c r="I786" s="220" t="n"/>
      <c r="J786" s="221" t="n"/>
    </row>
    <row r="787" ht="15" customHeight="1" s="131">
      <c r="A787" s="220" t="n"/>
      <c r="B787" s="222" t="n"/>
      <c r="C787" s="220" t="n"/>
      <c r="D787" s="220" t="n"/>
      <c r="E787" s="220" t="n"/>
      <c r="F787" s="220" t="n"/>
      <c r="G787" s="169" t="n"/>
      <c r="H787" s="219" t="n"/>
      <c r="I787" s="220" t="n"/>
      <c r="J787" s="221" t="n"/>
    </row>
    <row r="788" ht="15" customHeight="1" s="131">
      <c r="A788" s="220" t="n"/>
      <c r="B788" s="222" t="n"/>
      <c r="C788" s="220" t="n"/>
      <c r="D788" s="220" t="n"/>
      <c r="E788" s="220" t="n"/>
      <c r="F788" s="220" t="n"/>
      <c r="G788" s="169" t="n"/>
      <c r="H788" s="219" t="n"/>
      <c r="I788" s="220" t="n"/>
      <c r="J788" s="221" t="n"/>
    </row>
    <row r="789" ht="15" customHeight="1" s="131">
      <c r="A789" s="220" t="n"/>
      <c r="B789" s="222" t="n"/>
      <c r="C789" s="220" t="n"/>
      <c r="D789" s="220" t="n"/>
      <c r="E789" s="220" t="n"/>
      <c r="F789" s="220" t="n"/>
      <c r="G789" s="169" t="n"/>
      <c r="H789" s="219" t="n"/>
      <c r="I789" s="220" t="n"/>
      <c r="J789" s="221" t="n"/>
    </row>
    <row r="790" ht="15" customHeight="1" s="131">
      <c r="A790" s="220" t="n"/>
      <c r="B790" s="222" t="n"/>
      <c r="C790" s="220" t="n"/>
      <c r="D790" s="220" t="n"/>
      <c r="E790" s="220" t="n"/>
      <c r="F790" s="220" t="n"/>
      <c r="G790" s="169" t="n"/>
      <c r="H790" s="219" t="n"/>
      <c r="I790" s="220" t="n"/>
      <c r="J790" s="221" t="n"/>
    </row>
    <row r="791" ht="15" customHeight="1" s="131">
      <c r="A791" s="220" t="n"/>
      <c r="B791" s="222" t="n"/>
      <c r="C791" s="220" t="n"/>
      <c r="D791" s="220" t="n"/>
      <c r="E791" s="220" t="n"/>
      <c r="F791" s="220" t="n"/>
      <c r="G791" s="169" t="n"/>
      <c r="H791" s="219" t="n"/>
      <c r="I791" s="220" t="n"/>
      <c r="J791" s="221" t="n"/>
    </row>
    <row r="792" ht="15" customHeight="1" s="131">
      <c r="A792" s="220" t="n"/>
      <c r="B792" s="222" t="n"/>
      <c r="C792" s="220" t="n"/>
      <c r="D792" s="220" t="n"/>
      <c r="E792" s="220" t="n"/>
      <c r="F792" s="220" t="n"/>
      <c r="G792" s="169" t="n"/>
      <c r="H792" s="219" t="n"/>
      <c r="I792" s="220" t="n"/>
      <c r="J792" s="221" t="n"/>
    </row>
    <row r="793" ht="15" customHeight="1" s="131">
      <c r="A793" s="220" t="n"/>
      <c r="B793" s="222" t="n"/>
      <c r="C793" s="220" t="n"/>
      <c r="D793" s="220" t="n"/>
      <c r="E793" s="220" t="n"/>
      <c r="F793" s="220" t="n"/>
      <c r="G793" s="169" t="n"/>
      <c r="H793" s="219" t="n"/>
      <c r="I793" s="220" t="n"/>
      <c r="J793" s="221" t="n"/>
    </row>
    <row r="794" ht="15" customHeight="1" s="131">
      <c r="A794" s="220" t="n"/>
      <c r="B794" s="222" t="n"/>
      <c r="C794" s="220" t="n"/>
      <c r="D794" s="220" t="n"/>
      <c r="E794" s="220" t="n"/>
      <c r="F794" s="220" t="n"/>
      <c r="G794" s="169" t="n"/>
      <c r="H794" s="219" t="n"/>
      <c r="I794" s="220" t="n"/>
      <c r="J794" s="221" t="n"/>
    </row>
    <row r="795" ht="15" customHeight="1" s="131">
      <c r="A795" s="220" t="n"/>
      <c r="B795" s="222" t="n"/>
      <c r="C795" s="220" t="n"/>
      <c r="D795" s="220" t="n"/>
      <c r="E795" s="220" t="n"/>
      <c r="F795" s="220" t="n"/>
      <c r="G795" s="169" t="n"/>
      <c r="H795" s="219" t="n"/>
      <c r="I795" s="220" t="n"/>
      <c r="J795" s="221" t="n"/>
    </row>
    <row r="796" ht="15" customHeight="1" s="131">
      <c r="A796" s="220" t="n"/>
      <c r="B796" s="222" t="n"/>
      <c r="C796" s="220" t="n"/>
      <c r="D796" s="220" t="n"/>
      <c r="E796" s="220" t="n"/>
      <c r="F796" s="220" t="n"/>
      <c r="G796" s="169" t="n"/>
      <c r="H796" s="219" t="n"/>
      <c r="I796" s="220" t="n"/>
      <c r="J796" s="221" t="n"/>
    </row>
    <row r="797" ht="15" customHeight="1" s="131">
      <c r="A797" s="220" t="n"/>
      <c r="B797" s="222" t="n"/>
      <c r="C797" s="220" t="n"/>
      <c r="D797" s="220" t="n"/>
      <c r="E797" s="220" t="n"/>
      <c r="F797" s="220" t="n"/>
      <c r="G797" s="169" t="n"/>
      <c r="H797" s="219" t="n"/>
      <c r="I797" s="220" t="n"/>
      <c r="J797" s="221" t="n"/>
    </row>
    <row r="798" ht="15" customHeight="1" s="131">
      <c r="A798" s="220" t="n"/>
      <c r="B798" s="222" t="n"/>
      <c r="C798" s="220" t="n"/>
      <c r="D798" s="220" t="n"/>
      <c r="E798" s="220" t="n"/>
      <c r="F798" s="220" t="n"/>
      <c r="G798" s="169" t="n"/>
      <c r="H798" s="219" t="n"/>
      <c r="I798" s="220" t="n"/>
      <c r="J798" s="221" t="n"/>
    </row>
    <row r="799" ht="15" customHeight="1" s="131">
      <c r="A799" s="220" t="n"/>
      <c r="B799" s="222" t="n"/>
      <c r="C799" s="220" t="n"/>
      <c r="D799" s="220" t="n"/>
      <c r="E799" s="220" t="n"/>
      <c r="F799" s="220" t="n"/>
      <c r="G799" s="169" t="n"/>
      <c r="H799" s="219" t="n"/>
      <c r="I799" s="220" t="n"/>
      <c r="J799" s="221" t="n"/>
    </row>
    <row r="800" ht="15" customHeight="1" s="131">
      <c r="A800" s="220" t="n"/>
      <c r="B800" s="222" t="n"/>
      <c r="C800" s="220" t="n"/>
      <c r="D800" s="220" t="n"/>
      <c r="E800" s="220" t="n"/>
      <c r="F800" s="220" t="n"/>
      <c r="G800" s="169" t="n"/>
      <c r="H800" s="219" t="n"/>
      <c r="I800" s="220" t="n"/>
      <c r="J800" s="221" t="n"/>
    </row>
    <row r="801" ht="15" customHeight="1" s="131">
      <c r="A801" s="220" t="n"/>
      <c r="B801" s="222" t="n"/>
      <c r="C801" s="220" t="n"/>
      <c r="D801" s="220" t="n"/>
      <c r="E801" s="220" t="n"/>
      <c r="F801" s="220" t="n"/>
      <c r="G801" s="169" t="n"/>
      <c r="H801" s="219" t="n"/>
      <c r="I801" s="220" t="n"/>
      <c r="J801" s="221" t="n"/>
    </row>
    <row r="802" ht="15" customHeight="1" s="131">
      <c r="A802" s="220" t="n"/>
      <c r="B802" s="222" t="n"/>
      <c r="C802" s="220" t="n"/>
      <c r="D802" s="220" t="n"/>
      <c r="E802" s="220" t="n"/>
      <c r="F802" s="220" t="n"/>
      <c r="G802" s="169" t="n"/>
      <c r="H802" s="219" t="n"/>
      <c r="I802" s="220" t="n"/>
      <c r="J802" s="221" t="n"/>
    </row>
    <row r="803" ht="15" customHeight="1" s="131">
      <c r="A803" s="220" t="n"/>
      <c r="B803" s="222" t="n"/>
      <c r="C803" s="220" t="n"/>
      <c r="D803" s="220" t="n"/>
      <c r="E803" s="220" t="n"/>
      <c r="F803" s="220" t="n"/>
      <c r="G803" s="169" t="n"/>
      <c r="H803" s="219" t="n"/>
      <c r="I803" s="220" t="n"/>
      <c r="J803" s="221" t="n"/>
    </row>
    <row r="804" ht="15" customHeight="1" s="131">
      <c r="A804" s="220" t="n"/>
      <c r="B804" s="222" t="n"/>
      <c r="C804" s="220" t="n"/>
      <c r="D804" s="220" t="n"/>
      <c r="E804" s="220" t="n"/>
      <c r="F804" s="220" t="n"/>
      <c r="G804" s="169" t="n"/>
      <c r="H804" s="219" t="n"/>
      <c r="I804" s="220" t="n"/>
      <c r="J804" s="221" t="n"/>
    </row>
    <row r="805" ht="15" customHeight="1" s="131">
      <c r="A805" s="220" t="n"/>
      <c r="B805" s="222" t="n"/>
      <c r="C805" s="220" t="n"/>
      <c r="D805" s="220" t="n"/>
      <c r="E805" s="220" t="n"/>
      <c r="F805" s="220" t="n"/>
      <c r="G805" s="169" t="n"/>
      <c r="H805" s="219" t="n"/>
      <c r="I805" s="220" t="n"/>
      <c r="J805" s="221" t="n"/>
    </row>
    <row r="806" ht="15" customHeight="1" s="131">
      <c r="A806" s="220" t="n"/>
      <c r="B806" s="222" t="n"/>
      <c r="C806" s="220" t="n"/>
      <c r="D806" s="220" t="n"/>
      <c r="E806" s="220" t="n"/>
      <c r="F806" s="220" t="n"/>
      <c r="G806" s="169" t="n"/>
      <c r="H806" s="219" t="n"/>
      <c r="I806" s="220" t="n"/>
      <c r="J806" s="221" t="n"/>
    </row>
    <row r="807" ht="15" customHeight="1" s="131">
      <c r="A807" s="220" t="n"/>
      <c r="B807" s="222" t="n"/>
      <c r="C807" s="220" t="n"/>
      <c r="D807" s="220" t="n"/>
      <c r="E807" s="220" t="n"/>
      <c r="F807" s="220" t="n"/>
      <c r="G807" s="169" t="n"/>
      <c r="H807" s="219" t="n"/>
      <c r="I807" s="220" t="n"/>
      <c r="J807" s="221" t="n"/>
    </row>
    <row r="808" ht="15" customHeight="1" s="131">
      <c r="A808" s="220" t="n"/>
      <c r="B808" s="222" t="n"/>
      <c r="C808" s="220" t="n"/>
      <c r="D808" s="220" t="n"/>
      <c r="E808" s="220" t="n"/>
      <c r="F808" s="220" t="n"/>
      <c r="G808" s="169" t="n"/>
      <c r="H808" s="219" t="n"/>
      <c r="I808" s="220" t="n"/>
      <c r="J808" s="221" t="n"/>
    </row>
    <row r="809" ht="15" customHeight="1" s="131">
      <c r="A809" s="220" t="n"/>
      <c r="B809" s="222" t="n"/>
      <c r="C809" s="220" t="n"/>
      <c r="D809" s="220" t="n"/>
      <c r="E809" s="220" t="n"/>
      <c r="F809" s="220" t="n"/>
      <c r="G809" s="169" t="n"/>
      <c r="H809" s="219" t="n"/>
      <c r="I809" s="220" t="n"/>
      <c r="J809" s="221" t="n"/>
    </row>
    <row r="810" ht="15" customHeight="1" s="131">
      <c r="A810" s="220" t="n"/>
      <c r="B810" s="222" t="n"/>
      <c r="C810" s="220" t="n"/>
      <c r="D810" s="220" t="n"/>
      <c r="E810" s="220" t="n"/>
      <c r="F810" s="220" t="n"/>
      <c r="G810" s="169" t="n"/>
      <c r="H810" s="219" t="n"/>
      <c r="I810" s="220" t="n"/>
      <c r="J810" s="221" t="n"/>
    </row>
    <row r="811" ht="15" customHeight="1" s="131">
      <c r="A811" s="220" t="n"/>
      <c r="B811" s="222" t="n"/>
      <c r="C811" s="220" t="n"/>
      <c r="D811" s="220" t="n"/>
      <c r="E811" s="220" t="n"/>
      <c r="F811" s="220" t="n"/>
      <c r="G811" s="169" t="n"/>
      <c r="H811" s="219" t="n"/>
      <c r="I811" s="220" t="n"/>
      <c r="J811" s="221" t="n"/>
    </row>
    <row r="812" ht="15" customHeight="1" s="131">
      <c r="A812" s="220" t="n"/>
      <c r="B812" s="222" t="n"/>
      <c r="C812" s="220" t="n"/>
      <c r="D812" s="220" t="n"/>
      <c r="E812" s="220" t="n"/>
      <c r="F812" s="220" t="n"/>
      <c r="G812" s="169" t="n"/>
      <c r="H812" s="219" t="n"/>
      <c r="I812" s="220" t="n"/>
      <c r="J812" s="221" t="n"/>
    </row>
    <row r="813" ht="15" customHeight="1" s="131">
      <c r="A813" s="220" t="n"/>
      <c r="B813" s="222" t="n"/>
      <c r="C813" s="220" t="n"/>
      <c r="D813" s="220" t="n"/>
      <c r="E813" s="220" t="n"/>
      <c r="F813" s="220" t="n"/>
      <c r="G813" s="169" t="n"/>
      <c r="H813" s="219" t="n"/>
      <c r="I813" s="220" t="n"/>
      <c r="J813" s="221" t="n"/>
    </row>
    <row r="814" ht="15" customHeight="1" s="131">
      <c r="A814" s="220" t="n"/>
      <c r="B814" s="222" t="n"/>
      <c r="C814" s="220" t="n"/>
      <c r="D814" s="220" t="n"/>
      <c r="E814" s="220" t="n"/>
      <c r="F814" s="220" t="n"/>
      <c r="G814" s="169" t="n"/>
      <c r="H814" s="219" t="n"/>
      <c r="I814" s="220" t="n"/>
      <c r="J814" s="221" t="n"/>
    </row>
    <row r="815" ht="15" customHeight="1" s="131">
      <c r="A815" s="220" t="n"/>
      <c r="B815" s="222" t="n"/>
      <c r="C815" s="220" t="n"/>
      <c r="D815" s="220" t="n"/>
      <c r="E815" s="220" t="n"/>
      <c r="F815" s="220" t="n"/>
      <c r="G815" s="169" t="n"/>
      <c r="H815" s="219" t="n"/>
      <c r="I815" s="220" t="n"/>
      <c r="J815" s="221" t="n"/>
    </row>
    <row r="816" ht="15" customHeight="1" s="131">
      <c r="A816" s="220" t="n"/>
      <c r="B816" s="222" t="n"/>
      <c r="C816" s="220" t="n"/>
      <c r="D816" s="220" t="n"/>
      <c r="E816" s="220" t="n"/>
      <c r="F816" s="220" t="n"/>
      <c r="G816" s="169" t="n"/>
      <c r="H816" s="219" t="n"/>
      <c r="I816" s="220" t="n"/>
      <c r="J816" s="221" t="n"/>
    </row>
    <row r="817" ht="15" customHeight="1" s="131">
      <c r="A817" s="220" t="n"/>
      <c r="B817" s="222" t="n"/>
      <c r="C817" s="220" t="n"/>
      <c r="D817" s="220" t="n"/>
      <c r="E817" s="220" t="n"/>
      <c r="F817" s="220" t="n"/>
      <c r="G817" s="169" t="n"/>
      <c r="H817" s="219" t="n"/>
      <c r="I817" s="220" t="n"/>
      <c r="J817" s="221" t="n"/>
    </row>
    <row r="818" ht="15" customHeight="1" s="131">
      <c r="A818" s="220" t="n"/>
      <c r="B818" s="222" t="n"/>
      <c r="C818" s="220" t="n"/>
      <c r="D818" s="220" t="n"/>
      <c r="E818" s="220" t="n"/>
      <c r="F818" s="220" t="n"/>
      <c r="G818" s="169" t="n"/>
      <c r="H818" s="219" t="n"/>
      <c r="I818" s="220" t="n"/>
      <c r="J818" s="221" t="n"/>
    </row>
    <row r="819" ht="15" customHeight="1" s="131">
      <c r="A819" s="220" t="n"/>
      <c r="B819" s="222" t="n"/>
      <c r="C819" s="220" t="n"/>
      <c r="D819" s="220" t="n"/>
      <c r="E819" s="220" t="n"/>
      <c r="F819" s="220" t="n"/>
      <c r="G819" s="169" t="n"/>
      <c r="H819" s="219" t="n"/>
      <c r="I819" s="220" t="n"/>
      <c r="J819" s="221" t="n"/>
    </row>
    <row r="820" ht="15" customHeight="1" s="131">
      <c r="A820" s="220" t="n"/>
      <c r="B820" s="222" t="n"/>
      <c r="C820" s="220" t="n"/>
      <c r="D820" s="220" t="n"/>
      <c r="E820" s="220" t="n"/>
      <c r="F820" s="220" t="n"/>
      <c r="G820" s="169" t="n"/>
      <c r="H820" s="219" t="n"/>
      <c r="I820" s="220" t="n"/>
      <c r="J820" s="221" t="n"/>
    </row>
    <row r="821" ht="15" customHeight="1" s="131">
      <c r="A821" s="220" t="n"/>
      <c r="B821" s="222" t="n"/>
      <c r="C821" s="220" t="n"/>
      <c r="D821" s="220" t="n"/>
      <c r="E821" s="220" t="n"/>
      <c r="F821" s="220" t="n"/>
      <c r="G821" s="169" t="n"/>
      <c r="H821" s="219" t="n"/>
      <c r="I821" s="220" t="n"/>
      <c r="J821" s="221" t="n"/>
    </row>
    <row r="822" ht="15" customHeight="1" s="131">
      <c r="A822" s="220" t="n"/>
      <c r="B822" s="222" t="n"/>
      <c r="C822" s="220" t="n"/>
      <c r="D822" s="220" t="n"/>
      <c r="E822" s="220" t="n"/>
      <c r="F822" s="220" t="n"/>
      <c r="G822" s="169" t="n"/>
      <c r="H822" s="219" t="n"/>
      <c r="I822" s="220" t="n"/>
      <c r="J822" s="221" t="n"/>
    </row>
    <row r="823" ht="15" customHeight="1" s="131">
      <c r="A823" s="220" t="n"/>
      <c r="B823" s="222" t="n"/>
      <c r="C823" s="220" t="n"/>
      <c r="D823" s="220" t="n"/>
      <c r="E823" s="220" t="n"/>
      <c r="F823" s="220" t="n"/>
      <c r="G823" s="169" t="n"/>
      <c r="H823" s="219" t="n"/>
      <c r="I823" s="220" t="n"/>
      <c r="J823" s="221" t="n"/>
    </row>
    <row r="824" ht="15" customHeight="1" s="131">
      <c r="A824" s="220" t="n"/>
      <c r="B824" s="222" t="n"/>
      <c r="C824" s="220" t="n"/>
      <c r="D824" s="220" t="n"/>
      <c r="E824" s="220" t="n"/>
      <c r="F824" s="220" t="n"/>
      <c r="G824" s="169" t="n"/>
      <c r="H824" s="219" t="n"/>
      <c r="I824" s="220" t="n"/>
      <c r="J824" s="221" t="n"/>
    </row>
    <row r="825" ht="15" customHeight="1" s="131">
      <c r="A825" s="220" t="n"/>
      <c r="B825" s="222" t="n"/>
      <c r="C825" s="220" t="n"/>
      <c r="D825" s="220" t="n"/>
      <c r="E825" s="220" t="n"/>
      <c r="F825" s="220" t="n"/>
      <c r="G825" s="169" t="n"/>
      <c r="H825" s="219" t="n"/>
      <c r="I825" s="220" t="n"/>
      <c r="J825" s="221" t="n"/>
    </row>
    <row r="826" ht="15" customHeight="1" s="131">
      <c r="A826" s="220" t="n"/>
      <c r="B826" s="222" t="n"/>
      <c r="C826" s="220" t="n"/>
      <c r="D826" s="220" t="n"/>
      <c r="E826" s="220" t="n"/>
      <c r="F826" s="220" t="n"/>
      <c r="G826" s="169" t="n"/>
      <c r="H826" s="219" t="n"/>
      <c r="I826" s="220" t="n"/>
      <c r="J826" s="221" t="n"/>
    </row>
    <row r="827" ht="15" customHeight="1" s="131">
      <c r="A827" s="220" t="n"/>
      <c r="B827" s="222" t="n"/>
      <c r="C827" s="220" t="n"/>
      <c r="D827" s="220" t="n"/>
      <c r="E827" s="220" t="n"/>
      <c r="F827" s="220" t="n"/>
      <c r="G827" s="169" t="n"/>
      <c r="H827" s="219" t="n"/>
      <c r="I827" s="220" t="n"/>
      <c r="J827" s="221" t="n"/>
    </row>
    <row r="828" ht="15" customHeight="1" s="131">
      <c r="A828" s="220" t="n"/>
      <c r="B828" s="222" t="n"/>
      <c r="C828" s="220" t="n"/>
      <c r="D828" s="220" t="n"/>
      <c r="E828" s="220" t="n"/>
      <c r="F828" s="220" t="n"/>
      <c r="G828" s="169" t="n"/>
      <c r="H828" s="219" t="n"/>
      <c r="I828" s="220" t="n"/>
      <c r="J828" s="221" t="n"/>
    </row>
    <row r="829" ht="15" customHeight="1" s="131">
      <c r="A829" s="220" t="n"/>
      <c r="B829" s="222" t="n"/>
      <c r="C829" s="220" t="n"/>
      <c r="D829" s="220" t="n"/>
      <c r="E829" s="220" t="n"/>
      <c r="F829" s="220" t="n"/>
      <c r="G829" s="169" t="n"/>
      <c r="H829" s="219" t="n"/>
      <c r="I829" s="220" t="n"/>
      <c r="J829" s="221" t="n"/>
    </row>
    <row r="830" ht="15" customHeight="1" s="131">
      <c r="A830" s="220" t="n"/>
      <c r="B830" s="222" t="n"/>
      <c r="C830" s="220" t="n"/>
      <c r="D830" s="220" t="n"/>
      <c r="E830" s="220" t="n"/>
      <c r="F830" s="220" t="n"/>
      <c r="G830" s="169" t="n"/>
      <c r="H830" s="219" t="n"/>
      <c r="I830" s="220" t="n"/>
      <c r="J830" s="221" t="n"/>
    </row>
    <row r="831" ht="15" customHeight="1" s="131">
      <c r="A831" s="220" t="n"/>
      <c r="B831" s="222" t="n"/>
      <c r="C831" s="220" t="n"/>
      <c r="D831" s="220" t="n"/>
      <c r="E831" s="220" t="n"/>
      <c r="F831" s="220" t="n"/>
      <c r="G831" s="169" t="n"/>
      <c r="H831" s="219" t="n"/>
      <c r="I831" s="220" t="n"/>
      <c r="J831" s="221" t="n"/>
    </row>
    <row r="832" ht="15" customHeight="1" s="131">
      <c r="A832" s="220" t="n"/>
      <c r="B832" s="222" t="n"/>
      <c r="C832" s="220" t="n"/>
      <c r="D832" s="220" t="n"/>
      <c r="E832" s="220" t="n"/>
      <c r="F832" s="220" t="n"/>
      <c r="G832" s="169" t="n"/>
      <c r="H832" s="219" t="n"/>
      <c r="I832" s="220" t="n"/>
      <c r="J832" s="221" t="n"/>
    </row>
    <row r="833" ht="15" customHeight="1" s="131">
      <c r="A833" s="220" t="n"/>
      <c r="B833" s="222" t="n"/>
      <c r="C833" s="220" t="n"/>
      <c r="D833" s="220" t="n"/>
      <c r="E833" s="220" t="n"/>
      <c r="F833" s="220" t="n"/>
      <c r="G833" s="169" t="n"/>
      <c r="H833" s="219" t="n"/>
      <c r="I833" s="220" t="n"/>
      <c r="J833" s="221" t="n"/>
    </row>
    <row r="834" ht="15" customHeight="1" s="131">
      <c r="A834" s="220" t="n"/>
      <c r="B834" s="222" t="n"/>
      <c r="C834" s="220" t="n"/>
      <c r="D834" s="220" t="n"/>
      <c r="E834" s="220" t="n"/>
      <c r="F834" s="220" t="n"/>
      <c r="G834" s="169" t="n"/>
      <c r="H834" s="219" t="n"/>
      <c r="I834" s="220" t="n"/>
      <c r="J834" s="221" t="n"/>
    </row>
    <row r="835" ht="15" customHeight="1" s="131">
      <c r="A835" s="220" t="n"/>
      <c r="B835" s="222" t="n"/>
      <c r="C835" s="220" t="n"/>
      <c r="D835" s="220" t="n"/>
      <c r="E835" s="220" t="n"/>
      <c r="F835" s="220" t="n"/>
      <c r="G835" s="169" t="n"/>
      <c r="H835" s="219" t="n"/>
      <c r="I835" s="220" t="n"/>
      <c r="J835" s="221" t="n"/>
    </row>
    <row r="836" ht="15" customHeight="1" s="131">
      <c r="A836" s="220" t="n"/>
      <c r="B836" s="222" t="n"/>
      <c r="C836" s="220" t="n"/>
      <c r="D836" s="220" t="n"/>
      <c r="E836" s="220" t="n"/>
      <c r="F836" s="220" t="n"/>
      <c r="G836" s="169" t="n"/>
      <c r="H836" s="219" t="n"/>
      <c r="I836" s="220" t="n"/>
      <c r="J836" s="221" t="n"/>
    </row>
    <row r="837" ht="15" customHeight="1" s="131">
      <c r="A837" s="220" t="n"/>
      <c r="B837" s="222" t="n"/>
      <c r="C837" s="220" t="n"/>
      <c r="D837" s="220" t="n"/>
      <c r="E837" s="220" t="n"/>
      <c r="F837" s="220" t="n"/>
      <c r="G837" s="169" t="n"/>
      <c r="H837" s="219" t="n"/>
      <c r="I837" s="220" t="n"/>
      <c r="J837" s="221" t="n"/>
    </row>
    <row r="838" ht="15" customHeight="1" s="131">
      <c r="A838" s="220" t="n"/>
      <c r="B838" s="222" t="n"/>
      <c r="C838" s="220" t="n"/>
      <c r="D838" s="220" t="n"/>
      <c r="E838" s="220" t="n"/>
      <c r="F838" s="220" t="n"/>
      <c r="G838" s="169" t="n"/>
      <c r="H838" s="219" t="n"/>
      <c r="I838" s="220" t="n"/>
      <c r="J838" s="221" t="n"/>
    </row>
    <row r="839" ht="15" customHeight="1" s="131">
      <c r="A839" s="220" t="n"/>
      <c r="B839" s="222" t="n"/>
      <c r="C839" s="220" t="n"/>
      <c r="D839" s="220" t="n"/>
      <c r="E839" s="220" t="n"/>
      <c r="F839" s="220" t="n"/>
      <c r="G839" s="169" t="n"/>
      <c r="H839" s="219" t="n"/>
      <c r="I839" s="220" t="n"/>
      <c r="J839" s="221" t="n"/>
    </row>
    <row r="840" ht="15" customHeight="1" s="131">
      <c r="A840" s="220" t="n"/>
      <c r="B840" s="222" t="n"/>
      <c r="C840" s="220" t="n"/>
      <c r="D840" s="220" t="n"/>
      <c r="E840" s="220" t="n"/>
      <c r="F840" s="220" t="n"/>
      <c r="G840" s="169" t="n"/>
      <c r="H840" s="219" t="n"/>
      <c r="I840" s="220" t="n"/>
      <c r="J840" s="221" t="n"/>
    </row>
    <row r="841" ht="15" customHeight="1" s="131">
      <c r="A841" s="220" t="n"/>
      <c r="B841" s="222" t="n"/>
      <c r="C841" s="220" t="n"/>
      <c r="D841" s="220" t="n"/>
      <c r="E841" s="220" t="n"/>
      <c r="F841" s="220" t="n"/>
      <c r="G841" s="169" t="n"/>
      <c r="H841" s="219" t="n"/>
      <c r="I841" s="220" t="n"/>
      <c r="J841" s="221" t="n"/>
    </row>
    <row r="842" ht="15" customHeight="1" s="131">
      <c r="A842" s="220" t="n"/>
      <c r="B842" s="222" t="n"/>
      <c r="C842" s="220" t="n"/>
      <c r="D842" s="220" t="n"/>
      <c r="E842" s="220" t="n"/>
      <c r="F842" s="220" t="n"/>
      <c r="G842" s="169" t="n"/>
      <c r="H842" s="219" t="n"/>
      <c r="I842" s="220" t="n"/>
      <c r="J842" s="221" t="n"/>
    </row>
    <row r="843" ht="15" customHeight="1" s="131">
      <c r="A843" s="220" t="n"/>
      <c r="B843" s="222" t="n"/>
      <c r="C843" s="220" t="n"/>
      <c r="D843" s="220" t="n"/>
      <c r="E843" s="220" t="n"/>
      <c r="F843" s="220" t="n"/>
      <c r="G843" s="169" t="n"/>
      <c r="H843" s="219" t="n"/>
      <c r="I843" s="220" t="n"/>
      <c r="J843" s="221" t="n"/>
    </row>
    <row r="844" ht="15" customHeight="1" s="131">
      <c r="A844" s="220" t="n"/>
      <c r="B844" s="222" t="n"/>
      <c r="C844" s="220" t="n"/>
      <c r="D844" s="220" t="n"/>
      <c r="E844" s="220" t="n"/>
      <c r="F844" s="220" t="n"/>
      <c r="G844" s="169" t="n"/>
      <c r="H844" s="219" t="n"/>
      <c r="I844" s="220" t="n"/>
      <c r="J844" s="221" t="n"/>
    </row>
    <row r="845" ht="15" customHeight="1" s="131">
      <c r="A845" s="220" t="n"/>
      <c r="B845" s="222" t="n"/>
      <c r="C845" s="220" t="n"/>
      <c r="D845" s="220" t="n"/>
      <c r="E845" s="220" t="n"/>
      <c r="F845" s="220" t="n"/>
      <c r="G845" s="169" t="n"/>
      <c r="H845" s="219" t="n"/>
      <c r="I845" s="220" t="n"/>
      <c r="J845" s="221" t="n"/>
    </row>
    <row r="846" ht="15" customHeight="1" s="131">
      <c r="A846" s="220" t="n"/>
      <c r="B846" s="222" t="n"/>
      <c r="C846" s="220" t="n"/>
      <c r="D846" s="220" t="n"/>
      <c r="E846" s="220" t="n"/>
      <c r="F846" s="220" t="n"/>
      <c r="G846" s="169" t="n"/>
      <c r="H846" s="219" t="n"/>
      <c r="I846" s="220" t="n"/>
      <c r="J846" s="221" t="n"/>
    </row>
    <row r="847" ht="15" customHeight="1" s="131">
      <c r="A847" s="220" t="n"/>
      <c r="B847" s="222" t="n"/>
      <c r="C847" s="220" t="n"/>
      <c r="D847" s="220" t="n"/>
      <c r="E847" s="220" t="n"/>
      <c r="F847" s="220" t="n"/>
      <c r="G847" s="169" t="n"/>
      <c r="H847" s="219" t="n"/>
      <c r="I847" s="220" t="n"/>
      <c r="J847" s="221" t="n"/>
    </row>
    <row r="848" ht="15" customHeight="1" s="131">
      <c r="A848" s="220" t="n"/>
      <c r="B848" s="222" t="n"/>
      <c r="C848" s="220" t="n"/>
      <c r="D848" s="220" t="n"/>
      <c r="E848" s="220" t="n"/>
      <c r="F848" s="220" t="n"/>
      <c r="G848" s="169" t="n"/>
      <c r="H848" s="219" t="n"/>
      <c r="I848" s="220" t="n"/>
      <c r="J848" s="221" t="n"/>
    </row>
    <row r="849" ht="15" customHeight="1" s="131">
      <c r="A849" s="220" t="n"/>
      <c r="B849" s="222" t="n"/>
      <c r="C849" s="220" t="n"/>
      <c r="D849" s="220" t="n"/>
      <c r="E849" s="220" t="n"/>
      <c r="F849" s="220" t="n"/>
      <c r="G849" s="169" t="n"/>
      <c r="H849" s="219" t="n"/>
      <c r="I849" s="220" t="n"/>
      <c r="J849" s="221" t="n"/>
    </row>
    <row r="850" ht="15" customHeight="1" s="131">
      <c r="A850" s="220" t="n"/>
      <c r="B850" s="222" t="n"/>
      <c r="C850" s="220" t="n"/>
      <c r="D850" s="220" t="n"/>
      <c r="E850" s="220" t="n"/>
      <c r="F850" s="220" t="n"/>
      <c r="G850" s="169" t="n"/>
      <c r="H850" s="219" t="n"/>
      <c r="I850" s="220" t="n"/>
      <c r="J850" s="221" t="n"/>
    </row>
    <row r="851" ht="15" customHeight="1" s="131">
      <c r="A851" s="220" t="n"/>
      <c r="B851" s="222" t="n"/>
      <c r="C851" s="220" t="n"/>
      <c r="D851" s="220" t="n"/>
      <c r="E851" s="220" t="n"/>
      <c r="F851" s="220" t="n"/>
      <c r="G851" s="169" t="n"/>
      <c r="H851" s="219" t="n"/>
      <c r="I851" s="220" t="n"/>
      <c r="J851" s="221" t="n"/>
    </row>
    <row r="852" ht="15" customHeight="1" s="131">
      <c r="A852" s="220" t="n"/>
      <c r="B852" s="222" t="n"/>
      <c r="C852" s="220" t="n"/>
      <c r="D852" s="220" t="n"/>
      <c r="E852" s="220" t="n"/>
      <c r="F852" s="220" t="n"/>
      <c r="G852" s="169" t="n"/>
      <c r="H852" s="219" t="n"/>
      <c r="I852" s="220" t="n"/>
      <c r="J852" s="221" t="n"/>
    </row>
    <row r="853" ht="15" customHeight="1" s="131">
      <c r="A853" s="220" t="n"/>
      <c r="B853" s="222" t="n"/>
      <c r="C853" s="220" t="n"/>
      <c r="D853" s="220" t="n"/>
      <c r="E853" s="220" t="n"/>
      <c r="F853" s="220" t="n"/>
      <c r="G853" s="169" t="n"/>
      <c r="H853" s="219" t="n"/>
      <c r="I853" s="220" t="n"/>
      <c r="J853" s="221" t="n"/>
    </row>
    <row r="854" ht="15" customHeight="1" s="131">
      <c r="A854" s="220" t="n"/>
      <c r="B854" s="222" t="n"/>
      <c r="C854" s="220" t="n"/>
      <c r="D854" s="220" t="n"/>
      <c r="E854" s="220" t="n"/>
      <c r="F854" s="220" t="n"/>
      <c r="G854" s="169" t="n"/>
      <c r="H854" s="219" t="n"/>
      <c r="I854" s="220" t="n"/>
      <c r="J854" s="221" t="n"/>
    </row>
    <row r="855" ht="15" customHeight="1" s="131">
      <c r="A855" s="220" t="n"/>
      <c r="B855" s="222" t="n"/>
      <c r="C855" s="220" t="n"/>
      <c r="D855" s="220" t="n"/>
      <c r="E855" s="220" t="n"/>
      <c r="F855" s="220" t="n"/>
      <c r="G855" s="169" t="n"/>
      <c r="H855" s="219" t="n"/>
      <c r="I855" s="220" t="n"/>
      <c r="J855" s="221" t="n"/>
    </row>
    <row r="856" ht="15" customHeight="1" s="131">
      <c r="A856" s="220" t="n"/>
      <c r="B856" s="222" t="n"/>
      <c r="C856" s="220" t="n"/>
      <c r="D856" s="220" t="n"/>
      <c r="E856" s="220" t="n"/>
      <c r="F856" s="220" t="n"/>
      <c r="G856" s="169" t="n"/>
      <c r="H856" s="219" t="n"/>
      <c r="I856" s="220" t="n"/>
      <c r="J856" s="221" t="n"/>
    </row>
    <row r="857" ht="15" customHeight="1" s="131">
      <c r="A857" s="220" t="n"/>
      <c r="B857" s="222" t="n"/>
      <c r="C857" s="220" t="n"/>
      <c r="D857" s="220" t="n"/>
      <c r="E857" s="220" t="n"/>
      <c r="F857" s="220" t="n"/>
      <c r="G857" s="169" t="n"/>
      <c r="H857" s="219" t="n"/>
      <c r="I857" s="220" t="n"/>
      <c r="J857" s="221" t="n"/>
    </row>
    <row r="858" ht="15" customHeight="1" s="131">
      <c r="A858" s="220" t="n"/>
      <c r="B858" s="222" t="n"/>
      <c r="C858" s="220" t="n"/>
      <c r="D858" s="220" t="n"/>
      <c r="E858" s="220" t="n"/>
      <c r="F858" s="220" t="n"/>
      <c r="G858" s="169" t="n"/>
      <c r="H858" s="219" t="n"/>
      <c r="I858" s="220" t="n"/>
      <c r="J858" s="221" t="n"/>
    </row>
    <row r="859" ht="15" customHeight="1" s="131">
      <c r="A859" s="220" t="n"/>
      <c r="B859" s="222" t="n"/>
      <c r="C859" s="220" t="n"/>
      <c r="D859" s="220" t="n"/>
      <c r="E859" s="220" t="n"/>
      <c r="F859" s="220" t="n"/>
      <c r="G859" s="169" t="n"/>
      <c r="H859" s="219" t="n"/>
      <c r="I859" s="220" t="n"/>
      <c r="J859" s="221" t="n"/>
    </row>
    <row r="860" ht="15" customHeight="1" s="131">
      <c r="A860" s="220" t="n"/>
      <c r="B860" s="222" t="n"/>
      <c r="C860" s="220" t="n"/>
      <c r="D860" s="220" t="n"/>
      <c r="E860" s="220" t="n"/>
      <c r="F860" s="220" t="n"/>
      <c r="G860" s="169" t="n"/>
      <c r="H860" s="219" t="n"/>
      <c r="I860" s="220" t="n"/>
      <c r="J860" s="221" t="n"/>
    </row>
    <row r="861" ht="15" customHeight="1" s="131">
      <c r="A861" s="220" t="n"/>
      <c r="B861" s="222" t="n"/>
      <c r="C861" s="220" t="n"/>
      <c r="D861" s="220" t="n"/>
      <c r="E861" s="220" t="n"/>
      <c r="F861" s="220" t="n"/>
      <c r="G861" s="169" t="n"/>
      <c r="H861" s="219" t="n"/>
      <c r="I861" s="220" t="n"/>
      <c r="J861" s="221" t="n"/>
    </row>
    <row r="862" ht="15" customHeight="1" s="131">
      <c r="A862" s="220" t="n"/>
      <c r="B862" s="222" t="n"/>
      <c r="C862" s="220" t="n"/>
      <c r="D862" s="220" t="n"/>
      <c r="E862" s="220" t="n"/>
      <c r="F862" s="220" t="n"/>
      <c r="G862" s="169" t="n"/>
      <c r="H862" s="219" t="n"/>
      <c r="I862" s="220" t="n"/>
      <c r="J862" s="221" t="n"/>
    </row>
    <row r="863" ht="15" customHeight="1" s="131">
      <c r="A863" s="220" t="n"/>
      <c r="B863" s="222" t="n"/>
      <c r="C863" s="220" t="n"/>
      <c r="D863" s="220" t="n"/>
      <c r="E863" s="220" t="n"/>
      <c r="F863" s="220" t="n"/>
      <c r="G863" s="169" t="n"/>
      <c r="H863" s="219" t="n"/>
      <c r="I863" s="220" t="n"/>
      <c r="J863" s="221" t="n"/>
    </row>
    <row r="864" ht="15" customHeight="1" s="131">
      <c r="A864" s="220" t="n"/>
      <c r="B864" s="222" t="n"/>
      <c r="C864" s="220" t="n"/>
      <c r="D864" s="220" t="n"/>
      <c r="E864" s="220" t="n"/>
      <c r="F864" s="220" t="n"/>
      <c r="G864" s="169" t="n"/>
      <c r="H864" s="219" t="n"/>
      <c r="I864" s="220" t="n"/>
      <c r="J864" s="221" t="n"/>
    </row>
    <row r="865" ht="15" customHeight="1" s="131">
      <c r="A865" s="220" t="n"/>
      <c r="B865" s="222" t="n"/>
      <c r="C865" s="220" t="n"/>
      <c r="D865" s="220" t="n"/>
      <c r="E865" s="220" t="n"/>
      <c r="F865" s="220" t="n"/>
      <c r="G865" s="169" t="n"/>
      <c r="H865" s="219" t="n"/>
      <c r="I865" s="220" t="n"/>
      <c r="J865" s="221" t="n"/>
    </row>
    <row r="866" ht="15" customHeight="1" s="131">
      <c r="A866" s="220" t="n"/>
      <c r="B866" s="222" t="n"/>
      <c r="C866" s="220" t="n"/>
      <c r="D866" s="220" t="n"/>
      <c r="E866" s="220" t="n"/>
      <c r="F866" s="220" t="n"/>
      <c r="G866" s="169" t="n"/>
      <c r="H866" s="219" t="n"/>
      <c r="I866" s="220" t="n"/>
      <c r="J866" s="221" t="n"/>
    </row>
    <row r="867" ht="15" customHeight="1" s="131">
      <c r="A867" s="220" t="n"/>
      <c r="B867" s="222" t="n"/>
      <c r="C867" s="220" t="n"/>
      <c r="D867" s="220" t="n"/>
      <c r="E867" s="220" t="n"/>
      <c r="F867" s="220" t="n"/>
      <c r="G867" s="169" t="n"/>
      <c r="H867" s="219" t="n"/>
      <c r="I867" s="220" t="n"/>
      <c r="J867" s="221" t="n"/>
    </row>
    <row r="868" ht="15" customHeight="1" s="131">
      <c r="A868" s="220" t="n"/>
      <c r="B868" s="222" t="n"/>
      <c r="C868" s="220" t="n"/>
      <c r="D868" s="220" t="n"/>
      <c r="E868" s="220" t="n"/>
      <c r="F868" s="220" t="n"/>
      <c r="G868" s="169" t="n"/>
      <c r="H868" s="219" t="n"/>
      <c r="I868" s="220" t="n"/>
      <c r="J868" s="221" t="n"/>
    </row>
    <row r="869" ht="15" customHeight="1" s="131">
      <c r="A869" s="220" t="n"/>
      <c r="B869" s="222" t="n"/>
      <c r="C869" s="220" t="n"/>
      <c r="D869" s="220" t="n"/>
      <c r="E869" s="220" t="n"/>
      <c r="F869" s="220" t="n"/>
      <c r="G869" s="169" t="n"/>
      <c r="H869" s="219" t="n"/>
      <c r="I869" s="220" t="n"/>
      <c r="J869" s="221" t="n"/>
    </row>
    <row r="870" ht="15" customHeight="1" s="131">
      <c r="A870" s="220" t="n"/>
      <c r="B870" s="222" t="n"/>
      <c r="C870" s="220" t="n"/>
      <c r="D870" s="220" t="n"/>
      <c r="E870" s="220" t="n"/>
      <c r="F870" s="220" t="n"/>
      <c r="G870" s="169" t="n"/>
      <c r="H870" s="219" t="n"/>
      <c r="I870" s="220" t="n"/>
      <c r="J870" s="221" t="n"/>
    </row>
    <row r="871" ht="15" customHeight="1" s="131">
      <c r="A871" s="220" t="n"/>
      <c r="B871" s="222" t="n"/>
      <c r="C871" s="220" t="n"/>
      <c r="D871" s="220" t="n"/>
      <c r="E871" s="220" t="n"/>
      <c r="F871" s="220" t="n"/>
      <c r="G871" s="169" t="n"/>
      <c r="H871" s="219" t="n"/>
      <c r="I871" s="220" t="n"/>
      <c r="J871" s="221" t="n"/>
    </row>
    <row r="872" ht="15" customHeight="1" s="131">
      <c r="A872" s="220" t="n"/>
      <c r="B872" s="222" t="n"/>
      <c r="C872" s="220" t="n"/>
      <c r="D872" s="220" t="n"/>
      <c r="E872" s="220" t="n"/>
      <c r="F872" s="220" t="n"/>
      <c r="G872" s="169" t="n"/>
      <c r="H872" s="219" t="n"/>
      <c r="I872" s="220" t="n"/>
      <c r="J872" s="221" t="n"/>
    </row>
    <row r="873" ht="15" customHeight="1" s="131">
      <c r="A873" s="220" t="n"/>
      <c r="B873" s="222" t="n"/>
      <c r="C873" s="220" t="n"/>
      <c r="D873" s="220" t="n"/>
      <c r="E873" s="220" t="n"/>
      <c r="F873" s="220" t="n"/>
      <c r="G873" s="169" t="n"/>
      <c r="H873" s="219" t="n"/>
      <c r="I873" s="220" t="n"/>
      <c r="J873" s="221" t="n"/>
    </row>
    <row r="874" ht="15" customHeight="1" s="131">
      <c r="A874" s="220" t="n"/>
      <c r="B874" s="222" t="n"/>
      <c r="C874" s="220" t="n"/>
      <c r="D874" s="220" t="n"/>
      <c r="E874" s="220" t="n"/>
      <c r="F874" s="220" t="n"/>
      <c r="G874" s="169" t="n"/>
      <c r="H874" s="219" t="n"/>
      <c r="I874" s="220" t="n"/>
      <c r="J874" s="221" t="n"/>
    </row>
    <row r="875" ht="15" customHeight="1" s="131">
      <c r="A875" s="220" t="n"/>
      <c r="B875" s="222" t="n"/>
      <c r="C875" s="220" t="n"/>
      <c r="D875" s="220" t="n"/>
      <c r="E875" s="220" t="n"/>
      <c r="F875" s="220" t="n"/>
      <c r="G875" s="169" t="n"/>
      <c r="H875" s="219" t="n"/>
      <c r="I875" s="220" t="n"/>
      <c r="J875" s="221" t="n"/>
    </row>
    <row r="876" ht="15" customHeight="1" s="131">
      <c r="A876" s="220" t="n"/>
      <c r="B876" s="222" t="n"/>
      <c r="C876" s="220" t="n"/>
      <c r="D876" s="220" t="n"/>
      <c r="E876" s="220" t="n"/>
      <c r="F876" s="220" t="n"/>
      <c r="G876" s="169" t="n"/>
      <c r="H876" s="219" t="n"/>
      <c r="I876" s="220" t="n"/>
      <c r="J876" s="221" t="n"/>
    </row>
    <row r="877" ht="15" customHeight="1" s="131">
      <c r="A877" s="220" t="n"/>
      <c r="B877" s="222" t="n"/>
      <c r="C877" s="220" t="n"/>
      <c r="D877" s="220" t="n"/>
      <c r="E877" s="220" t="n"/>
      <c r="F877" s="220" t="n"/>
      <c r="G877" s="169" t="n"/>
      <c r="H877" s="219" t="n"/>
      <c r="I877" s="220" t="n"/>
      <c r="J877" s="221" t="n"/>
    </row>
    <row r="878" ht="15" customHeight="1" s="131">
      <c r="A878" s="220" t="n"/>
      <c r="B878" s="222" t="n"/>
      <c r="C878" s="220" t="n"/>
      <c r="D878" s="220" t="n"/>
      <c r="E878" s="220" t="n"/>
      <c r="F878" s="220" t="n"/>
      <c r="G878" s="169" t="n"/>
      <c r="H878" s="219" t="n"/>
      <c r="I878" s="220" t="n"/>
      <c r="J878" s="221" t="n"/>
    </row>
    <row r="879" ht="15" customHeight="1" s="131">
      <c r="A879" s="220" t="n"/>
      <c r="B879" s="222" t="n"/>
      <c r="C879" s="220" t="n"/>
      <c r="D879" s="220" t="n"/>
      <c r="E879" s="220" t="n"/>
      <c r="F879" s="220" t="n"/>
      <c r="G879" s="169" t="n"/>
      <c r="H879" s="219" t="n"/>
      <c r="I879" s="220" t="n"/>
      <c r="J879" s="221" t="n"/>
    </row>
    <row r="880" ht="15" customHeight="1" s="131">
      <c r="A880" s="220" t="n"/>
      <c r="B880" s="222" t="n"/>
      <c r="C880" s="220" t="n"/>
      <c r="D880" s="220" t="n"/>
      <c r="E880" s="220" t="n"/>
      <c r="F880" s="220" t="n"/>
      <c r="G880" s="169" t="n"/>
      <c r="H880" s="219" t="n"/>
      <c r="I880" s="220" t="n"/>
      <c r="J880" s="221" t="n"/>
    </row>
    <row r="881" ht="15" customHeight="1" s="131">
      <c r="A881" s="220" t="n"/>
      <c r="B881" s="222" t="n"/>
      <c r="C881" s="220" t="n"/>
      <c r="D881" s="220" t="n"/>
      <c r="E881" s="220" t="n"/>
      <c r="F881" s="220" t="n"/>
      <c r="G881" s="169" t="n"/>
      <c r="H881" s="219" t="n"/>
      <c r="I881" s="220" t="n"/>
      <c r="J881" s="221" t="n"/>
    </row>
    <row r="882" ht="15" customHeight="1" s="131">
      <c r="A882" s="220" t="n"/>
      <c r="B882" s="222" t="n"/>
      <c r="C882" s="220" t="n"/>
      <c r="D882" s="220" t="n"/>
      <c r="E882" s="220" t="n"/>
      <c r="F882" s="220" t="n"/>
      <c r="G882" s="169" t="n"/>
      <c r="H882" s="219" t="n"/>
      <c r="I882" s="220" t="n"/>
      <c r="J882" s="221" t="n"/>
    </row>
    <row r="883" ht="15" customHeight="1" s="131">
      <c r="A883" s="220" t="n"/>
      <c r="B883" s="222" t="n"/>
      <c r="C883" s="220" t="n"/>
      <c r="D883" s="220" t="n"/>
      <c r="E883" s="220" t="n"/>
      <c r="F883" s="220" t="n"/>
      <c r="G883" s="169" t="n"/>
      <c r="H883" s="219" t="n"/>
      <c r="I883" s="220" t="n"/>
      <c r="J883" s="221" t="n"/>
    </row>
    <row r="884" ht="15" customHeight="1" s="131">
      <c r="A884" s="220" t="n"/>
      <c r="B884" s="222" t="n"/>
      <c r="C884" s="220" t="n"/>
      <c r="D884" s="220" t="n"/>
      <c r="E884" s="220" t="n"/>
      <c r="F884" s="220" t="n"/>
      <c r="G884" s="169" t="n"/>
      <c r="H884" s="219" t="n"/>
      <c r="I884" s="220" t="n"/>
      <c r="J884" s="221" t="n"/>
    </row>
    <row r="885" ht="15" customHeight="1" s="131">
      <c r="A885" s="220" t="n"/>
      <c r="B885" s="222" t="n"/>
      <c r="C885" s="220" t="n"/>
      <c r="D885" s="220" t="n"/>
      <c r="E885" s="220" t="n"/>
      <c r="F885" s="220" t="n"/>
      <c r="G885" s="169" t="n"/>
      <c r="H885" s="219" t="n"/>
      <c r="I885" s="220" t="n"/>
      <c r="J885" s="221" t="n"/>
    </row>
    <row r="886" ht="15" customHeight="1" s="131">
      <c r="A886" s="220" t="n"/>
      <c r="B886" s="222" t="n"/>
      <c r="C886" s="220" t="n"/>
      <c r="D886" s="220" t="n"/>
      <c r="E886" s="220" t="n"/>
      <c r="F886" s="220" t="n"/>
      <c r="G886" s="169" t="n"/>
      <c r="H886" s="219" t="n"/>
      <c r="I886" s="220" t="n"/>
      <c r="J886" s="221" t="n"/>
    </row>
    <row r="887" ht="15" customHeight="1" s="131">
      <c r="A887" s="220" t="n"/>
      <c r="B887" s="222" t="n"/>
      <c r="C887" s="220" t="n"/>
      <c r="D887" s="220" t="n"/>
      <c r="E887" s="220" t="n"/>
      <c r="F887" s="220" t="n"/>
      <c r="G887" s="169" t="n"/>
      <c r="H887" s="219" t="n"/>
      <c r="I887" s="220" t="n"/>
      <c r="J887" s="221" t="n"/>
    </row>
    <row r="888" ht="15" customHeight="1" s="131">
      <c r="A888" s="220" t="n"/>
      <c r="B888" s="222" t="n"/>
      <c r="C888" s="220" t="n"/>
      <c r="D888" s="220" t="n"/>
      <c r="E888" s="220" t="n"/>
      <c r="F888" s="220" t="n"/>
      <c r="G888" s="169" t="n"/>
      <c r="H888" s="219" t="n"/>
      <c r="I888" s="220" t="n"/>
      <c r="J888" s="221" t="n"/>
    </row>
    <row r="889" ht="15" customHeight="1" s="131">
      <c r="A889" s="220" t="n"/>
      <c r="B889" s="222" t="n"/>
      <c r="C889" s="220" t="n"/>
      <c r="D889" s="220" t="n"/>
      <c r="E889" s="220" t="n"/>
      <c r="F889" s="220" t="n"/>
      <c r="G889" s="169" t="n"/>
      <c r="H889" s="219" t="n"/>
      <c r="I889" s="220" t="n"/>
      <c r="J889" s="221" t="n"/>
    </row>
    <row r="890" ht="15" customHeight="1" s="131">
      <c r="A890" s="220" t="n"/>
      <c r="B890" s="222" t="n"/>
      <c r="C890" s="220" t="n"/>
      <c r="D890" s="220" t="n"/>
      <c r="E890" s="220" t="n"/>
      <c r="F890" s="220" t="n"/>
      <c r="G890" s="169" t="n"/>
      <c r="H890" s="219" t="n"/>
      <c r="I890" s="220" t="n"/>
      <c r="J890" s="221" t="n"/>
    </row>
    <row r="891" ht="15" customHeight="1" s="131">
      <c r="A891" s="220" t="n"/>
      <c r="B891" s="222" t="n"/>
      <c r="C891" s="220" t="n"/>
      <c r="D891" s="220" t="n"/>
      <c r="E891" s="220" t="n"/>
      <c r="F891" s="220" t="n"/>
      <c r="G891" s="169" t="n"/>
      <c r="H891" s="219" t="n"/>
      <c r="I891" s="220" t="n"/>
      <c r="J891" s="221" t="n"/>
    </row>
    <row r="892" ht="15" customHeight="1" s="131">
      <c r="A892" s="220" t="n"/>
      <c r="B892" s="222" t="n"/>
      <c r="C892" s="220" t="n"/>
      <c r="D892" s="220" t="n"/>
      <c r="E892" s="220" t="n"/>
      <c r="F892" s="220" t="n"/>
      <c r="G892" s="169" t="n"/>
      <c r="H892" s="219" t="n"/>
      <c r="I892" s="220" t="n"/>
      <c r="J892" s="221" t="n"/>
    </row>
    <row r="893" ht="15" customHeight="1" s="131">
      <c r="A893" s="220" t="n"/>
      <c r="B893" s="222" t="n"/>
      <c r="C893" s="220" t="n"/>
      <c r="D893" s="220" t="n"/>
      <c r="E893" s="220" t="n"/>
      <c r="F893" s="220" t="n"/>
      <c r="G893" s="169" t="n"/>
      <c r="H893" s="219" t="n"/>
      <c r="I893" s="220" t="n"/>
      <c r="J893" s="221" t="n"/>
    </row>
    <row r="894" ht="15" customHeight="1" s="131">
      <c r="A894" s="220" t="n"/>
      <c r="B894" s="222" t="n"/>
      <c r="C894" s="220" t="n"/>
      <c r="D894" s="220" t="n"/>
      <c r="E894" s="220" t="n"/>
      <c r="F894" s="220" t="n"/>
      <c r="G894" s="169" t="n"/>
      <c r="H894" s="219" t="n"/>
      <c r="I894" s="220" t="n"/>
      <c r="J894" s="221" t="n"/>
    </row>
    <row r="895" ht="15" customHeight="1" s="131">
      <c r="A895" s="220" t="n"/>
      <c r="B895" s="222" t="n"/>
      <c r="C895" s="220" t="n"/>
      <c r="D895" s="220" t="n"/>
      <c r="E895" s="220" t="n"/>
      <c r="F895" s="220" t="n"/>
      <c r="G895" s="169" t="n"/>
      <c r="H895" s="219" t="n"/>
      <c r="I895" s="220" t="n"/>
      <c r="J895" s="221" t="n"/>
    </row>
    <row r="896" ht="15" customHeight="1" s="131">
      <c r="A896" s="220" t="n"/>
      <c r="B896" s="222" t="n"/>
      <c r="C896" s="220" t="n"/>
      <c r="D896" s="220" t="n"/>
      <c r="E896" s="220" t="n"/>
      <c r="F896" s="220" t="n"/>
      <c r="G896" s="169" t="n"/>
      <c r="H896" s="219" t="n"/>
      <c r="I896" s="220" t="n"/>
      <c r="J896" s="221" t="n"/>
    </row>
    <row r="897" ht="15" customHeight="1" s="131">
      <c r="A897" s="220" t="n"/>
      <c r="B897" s="222" t="n"/>
      <c r="C897" s="220" t="n"/>
      <c r="D897" s="220" t="n"/>
      <c r="E897" s="220" t="n"/>
      <c r="F897" s="220" t="n"/>
      <c r="G897" s="169" t="n"/>
      <c r="H897" s="219" t="n"/>
      <c r="I897" s="220" t="n"/>
      <c r="J897" s="221" t="n"/>
    </row>
    <row r="898" ht="15" customHeight="1" s="131">
      <c r="A898" s="220" t="n"/>
      <c r="B898" s="222" t="n"/>
      <c r="C898" s="220" t="n"/>
      <c r="D898" s="220" t="n"/>
      <c r="E898" s="220" t="n"/>
      <c r="F898" s="220" t="n"/>
      <c r="G898" s="169" t="n"/>
      <c r="H898" s="219" t="n"/>
      <c r="I898" s="220" t="n"/>
      <c r="J898" s="221" t="n"/>
    </row>
    <row r="899" ht="15" customHeight="1" s="131">
      <c r="A899" s="220" t="n"/>
      <c r="B899" s="222" t="n"/>
      <c r="C899" s="220" t="n"/>
      <c r="D899" s="220" t="n"/>
      <c r="E899" s="220" t="n"/>
      <c r="F899" s="220" t="n"/>
      <c r="G899" s="169" t="n"/>
      <c r="H899" s="219" t="n"/>
      <c r="I899" s="220" t="n"/>
      <c r="J899" s="221" t="n"/>
    </row>
    <row r="900" ht="15" customHeight="1" s="131">
      <c r="A900" s="220" t="n"/>
      <c r="B900" s="222" t="n"/>
      <c r="C900" s="220" t="n"/>
      <c r="D900" s="220" t="n"/>
      <c r="E900" s="220" t="n"/>
      <c r="F900" s="220" t="n"/>
      <c r="G900" s="169" t="n"/>
      <c r="H900" s="219" t="n"/>
      <c r="I900" s="220" t="n"/>
      <c r="J900" s="221" t="n"/>
    </row>
    <row r="901" ht="15" customHeight="1" s="131">
      <c r="A901" s="220" t="n"/>
      <c r="B901" s="222" t="n"/>
      <c r="C901" s="220" t="n"/>
      <c r="D901" s="220" t="n"/>
      <c r="E901" s="220" t="n"/>
      <c r="F901" s="220" t="n"/>
      <c r="G901" s="169" t="n"/>
      <c r="H901" s="219" t="n"/>
      <c r="I901" s="220" t="n"/>
      <c r="J901" s="221" t="n"/>
    </row>
    <row r="902" ht="15" customHeight="1" s="131">
      <c r="A902" s="220" t="n"/>
      <c r="B902" s="222" t="n"/>
      <c r="C902" s="220" t="n"/>
      <c r="D902" s="220" t="n"/>
      <c r="E902" s="220" t="n"/>
      <c r="F902" s="220" t="n"/>
      <c r="G902" s="169" t="n"/>
      <c r="H902" s="219" t="n"/>
      <c r="I902" s="220" t="n"/>
      <c r="J902" s="221" t="n"/>
    </row>
    <row r="903" ht="15" customHeight="1" s="131">
      <c r="A903" s="220" t="n"/>
      <c r="B903" s="222" t="n"/>
      <c r="C903" s="220" t="n"/>
      <c r="D903" s="220" t="n"/>
      <c r="E903" s="220" t="n"/>
      <c r="F903" s="220" t="n"/>
      <c r="G903" s="169" t="n"/>
      <c r="H903" s="219" t="n"/>
      <c r="I903" s="220" t="n"/>
      <c r="J903" s="221" t="n"/>
    </row>
    <row r="904" ht="15" customHeight="1" s="131">
      <c r="A904" s="220" t="n"/>
      <c r="B904" s="222" t="n"/>
      <c r="C904" s="220" t="n"/>
      <c r="D904" s="220" t="n"/>
      <c r="E904" s="220" t="n"/>
      <c r="F904" s="220" t="n"/>
      <c r="G904" s="169" t="n"/>
      <c r="H904" s="219" t="n"/>
      <c r="I904" s="220" t="n"/>
      <c r="J904" s="221" t="n"/>
    </row>
    <row r="905" ht="15" customHeight="1" s="131">
      <c r="A905" s="220" t="n"/>
      <c r="B905" s="222" t="n"/>
      <c r="C905" s="220" t="n"/>
      <c r="D905" s="220" t="n"/>
      <c r="E905" s="220" t="n"/>
      <c r="F905" s="220" t="n"/>
      <c r="G905" s="169" t="n"/>
      <c r="H905" s="219" t="n"/>
      <c r="I905" s="220" t="n"/>
      <c r="J905" s="221" t="n"/>
    </row>
    <row r="906" ht="15" customHeight="1" s="131">
      <c r="A906" s="220" t="n"/>
      <c r="B906" s="222" t="n"/>
      <c r="C906" s="220" t="n"/>
      <c r="D906" s="220" t="n"/>
      <c r="E906" s="220" t="n"/>
      <c r="F906" s="220" t="n"/>
      <c r="G906" s="169" t="n"/>
      <c r="H906" s="219" t="n"/>
      <c r="I906" s="220" t="n"/>
      <c r="J906" s="221" t="n"/>
    </row>
    <row r="907" ht="15" customHeight="1" s="131">
      <c r="A907" s="220" t="n"/>
      <c r="B907" s="222" t="n"/>
      <c r="C907" s="220" t="n"/>
      <c r="D907" s="220" t="n"/>
      <c r="E907" s="220" t="n"/>
      <c r="F907" s="220" t="n"/>
      <c r="G907" s="169" t="n"/>
      <c r="H907" s="219" t="n"/>
      <c r="I907" s="220" t="n"/>
      <c r="J907" s="221" t="n"/>
    </row>
    <row r="908" ht="15" customHeight="1" s="131">
      <c r="A908" s="220" t="n"/>
      <c r="B908" s="222" t="n"/>
      <c r="C908" s="220" t="n"/>
      <c r="D908" s="220" t="n"/>
      <c r="E908" s="220" t="n"/>
      <c r="F908" s="220" t="n"/>
      <c r="G908" s="169" t="n"/>
      <c r="H908" s="219" t="n"/>
      <c r="I908" s="220" t="n"/>
      <c r="J908" s="221" t="n"/>
    </row>
    <row r="909" ht="15" customHeight="1" s="131">
      <c r="A909" s="220" t="n"/>
      <c r="B909" s="222" t="n"/>
      <c r="C909" s="220" t="n"/>
      <c r="D909" s="220" t="n"/>
      <c r="E909" s="220" t="n"/>
      <c r="F909" s="220" t="n"/>
      <c r="G909" s="169" t="n"/>
      <c r="H909" s="219" t="n"/>
      <c r="I909" s="220" t="n"/>
      <c r="J909" s="221" t="n"/>
    </row>
    <row r="910" ht="15" customHeight="1" s="131">
      <c r="A910" s="220" t="n"/>
      <c r="B910" s="222" t="n"/>
      <c r="C910" s="220" t="n"/>
      <c r="D910" s="220" t="n"/>
      <c r="E910" s="220" t="n"/>
      <c r="F910" s="220" t="n"/>
      <c r="G910" s="169" t="n"/>
      <c r="H910" s="219" t="n"/>
      <c r="I910" s="220" t="n"/>
      <c r="J910" s="221" t="n"/>
    </row>
    <row r="911" ht="15" customHeight="1" s="131">
      <c r="A911" s="220" t="n"/>
      <c r="B911" s="222" t="n"/>
      <c r="C911" s="220" t="n"/>
      <c r="D911" s="220" t="n"/>
      <c r="E911" s="220" t="n"/>
      <c r="F911" s="220" t="n"/>
      <c r="G911" s="169" t="n"/>
      <c r="H911" s="219" t="n"/>
      <c r="I911" s="220" t="n"/>
      <c r="J911" s="221" t="n"/>
    </row>
    <row r="912" ht="15" customHeight="1" s="131">
      <c r="A912" s="220" t="n"/>
      <c r="B912" s="222" t="n"/>
      <c r="C912" s="220" t="n"/>
      <c r="D912" s="220" t="n"/>
      <c r="E912" s="220" t="n"/>
      <c r="F912" s="220" t="n"/>
      <c r="G912" s="169" t="n"/>
      <c r="H912" s="219" t="n"/>
      <c r="I912" s="220" t="n"/>
      <c r="J912" s="221" t="n"/>
    </row>
    <row r="913" ht="15" customHeight="1" s="131">
      <c r="A913" s="220" t="n"/>
      <c r="B913" s="222" t="n"/>
      <c r="C913" s="220" t="n"/>
      <c r="D913" s="220" t="n"/>
      <c r="E913" s="220" t="n"/>
      <c r="F913" s="220" t="n"/>
      <c r="G913" s="169" t="n"/>
      <c r="H913" s="219" t="n"/>
      <c r="I913" s="220" t="n"/>
      <c r="J913" s="221" t="n"/>
    </row>
    <row r="914" ht="15" customHeight="1" s="131">
      <c r="A914" s="220" t="n"/>
      <c r="B914" s="222" t="n"/>
      <c r="C914" s="220" t="n"/>
      <c r="D914" s="220" t="n"/>
      <c r="E914" s="220" t="n"/>
      <c r="F914" s="220" t="n"/>
      <c r="G914" s="169" t="n"/>
      <c r="H914" s="219" t="n"/>
      <c r="I914" s="220" t="n"/>
      <c r="J914" s="221" t="n"/>
    </row>
    <row r="915" ht="15" customHeight="1" s="131">
      <c r="A915" s="220" t="n"/>
      <c r="B915" s="222" t="n"/>
      <c r="C915" s="220" t="n"/>
      <c r="D915" s="220" t="n"/>
      <c r="E915" s="220" t="n"/>
      <c r="F915" s="220" t="n"/>
      <c r="G915" s="169" t="n"/>
      <c r="H915" s="219" t="n"/>
      <c r="I915" s="220" t="n"/>
      <c r="J915" s="221" t="n"/>
    </row>
    <row r="916" ht="15" customHeight="1" s="131">
      <c r="A916" s="220" t="n"/>
      <c r="B916" s="222" t="n"/>
      <c r="C916" s="220" t="n"/>
      <c r="D916" s="220" t="n"/>
      <c r="E916" s="220" t="n"/>
      <c r="F916" s="220" t="n"/>
      <c r="G916" s="169" t="n"/>
      <c r="H916" s="219" t="n"/>
      <c r="I916" s="220" t="n"/>
      <c r="J916" s="221" t="n"/>
    </row>
    <row r="917" ht="15" customHeight="1" s="131">
      <c r="A917" s="220" t="n"/>
      <c r="B917" s="222" t="n"/>
      <c r="C917" s="220" t="n"/>
      <c r="D917" s="220" t="n"/>
      <c r="E917" s="220" t="n"/>
      <c r="F917" s="220" t="n"/>
      <c r="G917" s="169" t="n"/>
      <c r="H917" s="219" t="n"/>
      <c r="I917" s="220" t="n"/>
      <c r="J917" s="221" t="n"/>
    </row>
    <row r="918" ht="15" customHeight="1" s="131">
      <c r="A918" s="220" t="n"/>
      <c r="B918" s="222" t="n"/>
      <c r="C918" s="220" t="n"/>
      <c r="D918" s="220" t="n"/>
      <c r="E918" s="220" t="n"/>
      <c r="F918" s="220" t="n"/>
      <c r="G918" s="169" t="n"/>
      <c r="H918" s="219" t="n"/>
      <c r="I918" s="220" t="n"/>
      <c r="J918" s="221" t="n"/>
    </row>
    <row r="919" ht="15" customHeight="1" s="131">
      <c r="A919" s="220" t="n"/>
      <c r="B919" s="222" t="n"/>
      <c r="C919" s="220" t="n"/>
      <c r="D919" s="220" t="n"/>
      <c r="E919" s="220" t="n"/>
      <c r="F919" s="220" t="n"/>
      <c r="G919" s="169" t="n"/>
      <c r="H919" s="219" t="n"/>
      <c r="I919" s="220" t="n"/>
      <c r="J919" s="221" t="n"/>
    </row>
    <row r="920" ht="15" customHeight="1" s="131">
      <c r="A920" s="220" t="n"/>
      <c r="B920" s="222" t="n"/>
      <c r="C920" s="220" t="n"/>
      <c r="D920" s="220" t="n"/>
      <c r="E920" s="220" t="n"/>
      <c r="F920" s="220" t="n"/>
      <c r="G920" s="169" t="n"/>
      <c r="H920" s="219" t="n"/>
      <c r="I920" s="220" t="n"/>
      <c r="J920" s="221" t="n"/>
    </row>
    <row r="921" ht="15" customHeight="1" s="131">
      <c r="A921" s="220" t="n"/>
      <c r="B921" s="222" t="n"/>
      <c r="C921" s="220" t="n"/>
      <c r="D921" s="220" t="n"/>
      <c r="E921" s="220" t="n"/>
      <c r="F921" s="220" t="n"/>
      <c r="G921" s="169" t="n"/>
      <c r="H921" s="219" t="n"/>
      <c r="I921" s="220" t="n"/>
      <c r="J921" s="221" t="n"/>
    </row>
    <row r="922" ht="15" customHeight="1" s="131">
      <c r="A922" s="220" t="n"/>
      <c r="B922" s="222" t="n"/>
      <c r="C922" s="220" t="n"/>
      <c r="D922" s="220" t="n"/>
      <c r="E922" s="220" t="n"/>
      <c r="F922" s="220" t="n"/>
      <c r="G922" s="169" t="n"/>
      <c r="H922" s="219" t="n"/>
      <c r="I922" s="220" t="n"/>
      <c r="J922" s="221" t="n"/>
    </row>
    <row r="923" ht="15" customHeight="1" s="131">
      <c r="A923" s="220" t="n"/>
      <c r="B923" s="222" t="n"/>
      <c r="C923" s="220" t="n"/>
      <c r="D923" s="220" t="n"/>
      <c r="E923" s="220" t="n"/>
      <c r="F923" s="220" t="n"/>
      <c r="G923" s="169" t="n"/>
      <c r="H923" s="219" t="n"/>
      <c r="I923" s="220" t="n"/>
      <c r="J923" s="221" t="n"/>
    </row>
    <row r="924" ht="15" customHeight="1" s="131">
      <c r="A924" s="220" t="n"/>
      <c r="B924" s="222" t="n"/>
      <c r="C924" s="220" t="n"/>
      <c r="D924" s="220" t="n"/>
      <c r="E924" s="220" t="n"/>
      <c r="F924" s="220" t="n"/>
      <c r="G924" s="169" t="n"/>
      <c r="H924" s="219" t="n"/>
      <c r="I924" s="220" t="n"/>
      <c r="J924" s="221" t="n"/>
    </row>
    <row r="925" ht="15" customHeight="1" s="131">
      <c r="A925" s="220" t="n"/>
      <c r="B925" s="222" t="n"/>
      <c r="C925" s="220" t="n"/>
      <c r="D925" s="220" t="n"/>
      <c r="E925" s="220" t="n"/>
      <c r="F925" s="220" t="n"/>
      <c r="G925" s="169" t="n"/>
      <c r="H925" s="219" t="n"/>
      <c r="I925" s="220" t="n"/>
      <c r="J925" s="221" t="n"/>
    </row>
    <row r="926" ht="15" customHeight="1" s="131">
      <c r="A926" s="220" t="n"/>
      <c r="B926" s="222" t="n"/>
      <c r="C926" s="220" t="n"/>
      <c r="D926" s="220" t="n"/>
      <c r="E926" s="220" t="n"/>
      <c r="F926" s="220" t="n"/>
      <c r="G926" s="169" t="n"/>
      <c r="H926" s="219" t="n"/>
      <c r="I926" s="220" t="n"/>
      <c r="J926" s="221" t="n"/>
    </row>
    <row r="927" ht="15" customHeight="1" s="131">
      <c r="A927" s="220" t="n"/>
      <c r="B927" s="222" t="n"/>
      <c r="C927" s="220" t="n"/>
      <c r="D927" s="220" t="n"/>
      <c r="E927" s="220" t="n"/>
      <c r="F927" s="220" t="n"/>
      <c r="G927" s="169" t="n"/>
      <c r="H927" s="219" t="n"/>
      <c r="I927" s="220" t="n"/>
      <c r="J927" s="221" t="n"/>
    </row>
    <row r="928" ht="15" customHeight="1" s="131">
      <c r="A928" s="220" t="n"/>
      <c r="B928" s="222" t="n"/>
      <c r="C928" s="220" t="n"/>
      <c r="D928" s="220" t="n"/>
      <c r="E928" s="220" t="n"/>
      <c r="F928" s="220" t="n"/>
      <c r="G928" s="169" t="n"/>
      <c r="H928" s="219" t="n"/>
      <c r="I928" s="220" t="n"/>
      <c r="J928" s="221" t="n"/>
    </row>
    <row r="929" ht="15" customHeight="1" s="131">
      <c r="A929" s="220" t="n"/>
      <c r="B929" s="222" t="n"/>
      <c r="C929" s="220" t="n"/>
      <c r="D929" s="220" t="n"/>
      <c r="E929" s="220" t="n"/>
      <c r="F929" s="220" t="n"/>
      <c r="G929" s="169" t="n"/>
      <c r="H929" s="219" t="n"/>
      <c r="I929" s="220" t="n"/>
      <c r="J929" s="221" t="n"/>
    </row>
    <row r="930" ht="15" customHeight="1" s="131">
      <c r="A930" s="220" t="n"/>
      <c r="B930" s="222" t="n"/>
      <c r="C930" s="220" t="n"/>
      <c r="D930" s="220" t="n"/>
      <c r="E930" s="220" t="n"/>
      <c r="F930" s="220" t="n"/>
      <c r="G930" s="169" t="n"/>
      <c r="H930" s="219" t="n"/>
      <c r="I930" s="220" t="n"/>
      <c r="J930" s="221" t="n"/>
    </row>
    <row r="931" ht="15" customHeight="1" s="131">
      <c r="A931" s="220" t="n"/>
      <c r="B931" s="222" t="n"/>
      <c r="C931" s="220" t="n"/>
      <c r="D931" s="220" t="n"/>
      <c r="E931" s="220" t="n"/>
      <c r="F931" s="220" t="n"/>
      <c r="G931" s="169" t="n"/>
      <c r="H931" s="219" t="n"/>
      <c r="I931" s="220" t="n"/>
      <c r="J931" s="221" t="n"/>
    </row>
    <row r="932" ht="15" customHeight="1" s="131">
      <c r="A932" s="220" t="n"/>
      <c r="B932" s="222" t="n"/>
      <c r="C932" s="220" t="n"/>
      <c r="D932" s="220" t="n"/>
      <c r="E932" s="220" t="n"/>
      <c r="F932" s="220" t="n"/>
      <c r="G932" s="169" t="n"/>
      <c r="H932" s="219" t="n"/>
      <c r="I932" s="220" t="n"/>
      <c r="J932" s="221" t="n"/>
    </row>
    <row r="933" ht="15" customHeight="1" s="131">
      <c r="A933" s="220" t="n"/>
      <c r="B933" s="222" t="n"/>
      <c r="C933" s="220" t="n"/>
      <c r="D933" s="220" t="n"/>
      <c r="E933" s="220" t="n"/>
      <c r="F933" s="220" t="n"/>
      <c r="G933" s="169" t="n"/>
      <c r="H933" s="219" t="n"/>
      <c r="I933" s="220" t="n"/>
      <c r="J933" s="221" t="n"/>
    </row>
    <row r="934" ht="15" customHeight="1" s="131">
      <c r="A934" s="220" t="n"/>
      <c r="B934" s="222" t="n"/>
      <c r="C934" s="220" t="n"/>
      <c r="D934" s="220" t="n"/>
      <c r="E934" s="220" t="n"/>
      <c r="F934" s="220" t="n"/>
      <c r="G934" s="169" t="n"/>
      <c r="H934" s="219" t="n"/>
      <c r="I934" s="220" t="n"/>
      <c r="J934" s="221" t="n"/>
    </row>
    <row r="935" ht="15" customHeight="1" s="131">
      <c r="A935" s="220" t="n"/>
      <c r="B935" s="222" t="n"/>
      <c r="C935" s="220" t="n"/>
      <c r="D935" s="220" t="n"/>
      <c r="E935" s="220" t="n"/>
      <c r="F935" s="220" t="n"/>
      <c r="G935" s="169" t="n"/>
      <c r="H935" s="219" t="n"/>
      <c r="I935" s="220" t="n"/>
      <c r="J935" s="221" t="n"/>
    </row>
    <row r="936" ht="15" customHeight="1" s="131">
      <c r="A936" s="220" t="n"/>
      <c r="B936" s="222" t="n"/>
      <c r="C936" s="220" t="n"/>
      <c r="D936" s="220" t="n"/>
      <c r="E936" s="220" t="n"/>
      <c r="F936" s="220" t="n"/>
      <c r="G936" s="169" t="n"/>
      <c r="H936" s="219" t="n"/>
      <c r="I936" s="220" t="n"/>
      <c r="J936" s="221" t="n"/>
    </row>
    <row r="937" ht="15" customHeight="1" s="131">
      <c r="A937" s="220" t="n"/>
      <c r="B937" s="222" t="n"/>
      <c r="C937" s="220" t="n"/>
      <c r="D937" s="220" t="n"/>
      <c r="E937" s="220" t="n"/>
      <c r="F937" s="220" t="n"/>
      <c r="G937" s="169" t="n"/>
      <c r="H937" s="219" t="n"/>
      <c r="I937" s="220" t="n"/>
      <c r="J937" s="221" t="n"/>
    </row>
    <row r="938" ht="15" customHeight="1" s="131">
      <c r="A938" s="220" t="n"/>
      <c r="B938" s="222" t="n"/>
      <c r="C938" s="220" t="n"/>
      <c r="D938" s="220" t="n"/>
      <c r="E938" s="220" t="n"/>
      <c r="F938" s="220" t="n"/>
      <c r="G938" s="169" t="n"/>
      <c r="H938" s="219" t="n"/>
      <c r="I938" s="220" t="n"/>
      <c r="J938" s="221" t="n"/>
    </row>
    <row r="939" ht="15" customHeight="1" s="131">
      <c r="A939" s="220" t="n"/>
      <c r="B939" s="222" t="n"/>
      <c r="C939" s="220" t="n"/>
      <c r="D939" s="220" t="n"/>
      <c r="E939" s="220" t="n"/>
      <c r="F939" s="220" t="n"/>
      <c r="G939" s="169" t="n"/>
      <c r="H939" s="219" t="n"/>
      <c r="I939" s="220" t="n"/>
      <c r="J939" s="221" t="n"/>
    </row>
    <row r="940" ht="15" customHeight="1" s="131">
      <c r="A940" s="220" t="n"/>
      <c r="B940" s="222" t="n"/>
      <c r="C940" s="220" t="n"/>
      <c r="D940" s="220" t="n"/>
      <c r="E940" s="220" t="n"/>
      <c r="F940" s="220" t="n"/>
      <c r="G940" s="169" t="n"/>
      <c r="H940" s="219" t="n"/>
      <c r="I940" s="220" t="n"/>
      <c r="J940" s="221" t="n"/>
    </row>
    <row r="941" ht="15" customHeight="1" s="131">
      <c r="A941" s="220" t="n"/>
      <c r="B941" s="222" t="n"/>
      <c r="C941" s="220" t="n"/>
      <c r="D941" s="220" t="n"/>
      <c r="E941" s="220" t="n"/>
      <c r="F941" s="220" t="n"/>
      <c r="G941" s="169" t="n"/>
      <c r="H941" s="219" t="n"/>
      <c r="I941" s="220" t="n"/>
      <c r="J941" s="221" t="n"/>
    </row>
    <row r="942" ht="15" customHeight="1" s="131">
      <c r="A942" s="220" t="n"/>
      <c r="B942" s="222" t="n"/>
      <c r="C942" s="220" t="n"/>
      <c r="D942" s="220" t="n"/>
      <c r="E942" s="220" t="n"/>
      <c r="F942" s="220" t="n"/>
      <c r="G942" s="169" t="n"/>
      <c r="H942" s="219" t="n"/>
      <c r="I942" s="220" t="n"/>
      <c r="J942" s="221" t="n"/>
    </row>
    <row r="943" ht="15" customHeight="1" s="131">
      <c r="A943" s="220" t="n"/>
      <c r="B943" s="222" t="n"/>
      <c r="C943" s="220" t="n"/>
      <c r="D943" s="220" t="n"/>
      <c r="E943" s="220" t="n"/>
      <c r="F943" s="220" t="n"/>
      <c r="G943" s="169" t="n"/>
      <c r="H943" s="219" t="n"/>
      <c r="I943" s="220" t="n"/>
      <c r="J943" s="221" t="n"/>
    </row>
    <row r="944" ht="15" customHeight="1" s="131">
      <c r="A944" s="220" t="n"/>
      <c r="B944" s="222" t="n"/>
      <c r="C944" s="220" t="n"/>
      <c r="D944" s="220" t="n"/>
      <c r="E944" s="220" t="n"/>
      <c r="F944" s="220" t="n"/>
      <c r="G944" s="169" t="n"/>
      <c r="H944" s="219" t="n"/>
      <c r="I944" s="220" t="n"/>
      <c r="J944" s="221" t="n"/>
    </row>
    <row r="945" ht="15" customHeight="1" s="131">
      <c r="A945" s="220" t="n"/>
      <c r="B945" s="222" t="n"/>
      <c r="C945" s="220" t="n"/>
      <c r="D945" s="220" t="n"/>
      <c r="E945" s="220" t="n"/>
      <c r="F945" s="220" t="n"/>
      <c r="G945" s="169" t="n"/>
      <c r="H945" s="219" t="n"/>
      <c r="I945" s="220" t="n"/>
      <c r="J945" s="221" t="n"/>
    </row>
    <row r="946" ht="15" customHeight="1" s="131">
      <c r="A946" s="220" t="n"/>
      <c r="B946" s="222" t="n"/>
      <c r="C946" s="220" t="n"/>
      <c r="D946" s="220" t="n"/>
      <c r="E946" s="220" t="n"/>
      <c r="F946" s="220" t="n"/>
      <c r="G946" s="169" t="n"/>
      <c r="H946" s="219" t="n"/>
      <c r="I946" s="220" t="n"/>
      <c r="J946" s="221" t="n"/>
    </row>
    <row r="947" ht="15" customHeight="1" s="131">
      <c r="A947" s="220" t="n"/>
      <c r="B947" s="222" t="n"/>
      <c r="C947" s="220" t="n"/>
      <c r="D947" s="220" t="n"/>
      <c r="E947" s="220" t="n"/>
      <c r="F947" s="220" t="n"/>
      <c r="G947" s="169" t="n"/>
      <c r="H947" s="219" t="n"/>
      <c r="I947" s="220" t="n"/>
      <c r="J947" s="221" t="n"/>
    </row>
    <row r="948" ht="15" customHeight="1" s="131">
      <c r="A948" s="220" t="n"/>
      <c r="B948" s="222" t="n"/>
      <c r="C948" s="220" t="n"/>
      <c r="D948" s="220" t="n"/>
      <c r="E948" s="220" t="n"/>
      <c r="F948" s="220" t="n"/>
      <c r="G948" s="169" t="n"/>
      <c r="H948" s="219" t="n"/>
      <c r="I948" s="220" t="n"/>
      <c r="J948" s="221" t="n"/>
    </row>
    <row r="949" ht="15" customHeight="1" s="131">
      <c r="A949" s="220" t="n"/>
      <c r="B949" s="222" t="n"/>
      <c r="C949" s="220" t="n"/>
      <c r="D949" s="220" t="n"/>
      <c r="E949" s="220" t="n"/>
      <c r="F949" s="220" t="n"/>
      <c r="G949" s="169" t="n"/>
      <c r="H949" s="219" t="n"/>
      <c r="I949" s="220" t="n"/>
      <c r="J949" s="221" t="n"/>
    </row>
    <row r="950" ht="15" customHeight="1" s="131">
      <c r="A950" s="220" t="n"/>
      <c r="B950" s="222" t="n"/>
      <c r="C950" s="220" t="n"/>
      <c r="D950" s="220" t="n"/>
      <c r="E950" s="220" t="n"/>
      <c r="F950" s="220" t="n"/>
      <c r="G950" s="169" t="n"/>
      <c r="H950" s="219" t="n"/>
      <c r="I950" s="220" t="n"/>
      <c r="J950" s="221" t="n"/>
    </row>
    <row r="951" ht="15" customHeight="1" s="131">
      <c r="A951" s="220" t="n"/>
      <c r="B951" s="222" t="n"/>
      <c r="C951" s="220" t="n"/>
      <c r="D951" s="220" t="n"/>
      <c r="E951" s="220" t="n"/>
      <c r="F951" s="220" t="n"/>
      <c r="G951" s="169" t="n"/>
      <c r="H951" s="219" t="n"/>
      <c r="I951" s="220" t="n"/>
      <c r="J951" s="221" t="n"/>
    </row>
    <row r="952" ht="15" customHeight="1" s="131">
      <c r="A952" s="220" t="n"/>
      <c r="B952" s="222" t="n"/>
      <c r="C952" s="220" t="n"/>
      <c r="D952" s="220" t="n"/>
      <c r="E952" s="220" t="n"/>
      <c r="F952" s="220" t="n"/>
      <c r="G952" s="169" t="n"/>
      <c r="H952" s="219" t="n"/>
      <c r="I952" s="220" t="n"/>
      <c r="J952" s="221" t="n"/>
    </row>
    <row r="953" ht="15" customHeight="1" s="131">
      <c r="A953" s="220" t="n"/>
      <c r="B953" s="222" t="n"/>
      <c r="C953" s="220" t="n"/>
      <c r="D953" s="220" t="n"/>
      <c r="E953" s="220" t="n"/>
      <c r="F953" s="220" t="n"/>
      <c r="G953" s="169" t="n"/>
      <c r="H953" s="219" t="n"/>
      <c r="I953" s="220" t="n"/>
      <c r="J953" s="221" t="n"/>
    </row>
    <row r="954" ht="15" customHeight="1" s="131">
      <c r="A954" s="220" t="n"/>
      <c r="B954" s="222" t="n"/>
      <c r="C954" s="220" t="n"/>
      <c r="D954" s="220" t="n"/>
      <c r="E954" s="220" t="n"/>
      <c r="F954" s="220" t="n"/>
      <c r="G954" s="169" t="n"/>
      <c r="H954" s="219" t="n"/>
      <c r="I954" s="220" t="n"/>
      <c r="J954" s="221" t="n"/>
    </row>
    <row r="955" ht="15" customHeight="1" s="131">
      <c r="A955" s="220" t="n"/>
      <c r="B955" s="222" t="n"/>
      <c r="C955" s="220" t="n"/>
      <c r="D955" s="220" t="n"/>
      <c r="E955" s="220" t="n"/>
      <c r="F955" s="220" t="n"/>
      <c r="G955" s="169" t="n"/>
      <c r="H955" s="219" t="n"/>
      <c r="I955" s="220" t="n"/>
      <c r="J955" s="221" t="n"/>
    </row>
    <row r="956" ht="15" customHeight="1" s="131">
      <c r="A956" s="220" t="n"/>
      <c r="B956" s="222" t="n"/>
      <c r="C956" s="220" t="n"/>
      <c r="D956" s="220" t="n"/>
      <c r="E956" s="220" t="n"/>
      <c r="F956" s="220" t="n"/>
      <c r="G956" s="169" t="n"/>
      <c r="H956" s="219" t="n"/>
      <c r="I956" s="220" t="n"/>
      <c r="J956" s="221" t="n"/>
    </row>
    <row r="957" ht="15" customHeight="1" s="131">
      <c r="A957" s="220" t="n"/>
      <c r="B957" s="222" t="n"/>
      <c r="C957" s="220" t="n"/>
      <c r="D957" s="220" t="n"/>
      <c r="E957" s="220" t="n"/>
      <c r="F957" s="220" t="n"/>
      <c r="G957" s="169" t="n"/>
      <c r="H957" s="219" t="n"/>
      <c r="I957" s="220" t="n"/>
      <c r="J957" s="221" t="n"/>
    </row>
    <row r="958" ht="15" customHeight="1" s="131">
      <c r="A958" s="220" t="n"/>
      <c r="B958" s="222" t="n"/>
      <c r="C958" s="220" t="n"/>
      <c r="D958" s="220" t="n"/>
      <c r="E958" s="220" t="n"/>
      <c r="F958" s="220" t="n"/>
      <c r="G958" s="169" t="n"/>
      <c r="H958" s="219" t="n"/>
      <c r="I958" s="220" t="n"/>
      <c r="J958" s="221" t="n"/>
    </row>
    <row r="959" ht="15" customHeight="1" s="131">
      <c r="A959" s="220" t="n"/>
      <c r="B959" s="222" t="n"/>
      <c r="C959" s="220" t="n"/>
      <c r="D959" s="220" t="n"/>
      <c r="E959" s="220" t="n"/>
      <c r="F959" s="220" t="n"/>
      <c r="G959" s="169" t="n"/>
      <c r="H959" s="219" t="n"/>
      <c r="I959" s="220" t="n"/>
      <c r="J959" s="221" t="n"/>
    </row>
    <row r="960" ht="15" customHeight="1" s="131">
      <c r="A960" s="220" t="n"/>
      <c r="B960" s="222" t="n"/>
      <c r="C960" s="220" t="n"/>
      <c r="D960" s="220" t="n"/>
      <c r="E960" s="220" t="n"/>
      <c r="F960" s="220" t="n"/>
      <c r="G960" s="169" t="n"/>
      <c r="H960" s="219" t="n"/>
      <c r="I960" s="220" t="n"/>
      <c r="J960" s="221" t="n"/>
    </row>
    <row r="961" ht="15" customHeight="1" s="131">
      <c r="A961" s="220" t="n"/>
      <c r="B961" s="222" t="n"/>
      <c r="C961" s="220" t="n"/>
      <c r="D961" s="220" t="n"/>
      <c r="E961" s="220" t="n"/>
      <c r="F961" s="220" t="n"/>
      <c r="G961" s="169" t="n"/>
      <c r="H961" s="219" t="n"/>
      <c r="I961" s="220" t="n"/>
      <c r="J961" s="221" t="n"/>
    </row>
    <row r="962" ht="15" customHeight="1" s="131">
      <c r="A962" s="220" t="n"/>
      <c r="B962" s="222" t="n"/>
      <c r="C962" s="220" t="n"/>
      <c r="D962" s="220" t="n"/>
      <c r="E962" s="220" t="n"/>
      <c r="F962" s="220" t="n"/>
      <c r="G962" s="169" t="n"/>
      <c r="H962" s="219" t="n"/>
      <c r="I962" s="220" t="n"/>
      <c r="J962" s="221" t="n"/>
    </row>
    <row r="963" ht="15" customHeight="1" s="131">
      <c r="A963" s="220" t="n"/>
      <c r="B963" s="222" t="n"/>
      <c r="C963" s="220" t="n"/>
      <c r="D963" s="220" t="n"/>
      <c r="E963" s="220" t="n"/>
      <c r="F963" s="220" t="n"/>
      <c r="G963" s="169" t="n"/>
      <c r="H963" s="219" t="n"/>
      <c r="I963" s="220" t="n"/>
      <c r="J963" s="221" t="n"/>
    </row>
    <row r="964" ht="15" customHeight="1" s="131">
      <c r="A964" s="220" t="n"/>
      <c r="B964" s="222" t="n"/>
      <c r="C964" s="220" t="n"/>
      <c r="D964" s="220" t="n"/>
      <c r="E964" s="220" t="n"/>
      <c r="F964" s="220" t="n"/>
      <c r="G964" s="169" t="n"/>
      <c r="H964" s="219" t="n"/>
      <c r="I964" s="220" t="n"/>
      <c r="J964" s="221" t="n"/>
    </row>
    <row r="965" ht="15" customHeight="1" s="131">
      <c r="A965" s="220" t="n"/>
      <c r="B965" s="222" t="n"/>
      <c r="C965" s="220" t="n"/>
      <c r="D965" s="220" t="n"/>
      <c r="E965" s="220" t="n"/>
      <c r="F965" s="220" t="n"/>
      <c r="G965" s="169" t="n"/>
      <c r="H965" s="219" t="n"/>
      <c r="I965" s="220" t="n"/>
      <c r="J965" s="221" t="n"/>
    </row>
    <row r="966" ht="15" customHeight="1" s="131">
      <c r="A966" s="220" t="n"/>
      <c r="B966" s="222" t="n"/>
      <c r="C966" s="220" t="n"/>
      <c r="D966" s="220" t="n"/>
      <c r="E966" s="220" t="n"/>
      <c r="F966" s="220" t="n"/>
      <c r="G966" s="169" t="n"/>
      <c r="H966" s="219" t="n"/>
      <c r="I966" s="220" t="n"/>
      <c r="J966" s="221" t="n"/>
    </row>
    <row r="967" ht="15" customHeight="1" s="131">
      <c r="A967" s="220" t="n"/>
      <c r="B967" s="222" t="n"/>
      <c r="C967" s="220" t="n"/>
      <c r="D967" s="220" t="n"/>
      <c r="E967" s="220" t="n"/>
      <c r="F967" s="220" t="n"/>
      <c r="G967" s="169" t="n"/>
      <c r="H967" s="219" t="n"/>
      <c r="I967" s="220" t="n"/>
      <c r="J967" s="221" t="n"/>
    </row>
    <row r="968" ht="15" customHeight="1" s="131">
      <c r="A968" s="220" t="n"/>
      <c r="B968" s="222" t="n"/>
      <c r="C968" s="220" t="n"/>
      <c r="D968" s="220" t="n"/>
      <c r="E968" s="220" t="n"/>
      <c r="F968" s="220" t="n"/>
      <c r="G968" s="169" t="n"/>
      <c r="H968" s="219" t="n"/>
      <c r="I968" s="220" t="n"/>
      <c r="J968" s="221" t="n"/>
    </row>
    <row r="969" ht="15" customHeight="1" s="131">
      <c r="A969" s="220" t="n"/>
      <c r="B969" s="222" t="n"/>
      <c r="C969" s="220" t="n"/>
      <c r="D969" s="220" t="n"/>
      <c r="E969" s="220" t="n"/>
      <c r="F969" s="220" t="n"/>
      <c r="G969" s="169" t="n"/>
      <c r="H969" s="219" t="n"/>
      <c r="I969" s="220" t="n"/>
      <c r="J969" s="221" t="n"/>
    </row>
    <row r="970" ht="15" customHeight="1" s="131">
      <c r="A970" s="220" t="n"/>
      <c r="B970" s="222" t="n"/>
      <c r="C970" s="220" t="n"/>
      <c r="D970" s="220" t="n"/>
      <c r="E970" s="220" t="n"/>
      <c r="F970" s="220" t="n"/>
      <c r="G970" s="169" t="n"/>
      <c r="H970" s="219" t="n"/>
      <c r="I970" s="220" t="n"/>
      <c r="J970" s="221" t="n"/>
    </row>
    <row r="971" ht="15" customHeight="1" s="131">
      <c r="A971" s="220" t="n"/>
      <c r="B971" s="222" t="n"/>
      <c r="C971" s="220" t="n"/>
      <c r="D971" s="220" t="n"/>
      <c r="E971" s="220" t="n"/>
      <c r="F971" s="220" t="n"/>
      <c r="G971" s="169" t="n"/>
      <c r="H971" s="219" t="n"/>
      <c r="I971" s="220" t="n"/>
      <c r="J971" s="221" t="n"/>
    </row>
    <row r="972" ht="15" customHeight="1" s="131">
      <c r="A972" s="220" t="n"/>
      <c r="B972" s="222" t="n"/>
      <c r="C972" s="220" t="n"/>
      <c r="D972" s="220" t="n"/>
      <c r="E972" s="220" t="n"/>
      <c r="F972" s="220" t="n"/>
      <c r="G972" s="169" t="n"/>
      <c r="H972" s="219" t="n"/>
      <c r="I972" s="220" t="n"/>
      <c r="J972" s="221" t="n"/>
    </row>
    <row r="973" ht="15" customHeight="1" s="131">
      <c r="A973" s="220" t="n"/>
      <c r="B973" s="222" t="n"/>
      <c r="C973" s="220" t="n"/>
      <c r="D973" s="220" t="n"/>
      <c r="E973" s="220" t="n"/>
      <c r="F973" s="220" t="n"/>
      <c r="G973" s="169" t="n"/>
      <c r="H973" s="219" t="n"/>
      <c r="I973" s="220" t="n"/>
      <c r="J973" s="221" t="n"/>
    </row>
    <row r="974" ht="15" customHeight="1" s="131">
      <c r="A974" s="220" t="n"/>
      <c r="B974" s="222" t="n"/>
      <c r="C974" s="220" t="n"/>
      <c r="D974" s="220" t="n"/>
      <c r="E974" s="220" t="n"/>
      <c r="F974" s="220" t="n"/>
      <c r="G974" s="169" t="n"/>
      <c r="H974" s="219" t="n"/>
      <c r="I974" s="220" t="n"/>
      <c r="J974" s="221" t="n"/>
    </row>
    <row r="975" ht="15" customHeight="1" s="131">
      <c r="A975" s="220" t="n"/>
      <c r="B975" s="222" t="n"/>
      <c r="C975" s="220" t="n"/>
      <c r="D975" s="220" t="n"/>
      <c r="E975" s="220" t="n"/>
      <c r="F975" s="220" t="n"/>
      <c r="G975" s="169" t="n"/>
      <c r="H975" s="219" t="n"/>
      <c r="I975" s="220" t="n"/>
      <c r="J975" s="221" t="n"/>
    </row>
    <row r="976" ht="15" customHeight="1" s="131">
      <c r="A976" s="220" t="n"/>
      <c r="B976" s="222" t="n"/>
      <c r="C976" s="220" t="n"/>
      <c r="D976" s="220" t="n"/>
      <c r="E976" s="220" t="n"/>
      <c r="F976" s="220" t="n"/>
      <c r="G976" s="169" t="n"/>
      <c r="H976" s="219" t="n"/>
      <c r="I976" s="220" t="n"/>
      <c r="J976" s="221" t="n"/>
    </row>
    <row r="977" ht="15" customHeight="1" s="131">
      <c r="A977" s="220" t="n"/>
      <c r="B977" s="222" t="n"/>
      <c r="C977" s="220" t="n"/>
      <c r="D977" s="220" t="n"/>
      <c r="E977" s="220" t="n"/>
      <c r="F977" s="220" t="n"/>
      <c r="G977" s="169" t="n"/>
      <c r="H977" s="219" t="n"/>
      <c r="I977" s="220" t="n"/>
      <c r="J977" s="221" t="n"/>
    </row>
    <row r="978" ht="15" customHeight="1" s="131">
      <c r="A978" s="220" t="n"/>
      <c r="B978" s="222" t="n"/>
      <c r="C978" s="220" t="n"/>
      <c r="D978" s="220" t="n"/>
      <c r="E978" s="220" t="n"/>
      <c r="F978" s="220" t="n"/>
      <c r="G978" s="169" t="n"/>
      <c r="H978" s="219" t="n"/>
      <c r="I978" s="220" t="n"/>
      <c r="J978" s="221" t="n"/>
    </row>
    <row r="979" ht="15" customHeight="1" s="131">
      <c r="A979" s="220" t="n"/>
      <c r="B979" s="222" t="n"/>
      <c r="C979" s="220" t="n"/>
      <c r="D979" s="220" t="n"/>
      <c r="E979" s="220" t="n"/>
      <c r="F979" s="220" t="n"/>
      <c r="G979" s="169" t="n"/>
      <c r="H979" s="219" t="n"/>
      <c r="I979" s="220" t="n"/>
      <c r="J979" s="221" t="n"/>
    </row>
    <row r="980" ht="15" customHeight="1" s="131">
      <c r="A980" s="220" t="n"/>
      <c r="B980" s="222" t="n"/>
      <c r="C980" s="220" t="n"/>
      <c r="D980" s="220" t="n"/>
      <c r="E980" s="220" t="n"/>
      <c r="F980" s="220" t="n"/>
      <c r="G980" s="169" t="n"/>
      <c r="H980" s="219" t="n"/>
      <c r="I980" s="220" t="n"/>
      <c r="J980" s="221" t="n"/>
    </row>
    <row r="981" ht="15" customHeight="1" s="131">
      <c r="A981" s="220" t="n"/>
      <c r="B981" s="222" t="n"/>
      <c r="C981" s="220" t="n"/>
      <c r="D981" s="220" t="n"/>
      <c r="E981" s="220" t="n"/>
      <c r="F981" s="220" t="n"/>
      <c r="G981" s="169" t="n"/>
      <c r="H981" s="219" t="n"/>
      <c r="I981" s="220" t="n"/>
      <c r="J981" s="221" t="n"/>
    </row>
    <row r="982" ht="15" customHeight="1" s="131">
      <c r="A982" s="220" t="n"/>
      <c r="B982" s="222" t="n"/>
      <c r="C982" s="220" t="n"/>
      <c r="D982" s="220" t="n"/>
      <c r="E982" s="220" t="n"/>
      <c r="F982" s="220" t="n"/>
      <c r="G982" s="169" t="n"/>
      <c r="H982" s="219" t="n"/>
      <c r="I982" s="220" t="n"/>
      <c r="J982" s="221" t="n"/>
    </row>
    <row r="983" ht="15" customHeight="1" s="131">
      <c r="A983" s="220" t="n"/>
      <c r="B983" s="222" t="n"/>
      <c r="C983" s="220" t="n"/>
      <c r="D983" s="220" t="n"/>
      <c r="E983" s="220" t="n"/>
      <c r="F983" s="220" t="n"/>
      <c r="G983" s="169" t="n"/>
      <c r="H983" s="219" t="n"/>
      <c r="I983" s="220" t="n"/>
      <c r="J983" s="221" t="n"/>
    </row>
    <row r="984" ht="15" customHeight="1" s="131">
      <c r="A984" s="220" t="n"/>
      <c r="B984" s="222" t="n"/>
      <c r="C984" s="220" t="n"/>
      <c r="D984" s="220" t="n"/>
      <c r="E984" s="220" t="n"/>
      <c r="F984" s="220" t="n"/>
      <c r="G984" s="169" t="n"/>
      <c r="H984" s="219" t="n"/>
      <c r="I984" s="220" t="n"/>
      <c r="J984" s="221" t="n"/>
    </row>
    <row r="985" ht="15" customHeight="1" s="131">
      <c r="A985" s="220" t="n"/>
      <c r="B985" s="222" t="n"/>
      <c r="C985" s="220" t="n"/>
      <c r="D985" s="220" t="n"/>
      <c r="E985" s="220" t="n"/>
      <c r="F985" s="220" t="n"/>
      <c r="G985" s="169" t="n"/>
      <c r="H985" s="219" t="n"/>
      <c r="I985" s="220" t="n"/>
      <c r="J985" s="221" t="n"/>
    </row>
    <row r="986" ht="15" customHeight="1" s="131">
      <c r="A986" s="220" t="n"/>
      <c r="B986" s="222" t="n"/>
      <c r="C986" s="220" t="n"/>
      <c r="D986" s="220" t="n"/>
      <c r="E986" s="220" t="n"/>
      <c r="F986" s="220" t="n"/>
      <c r="G986" s="169" t="n"/>
      <c r="H986" s="219" t="n"/>
      <c r="I986" s="220" t="n"/>
      <c r="J986" s="221" t="n"/>
    </row>
    <row r="987" ht="15" customHeight="1" s="131">
      <c r="A987" s="220" t="n"/>
      <c r="B987" s="222" t="n"/>
      <c r="C987" s="220" t="n"/>
      <c r="D987" s="220" t="n"/>
      <c r="E987" s="220" t="n"/>
      <c r="F987" s="220" t="n"/>
      <c r="G987" s="169" t="n"/>
      <c r="H987" s="219" t="n"/>
      <c r="I987" s="220" t="n"/>
      <c r="J987" s="221" t="n"/>
    </row>
    <row r="988" ht="15" customHeight="1" s="131">
      <c r="A988" s="220" t="n"/>
      <c r="B988" s="222" t="n"/>
      <c r="C988" s="220" t="n"/>
      <c r="D988" s="220" t="n"/>
      <c r="E988" s="220" t="n"/>
      <c r="F988" s="220" t="n"/>
      <c r="G988" s="169" t="n"/>
      <c r="H988" s="219" t="n"/>
      <c r="I988" s="220" t="n"/>
      <c r="J988" s="221" t="n"/>
    </row>
    <row r="989" ht="15" customHeight="1" s="131">
      <c r="A989" s="220" t="n"/>
      <c r="B989" s="222" t="n"/>
      <c r="C989" s="220" t="n"/>
      <c r="D989" s="220" t="n"/>
      <c r="E989" s="220" t="n"/>
      <c r="F989" s="220" t="n"/>
      <c r="G989" s="169" t="n"/>
      <c r="H989" s="219" t="n"/>
      <c r="I989" s="220" t="n"/>
      <c r="J989" s="221" t="n"/>
    </row>
    <row r="990" ht="15" customHeight="1" s="131">
      <c r="A990" s="220" t="n"/>
      <c r="B990" s="222" t="n"/>
      <c r="C990" s="220" t="n"/>
      <c r="D990" s="220" t="n"/>
      <c r="E990" s="220" t="n"/>
      <c r="F990" s="220" t="n"/>
      <c r="G990" s="169" t="n"/>
      <c r="H990" s="219" t="n"/>
      <c r="I990" s="220" t="n"/>
      <c r="J990" s="221" t="n"/>
    </row>
    <row r="991" ht="15" customHeight="1" s="131">
      <c r="A991" s="220" t="n"/>
      <c r="B991" s="222" t="n"/>
      <c r="C991" s="220" t="n"/>
      <c r="D991" s="220" t="n"/>
      <c r="E991" s="220" t="n"/>
      <c r="F991" s="220" t="n"/>
      <c r="G991" s="169" t="n"/>
      <c r="H991" s="219" t="n"/>
      <c r="I991" s="220" t="n"/>
      <c r="J991" s="221" t="n"/>
    </row>
    <row r="992" ht="15" customHeight="1" s="131">
      <c r="A992" s="220" t="n"/>
      <c r="B992" s="222" t="n"/>
      <c r="C992" s="220" t="n"/>
      <c r="D992" s="220" t="n"/>
      <c r="E992" s="220" t="n"/>
      <c r="F992" s="220" t="n"/>
      <c r="G992" s="169" t="n"/>
      <c r="H992" s="219" t="n"/>
      <c r="I992" s="220" t="n"/>
      <c r="J992" s="221" t="n"/>
    </row>
    <row r="993" ht="15" customHeight="1" s="131">
      <c r="A993" s="220" t="n"/>
      <c r="B993" s="222" t="n"/>
      <c r="C993" s="220" t="n"/>
      <c r="D993" s="220" t="n"/>
      <c r="E993" s="220" t="n"/>
      <c r="F993" s="220" t="n"/>
      <c r="G993" s="169" t="n"/>
      <c r="H993" s="219" t="n"/>
      <c r="I993" s="220" t="n"/>
      <c r="J993" s="221" t="n"/>
    </row>
    <row r="994" ht="15" customHeight="1" s="131">
      <c r="A994" s="220" t="n"/>
      <c r="B994" s="222" t="n"/>
      <c r="C994" s="220" t="n"/>
      <c r="D994" s="220" t="n"/>
      <c r="E994" s="220" t="n"/>
      <c r="F994" s="220" t="n"/>
      <c r="G994" s="169" t="n"/>
      <c r="H994" s="219" t="n"/>
      <c r="I994" s="220" t="n"/>
      <c r="J994" s="221" t="n"/>
    </row>
    <row r="995" ht="15" customHeight="1" s="131">
      <c r="A995" s="220" t="n"/>
      <c r="B995" s="222" t="n"/>
      <c r="C995" s="220" t="n"/>
      <c r="D995" s="220" t="n"/>
      <c r="E995" s="220" t="n"/>
      <c r="F995" s="220" t="n"/>
      <c r="G995" s="169" t="n"/>
      <c r="H995" s="219" t="n"/>
      <c r="I995" s="220" t="n"/>
      <c r="J995" s="221" t="n"/>
    </row>
    <row r="996" ht="15" customHeight="1" s="131">
      <c r="A996" s="220" t="n"/>
      <c r="B996" s="222" t="n"/>
      <c r="C996" s="220" t="n"/>
      <c r="D996" s="220" t="n"/>
      <c r="E996" s="220" t="n"/>
      <c r="F996" s="220" t="n"/>
      <c r="G996" s="169" t="n"/>
      <c r="H996" s="219" t="n"/>
      <c r="I996" s="220" t="n"/>
      <c r="J996" s="221" t="n"/>
    </row>
    <row r="997" ht="15" customHeight="1" s="131">
      <c r="A997" s="220" t="n"/>
      <c r="B997" s="222" t="n"/>
      <c r="C997" s="220" t="n"/>
      <c r="D997" s="220" t="n"/>
      <c r="E997" s="220" t="n"/>
      <c r="F997" s="220" t="n"/>
      <c r="G997" s="169" t="n"/>
      <c r="H997" s="219" t="n"/>
      <c r="I997" s="220" t="n"/>
      <c r="J997" s="221" t="n"/>
    </row>
    <row r="998" ht="15" customHeight="1" s="131">
      <c r="A998" s="220" t="n"/>
      <c r="B998" s="222" t="n"/>
      <c r="C998" s="220" t="n"/>
      <c r="D998" s="220" t="n"/>
      <c r="E998" s="220" t="n"/>
      <c r="F998" s="220" t="n"/>
      <c r="G998" s="169" t="n"/>
      <c r="H998" s="219" t="n"/>
      <c r="I998" s="220" t="n"/>
      <c r="J998" s="221" t="n"/>
    </row>
    <row r="999" ht="15" customHeight="1" s="131">
      <c r="A999" s="220" t="n"/>
      <c r="B999" s="222" t="n"/>
      <c r="C999" s="220" t="n"/>
      <c r="D999" s="220" t="n"/>
      <c r="E999" s="220" t="n"/>
      <c r="F999" s="220" t="n"/>
      <c r="G999" s="169" t="n"/>
      <c r="H999" s="219" t="n"/>
      <c r="I999" s="220" t="n"/>
      <c r="J999" s="221" t="n"/>
    </row>
    <row r="1000" ht="15" customHeight="1" s="131">
      <c r="A1000" s="220" t="n"/>
      <c r="B1000" s="222" t="n"/>
      <c r="C1000" s="220" t="n"/>
      <c r="D1000" s="220" t="n"/>
      <c r="E1000" s="220" t="n"/>
      <c r="F1000" s="220" t="n"/>
      <c r="G1000" s="169" t="n"/>
      <c r="H1000" s="219" t="n"/>
      <c r="I1000" s="220" t="n"/>
      <c r="J1000" s="221" t="n"/>
    </row>
    <row r="1001" ht="15" customHeight="1" s="131">
      <c r="A1001" s="220" t="n"/>
      <c r="B1001" s="222" t="n"/>
      <c r="C1001" s="220" t="n"/>
      <c r="D1001" s="220" t="n"/>
      <c r="E1001" s="220" t="n"/>
      <c r="F1001" s="220" t="n"/>
      <c r="G1001" s="169" t="n"/>
      <c r="H1001" s="219" t="n"/>
      <c r="I1001" s="220" t="n"/>
      <c r="J1001" s="221" t="n"/>
    </row>
    <row r="1002" ht="15" customHeight="1" s="131">
      <c r="A1002" s="220" t="n"/>
      <c r="B1002" s="222" t="n"/>
      <c r="C1002" s="220" t="n"/>
      <c r="D1002" s="220" t="n"/>
      <c r="E1002" s="220" t="n"/>
      <c r="F1002" s="220" t="n"/>
      <c r="G1002" s="169" t="n"/>
      <c r="H1002" s="219" t="n"/>
      <c r="I1002" s="220" t="n"/>
      <c r="J1002" s="221" t="n"/>
    </row>
    <row r="1003" ht="15" customHeight="1" s="131">
      <c r="A1003" s="220" t="n"/>
      <c r="B1003" s="222" t="n"/>
      <c r="C1003" s="220" t="n"/>
      <c r="D1003" s="220" t="n"/>
      <c r="E1003" s="220" t="n"/>
      <c r="F1003" s="220" t="n"/>
      <c r="G1003" s="169" t="n"/>
      <c r="H1003" s="219" t="n"/>
      <c r="I1003" s="220" t="n"/>
      <c r="J1003" s="221" t="n"/>
    </row>
    <row r="1004" ht="15" customHeight="1" s="131">
      <c r="A1004" s="220" t="n"/>
      <c r="B1004" s="222" t="n"/>
      <c r="C1004" s="220" t="n"/>
      <c r="D1004" s="220" t="n"/>
      <c r="E1004" s="220" t="n"/>
      <c r="F1004" s="220" t="n"/>
      <c r="G1004" s="169" t="n"/>
      <c r="H1004" s="219" t="n"/>
      <c r="I1004" s="220" t="n"/>
      <c r="J1004" s="221" t="n"/>
    </row>
    <row r="1005" ht="15" customHeight="1" s="131">
      <c r="A1005" s="220" t="n"/>
      <c r="B1005" s="222" t="n"/>
      <c r="C1005" s="220" t="n"/>
      <c r="D1005" s="220" t="n"/>
      <c r="E1005" s="220" t="n"/>
      <c r="F1005" s="220" t="n"/>
      <c r="G1005" s="169" t="n"/>
      <c r="H1005" s="219" t="n"/>
      <c r="I1005" s="220" t="n"/>
      <c r="J1005" s="221" t="n"/>
    </row>
    <row r="1006" ht="15" customHeight="1" s="131">
      <c r="A1006" s="220" t="n"/>
      <c r="B1006" s="222" t="n"/>
      <c r="C1006" s="220" t="n"/>
      <c r="D1006" s="220" t="n"/>
      <c r="E1006" s="220" t="n"/>
      <c r="F1006" s="220" t="n"/>
      <c r="G1006" s="169" t="n"/>
      <c r="H1006" s="219" t="n"/>
      <c r="I1006" s="220" t="n"/>
      <c r="J1006" s="221" t="n"/>
    </row>
    <row r="1007" ht="15" customHeight="1" s="131">
      <c r="A1007" s="220" t="n"/>
      <c r="B1007" s="222" t="n"/>
      <c r="C1007" s="220" t="n"/>
      <c r="D1007" s="220" t="n"/>
      <c r="E1007" s="220" t="n"/>
      <c r="F1007" s="220" t="n"/>
      <c r="G1007" s="169" t="n"/>
      <c r="H1007" s="219" t="n"/>
      <c r="I1007" s="220" t="n"/>
      <c r="J1007" s="221" t="n"/>
    </row>
    <row r="1008" ht="15" customHeight="1" s="131">
      <c r="A1008" s="220" t="n"/>
      <c r="B1008" s="222" t="n"/>
      <c r="C1008" s="220" t="n"/>
      <c r="D1008" s="220" t="n"/>
      <c r="E1008" s="220" t="n"/>
      <c r="F1008" s="220" t="n"/>
      <c r="G1008" s="169" t="n"/>
      <c r="H1008" s="219" t="n"/>
      <c r="I1008" s="220" t="n"/>
      <c r="J1008" s="221" t="n"/>
    </row>
    <row r="1009" ht="15" customHeight="1" s="131">
      <c r="A1009" s="220" t="n"/>
      <c r="B1009" s="222" t="n"/>
      <c r="C1009" s="220" t="n"/>
      <c r="D1009" s="220" t="n"/>
      <c r="E1009" s="220" t="n"/>
      <c r="F1009" s="220" t="n"/>
      <c r="G1009" s="169" t="n"/>
      <c r="H1009" s="219" t="n"/>
      <c r="I1009" s="220" t="n"/>
      <c r="J1009" s="221" t="n"/>
    </row>
    <row r="1010" ht="15" customHeight="1" s="131">
      <c r="A1010" s="220" t="n"/>
      <c r="B1010" s="222" t="n"/>
      <c r="C1010" s="220" t="n"/>
      <c r="D1010" s="220" t="n"/>
      <c r="E1010" s="220" t="n"/>
      <c r="F1010" s="220" t="n"/>
      <c r="G1010" s="169" t="n"/>
      <c r="H1010" s="219" t="n"/>
      <c r="I1010" s="220" t="n"/>
      <c r="J1010" s="221" t="n"/>
    </row>
    <row r="1011" ht="15" customHeight="1" s="131">
      <c r="A1011" s="220" t="n"/>
      <c r="B1011" s="222" t="n"/>
      <c r="C1011" s="220" t="n"/>
      <c r="D1011" s="220" t="n"/>
      <c r="E1011" s="220" t="n"/>
      <c r="F1011" s="220" t="n"/>
      <c r="G1011" s="169" t="n"/>
      <c r="H1011" s="219" t="n"/>
      <c r="I1011" s="220" t="n"/>
      <c r="J1011" s="221" t="n"/>
    </row>
    <row r="1012" ht="15" customHeight="1" s="131">
      <c r="A1012" s="220" t="n"/>
      <c r="B1012" s="222" t="n"/>
      <c r="C1012" s="220" t="n"/>
      <c r="D1012" s="220" t="n"/>
      <c r="E1012" s="220" t="n"/>
      <c r="F1012" s="220" t="n"/>
      <c r="G1012" s="169" t="n"/>
      <c r="H1012" s="219" t="n"/>
      <c r="I1012" s="220" t="n"/>
      <c r="J1012" s="221" t="n"/>
    </row>
    <row r="1013" ht="15" customHeight="1" s="131">
      <c r="A1013" s="220" t="n"/>
      <c r="B1013" s="222" t="n"/>
      <c r="C1013" s="220" t="n"/>
      <c r="D1013" s="220" t="n"/>
      <c r="E1013" s="220" t="n"/>
      <c r="F1013" s="220" t="n"/>
      <c r="G1013" s="169" t="n"/>
      <c r="H1013" s="219" t="n"/>
      <c r="I1013" s="220" t="n"/>
      <c r="J1013" s="221" t="n"/>
    </row>
    <row r="1014" ht="15" customHeight="1" s="131">
      <c r="A1014" s="220" t="n"/>
      <c r="B1014" s="222" t="n"/>
      <c r="C1014" s="220" t="n"/>
      <c r="D1014" s="220" t="n"/>
      <c r="E1014" s="220" t="n"/>
      <c r="F1014" s="220" t="n"/>
      <c r="G1014" s="169" t="n"/>
      <c r="H1014" s="219" t="n"/>
      <c r="I1014" s="220" t="n"/>
      <c r="J1014" s="221" t="n"/>
    </row>
    <row r="1015" ht="15" customHeight="1" s="131">
      <c r="A1015" s="220" t="n"/>
      <c r="B1015" s="222" t="n"/>
      <c r="C1015" s="220" t="n"/>
      <c r="D1015" s="220" t="n"/>
      <c r="E1015" s="220" t="n"/>
      <c r="F1015" s="220" t="n"/>
      <c r="G1015" s="169" t="n"/>
      <c r="H1015" s="219" t="n"/>
      <c r="I1015" s="220" t="n"/>
      <c r="J1015" s="221" t="n"/>
    </row>
    <row r="1016" ht="15" customHeight="1" s="131">
      <c r="A1016" s="220" t="n"/>
      <c r="B1016" s="222" t="n"/>
      <c r="C1016" s="220" t="n"/>
      <c r="D1016" s="220" t="n"/>
      <c r="E1016" s="220" t="n"/>
      <c r="F1016" s="220" t="n"/>
      <c r="G1016" s="169" t="n"/>
      <c r="H1016" s="219" t="n"/>
      <c r="I1016" s="220" t="n"/>
      <c r="J1016" s="221" t="n"/>
    </row>
    <row r="1017" ht="15" customHeight="1" s="131">
      <c r="A1017" s="220" t="n"/>
      <c r="B1017" s="222" t="n"/>
      <c r="C1017" s="220" t="n"/>
      <c r="D1017" s="220" t="n"/>
      <c r="E1017" s="220" t="n"/>
      <c r="F1017" s="220" t="n"/>
      <c r="G1017" s="169" t="n"/>
      <c r="H1017" s="219" t="n"/>
      <c r="I1017" s="220" t="n"/>
      <c r="J1017" s="221" t="n"/>
    </row>
    <row r="1018" ht="15" customHeight="1" s="131">
      <c r="A1018" s="220" t="n"/>
      <c r="B1018" s="222" t="n"/>
      <c r="C1018" s="220" t="n"/>
      <c r="D1018" s="220" t="n"/>
      <c r="E1018" s="220" t="n"/>
      <c r="F1018" s="220" t="n"/>
      <c r="G1018" s="169" t="n"/>
      <c r="H1018" s="219" t="n"/>
      <c r="I1018" s="220" t="n"/>
      <c r="J1018" s="221" t="n"/>
    </row>
    <row r="1019" ht="15" customHeight="1" s="131">
      <c r="A1019" s="220" t="n"/>
      <c r="B1019" s="222" t="n"/>
      <c r="C1019" s="220" t="n"/>
      <c r="D1019" s="220" t="n"/>
      <c r="E1019" s="220" t="n"/>
      <c r="F1019" s="220" t="n"/>
      <c r="G1019" s="169" t="n"/>
      <c r="H1019" s="219" t="n"/>
      <c r="I1019" s="220" t="n"/>
      <c r="J1019" s="221" t="n"/>
    </row>
    <row r="1020" ht="15" customHeight="1" s="131">
      <c r="A1020" s="220" t="n"/>
      <c r="B1020" s="222" t="n"/>
      <c r="C1020" s="220" t="n"/>
      <c r="D1020" s="220" t="n"/>
      <c r="E1020" s="220" t="n"/>
      <c r="F1020" s="220" t="n"/>
      <c r="G1020" s="169" t="n"/>
      <c r="H1020" s="219" t="n"/>
      <c r="I1020" s="220" t="n"/>
      <c r="J1020" s="221" t="n"/>
    </row>
    <row r="1021" ht="15" customHeight="1" s="131">
      <c r="A1021" s="220" t="n"/>
      <c r="B1021" s="222" t="n"/>
      <c r="C1021" s="220" t="n"/>
      <c r="D1021" s="220" t="n"/>
      <c r="E1021" s="220" t="n"/>
      <c r="F1021" s="220" t="n"/>
      <c r="G1021" s="169" t="n"/>
      <c r="H1021" s="219" t="n"/>
      <c r="I1021" s="220" t="n"/>
      <c r="J1021" s="221" t="n"/>
    </row>
    <row r="1022" ht="15" customHeight="1" s="131">
      <c r="A1022" s="220" t="n"/>
      <c r="B1022" s="222" t="n"/>
      <c r="C1022" s="220" t="n"/>
      <c r="D1022" s="220" t="n"/>
      <c r="E1022" s="220" t="n"/>
      <c r="F1022" s="220" t="n"/>
      <c r="G1022" s="169" t="n"/>
      <c r="H1022" s="219" t="n"/>
      <c r="I1022" s="220" t="n"/>
      <c r="J1022" s="221" t="n"/>
    </row>
    <row r="1023" ht="15" customHeight="1" s="131">
      <c r="A1023" s="220" t="n"/>
      <c r="B1023" s="222" t="n"/>
      <c r="C1023" s="220" t="n"/>
      <c r="D1023" s="220" t="n"/>
      <c r="E1023" s="220" t="n"/>
      <c r="F1023" s="220" t="n"/>
      <c r="G1023" s="169" t="n"/>
      <c r="H1023" s="219" t="n"/>
      <c r="I1023" s="220" t="n"/>
      <c r="J1023" s="221" t="n"/>
    </row>
    <row r="1024" ht="15" customHeight="1" s="131">
      <c r="A1024" s="220" t="n"/>
      <c r="B1024" s="222" t="n"/>
      <c r="C1024" s="220" t="n"/>
      <c r="D1024" s="220" t="n"/>
      <c r="E1024" s="220" t="n"/>
      <c r="F1024" s="220" t="n"/>
      <c r="G1024" s="169" t="n"/>
      <c r="H1024" s="219" t="n"/>
      <c r="I1024" s="220" t="n"/>
      <c r="J1024" s="221" t="n"/>
    </row>
    <row r="1025" ht="15" customHeight="1" s="131">
      <c r="A1025" s="220" t="n"/>
      <c r="B1025" s="222" t="n"/>
      <c r="C1025" s="220" t="n"/>
      <c r="D1025" s="220" t="n"/>
      <c r="E1025" s="220" t="n"/>
      <c r="F1025" s="220" t="n"/>
      <c r="G1025" s="169" t="n"/>
      <c r="H1025" s="219" t="n"/>
      <c r="I1025" s="220" t="n"/>
      <c r="J1025" s="221" t="n"/>
    </row>
    <row r="1026" ht="15" customHeight="1" s="131">
      <c r="A1026" s="220" t="n"/>
      <c r="B1026" s="222" t="n"/>
      <c r="C1026" s="220" t="n"/>
      <c r="D1026" s="220" t="n"/>
      <c r="E1026" s="220" t="n"/>
      <c r="F1026" s="220" t="n"/>
      <c r="G1026" s="169" t="n"/>
      <c r="H1026" s="219" t="n"/>
      <c r="I1026" s="220" t="n"/>
      <c r="J1026" s="221" t="n"/>
    </row>
    <row r="1027" ht="15" customHeight="1" s="131">
      <c r="A1027" s="220" t="n"/>
      <c r="B1027" s="222" t="n"/>
      <c r="C1027" s="220" t="n"/>
      <c r="D1027" s="220" t="n"/>
      <c r="E1027" s="220" t="n"/>
      <c r="F1027" s="220" t="n"/>
      <c r="G1027" s="169" t="n"/>
      <c r="H1027" s="219" t="n"/>
      <c r="I1027" s="220" t="n"/>
      <c r="J1027" s="221" t="n"/>
    </row>
    <row r="1028" ht="15" customHeight="1" s="131">
      <c r="A1028" s="220" t="n"/>
      <c r="B1028" s="222" t="n"/>
      <c r="C1028" s="220" t="n"/>
      <c r="D1028" s="220" t="n"/>
      <c r="E1028" s="220" t="n"/>
      <c r="F1028" s="220" t="n"/>
      <c r="G1028" s="169" t="n"/>
      <c r="H1028" s="219" t="n"/>
      <c r="I1028" s="220" t="n"/>
      <c r="J1028" s="221" t="n"/>
    </row>
    <row r="1029" ht="15" customHeight="1" s="131">
      <c r="A1029" s="220" t="n"/>
      <c r="B1029" s="222" t="n"/>
      <c r="C1029" s="220" t="n"/>
      <c r="D1029" s="220" t="n"/>
      <c r="E1029" s="220" t="n"/>
      <c r="F1029" s="220" t="n"/>
      <c r="G1029" s="169" t="n"/>
      <c r="H1029" s="219" t="n"/>
      <c r="I1029" s="220" t="n"/>
      <c r="J1029" s="221" t="n"/>
    </row>
    <row r="1030" ht="15" customHeight="1" s="131">
      <c r="A1030" s="220" t="n"/>
      <c r="B1030" s="222" t="n"/>
      <c r="C1030" s="220" t="n"/>
      <c r="D1030" s="220" t="n"/>
      <c r="E1030" s="220" t="n"/>
      <c r="F1030" s="220" t="n"/>
      <c r="G1030" s="169" t="n"/>
      <c r="H1030" s="219" t="n"/>
      <c r="I1030" s="220" t="n"/>
      <c r="J1030" s="221" t="n"/>
    </row>
    <row r="1031" ht="15" customHeight="1" s="131">
      <c r="A1031" s="220" t="n"/>
      <c r="B1031" s="222" t="n"/>
      <c r="C1031" s="220" t="n"/>
      <c r="D1031" s="220" t="n"/>
      <c r="E1031" s="220" t="n"/>
      <c r="F1031" s="220" t="n"/>
      <c r="G1031" s="169" t="n"/>
      <c r="H1031" s="219" t="n"/>
      <c r="I1031" s="220" t="n"/>
      <c r="J1031" s="221" t="n"/>
    </row>
    <row r="1032" ht="15" customHeight="1" s="131">
      <c r="A1032" s="220" t="n"/>
      <c r="B1032" s="222" t="n"/>
      <c r="C1032" s="220" t="n"/>
      <c r="D1032" s="220" t="n"/>
      <c r="E1032" s="220" t="n"/>
      <c r="F1032" s="220" t="n"/>
      <c r="G1032" s="169" t="n"/>
      <c r="H1032" s="219" t="n"/>
      <c r="I1032" s="220" t="n"/>
      <c r="J1032" s="221" t="n"/>
    </row>
    <row r="1033" ht="15" customHeight="1" s="131">
      <c r="A1033" s="220" t="n"/>
      <c r="B1033" s="222" t="n"/>
      <c r="C1033" s="220" t="n"/>
      <c r="D1033" s="220" t="n"/>
      <c r="E1033" s="220" t="n"/>
      <c r="F1033" s="220" t="n"/>
      <c r="G1033" s="169" t="n"/>
      <c r="H1033" s="219" t="n"/>
      <c r="I1033" s="220" t="n"/>
      <c r="J1033" s="221" t="n"/>
    </row>
    <row r="1034" ht="15" customHeight="1" s="131">
      <c r="A1034" s="220" t="n"/>
      <c r="B1034" s="222" t="n"/>
      <c r="C1034" s="220" t="n"/>
      <c r="D1034" s="220" t="n"/>
      <c r="E1034" s="220" t="n"/>
      <c r="F1034" s="220" t="n"/>
      <c r="G1034" s="169" t="n"/>
      <c r="H1034" s="219" t="n"/>
      <c r="I1034" s="220" t="n"/>
      <c r="J1034" s="221" t="n"/>
    </row>
    <row r="1035" ht="15" customHeight="1" s="131">
      <c r="A1035" s="220" t="n"/>
      <c r="B1035" s="222" t="n"/>
      <c r="C1035" s="220" t="n"/>
      <c r="D1035" s="220" t="n"/>
      <c r="E1035" s="220" t="n"/>
      <c r="F1035" s="220" t="n"/>
      <c r="G1035" s="169" t="n"/>
      <c r="H1035" s="219" t="n"/>
      <c r="I1035" s="220" t="n"/>
      <c r="J1035" s="221" t="n"/>
    </row>
    <row r="1036" ht="15" customHeight="1" s="131">
      <c r="A1036" s="220" t="n"/>
      <c r="B1036" s="222" t="n"/>
      <c r="C1036" s="220" t="n"/>
      <c r="D1036" s="220" t="n"/>
      <c r="E1036" s="220" t="n"/>
      <c r="F1036" s="220" t="n"/>
      <c r="G1036" s="169" t="n"/>
      <c r="H1036" s="219" t="n"/>
      <c r="I1036" s="220" t="n"/>
      <c r="J1036" s="221" t="n"/>
    </row>
    <row r="1037" ht="15" customHeight="1" s="131">
      <c r="A1037" s="220" t="n"/>
      <c r="B1037" s="222" t="n"/>
      <c r="C1037" s="220" t="n"/>
      <c r="D1037" s="220" t="n"/>
      <c r="E1037" s="220" t="n"/>
      <c r="F1037" s="220" t="n"/>
      <c r="G1037" s="169" t="n"/>
      <c r="H1037" s="219" t="n"/>
      <c r="I1037" s="220" t="n"/>
      <c r="J1037" s="221" t="n"/>
    </row>
    <row r="1038" ht="15" customHeight="1" s="131">
      <c r="A1038" s="220" t="n"/>
      <c r="B1038" s="222" t="n"/>
      <c r="C1038" s="220" t="n"/>
      <c r="D1038" s="220" t="n"/>
      <c r="E1038" s="220" t="n"/>
      <c r="F1038" s="220" t="n"/>
      <c r="G1038" s="169" t="n"/>
      <c r="H1038" s="219" t="n"/>
      <c r="I1038" s="220" t="n"/>
      <c r="J1038" s="221" t="n"/>
    </row>
    <row r="1039" ht="15" customHeight="1" s="131">
      <c r="A1039" s="220" t="n"/>
      <c r="B1039" s="222" t="n"/>
      <c r="C1039" s="220" t="n"/>
      <c r="D1039" s="220" t="n"/>
      <c r="E1039" s="220" t="n"/>
      <c r="F1039" s="220" t="n"/>
      <c r="G1039" s="169" t="n"/>
      <c r="H1039" s="219" t="n"/>
      <c r="I1039" s="220" t="n"/>
      <c r="J1039" s="221" t="n"/>
    </row>
    <row r="1040" ht="15" customHeight="1" s="131">
      <c r="A1040" s="220" t="n"/>
      <c r="B1040" s="222" t="n"/>
      <c r="C1040" s="220" t="n"/>
      <c r="D1040" s="220" t="n"/>
      <c r="E1040" s="220" t="n"/>
      <c r="F1040" s="220" t="n"/>
      <c r="G1040" s="169" t="n"/>
      <c r="H1040" s="219" t="n"/>
      <c r="I1040" s="220" t="n"/>
      <c r="J1040" s="221" t="n"/>
    </row>
    <row r="1041" ht="15" customHeight="1" s="131">
      <c r="A1041" s="220" t="n"/>
      <c r="B1041" s="222" t="n"/>
      <c r="C1041" s="220" t="n"/>
      <c r="D1041" s="220" t="n"/>
      <c r="E1041" s="220" t="n"/>
      <c r="F1041" s="220" t="n"/>
      <c r="G1041" s="169" t="n"/>
      <c r="H1041" s="219" t="n"/>
      <c r="I1041" s="220" t="n"/>
      <c r="J1041" s="221" t="n"/>
    </row>
    <row r="1042" ht="15" customHeight="1" s="131">
      <c r="A1042" s="220" t="n"/>
      <c r="B1042" s="222" t="n"/>
      <c r="C1042" s="220" t="n"/>
      <c r="D1042" s="220" t="n"/>
      <c r="E1042" s="220" t="n"/>
      <c r="F1042" s="220" t="n"/>
      <c r="G1042" s="169" t="n"/>
      <c r="H1042" s="219" t="n"/>
      <c r="I1042" s="220" t="n"/>
      <c r="J1042" s="221" t="n"/>
    </row>
    <row r="1043" ht="15" customHeight="1" s="131">
      <c r="A1043" s="220" t="n"/>
      <c r="B1043" s="222" t="n"/>
      <c r="C1043" s="220" t="n"/>
      <c r="D1043" s="220" t="n"/>
      <c r="E1043" s="220" t="n"/>
      <c r="F1043" s="220" t="n"/>
      <c r="G1043" s="169" t="n"/>
      <c r="H1043" s="219" t="n"/>
      <c r="I1043" s="220" t="n"/>
      <c r="J1043" s="221" t="n"/>
    </row>
    <row r="1044" ht="15" customHeight="1" s="131">
      <c r="A1044" s="220" t="n"/>
      <c r="B1044" s="222" t="n"/>
      <c r="C1044" s="220" t="n"/>
      <c r="D1044" s="220" t="n"/>
      <c r="E1044" s="220" t="n"/>
      <c r="F1044" s="220" t="n"/>
      <c r="G1044" s="169" t="n"/>
      <c r="H1044" s="219" t="n"/>
      <c r="I1044" s="220" t="n"/>
      <c r="J1044" s="221" t="n"/>
    </row>
    <row r="1045" ht="15" customHeight="1" s="131">
      <c r="A1045" s="220" t="n"/>
      <c r="B1045" s="222" t="n"/>
      <c r="C1045" s="220" t="n"/>
      <c r="D1045" s="220" t="n"/>
      <c r="E1045" s="220" t="n"/>
      <c r="F1045" s="220" t="n"/>
      <c r="G1045" s="169" t="n"/>
      <c r="H1045" s="219" t="n"/>
      <c r="I1045" s="220" t="n"/>
      <c r="J1045" s="221" t="n"/>
    </row>
    <row r="1046" ht="15" customHeight="1" s="131">
      <c r="A1046" s="220" t="n"/>
      <c r="B1046" s="222" t="n"/>
      <c r="C1046" s="220" t="n"/>
      <c r="D1046" s="220" t="n"/>
      <c r="E1046" s="220" t="n"/>
      <c r="F1046" s="220" t="n"/>
      <c r="G1046" s="169" t="n"/>
      <c r="H1046" s="219" t="n"/>
      <c r="I1046" s="220" t="n"/>
      <c r="J1046" s="221" t="n"/>
    </row>
    <row r="1047" ht="15" customHeight="1" s="131">
      <c r="A1047" s="220" t="n"/>
      <c r="B1047" s="222" t="n"/>
      <c r="C1047" s="220" t="n"/>
      <c r="D1047" s="220" t="n"/>
      <c r="E1047" s="220" t="n"/>
      <c r="F1047" s="220" t="n"/>
      <c r="G1047" s="169" t="n"/>
      <c r="H1047" s="219" t="n"/>
      <c r="I1047" s="220" t="n"/>
      <c r="J1047" s="221" t="n"/>
    </row>
    <row r="1048" ht="15" customHeight="1" s="131">
      <c r="A1048" s="220" t="n"/>
      <c r="B1048" s="222" t="n"/>
      <c r="C1048" s="220" t="n"/>
      <c r="D1048" s="220" t="n"/>
      <c r="E1048" s="220" t="n"/>
      <c r="F1048" s="220" t="n"/>
      <c r="G1048" s="169" t="n"/>
      <c r="H1048" s="219" t="n"/>
      <c r="I1048" s="220" t="n"/>
      <c r="J1048" s="221" t="n"/>
    </row>
    <row r="1049" ht="15" customHeight="1" s="131">
      <c r="A1049" s="220" t="n"/>
      <c r="B1049" s="222" t="n"/>
      <c r="C1049" s="220" t="n"/>
      <c r="D1049" s="220" t="n"/>
      <c r="E1049" s="220" t="n"/>
      <c r="F1049" s="220" t="n"/>
      <c r="G1049" s="169" t="n"/>
      <c r="H1049" s="219" t="n"/>
      <c r="I1049" s="220" t="n"/>
      <c r="J1049" s="221" t="n"/>
    </row>
    <row r="1050" ht="15" customHeight="1" s="131">
      <c r="A1050" s="220" t="n"/>
      <c r="B1050" s="222" t="n"/>
      <c r="C1050" s="220" t="n"/>
      <c r="D1050" s="220" t="n"/>
      <c r="E1050" s="220" t="n"/>
      <c r="F1050" s="220" t="n"/>
      <c r="G1050" s="169" t="n"/>
      <c r="H1050" s="219" t="n"/>
      <c r="I1050" s="220" t="n"/>
      <c r="J1050" s="221" t="n"/>
    </row>
    <row r="1051" ht="15" customHeight="1" s="131">
      <c r="A1051" s="220" t="n"/>
      <c r="B1051" s="222" t="n"/>
      <c r="C1051" s="220" t="n"/>
      <c r="D1051" s="220" t="n"/>
      <c r="E1051" s="220" t="n"/>
      <c r="F1051" s="220" t="n"/>
      <c r="G1051" s="169" t="n"/>
      <c r="H1051" s="219" t="n"/>
      <c r="I1051" s="220" t="n"/>
      <c r="J1051" s="221" t="n"/>
    </row>
    <row r="1052" ht="15" customHeight="1" s="131">
      <c r="A1052" s="220" t="n"/>
      <c r="B1052" s="222" t="n"/>
      <c r="C1052" s="220" t="n"/>
      <c r="D1052" s="220" t="n"/>
      <c r="E1052" s="220" t="n"/>
      <c r="F1052" s="220" t="n"/>
      <c r="G1052" s="169" t="n"/>
      <c r="H1052" s="219" t="n"/>
      <c r="I1052" s="220" t="n"/>
      <c r="J1052" s="221" t="n"/>
    </row>
    <row r="1053" ht="15" customHeight="1" s="131">
      <c r="A1053" s="220" t="n"/>
      <c r="B1053" s="222" t="n"/>
      <c r="C1053" s="220" t="n"/>
      <c r="D1053" s="220" t="n"/>
      <c r="E1053" s="220" t="n"/>
      <c r="F1053" s="220" t="n"/>
      <c r="G1053" s="169" t="n"/>
      <c r="H1053" s="219" t="n"/>
      <c r="I1053" s="220" t="n"/>
      <c r="J1053" s="221" t="n"/>
    </row>
    <row r="1054" ht="15" customHeight="1" s="131">
      <c r="A1054" s="220" t="n"/>
      <c r="B1054" s="222" t="n"/>
      <c r="C1054" s="220" t="n"/>
      <c r="D1054" s="220" t="n"/>
      <c r="E1054" s="220" t="n"/>
      <c r="F1054" s="220" t="n"/>
      <c r="G1054" s="169" t="n"/>
      <c r="H1054" s="219" t="n"/>
      <c r="I1054" s="220" t="n"/>
      <c r="J1054" s="221" t="n"/>
    </row>
    <row r="1055" ht="15" customHeight="1" s="131">
      <c r="A1055" s="220" t="n"/>
      <c r="B1055" s="222" t="n"/>
      <c r="C1055" s="220" t="n"/>
      <c r="D1055" s="220" t="n"/>
      <c r="E1055" s="220" t="n"/>
      <c r="F1055" s="220" t="n"/>
      <c r="G1055" s="169" t="n"/>
      <c r="H1055" s="219" t="n"/>
      <c r="I1055" s="220" t="n"/>
      <c r="J1055" s="221" t="n"/>
    </row>
    <row r="1056" ht="15" customHeight="1" s="131">
      <c r="A1056" s="220" t="n"/>
      <c r="B1056" s="222" t="n"/>
      <c r="C1056" s="220" t="n"/>
      <c r="D1056" s="220" t="n"/>
      <c r="E1056" s="220" t="n"/>
      <c r="F1056" s="220" t="n"/>
      <c r="G1056" s="169" t="n"/>
      <c r="H1056" s="219" t="n"/>
      <c r="I1056" s="220" t="n"/>
      <c r="J1056" s="221" t="n"/>
    </row>
    <row r="1057" ht="15" customHeight="1" s="131">
      <c r="A1057" s="220" t="n"/>
      <c r="B1057" s="222" t="n"/>
      <c r="C1057" s="220" t="n"/>
      <c r="D1057" s="220" t="n"/>
      <c r="E1057" s="220" t="n"/>
      <c r="F1057" s="220" t="n"/>
      <c r="G1057" s="169" t="n"/>
      <c r="H1057" s="219" t="n"/>
      <c r="I1057" s="220" t="n"/>
      <c r="J1057" s="221" t="n"/>
    </row>
    <row r="1058" ht="15" customHeight="1" s="131">
      <c r="A1058" s="220" t="n"/>
      <c r="B1058" s="222" t="n"/>
      <c r="C1058" s="220" t="n"/>
      <c r="D1058" s="220" t="n"/>
      <c r="E1058" s="220" t="n"/>
      <c r="F1058" s="220" t="n"/>
      <c r="G1058" s="169" t="n"/>
      <c r="H1058" s="219" t="n"/>
      <c r="I1058" s="220" t="n"/>
      <c r="J1058" s="221" t="n"/>
    </row>
    <row r="1059" ht="15" customHeight="1" s="131">
      <c r="A1059" s="220" t="n"/>
      <c r="B1059" s="222" t="n"/>
      <c r="C1059" s="220" t="n"/>
      <c r="D1059" s="220" t="n"/>
      <c r="E1059" s="220" t="n"/>
      <c r="F1059" s="220" t="n"/>
      <c r="G1059" s="169" t="n"/>
      <c r="H1059" s="219" t="n"/>
      <c r="I1059" s="220" t="n"/>
      <c r="J1059" s="221" t="n"/>
    </row>
    <row r="1060" ht="15" customHeight="1" s="131">
      <c r="A1060" s="220" t="n"/>
      <c r="B1060" s="222" t="n"/>
      <c r="C1060" s="220" t="n"/>
      <c r="D1060" s="220" t="n"/>
      <c r="E1060" s="220" t="n"/>
      <c r="F1060" s="220" t="n"/>
      <c r="G1060" s="169" t="n"/>
      <c r="H1060" s="219" t="n"/>
      <c r="I1060" s="220" t="n"/>
      <c r="J1060" s="221" t="n"/>
    </row>
    <row r="1061" ht="15" customHeight="1" s="131">
      <c r="A1061" s="220" t="n"/>
      <c r="B1061" s="222" t="n"/>
      <c r="C1061" s="220" t="n"/>
      <c r="D1061" s="220" t="n"/>
      <c r="E1061" s="220" t="n"/>
      <c r="F1061" s="220" t="n"/>
      <c r="G1061" s="169" t="n"/>
      <c r="H1061" s="219" t="n"/>
      <c r="I1061" s="220" t="n"/>
      <c r="J1061" s="221" t="n"/>
    </row>
    <row r="1062" ht="15" customHeight="1" s="131">
      <c r="A1062" s="220" t="n"/>
      <c r="B1062" s="222" t="n"/>
      <c r="C1062" s="220" t="n"/>
      <c r="D1062" s="220" t="n"/>
      <c r="E1062" s="220" t="n"/>
      <c r="F1062" s="220" t="n"/>
      <c r="G1062" s="169" t="n"/>
      <c r="H1062" s="219" t="n"/>
      <c r="I1062" s="220" t="n"/>
      <c r="J1062" s="221" t="n"/>
    </row>
    <row r="1063" ht="15" customHeight="1" s="131">
      <c r="A1063" s="220" t="n"/>
      <c r="B1063" s="222" t="n"/>
      <c r="C1063" s="220" t="n"/>
      <c r="D1063" s="220" t="n"/>
      <c r="E1063" s="220" t="n"/>
      <c r="F1063" s="220" t="n"/>
      <c r="G1063" s="169" t="n"/>
      <c r="H1063" s="219" t="n"/>
      <c r="I1063" s="220" t="n"/>
      <c r="J1063" s="221" t="n"/>
    </row>
    <row r="1064" ht="15" customHeight="1" s="131">
      <c r="A1064" s="220" t="n"/>
      <c r="B1064" s="222" t="n"/>
      <c r="C1064" s="220" t="n"/>
      <c r="D1064" s="220" t="n"/>
      <c r="E1064" s="220" t="n"/>
      <c r="F1064" s="220" t="n"/>
      <c r="G1064" s="169" t="n"/>
      <c r="H1064" s="219" t="n"/>
      <c r="I1064" s="220" t="n"/>
      <c r="J1064" s="221" t="n"/>
    </row>
    <row r="1065" ht="15" customHeight="1" s="131">
      <c r="A1065" s="220" t="n"/>
      <c r="B1065" s="222" t="n"/>
      <c r="C1065" s="220" t="n"/>
      <c r="D1065" s="220" t="n"/>
      <c r="E1065" s="220" t="n"/>
      <c r="F1065" s="220" t="n"/>
      <c r="G1065" s="169" t="n"/>
      <c r="H1065" s="219" t="n"/>
      <c r="I1065" s="220" t="n"/>
      <c r="J1065" s="221" t="n"/>
    </row>
    <row r="1066" ht="15" customHeight="1" s="131">
      <c r="A1066" s="220" t="n"/>
      <c r="B1066" s="222" t="n"/>
      <c r="C1066" s="220" t="n"/>
      <c r="D1066" s="220" t="n"/>
      <c r="E1066" s="220" t="n"/>
      <c r="F1066" s="220" t="n"/>
      <c r="G1066" s="169" t="n"/>
      <c r="H1066" s="219" t="n"/>
      <c r="I1066" s="220" t="n"/>
      <c r="J1066" s="221" t="n"/>
    </row>
    <row r="1067" ht="15" customHeight="1" s="131">
      <c r="A1067" s="220" t="n"/>
      <c r="B1067" s="222" t="n"/>
      <c r="C1067" s="220" t="n"/>
      <c r="D1067" s="220" t="n"/>
      <c r="E1067" s="220" t="n"/>
      <c r="F1067" s="220" t="n"/>
      <c r="G1067" s="169" t="n"/>
      <c r="H1067" s="219" t="n"/>
      <c r="I1067" s="220" t="n"/>
      <c r="J1067" s="221" t="n"/>
    </row>
    <row r="1068" ht="15" customHeight="1" s="131">
      <c r="A1068" s="220" t="n"/>
      <c r="B1068" s="222" t="n"/>
      <c r="C1068" s="220" t="n"/>
      <c r="D1068" s="220" t="n"/>
      <c r="E1068" s="220" t="n"/>
      <c r="F1068" s="220" t="n"/>
      <c r="G1068" s="169" t="n"/>
      <c r="H1068" s="219" t="n"/>
      <c r="I1068" s="220" t="n"/>
      <c r="J1068" s="221" t="n"/>
    </row>
    <row r="1069" ht="15" customHeight="1" s="131">
      <c r="A1069" s="220" t="n"/>
      <c r="B1069" s="222" t="n"/>
      <c r="C1069" s="220" t="n"/>
      <c r="D1069" s="220" t="n"/>
      <c r="E1069" s="220" t="n"/>
      <c r="F1069" s="220" t="n"/>
      <c r="G1069" s="169" t="n"/>
      <c r="H1069" s="219" t="n"/>
      <c r="I1069" s="220" t="n"/>
      <c r="J1069" s="221" t="n"/>
    </row>
    <row r="1070" ht="15" customHeight="1" s="131">
      <c r="A1070" s="220" t="n"/>
      <c r="B1070" s="222" t="n"/>
      <c r="C1070" s="220" t="n"/>
      <c r="D1070" s="220" t="n"/>
      <c r="E1070" s="220" t="n"/>
      <c r="F1070" s="220" t="n"/>
      <c r="G1070" s="169" t="n"/>
      <c r="H1070" s="219" t="n"/>
      <c r="I1070" s="220" t="n"/>
      <c r="J1070" s="221" t="n"/>
    </row>
    <row r="1071" ht="15" customHeight="1" s="131">
      <c r="A1071" s="220" t="n"/>
      <c r="B1071" s="222" t="n"/>
      <c r="C1071" s="220" t="n"/>
      <c r="D1071" s="220" t="n"/>
      <c r="E1071" s="220" t="n"/>
      <c r="F1071" s="220" t="n"/>
      <c r="G1071" s="169" t="n"/>
      <c r="H1071" s="219" t="n"/>
      <c r="I1071" s="220" t="n"/>
      <c r="J1071" s="221" t="n"/>
    </row>
    <row r="1072" ht="15" customHeight="1" s="131">
      <c r="A1072" s="220" t="n"/>
      <c r="B1072" s="222" t="n"/>
      <c r="C1072" s="220" t="n"/>
      <c r="D1072" s="220" t="n"/>
      <c r="E1072" s="220" t="n"/>
      <c r="F1072" s="220" t="n"/>
      <c r="G1072" s="169" t="n"/>
      <c r="H1072" s="219" t="n"/>
      <c r="I1072" s="220" t="n"/>
      <c r="J1072" s="221" t="n"/>
    </row>
    <row r="1073" ht="15" customHeight="1" s="131">
      <c r="A1073" s="220" t="n"/>
      <c r="B1073" s="222" t="n"/>
      <c r="C1073" s="220" t="n"/>
      <c r="D1073" s="220" t="n"/>
      <c r="E1073" s="220" t="n"/>
      <c r="F1073" s="220" t="n"/>
      <c r="G1073" s="169" t="n"/>
      <c r="H1073" s="219" t="n"/>
      <c r="I1073" s="220" t="n"/>
      <c r="J1073" s="221" t="n"/>
    </row>
    <row r="1074" ht="15" customHeight="1" s="131">
      <c r="A1074" s="220" t="n"/>
      <c r="B1074" s="222" t="n"/>
      <c r="C1074" s="220" t="n"/>
      <c r="D1074" s="220" t="n"/>
      <c r="E1074" s="220" t="n"/>
      <c r="F1074" s="220" t="n"/>
      <c r="G1074" s="169" t="n"/>
      <c r="H1074" s="219" t="n"/>
      <c r="I1074" s="220" t="n"/>
      <c r="J1074" s="221" t="n"/>
    </row>
    <row r="1075" ht="15" customHeight="1" s="131">
      <c r="A1075" s="220" t="n"/>
      <c r="B1075" s="222" t="n"/>
      <c r="C1075" s="220" t="n"/>
      <c r="D1075" s="220" t="n"/>
      <c r="E1075" s="220" t="n"/>
      <c r="F1075" s="220" t="n"/>
      <c r="G1075" s="169" t="n"/>
      <c r="H1075" s="219" t="n"/>
      <c r="I1075" s="220" t="n"/>
      <c r="J1075" s="221" t="n"/>
    </row>
    <row r="1076" ht="15" customHeight="1" s="131">
      <c r="A1076" s="220" t="n"/>
      <c r="B1076" s="222" t="n"/>
      <c r="C1076" s="220" t="n"/>
      <c r="D1076" s="220" t="n"/>
      <c r="E1076" s="220" t="n"/>
      <c r="F1076" s="220" t="n"/>
      <c r="G1076" s="169" t="n"/>
      <c r="H1076" s="219" t="n"/>
      <c r="I1076" s="220" t="n"/>
      <c r="J1076" s="221" t="n"/>
    </row>
    <row r="1077" ht="15" customHeight="1" s="131">
      <c r="A1077" s="220" t="n"/>
      <c r="B1077" s="222" t="n"/>
      <c r="C1077" s="220" t="n"/>
      <c r="D1077" s="220" t="n"/>
      <c r="E1077" s="220" t="n"/>
      <c r="F1077" s="220" t="n"/>
      <c r="G1077" s="169" t="n"/>
      <c r="H1077" s="219" t="n"/>
      <c r="I1077" s="220" t="n"/>
      <c r="J1077" s="221" t="n"/>
    </row>
    <row r="1078" ht="15" customHeight="1" s="131">
      <c r="A1078" s="220" t="n"/>
      <c r="B1078" s="222" t="n"/>
      <c r="C1078" s="220" t="n"/>
      <c r="D1078" s="220" t="n"/>
      <c r="E1078" s="220" t="n"/>
      <c r="F1078" s="220" t="n"/>
      <c r="G1078" s="169" t="n"/>
      <c r="H1078" s="219" t="n"/>
      <c r="I1078" s="220" t="n"/>
      <c r="J1078" s="221" t="n"/>
    </row>
    <row r="1079" ht="15" customHeight="1" s="131">
      <c r="A1079" s="220" t="n"/>
      <c r="B1079" s="222" t="n"/>
      <c r="C1079" s="220" t="n"/>
      <c r="D1079" s="220" t="n"/>
      <c r="E1079" s="220" t="n"/>
      <c r="F1079" s="220" t="n"/>
      <c r="G1079" s="169" t="n"/>
      <c r="H1079" s="219" t="n"/>
      <c r="I1079" s="220" t="n"/>
      <c r="J1079" s="221" t="n"/>
    </row>
    <row r="1080" ht="15" customHeight="1" s="131">
      <c r="A1080" s="220" t="n"/>
      <c r="B1080" s="222" t="n"/>
      <c r="C1080" s="220" t="n"/>
      <c r="D1080" s="220" t="n"/>
      <c r="E1080" s="220" t="n"/>
      <c r="F1080" s="220" t="n"/>
      <c r="G1080" s="169" t="n"/>
      <c r="H1080" s="219" t="n"/>
      <c r="I1080" s="220" t="n"/>
      <c r="J1080" s="221" t="n"/>
    </row>
    <row r="1081" ht="15" customHeight="1" s="131">
      <c r="A1081" s="220" t="n"/>
      <c r="B1081" s="222" t="n"/>
      <c r="C1081" s="220" t="n"/>
      <c r="D1081" s="220" t="n"/>
      <c r="E1081" s="220" t="n"/>
      <c r="F1081" s="220" t="n"/>
      <c r="G1081" s="169" t="n"/>
      <c r="H1081" s="219" t="n"/>
      <c r="I1081" s="220" t="n"/>
      <c r="J1081" s="221" t="n"/>
    </row>
    <row r="1082" ht="15" customHeight="1" s="131">
      <c r="A1082" s="220" t="n"/>
      <c r="B1082" s="222" t="n"/>
      <c r="C1082" s="220" t="n"/>
      <c r="D1082" s="220" t="n"/>
      <c r="E1082" s="220" t="n"/>
      <c r="F1082" s="220" t="n"/>
      <c r="G1082" s="169" t="n"/>
      <c r="H1082" s="219" t="n"/>
      <c r="I1082" s="220" t="n"/>
      <c r="J1082" s="221" t="n"/>
    </row>
    <row r="1083" ht="15" customHeight="1" s="131">
      <c r="A1083" s="220" t="n"/>
      <c r="B1083" s="222" t="n"/>
      <c r="C1083" s="220" t="n"/>
      <c r="D1083" s="220" t="n"/>
      <c r="E1083" s="220" t="n"/>
      <c r="F1083" s="220" t="n"/>
      <c r="G1083" s="169" t="n"/>
      <c r="H1083" s="219" t="n"/>
      <c r="I1083" s="220" t="n"/>
      <c r="J1083" s="221" t="n"/>
    </row>
    <row r="1084" ht="15" customHeight="1" s="131">
      <c r="A1084" s="220" t="n"/>
      <c r="B1084" s="222" t="n"/>
      <c r="C1084" s="220" t="n"/>
      <c r="D1084" s="220" t="n"/>
      <c r="E1084" s="220" t="n"/>
      <c r="F1084" s="220" t="n"/>
      <c r="G1084" s="169" t="n"/>
      <c r="H1084" s="219" t="n"/>
      <c r="I1084" s="220" t="n"/>
      <c r="J1084" s="221" t="n"/>
    </row>
    <row r="1085" ht="15" customHeight="1" s="131">
      <c r="A1085" s="220" t="n"/>
      <c r="B1085" s="222" t="n"/>
      <c r="C1085" s="220" t="n"/>
      <c r="D1085" s="220" t="n"/>
      <c r="E1085" s="220" t="n"/>
      <c r="F1085" s="220" t="n"/>
      <c r="G1085" s="169" t="n"/>
      <c r="H1085" s="219" t="n"/>
      <c r="I1085" s="220" t="n"/>
      <c r="J1085" s="221" t="n"/>
    </row>
    <row r="1086" ht="15" customHeight="1" s="131">
      <c r="A1086" s="220" t="n"/>
      <c r="B1086" s="222" t="n"/>
      <c r="C1086" s="220" t="n"/>
      <c r="D1086" s="220" t="n"/>
      <c r="E1086" s="220" t="n"/>
      <c r="F1086" s="220" t="n"/>
      <c r="G1086" s="169" t="n"/>
      <c r="H1086" s="219" t="n"/>
      <c r="I1086" s="220" t="n"/>
      <c r="J1086" s="221" t="n"/>
    </row>
    <row r="1087" ht="15" customHeight="1" s="131">
      <c r="A1087" s="220" t="n"/>
      <c r="B1087" s="222" t="n"/>
      <c r="C1087" s="220" t="n"/>
      <c r="D1087" s="220" t="n"/>
      <c r="E1087" s="220" t="n"/>
      <c r="F1087" s="220" t="n"/>
      <c r="G1087" s="169" t="n"/>
      <c r="H1087" s="219" t="n"/>
      <c r="I1087" s="220" t="n"/>
      <c r="J1087" s="221" t="n"/>
    </row>
    <row r="1088" ht="15" customHeight="1" s="131">
      <c r="A1088" s="220" t="n"/>
      <c r="B1088" s="222" t="n"/>
      <c r="C1088" s="220" t="n"/>
      <c r="D1088" s="220" t="n"/>
      <c r="E1088" s="220" t="n"/>
      <c r="F1088" s="220" t="n"/>
      <c r="G1088" s="169" t="n"/>
      <c r="H1088" s="219" t="n"/>
      <c r="I1088" s="220" t="n"/>
      <c r="J1088" s="221" t="n"/>
    </row>
    <row r="1089" ht="15" customHeight="1" s="131">
      <c r="A1089" s="220" t="n"/>
      <c r="B1089" s="222" t="n"/>
      <c r="C1089" s="220" t="n"/>
      <c r="D1089" s="220" t="n"/>
      <c r="E1089" s="220" t="n"/>
      <c r="F1089" s="220" t="n"/>
      <c r="G1089" s="169" t="n"/>
      <c r="H1089" s="219" t="n"/>
      <c r="I1089" s="220" t="n"/>
      <c r="J1089" s="221" t="n"/>
    </row>
    <row r="1090" ht="15" customHeight="1" s="131">
      <c r="A1090" s="220" t="n"/>
      <c r="B1090" s="222" t="n"/>
      <c r="C1090" s="220" t="n"/>
      <c r="D1090" s="220" t="n"/>
      <c r="E1090" s="220" t="n"/>
      <c r="F1090" s="220" t="n"/>
      <c r="G1090" s="169" t="n"/>
      <c r="H1090" s="219" t="n"/>
      <c r="I1090" s="220" t="n"/>
      <c r="J1090" s="221" t="n"/>
    </row>
    <row r="1091" ht="15" customHeight="1" s="131">
      <c r="A1091" s="220" t="n"/>
      <c r="B1091" s="222" t="n"/>
      <c r="C1091" s="220" t="n"/>
      <c r="D1091" s="220" t="n"/>
      <c r="E1091" s="220" t="n"/>
      <c r="F1091" s="220" t="n"/>
      <c r="G1091" s="169" t="n"/>
      <c r="H1091" s="219" t="n"/>
      <c r="I1091" s="220" t="n"/>
      <c r="J1091" s="221" t="n"/>
    </row>
    <row r="1092" ht="15" customHeight="1" s="131">
      <c r="A1092" s="220" t="n"/>
      <c r="B1092" s="222" t="n"/>
      <c r="C1092" s="220" t="n"/>
      <c r="D1092" s="220" t="n"/>
      <c r="E1092" s="220" t="n"/>
      <c r="F1092" s="220" t="n"/>
      <c r="G1092" s="169" t="n"/>
      <c r="H1092" s="219" t="n"/>
      <c r="I1092" s="220" t="n"/>
      <c r="J1092" s="221" t="n"/>
    </row>
    <row r="1093" ht="15" customHeight="1" s="131">
      <c r="A1093" s="220" t="n"/>
      <c r="B1093" s="222" t="n"/>
      <c r="C1093" s="220" t="n"/>
      <c r="D1093" s="220" t="n"/>
      <c r="E1093" s="220" t="n"/>
      <c r="F1093" s="220" t="n"/>
      <c r="G1093" s="169" t="n"/>
      <c r="H1093" s="219" t="n"/>
      <c r="I1093" s="220" t="n"/>
      <c r="J1093" s="221" t="n"/>
    </row>
    <row r="1094" ht="15" customHeight="1" s="131">
      <c r="A1094" s="220" t="n"/>
      <c r="B1094" s="222" t="n"/>
      <c r="C1094" s="220" t="n"/>
      <c r="D1094" s="220" t="n"/>
      <c r="E1094" s="220" t="n"/>
      <c r="F1094" s="220" t="n"/>
      <c r="G1094" s="169" t="n"/>
      <c r="H1094" s="219" t="n"/>
      <c r="I1094" s="220" t="n"/>
      <c r="J1094" s="221" t="n"/>
    </row>
    <row r="1095" ht="15" customHeight="1" s="131">
      <c r="A1095" s="220" t="n"/>
      <c r="B1095" s="222" t="n"/>
      <c r="C1095" s="220" t="n"/>
      <c r="D1095" s="220" t="n"/>
      <c r="E1095" s="220" t="n"/>
      <c r="F1095" s="220" t="n"/>
      <c r="G1095" s="169" t="n"/>
      <c r="H1095" s="219" t="n"/>
      <c r="I1095" s="220" t="n"/>
      <c r="J1095" s="221" t="n"/>
    </row>
    <row r="1096" ht="15" customHeight="1" s="131">
      <c r="A1096" s="220" t="n"/>
      <c r="B1096" s="222" t="n"/>
      <c r="C1096" s="220" t="n"/>
      <c r="D1096" s="220" t="n"/>
      <c r="E1096" s="220" t="n"/>
      <c r="F1096" s="220" t="n"/>
      <c r="G1096" s="169" t="n"/>
      <c r="H1096" s="219" t="n"/>
      <c r="I1096" s="220" t="n"/>
      <c r="J1096" s="221" t="n"/>
    </row>
    <row r="1097" ht="15" customHeight="1" s="131">
      <c r="A1097" s="220" t="n"/>
      <c r="B1097" s="222" t="n"/>
      <c r="C1097" s="220" t="n"/>
      <c r="D1097" s="220" t="n"/>
      <c r="E1097" s="220" t="n"/>
      <c r="F1097" s="220" t="n"/>
      <c r="G1097" s="169" t="n"/>
      <c r="H1097" s="219" t="n"/>
      <c r="I1097" s="220" t="n"/>
      <c r="J1097" s="221" t="n"/>
    </row>
    <row r="1098" ht="15" customHeight="1" s="131">
      <c r="A1098" s="220" t="n"/>
      <c r="B1098" s="222" t="n"/>
      <c r="C1098" s="220" t="n"/>
      <c r="D1098" s="220" t="n"/>
      <c r="E1098" s="220" t="n"/>
      <c r="F1098" s="220" t="n"/>
      <c r="G1098" s="169" t="n"/>
      <c r="H1098" s="219" t="n"/>
      <c r="I1098" s="220" t="n"/>
      <c r="J1098" s="221" t="n"/>
    </row>
    <row r="1099" ht="15" customHeight="1" s="131">
      <c r="A1099" s="220" t="n"/>
      <c r="B1099" s="222" t="n"/>
      <c r="C1099" s="220" t="n"/>
      <c r="D1099" s="220" t="n"/>
      <c r="E1099" s="220" t="n"/>
      <c r="F1099" s="220" t="n"/>
      <c r="G1099" s="169" t="n"/>
      <c r="H1099" s="219" t="n"/>
      <c r="I1099" s="220" t="n"/>
      <c r="J1099" s="221" t="n"/>
    </row>
    <row r="1100" ht="15" customHeight="1" s="131">
      <c r="A1100" s="220" t="n"/>
      <c r="B1100" s="222" t="n"/>
      <c r="C1100" s="220" t="n"/>
      <c r="D1100" s="220" t="n"/>
      <c r="E1100" s="220" t="n"/>
      <c r="F1100" s="220" t="n"/>
      <c r="G1100" s="169" t="n"/>
      <c r="H1100" s="219" t="n"/>
      <c r="I1100" s="220" t="n"/>
      <c r="J1100" s="221" t="n"/>
    </row>
    <row r="1101" ht="15" customHeight="1" s="131">
      <c r="A1101" s="220" t="n"/>
      <c r="B1101" s="222" t="n"/>
      <c r="C1101" s="220" t="n"/>
      <c r="D1101" s="220" t="n"/>
      <c r="E1101" s="220" t="n"/>
      <c r="F1101" s="220" t="n"/>
      <c r="G1101" s="169" t="n"/>
      <c r="H1101" s="219" t="n"/>
      <c r="I1101" s="220" t="n"/>
      <c r="J1101" s="221" t="n"/>
    </row>
    <row r="1102" ht="15" customHeight="1" s="131">
      <c r="A1102" s="220" t="n"/>
      <c r="B1102" s="222" t="n"/>
      <c r="C1102" s="220" t="n"/>
      <c r="D1102" s="220" t="n"/>
      <c r="E1102" s="220" t="n"/>
      <c r="F1102" s="220" t="n"/>
      <c r="G1102" s="169" t="n"/>
      <c r="H1102" s="219" t="n"/>
      <c r="I1102" s="220" t="n"/>
      <c r="J1102" s="221" t="n"/>
    </row>
    <row r="1103" ht="15" customHeight="1" s="131">
      <c r="A1103" s="220" t="n"/>
      <c r="B1103" s="222" t="n"/>
      <c r="C1103" s="220" t="n"/>
      <c r="D1103" s="220" t="n"/>
      <c r="E1103" s="220" t="n"/>
      <c r="F1103" s="220" t="n"/>
      <c r="G1103" s="169" t="n"/>
      <c r="H1103" s="219" t="n"/>
      <c r="I1103" s="220" t="n"/>
      <c r="J1103" s="221" t="n"/>
    </row>
    <row r="1104" ht="15" customHeight="1" s="131">
      <c r="A1104" s="220" t="n"/>
      <c r="B1104" s="222" t="n"/>
      <c r="C1104" s="220" t="n"/>
      <c r="D1104" s="220" t="n"/>
      <c r="E1104" s="220" t="n"/>
      <c r="F1104" s="220" t="n"/>
      <c r="G1104" s="169" t="n"/>
      <c r="H1104" s="219" t="n"/>
      <c r="I1104" s="220" t="n"/>
      <c r="J1104" s="221" t="n"/>
    </row>
    <row r="1105" ht="15" customHeight="1" s="131">
      <c r="A1105" s="220" t="n"/>
      <c r="B1105" s="222" t="n"/>
      <c r="C1105" s="220" t="n"/>
      <c r="D1105" s="220" t="n"/>
      <c r="E1105" s="220" t="n"/>
      <c r="F1105" s="220" t="n"/>
      <c r="G1105" s="169" t="n"/>
      <c r="H1105" s="219" t="n"/>
      <c r="I1105" s="220" t="n"/>
      <c r="J1105" s="221" t="n"/>
    </row>
    <row r="1106" ht="15" customHeight="1" s="131">
      <c r="A1106" s="220" t="n"/>
      <c r="B1106" s="222" t="n"/>
      <c r="C1106" s="220" t="n"/>
      <c r="D1106" s="220" t="n"/>
      <c r="E1106" s="220" t="n"/>
      <c r="F1106" s="220" t="n"/>
      <c r="G1106" s="169" t="n"/>
      <c r="H1106" s="219" t="n"/>
      <c r="I1106" s="220" t="n"/>
      <c r="J1106" s="221" t="n"/>
    </row>
    <row r="1107" ht="15" customHeight="1" s="131">
      <c r="A1107" s="220" t="n"/>
      <c r="B1107" s="222" t="n"/>
      <c r="C1107" s="220" t="n"/>
      <c r="D1107" s="220" t="n"/>
      <c r="E1107" s="220" t="n"/>
      <c r="F1107" s="220" t="n"/>
      <c r="G1107" s="169" t="n"/>
      <c r="H1107" s="219" t="n"/>
      <c r="I1107" s="220" t="n"/>
      <c r="J1107" s="221" t="n"/>
    </row>
    <row r="1108" ht="15" customHeight="1" s="131">
      <c r="A1108" s="220" t="n"/>
      <c r="B1108" s="222" t="n"/>
      <c r="C1108" s="220" t="n"/>
      <c r="D1108" s="220" t="n"/>
      <c r="E1108" s="220" t="n"/>
      <c r="F1108" s="220" t="n"/>
      <c r="G1108" s="169" t="n"/>
      <c r="H1108" s="219" t="n"/>
      <c r="I1108" s="220" t="n"/>
      <c r="J1108" s="221" t="n"/>
    </row>
    <row r="1109" ht="15" customHeight="1" s="131">
      <c r="A1109" s="220" t="n"/>
      <c r="B1109" s="222" t="n"/>
      <c r="C1109" s="220" t="n"/>
      <c r="D1109" s="220" t="n"/>
      <c r="E1109" s="220" t="n"/>
      <c r="F1109" s="220" t="n"/>
      <c r="G1109" s="169" t="n"/>
      <c r="H1109" s="219" t="n"/>
      <c r="I1109" s="220" t="n"/>
      <c r="J1109" s="221" t="n"/>
    </row>
    <row r="1110" ht="15" customHeight="1" s="131">
      <c r="A1110" s="220" t="n"/>
      <c r="B1110" s="222" t="n"/>
      <c r="C1110" s="220" t="n"/>
      <c r="D1110" s="220" t="n"/>
      <c r="E1110" s="220" t="n"/>
      <c r="F1110" s="220" t="n"/>
      <c r="G1110" s="169" t="n"/>
      <c r="H1110" s="219" t="n"/>
      <c r="I1110" s="220" t="n"/>
      <c r="J1110" s="221" t="n"/>
    </row>
    <row r="1111" ht="15" customHeight="1" s="131">
      <c r="A1111" s="220" t="n"/>
      <c r="B1111" s="222" t="n"/>
      <c r="C1111" s="220" t="n"/>
      <c r="D1111" s="220" t="n"/>
      <c r="E1111" s="220" t="n"/>
      <c r="F1111" s="220" t="n"/>
      <c r="G1111" s="169" t="n"/>
      <c r="H1111" s="219" t="n"/>
      <c r="I1111" s="220" t="n"/>
      <c r="J1111" s="221" t="n"/>
    </row>
    <row r="1112" ht="15" customHeight="1" s="131">
      <c r="A1112" s="220" t="n"/>
      <c r="B1112" s="222" t="n"/>
      <c r="C1112" s="220" t="n"/>
      <c r="D1112" s="220" t="n"/>
      <c r="E1112" s="220" t="n"/>
      <c r="F1112" s="220" t="n"/>
      <c r="G1112" s="169" t="n"/>
      <c r="H1112" s="219" t="n"/>
      <c r="I1112" s="220" t="n"/>
      <c r="J1112" s="221" t="n"/>
    </row>
    <row r="1113" ht="15" customHeight="1" s="131">
      <c r="A1113" s="220" t="n"/>
      <c r="B1113" s="222" t="n"/>
      <c r="C1113" s="220" t="n"/>
      <c r="D1113" s="220" t="n"/>
      <c r="E1113" s="220" t="n"/>
      <c r="F1113" s="220" t="n"/>
      <c r="G1113" s="169" t="n"/>
      <c r="H1113" s="219" t="n"/>
      <c r="I1113" s="220" t="n"/>
      <c r="J1113" s="221" t="n"/>
    </row>
    <row r="1114" ht="15" customHeight="1" s="131">
      <c r="A1114" s="220" t="n"/>
      <c r="B1114" s="222" t="n"/>
      <c r="C1114" s="220" t="n"/>
      <c r="D1114" s="220" t="n"/>
      <c r="E1114" s="220" t="n"/>
      <c r="F1114" s="220" t="n"/>
      <c r="G1114" s="169" t="n"/>
      <c r="H1114" s="219" t="n"/>
      <c r="I1114" s="220" t="n"/>
      <c r="J1114" s="221" t="n"/>
    </row>
    <row r="1115" ht="15" customHeight="1" s="131">
      <c r="A1115" s="220" t="n"/>
      <c r="B1115" s="222" t="n"/>
      <c r="C1115" s="220" t="n"/>
      <c r="D1115" s="220" t="n"/>
      <c r="E1115" s="220" t="n"/>
      <c r="F1115" s="220" t="n"/>
      <c r="G1115" s="169" t="n"/>
      <c r="H1115" s="219" t="n"/>
      <c r="I1115" s="220" t="n"/>
      <c r="J1115" s="221" t="n"/>
    </row>
    <row r="1116" ht="15" customHeight="1" s="131">
      <c r="A1116" s="220" t="n"/>
      <c r="B1116" s="222" t="n"/>
      <c r="C1116" s="220" t="n"/>
      <c r="D1116" s="220" t="n"/>
      <c r="E1116" s="220" t="n"/>
      <c r="F1116" s="220" t="n"/>
      <c r="G1116" s="169" t="n"/>
      <c r="H1116" s="219" t="n"/>
      <c r="I1116" s="220" t="n"/>
      <c r="J1116" s="221" t="n"/>
    </row>
    <row r="1117" ht="15" customHeight="1" s="131">
      <c r="A1117" s="220" t="n"/>
      <c r="B1117" s="222" t="n"/>
      <c r="C1117" s="220" t="n"/>
      <c r="D1117" s="220" t="n"/>
      <c r="E1117" s="220" t="n"/>
      <c r="F1117" s="220" t="n"/>
      <c r="G1117" s="169" t="n"/>
      <c r="H1117" s="219" t="n"/>
      <c r="I1117" s="220" t="n"/>
      <c r="J1117" s="221" t="n"/>
    </row>
    <row r="1118" ht="15" customHeight="1" s="131">
      <c r="A1118" s="220" t="n"/>
      <c r="B1118" s="222" t="n"/>
      <c r="C1118" s="220" t="n"/>
      <c r="D1118" s="220" t="n"/>
      <c r="E1118" s="220" t="n"/>
      <c r="F1118" s="220" t="n"/>
      <c r="G1118" s="169" t="n"/>
      <c r="H1118" s="219" t="n"/>
      <c r="I1118" s="220" t="n"/>
      <c r="J1118" s="221" t="n"/>
    </row>
    <row r="1119" ht="15" customHeight="1" s="131">
      <c r="A1119" s="220" t="n"/>
      <c r="B1119" s="222" t="n"/>
      <c r="C1119" s="220" t="n"/>
      <c r="D1119" s="220" t="n"/>
      <c r="E1119" s="220" t="n"/>
      <c r="F1119" s="220" t="n"/>
      <c r="G1119" s="169" t="n"/>
      <c r="H1119" s="219" t="n"/>
      <c r="I1119" s="220" t="n"/>
      <c r="J1119" s="221" t="n"/>
    </row>
    <row r="1120" ht="15" customHeight="1" s="131">
      <c r="A1120" s="220" t="n"/>
      <c r="B1120" s="222" t="n"/>
      <c r="C1120" s="220" t="n"/>
      <c r="D1120" s="220" t="n"/>
      <c r="E1120" s="220" t="n"/>
      <c r="F1120" s="220" t="n"/>
      <c r="G1120" s="169" t="n"/>
      <c r="H1120" s="219" t="n"/>
      <c r="I1120" s="220" t="n"/>
      <c r="J1120" s="221" t="n"/>
    </row>
    <row r="1121" ht="15" customHeight="1" s="131">
      <c r="A1121" s="220" t="n"/>
      <c r="B1121" s="222" t="n"/>
      <c r="C1121" s="220" t="n"/>
      <c r="D1121" s="220" t="n"/>
      <c r="E1121" s="220" t="n"/>
      <c r="F1121" s="220" t="n"/>
      <c r="G1121" s="169" t="n"/>
      <c r="H1121" s="219" t="n"/>
      <c r="I1121" s="220" t="n"/>
      <c r="J1121" s="221" t="n"/>
    </row>
    <row r="1122" ht="15" customHeight="1" s="131">
      <c r="A1122" s="220" t="n"/>
      <c r="B1122" s="222" t="n"/>
      <c r="C1122" s="220" t="n"/>
      <c r="D1122" s="220" t="n"/>
      <c r="E1122" s="220" t="n"/>
      <c r="F1122" s="220" t="n"/>
      <c r="G1122" s="169" t="n"/>
      <c r="H1122" s="219" t="n"/>
      <c r="I1122" s="220" t="n"/>
      <c r="J1122" s="221" t="n"/>
    </row>
    <row r="1123" ht="15" customHeight="1" s="131">
      <c r="A1123" s="220" t="n"/>
      <c r="B1123" s="222" t="n"/>
      <c r="C1123" s="220" t="n"/>
      <c r="D1123" s="220" t="n"/>
      <c r="E1123" s="220" t="n"/>
      <c r="F1123" s="220" t="n"/>
      <c r="G1123" s="169" t="n"/>
      <c r="H1123" s="219" t="n"/>
      <c r="I1123" s="220" t="n"/>
      <c r="J1123" s="221" t="n"/>
    </row>
    <row r="1124" ht="15" customHeight="1" s="131">
      <c r="A1124" s="220" t="n"/>
      <c r="B1124" s="222" t="n"/>
      <c r="C1124" s="220" t="n"/>
      <c r="D1124" s="220" t="n"/>
      <c r="E1124" s="220" t="n"/>
      <c r="F1124" s="220" t="n"/>
      <c r="G1124" s="169" t="n"/>
      <c r="H1124" s="219" t="n"/>
      <c r="I1124" s="220" t="n"/>
      <c r="J1124" s="221" t="n"/>
    </row>
    <row r="1125" ht="15" customHeight="1" s="131">
      <c r="A1125" s="220" t="n"/>
      <c r="B1125" s="222" t="n"/>
      <c r="C1125" s="220" t="n"/>
      <c r="D1125" s="220" t="n"/>
      <c r="E1125" s="220" t="n"/>
      <c r="F1125" s="220" t="n"/>
      <c r="G1125" s="169" t="n"/>
      <c r="H1125" s="219" t="n"/>
      <c r="I1125" s="220" t="n"/>
      <c r="J1125" s="221" t="n"/>
    </row>
    <row r="1126" ht="15" customHeight="1" s="131">
      <c r="A1126" s="220" t="n"/>
      <c r="B1126" s="222" t="n"/>
      <c r="C1126" s="220" t="n"/>
      <c r="D1126" s="220" t="n"/>
      <c r="E1126" s="220" t="n"/>
      <c r="F1126" s="220" t="n"/>
      <c r="G1126" s="169" t="n"/>
      <c r="H1126" s="219" t="n"/>
      <c r="I1126" s="220" t="n"/>
      <c r="J1126" s="221" t="n"/>
    </row>
    <row r="1127" ht="15" customHeight="1" s="131">
      <c r="A1127" s="220" t="n"/>
      <c r="B1127" s="222" t="n"/>
      <c r="C1127" s="220" t="n"/>
      <c r="D1127" s="220" t="n"/>
      <c r="E1127" s="220" t="n"/>
      <c r="F1127" s="220" t="n"/>
      <c r="G1127" s="169" t="n"/>
      <c r="H1127" s="219" t="n"/>
      <c r="I1127" s="220" t="n"/>
      <c r="J1127" s="221" t="n"/>
    </row>
    <row r="1128" ht="15" customHeight="1" s="131">
      <c r="A1128" s="220" t="n"/>
      <c r="B1128" s="222" t="n"/>
      <c r="C1128" s="220" t="n"/>
      <c r="D1128" s="220" t="n"/>
      <c r="E1128" s="220" t="n"/>
      <c r="F1128" s="220" t="n"/>
      <c r="G1128" s="169" t="n"/>
      <c r="H1128" s="219" t="n"/>
      <c r="I1128" s="220" t="n"/>
      <c r="J1128" s="221" t="n"/>
    </row>
    <row r="1129" ht="15" customHeight="1" s="131">
      <c r="A1129" s="220" t="n"/>
      <c r="B1129" s="222" t="n"/>
      <c r="C1129" s="220" t="n"/>
      <c r="D1129" s="220" t="n"/>
      <c r="E1129" s="220" t="n"/>
      <c r="F1129" s="220" t="n"/>
      <c r="G1129" s="169" t="n"/>
      <c r="H1129" s="219" t="n"/>
      <c r="I1129" s="220" t="n"/>
      <c r="J1129" s="221" t="n"/>
    </row>
    <row r="1130" ht="15" customHeight="1" s="131">
      <c r="A1130" s="220" t="n"/>
      <c r="B1130" s="222" t="n"/>
      <c r="C1130" s="220" t="n"/>
      <c r="D1130" s="220" t="n"/>
      <c r="E1130" s="220" t="n"/>
      <c r="F1130" s="220" t="n"/>
      <c r="G1130" s="169" t="n"/>
      <c r="H1130" s="219" t="n"/>
      <c r="I1130" s="220" t="n"/>
      <c r="J1130" s="221" t="n"/>
    </row>
    <row r="1131" ht="15" customHeight="1" s="131">
      <c r="A1131" s="220" t="n"/>
      <c r="B1131" s="222" t="n"/>
      <c r="C1131" s="220" t="n"/>
      <c r="D1131" s="220" t="n"/>
      <c r="E1131" s="220" t="n"/>
      <c r="F1131" s="220" t="n"/>
      <c r="G1131" s="169" t="n"/>
      <c r="H1131" s="219" t="n"/>
      <c r="I1131" s="220" t="n"/>
      <c r="J1131" s="221" t="n"/>
    </row>
    <row r="1132" ht="15" customHeight="1" s="131">
      <c r="A1132" s="220" t="n"/>
      <c r="B1132" s="222" t="n"/>
      <c r="C1132" s="220" t="n"/>
      <c r="D1132" s="220" t="n"/>
      <c r="E1132" s="220" t="n"/>
      <c r="F1132" s="220" t="n"/>
      <c r="G1132" s="169" t="n"/>
      <c r="H1132" s="219" t="n"/>
      <c r="I1132" s="220" t="n"/>
      <c r="J1132" s="221" t="n"/>
    </row>
    <row r="1133" ht="15" customHeight="1" s="131">
      <c r="A1133" s="220" t="n"/>
      <c r="B1133" s="222" t="n"/>
      <c r="C1133" s="220" t="n"/>
      <c r="D1133" s="220" t="n"/>
      <c r="E1133" s="220" t="n"/>
      <c r="F1133" s="220" t="n"/>
      <c r="G1133" s="169" t="n"/>
      <c r="H1133" s="219" t="n"/>
      <c r="I1133" s="220" t="n"/>
      <c r="J1133" s="221" t="n"/>
    </row>
    <row r="1134" ht="15" customHeight="1" s="131">
      <c r="A1134" s="220" t="n"/>
      <c r="B1134" s="222" t="n"/>
      <c r="C1134" s="220" t="n"/>
      <c r="D1134" s="220" t="n"/>
      <c r="E1134" s="220" t="n"/>
      <c r="F1134" s="220" t="n"/>
      <c r="G1134" s="169" t="n"/>
      <c r="H1134" s="219" t="n"/>
      <c r="I1134" s="220" t="n"/>
      <c r="J1134" s="221" t="n"/>
    </row>
    <row r="1135" ht="15" customHeight="1" s="131">
      <c r="A1135" s="220" t="n"/>
      <c r="B1135" s="222" t="n"/>
      <c r="C1135" s="220" t="n"/>
      <c r="D1135" s="220" t="n"/>
      <c r="E1135" s="220" t="n"/>
      <c r="F1135" s="220" t="n"/>
      <c r="G1135" s="169" t="n"/>
      <c r="H1135" s="219" t="n"/>
      <c r="I1135" s="220" t="n"/>
      <c r="J1135" s="221" t="n"/>
    </row>
    <row r="1136" ht="15" customHeight="1" s="131">
      <c r="A1136" s="220" t="n"/>
      <c r="B1136" s="222" t="n"/>
      <c r="C1136" s="220" t="n"/>
      <c r="D1136" s="220" t="n"/>
      <c r="E1136" s="220" t="n"/>
      <c r="F1136" s="220" t="n"/>
      <c r="G1136" s="169" t="n"/>
      <c r="H1136" s="219" t="n"/>
      <c r="I1136" s="220" t="n"/>
      <c r="J1136" s="221" t="n"/>
    </row>
    <row r="1137" ht="15" customHeight="1" s="131">
      <c r="A1137" s="220" t="n"/>
      <c r="B1137" s="222" t="n"/>
      <c r="C1137" s="220" t="n"/>
      <c r="D1137" s="220" t="n"/>
      <c r="E1137" s="220" t="n"/>
      <c r="F1137" s="220" t="n"/>
      <c r="G1137" s="169" t="n"/>
      <c r="H1137" s="219" t="n"/>
      <c r="I1137" s="220" t="n"/>
      <c r="J1137" s="221" t="n"/>
    </row>
    <row r="1138" ht="15" customHeight="1" s="131">
      <c r="A1138" s="220" t="n"/>
      <c r="B1138" s="222" t="n"/>
      <c r="C1138" s="220" t="n"/>
      <c r="D1138" s="220" t="n"/>
      <c r="E1138" s="220" t="n"/>
      <c r="F1138" s="220" t="n"/>
      <c r="G1138" s="169" t="n"/>
      <c r="H1138" s="219" t="n"/>
      <c r="I1138" s="220" t="n"/>
      <c r="J1138" s="221" t="n"/>
    </row>
    <row r="1139" ht="15" customHeight="1" s="131">
      <c r="A1139" s="220" t="n"/>
      <c r="B1139" s="222" t="n"/>
      <c r="C1139" s="220" t="n"/>
      <c r="D1139" s="220" t="n"/>
      <c r="E1139" s="220" t="n"/>
      <c r="F1139" s="220" t="n"/>
      <c r="G1139" s="169" t="n"/>
      <c r="H1139" s="219" t="n"/>
      <c r="I1139" s="220" t="n"/>
      <c r="J1139" s="221" t="n"/>
    </row>
    <row r="1140" ht="15" customHeight="1" s="131">
      <c r="A1140" s="220" t="n"/>
      <c r="B1140" s="222" t="n"/>
      <c r="C1140" s="220" t="n"/>
      <c r="D1140" s="220" t="n"/>
      <c r="E1140" s="220" t="n"/>
      <c r="F1140" s="220" t="n"/>
      <c r="G1140" s="169" t="n"/>
      <c r="H1140" s="219" t="n"/>
      <c r="I1140" s="220" t="n"/>
      <c r="J1140" s="221" t="n"/>
    </row>
    <row r="1141" ht="15" customHeight="1" s="131">
      <c r="A1141" s="220" t="n"/>
      <c r="B1141" s="222" t="n"/>
      <c r="C1141" s="220" t="n"/>
      <c r="D1141" s="220" t="n"/>
      <c r="E1141" s="220" t="n"/>
      <c r="F1141" s="220" t="n"/>
      <c r="G1141" s="169" t="n"/>
      <c r="H1141" s="219" t="n"/>
      <c r="I1141" s="220" t="n"/>
      <c r="J1141" s="221" t="n"/>
    </row>
    <row r="1142" ht="15" customHeight="1" s="131">
      <c r="A1142" s="220" t="n"/>
      <c r="B1142" s="222" t="n"/>
      <c r="C1142" s="220" t="n"/>
      <c r="D1142" s="220" t="n"/>
      <c r="E1142" s="220" t="n"/>
      <c r="F1142" s="220" t="n"/>
      <c r="G1142" s="169" t="n"/>
      <c r="H1142" s="219" t="n"/>
      <c r="I1142" s="220" t="n"/>
      <c r="J1142" s="221" t="n"/>
    </row>
    <row r="1143" ht="15" customHeight="1" s="131">
      <c r="A1143" s="220" t="n"/>
      <c r="B1143" s="222" t="n"/>
      <c r="C1143" s="220" t="n"/>
      <c r="D1143" s="220" t="n"/>
      <c r="E1143" s="220" t="n"/>
      <c r="F1143" s="220" t="n"/>
      <c r="G1143" s="169" t="n"/>
      <c r="H1143" s="219" t="n"/>
      <c r="I1143" s="220" t="n"/>
      <c r="J1143" s="221" t="n"/>
    </row>
    <row r="1144" ht="15" customHeight="1" s="131">
      <c r="A1144" s="220" t="n"/>
      <c r="B1144" s="222" t="n"/>
      <c r="C1144" s="220" t="n"/>
      <c r="D1144" s="220" t="n"/>
      <c r="E1144" s="220" t="n"/>
      <c r="F1144" s="220" t="n"/>
      <c r="G1144" s="169" t="n"/>
      <c r="H1144" s="219" t="n"/>
      <c r="I1144" s="220" t="n"/>
      <c r="J1144" s="221" t="n"/>
    </row>
    <row r="1145" ht="15" customHeight="1" s="131">
      <c r="A1145" s="220" t="n"/>
      <c r="B1145" s="222" t="n"/>
      <c r="C1145" s="220" t="n"/>
      <c r="D1145" s="220" t="n"/>
      <c r="E1145" s="220" t="n"/>
      <c r="F1145" s="220" t="n"/>
      <c r="G1145" s="169" t="n"/>
      <c r="H1145" s="219" t="n"/>
      <c r="I1145" s="220" t="n"/>
      <c r="J1145" s="221" t="n"/>
    </row>
    <row r="1146" ht="15" customHeight="1" s="131">
      <c r="A1146" s="220" t="n"/>
      <c r="B1146" s="222" t="n"/>
      <c r="C1146" s="220" t="n"/>
      <c r="D1146" s="220" t="n"/>
      <c r="E1146" s="220" t="n"/>
      <c r="F1146" s="220" t="n"/>
      <c r="G1146" s="169" t="n"/>
      <c r="H1146" s="219" t="n"/>
      <c r="I1146" s="220" t="n"/>
      <c r="J1146" s="221" t="n"/>
    </row>
    <row r="1147" ht="15" customHeight="1" s="131">
      <c r="A1147" s="220" t="n"/>
      <c r="B1147" s="222" t="n"/>
      <c r="C1147" s="220" t="n"/>
      <c r="D1147" s="220" t="n"/>
      <c r="E1147" s="220" t="n"/>
      <c r="F1147" s="220" t="n"/>
      <c r="G1147" s="169" t="n"/>
      <c r="H1147" s="219" t="n"/>
      <c r="I1147" s="220" t="n"/>
      <c r="J1147" s="221" t="n"/>
    </row>
    <row r="1148" ht="15" customHeight="1" s="131">
      <c r="A1148" s="220" t="n"/>
      <c r="B1148" s="222" t="n"/>
      <c r="C1148" s="220" t="n"/>
      <c r="D1148" s="220" t="n"/>
      <c r="E1148" s="220" t="n"/>
      <c r="F1148" s="220" t="n"/>
      <c r="G1148" s="169" t="n"/>
      <c r="H1148" s="219" t="n"/>
      <c r="I1148" s="220" t="n"/>
      <c r="J1148" s="221" t="n"/>
    </row>
    <row r="1149" ht="15" customHeight="1" s="131">
      <c r="A1149" s="220" t="n"/>
      <c r="B1149" s="222" t="n"/>
      <c r="C1149" s="220" t="n"/>
      <c r="D1149" s="220" t="n"/>
      <c r="E1149" s="220" t="n"/>
      <c r="F1149" s="220" t="n"/>
      <c r="G1149" s="169" t="n"/>
      <c r="H1149" s="219" t="n"/>
      <c r="I1149" s="220" t="n"/>
      <c r="J1149" s="221" t="n"/>
    </row>
    <row r="1150" ht="15" customHeight="1" s="131">
      <c r="A1150" s="220" t="n"/>
      <c r="B1150" s="222" t="n"/>
      <c r="C1150" s="220" t="n"/>
      <c r="D1150" s="220" t="n"/>
      <c r="E1150" s="220" t="n"/>
      <c r="F1150" s="220" t="n"/>
      <c r="G1150" s="169" t="n"/>
      <c r="H1150" s="219" t="n"/>
      <c r="I1150" s="220" t="n"/>
      <c r="J1150" s="221" t="n"/>
    </row>
    <row r="1151" ht="15" customHeight="1" s="131">
      <c r="A1151" s="220" t="n"/>
      <c r="B1151" s="222" t="n"/>
      <c r="C1151" s="220" t="n"/>
      <c r="D1151" s="220" t="n"/>
      <c r="E1151" s="220" t="n"/>
      <c r="F1151" s="220" t="n"/>
      <c r="G1151" s="169" t="n"/>
      <c r="H1151" s="219" t="n"/>
      <c r="I1151" s="220" t="n"/>
      <c r="J1151" s="221" t="n"/>
    </row>
    <row r="1152" ht="15" customHeight="1" s="131">
      <c r="A1152" s="220" t="n"/>
      <c r="B1152" s="222" t="n"/>
      <c r="C1152" s="220" t="n"/>
      <c r="D1152" s="220" t="n"/>
      <c r="E1152" s="220" t="n"/>
      <c r="F1152" s="220" t="n"/>
      <c r="G1152" s="169" t="n"/>
      <c r="H1152" s="219" t="n"/>
      <c r="I1152" s="220" t="n"/>
      <c r="J1152" s="221" t="n"/>
    </row>
    <row r="1153" ht="15" customHeight="1" s="131">
      <c r="A1153" s="220" t="n"/>
      <c r="B1153" s="222" t="n"/>
      <c r="C1153" s="220" t="n"/>
      <c r="D1153" s="220" t="n"/>
      <c r="E1153" s="220" t="n"/>
      <c r="F1153" s="220" t="n"/>
      <c r="G1153" s="169" t="n"/>
      <c r="H1153" s="219" t="n"/>
      <c r="I1153" s="220" t="n"/>
      <c r="J1153" s="221" t="n"/>
    </row>
    <row r="1154" ht="15" customHeight="1" s="131">
      <c r="A1154" s="220" t="n"/>
      <c r="B1154" s="222" t="n"/>
      <c r="C1154" s="220" t="n"/>
      <c r="D1154" s="220" t="n"/>
      <c r="E1154" s="220" t="n"/>
      <c r="F1154" s="220" t="n"/>
      <c r="G1154" s="169" t="n"/>
      <c r="H1154" s="219" t="n"/>
      <c r="I1154" s="220" t="n"/>
      <c r="J1154" s="221" t="n"/>
    </row>
    <row r="1155" ht="15" customHeight="1" s="131">
      <c r="A1155" s="220" t="n"/>
      <c r="B1155" s="222" t="n"/>
      <c r="C1155" s="220" t="n"/>
      <c r="D1155" s="220" t="n"/>
      <c r="E1155" s="220" t="n"/>
      <c r="F1155" s="220" t="n"/>
      <c r="G1155" s="169" t="n"/>
      <c r="H1155" s="219" t="n"/>
      <c r="I1155" s="220" t="n"/>
      <c r="J1155" s="221" t="n"/>
    </row>
    <row r="1156" ht="15" customHeight="1" s="131">
      <c r="A1156" s="220" t="n"/>
      <c r="B1156" s="222" t="n"/>
      <c r="C1156" s="220" t="n"/>
      <c r="D1156" s="220" t="n"/>
      <c r="E1156" s="220" t="n"/>
      <c r="F1156" s="220" t="n"/>
      <c r="G1156" s="169" t="n"/>
      <c r="H1156" s="219" t="n"/>
      <c r="I1156" s="220" t="n"/>
      <c r="J1156" s="221" t="n"/>
    </row>
    <row r="1157" ht="15" customHeight="1" s="131">
      <c r="A1157" s="220" t="n"/>
      <c r="B1157" s="222" t="n"/>
      <c r="C1157" s="220" t="n"/>
      <c r="D1157" s="220" t="n"/>
      <c r="E1157" s="220" t="n"/>
      <c r="F1157" s="220" t="n"/>
      <c r="G1157" s="169" t="n"/>
      <c r="H1157" s="219" t="n"/>
      <c r="I1157" s="220" t="n"/>
      <c r="J1157" s="221" t="n"/>
    </row>
    <row r="1158" ht="15" customHeight="1" s="131">
      <c r="A1158" s="220" t="n"/>
      <c r="B1158" s="222" t="n"/>
      <c r="C1158" s="220" t="n"/>
      <c r="D1158" s="220" t="n"/>
      <c r="E1158" s="220" t="n"/>
      <c r="F1158" s="220" t="n"/>
      <c r="G1158" s="169" t="n"/>
      <c r="H1158" s="219" t="n"/>
      <c r="I1158" s="220" t="n"/>
      <c r="J1158" s="221" t="n"/>
    </row>
    <row r="1159" ht="15" customHeight="1" s="131">
      <c r="A1159" s="220" t="n"/>
      <c r="B1159" s="222" t="n"/>
      <c r="C1159" s="220" t="n"/>
      <c r="D1159" s="220" t="n"/>
      <c r="E1159" s="220" t="n"/>
      <c r="F1159" s="220" t="n"/>
      <c r="G1159" s="169" t="n"/>
      <c r="H1159" s="219" t="n"/>
      <c r="I1159" s="220" t="n"/>
      <c r="J1159" s="221" t="n"/>
    </row>
    <row r="1160" ht="15" customHeight="1" s="131">
      <c r="A1160" s="220" t="n"/>
      <c r="B1160" s="222" t="n"/>
      <c r="C1160" s="220" t="n"/>
      <c r="D1160" s="220" t="n"/>
      <c r="E1160" s="220" t="n"/>
      <c r="F1160" s="220" t="n"/>
      <c r="G1160" s="169" t="n"/>
      <c r="H1160" s="219" t="n"/>
      <c r="I1160" s="220" t="n"/>
      <c r="J1160" s="221" t="n"/>
    </row>
    <row r="1161" ht="15" customHeight="1" s="131">
      <c r="A1161" s="220" t="n"/>
      <c r="B1161" s="222" t="n"/>
      <c r="C1161" s="220" t="n"/>
      <c r="D1161" s="220" t="n"/>
      <c r="E1161" s="220" t="n"/>
      <c r="F1161" s="220" t="n"/>
      <c r="G1161" s="169" t="n"/>
      <c r="H1161" s="219" t="n"/>
      <c r="I1161" s="220" t="n"/>
      <c r="J1161" s="221" t="n"/>
    </row>
    <row r="1162" ht="15" customHeight="1" s="131">
      <c r="A1162" s="220" t="n"/>
      <c r="B1162" s="222" t="n"/>
      <c r="C1162" s="220" t="n"/>
      <c r="D1162" s="220" t="n"/>
      <c r="E1162" s="220" t="n"/>
      <c r="F1162" s="220" t="n"/>
      <c r="G1162" s="169" t="n"/>
      <c r="H1162" s="219" t="n"/>
      <c r="I1162" s="220" t="n"/>
      <c r="J1162" s="221" t="n"/>
    </row>
    <row r="1163" ht="15" customHeight="1" s="131">
      <c r="A1163" s="220" t="n"/>
      <c r="B1163" s="222" t="n"/>
      <c r="C1163" s="220" t="n"/>
      <c r="D1163" s="220" t="n"/>
      <c r="E1163" s="220" t="n"/>
      <c r="F1163" s="220" t="n"/>
      <c r="G1163" s="169" t="n"/>
      <c r="H1163" s="219" t="n"/>
      <c r="I1163" s="220" t="n"/>
      <c r="J1163" s="221" t="n"/>
    </row>
    <row r="1164" ht="15" customHeight="1" s="131">
      <c r="A1164" s="220" t="n"/>
      <c r="B1164" s="222" t="n"/>
      <c r="C1164" s="220" t="n"/>
      <c r="D1164" s="220" t="n"/>
      <c r="E1164" s="220" t="n"/>
      <c r="F1164" s="220" t="n"/>
      <c r="G1164" s="169" t="n"/>
      <c r="H1164" s="219" t="n"/>
      <c r="I1164" s="220" t="n"/>
      <c r="J1164" s="221" t="n"/>
    </row>
    <row r="1165" ht="15" customHeight="1" s="131">
      <c r="A1165" s="220" t="n"/>
      <c r="B1165" s="222" t="n"/>
      <c r="C1165" s="220" t="n"/>
      <c r="D1165" s="220" t="n"/>
      <c r="E1165" s="220" t="n"/>
      <c r="F1165" s="220" t="n"/>
      <c r="G1165" s="169" t="n"/>
      <c r="H1165" s="219" t="n"/>
      <c r="I1165" s="220" t="n"/>
      <c r="J1165" s="221" t="n"/>
    </row>
    <row r="1166" ht="15" customHeight="1" s="131">
      <c r="A1166" s="220" t="n"/>
      <c r="B1166" s="222" t="n"/>
      <c r="C1166" s="220" t="n"/>
      <c r="D1166" s="220" t="n"/>
      <c r="E1166" s="220" t="n"/>
      <c r="F1166" s="220" t="n"/>
      <c r="G1166" s="169" t="n"/>
      <c r="H1166" s="219" t="n"/>
      <c r="I1166" s="220" t="n"/>
      <c r="J1166" s="221" t="n"/>
    </row>
    <row r="1167" ht="15" customHeight="1" s="131">
      <c r="A1167" s="220" t="n"/>
      <c r="B1167" s="222" t="n"/>
      <c r="C1167" s="220" t="n"/>
      <c r="D1167" s="220" t="n"/>
      <c r="E1167" s="220" t="n"/>
      <c r="F1167" s="220" t="n"/>
      <c r="G1167" s="169" t="n"/>
      <c r="H1167" s="219" t="n"/>
      <c r="I1167" s="220" t="n"/>
      <c r="J1167" s="221" t="n"/>
    </row>
    <row r="1168" ht="15" customHeight="1" s="131">
      <c r="A1168" s="220" t="n"/>
      <c r="B1168" s="222" t="n"/>
      <c r="C1168" s="220" t="n"/>
      <c r="D1168" s="220" t="n"/>
      <c r="E1168" s="220" t="n"/>
      <c r="F1168" s="220" t="n"/>
      <c r="G1168" s="169" t="n"/>
      <c r="H1168" s="219" t="n"/>
      <c r="I1168" s="220" t="n"/>
      <c r="J1168" s="221" t="n"/>
    </row>
    <row r="1169" ht="15" customHeight="1" s="131">
      <c r="A1169" s="220" t="n"/>
      <c r="B1169" s="222" t="n"/>
      <c r="C1169" s="220" t="n"/>
      <c r="D1169" s="220" t="n"/>
      <c r="E1169" s="220" t="n"/>
      <c r="F1169" s="220" t="n"/>
      <c r="G1169" s="169" t="n"/>
      <c r="H1169" s="219" t="n"/>
      <c r="I1169" s="220" t="n"/>
      <c r="J1169" s="221" t="n"/>
    </row>
    <row r="1170" ht="15" customHeight="1" s="131">
      <c r="A1170" s="220" t="n"/>
      <c r="B1170" s="222" t="n"/>
      <c r="C1170" s="220" t="n"/>
      <c r="D1170" s="220" t="n"/>
      <c r="E1170" s="220" t="n"/>
      <c r="F1170" s="220" t="n"/>
      <c r="G1170" s="169" t="n"/>
      <c r="H1170" s="219" t="n"/>
      <c r="I1170" s="220" t="n"/>
      <c r="J1170" s="221" t="n"/>
    </row>
    <row r="1171" ht="15" customHeight="1" s="131">
      <c r="A1171" s="220" t="n"/>
      <c r="B1171" s="222" t="n"/>
      <c r="C1171" s="220" t="n"/>
      <c r="D1171" s="220" t="n"/>
      <c r="E1171" s="220" t="n"/>
      <c r="F1171" s="220" t="n"/>
      <c r="G1171" s="169" t="n"/>
      <c r="H1171" s="219" t="n"/>
      <c r="I1171" s="220" t="n"/>
      <c r="J1171" s="221" t="n"/>
    </row>
    <row r="1172" ht="15" customHeight="1" s="131">
      <c r="A1172" s="220" t="n"/>
      <c r="B1172" s="222" t="n"/>
      <c r="C1172" s="220" t="n"/>
      <c r="D1172" s="220" t="n"/>
      <c r="E1172" s="220" t="n"/>
      <c r="F1172" s="220" t="n"/>
      <c r="G1172" s="169" t="n"/>
      <c r="H1172" s="219" t="n"/>
      <c r="I1172" s="220" t="n"/>
      <c r="J1172" s="221" t="n"/>
    </row>
    <row r="1173" ht="15" customHeight="1" s="131">
      <c r="A1173" s="220" t="n"/>
      <c r="B1173" s="222" t="n"/>
      <c r="C1173" s="220" t="n"/>
      <c r="D1173" s="220" t="n"/>
      <c r="E1173" s="220" t="n"/>
      <c r="F1173" s="220" t="n"/>
      <c r="G1173" s="169" t="n"/>
      <c r="H1173" s="219" t="n"/>
      <c r="I1173" s="220" t="n"/>
      <c r="J1173" s="221" t="n"/>
    </row>
    <row r="1174" ht="15" customHeight="1" s="131">
      <c r="A1174" s="220" t="n"/>
      <c r="B1174" s="222" t="n"/>
      <c r="C1174" s="220" t="n"/>
      <c r="D1174" s="220" t="n"/>
      <c r="E1174" s="220" t="n"/>
      <c r="F1174" s="220" t="n"/>
      <c r="G1174" s="169" t="n"/>
      <c r="H1174" s="219" t="n"/>
      <c r="I1174" s="220" t="n"/>
      <c r="J1174" s="221" t="n"/>
    </row>
    <row r="1175" ht="15" customHeight="1" s="131">
      <c r="A1175" s="220" t="n"/>
      <c r="B1175" s="222" t="n"/>
      <c r="C1175" s="220" t="n"/>
      <c r="D1175" s="220" t="n"/>
      <c r="E1175" s="220" t="n"/>
      <c r="F1175" s="220" t="n"/>
      <c r="G1175" s="169" t="n"/>
      <c r="H1175" s="219" t="n"/>
      <c r="I1175" s="220" t="n"/>
      <c r="J1175" s="221" t="n"/>
    </row>
    <row r="1176" ht="15" customHeight="1" s="131">
      <c r="A1176" s="220" t="n"/>
      <c r="B1176" s="222" t="n"/>
      <c r="C1176" s="220" t="n"/>
      <c r="D1176" s="220" t="n"/>
      <c r="E1176" s="220" t="n"/>
      <c r="F1176" s="220" t="n"/>
      <c r="G1176" s="169" t="n"/>
      <c r="H1176" s="219" t="n"/>
      <c r="I1176" s="220" t="n"/>
      <c r="J1176" s="221" t="n"/>
    </row>
    <row r="1177" ht="15" customHeight="1" s="131">
      <c r="A1177" s="220" t="n"/>
      <c r="B1177" s="222" t="n"/>
      <c r="C1177" s="220" t="n"/>
      <c r="D1177" s="220" t="n"/>
      <c r="E1177" s="220" t="n"/>
      <c r="F1177" s="220" t="n"/>
      <c r="G1177" s="169" t="n"/>
      <c r="H1177" s="219" t="n"/>
      <c r="I1177" s="220" t="n"/>
      <c r="J1177" s="221" t="n"/>
    </row>
    <row r="1178" ht="15" customHeight="1" s="131">
      <c r="A1178" s="220" t="n"/>
      <c r="B1178" s="222" t="n"/>
      <c r="C1178" s="220" t="n"/>
      <c r="D1178" s="220" t="n"/>
      <c r="E1178" s="220" t="n"/>
      <c r="F1178" s="220" t="n"/>
      <c r="G1178" s="169" t="n"/>
      <c r="H1178" s="219" t="n"/>
      <c r="I1178" s="220" t="n"/>
      <c r="J1178" s="221" t="n"/>
    </row>
    <row r="1179" ht="15" customHeight="1" s="131">
      <c r="A1179" s="220" t="n"/>
      <c r="B1179" s="222" t="n"/>
      <c r="C1179" s="220" t="n"/>
      <c r="D1179" s="220" t="n"/>
      <c r="E1179" s="220" t="n"/>
      <c r="F1179" s="220" t="n"/>
      <c r="G1179" s="169" t="n"/>
      <c r="H1179" s="219" t="n"/>
      <c r="I1179" s="220" t="n"/>
      <c r="J1179" s="221" t="n"/>
    </row>
    <row r="1180" ht="15" customHeight="1" s="131">
      <c r="A1180" s="220" t="n"/>
      <c r="B1180" s="222" t="n"/>
      <c r="C1180" s="220" t="n"/>
      <c r="D1180" s="220" t="n"/>
      <c r="E1180" s="220" t="n"/>
      <c r="F1180" s="220" t="n"/>
      <c r="G1180" s="169" t="n"/>
      <c r="H1180" s="219" t="n"/>
      <c r="I1180" s="220" t="n"/>
      <c r="J1180" s="221" t="n"/>
    </row>
    <row r="1181" ht="15" customHeight="1" s="131">
      <c r="A1181" s="220" t="n"/>
      <c r="B1181" s="222" t="n"/>
      <c r="C1181" s="220" t="n"/>
      <c r="D1181" s="220" t="n"/>
      <c r="E1181" s="220" t="n"/>
      <c r="F1181" s="220" t="n"/>
      <c r="G1181" s="169" t="n"/>
      <c r="H1181" s="219" t="n"/>
      <c r="I1181" s="220" t="n"/>
      <c r="J1181" s="221" t="n"/>
    </row>
    <row r="1182" ht="15" customHeight="1" s="131">
      <c r="A1182" s="220" t="n"/>
      <c r="B1182" s="222" t="n"/>
      <c r="C1182" s="220" t="n"/>
      <c r="D1182" s="220" t="n"/>
      <c r="E1182" s="220" t="n"/>
      <c r="F1182" s="220" t="n"/>
      <c r="G1182" s="169" t="n"/>
      <c r="H1182" s="219" t="n"/>
      <c r="I1182" s="220" t="n"/>
      <c r="J1182" s="221" t="n"/>
    </row>
    <row r="1183" ht="15" customHeight="1" s="131">
      <c r="A1183" s="220" t="n"/>
      <c r="B1183" s="222" t="n"/>
      <c r="C1183" s="220" t="n"/>
      <c r="D1183" s="220" t="n"/>
      <c r="E1183" s="220" t="n"/>
      <c r="F1183" s="220" t="n"/>
      <c r="G1183" s="169" t="n"/>
      <c r="H1183" s="219" t="n"/>
      <c r="I1183" s="220" t="n"/>
      <c r="J1183" s="221" t="n"/>
    </row>
    <row r="1184" ht="15" customHeight="1" s="131">
      <c r="A1184" s="220" t="n"/>
      <c r="B1184" s="222" t="n"/>
      <c r="C1184" s="220" t="n"/>
      <c r="D1184" s="220" t="n"/>
      <c r="E1184" s="220" t="n"/>
      <c r="F1184" s="220" t="n"/>
      <c r="G1184" s="169" t="n"/>
      <c r="H1184" s="219" t="n"/>
      <c r="I1184" s="220" t="n"/>
      <c r="J1184" s="221" t="n"/>
    </row>
    <row r="1185" ht="15" customHeight="1" s="131">
      <c r="A1185" s="220" t="n"/>
      <c r="B1185" s="222" t="n"/>
      <c r="C1185" s="220" t="n"/>
      <c r="D1185" s="220" t="n"/>
      <c r="E1185" s="220" t="n"/>
      <c r="F1185" s="220" t="n"/>
      <c r="G1185" s="169" t="n"/>
      <c r="H1185" s="219" t="n"/>
      <c r="I1185" s="220" t="n"/>
      <c r="J1185" s="221" t="n"/>
    </row>
    <row r="1186" ht="15" customHeight="1" s="131">
      <c r="A1186" s="220" t="n"/>
      <c r="B1186" s="222" t="n"/>
      <c r="C1186" s="220" t="n"/>
      <c r="D1186" s="220" t="n"/>
      <c r="E1186" s="220" t="n"/>
      <c r="F1186" s="220" t="n"/>
      <c r="G1186" s="169" t="n"/>
      <c r="H1186" s="219" t="n"/>
      <c r="I1186" s="220" t="n"/>
      <c r="J1186" s="221" t="n"/>
    </row>
    <row r="1187" ht="15" customHeight="1" s="131">
      <c r="A1187" s="220" t="n"/>
      <c r="B1187" s="222" t="n"/>
      <c r="C1187" s="220" t="n"/>
      <c r="D1187" s="220" t="n"/>
      <c r="E1187" s="220" t="n"/>
      <c r="F1187" s="220" t="n"/>
      <c r="G1187" s="169" t="n"/>
      <c r="H1187" s="219" t="n"/>
      <c r="I1187" s="220" t="n"/>
      <c r="J1187" s="221" t="n"/>
    </row>
    <row r="1188" ht="15" customHeight="1" s="131">
      <c r="A1188" s="220" t="n"/>
      <c r="B1188" s="222" t="n"/>
      <c r="C1188" s="220" t="n"/>
      <c r="D1188" s="220" t="n"/>
      <c r="E1188" s="220" t="n"/>
      <c r="F1188" s="220" t="n"/>
      <c r="G1188" s="169" t="n"/>
      <c r="H1188" s="219" t="n"/>
      <c r="I1188" s="220" t="n"/>
      <c r="J1188" s="221" t="n"/>
    </row>
    <row r="1189" ht="15" customHeight="1" s="131">
      <c r="A1189" s="220" t="n"/>
      <c r="B1189" s="222" t="n"/>
      <c r="C1189" s="220" t="n"/>
      <c r="D1189" s="220" t="n"/>
      <c r="E1189" s="220" t="n"/>
      <c r="F1189" s="220" t="n"/>
      <c r="G1189" s="169" t="n"/>
      <c r="H1189" s="219" t="n"/>
      <c r="I1189" s="220" t="n"/>
      <c r="J1189" s="221" t="n"/>
    </row>
    <row r="1190" ht="15" customHeight="1" s="131">
      <c r="A1190" s="220" t="n"/>
      <c r="B1190" s="222" t="n"/>
      <c r="C1190" s="220" t="n"/>
      <c r="D1190" s="220" t="n"/>
      <c r="E1190" s="220" t="n"/>
      <c r="F1190" s="220" t="n"/>
      <c r="G1190" s="169" t="n"/>
      <c r="H1190" s="219" t="n"/>
      <c r="I1190" s="220" t="n"/>
      <c r="J1190" s="221" t="n"/>
    </row>
    <row r="1191" ht="15" customHeight="1" s="131">
      <c r="A1191" s="220" t="n"/>
      <c r="B1191" s="222" t="n"/>
      <c r="C1191" s="220" t="n"/>
      <c r="D1191" s="220" t="n"/>
      <c r="E1191" s="220" t="n"/>
      <c r="F1191" s="220" t="n"/>
      <c r="G1191" s="169" t="n"/>
      <c r="H1191" s="219" t="n"/>
      <c r="I1191" s="220" t="n"/>
      <c r="J1191" s="221" t="n"/>
    </row>
    <row r="1192" ht="15" customHeight="1" s="131">
      <c r="A1192" s="220" t="n"/>
      <c r="B1192" s="222" t="n"/>
      <c r="C1192" s="220" t="n"/>
      <c r="D1192" s="220" t="n"/>
      <c r="E1192" s="220" t="n"/>
      <c r="F1192" s="220" t="n"/>
      <c r="G1192" s="169" t="n"/>
      <c r="H1192" s="219" t="n"/>
      <c r="I1192" s="220" t="n"/>
      <c r="J1192" s="221" t="n"/>
    </row>
    <row r="1193" ht="15" customHeight="1" s="131">
      <c r="A1193" s="220" t="n"/>
      <c r="B1193" s="222" t="n"/>
      <c r="C1193" s="220" t="n"/>
      <c r="D1193" s="220" t="n"/>
      <c r="E1193" s="220" t="n"/>
      <c r="F1193" s="220" t="n"/>
      <c r="G1193" s="169" t="n"/>
      <c r="H1193" s="219" t="n"/>
      <c r="I1193" s="220" t="n"/>
      <c r="J1193" s="221" t="n"/>
    </row>
    <row r="1194" ht="15" customHeight="1" s="131">
      <c r="A1194" s="220" t="n"/>
      <c r="B1194" s="222" t="n"/>
      <c r="C1194" s="220" t="n"/>
      <c r="D1194" s="220" t="n"/>
      <c r="E1194" s="220" t="n"/>
      <c r="F1194" s="220" t="n"/>
      <c r="G1194" s="169" t="n"/>
      <c r="H1194" s="219" t="n"/>
      <c r="I1194" s="220" t="n"/>
      <c r="J1194" s="221" t="n"/>
    </row>
    <row r="1195" ht="15" customHeight="1" s="131">
      <c r="A1195" s="220" t="n"/>
      <c r="B1195" s="222" t="n"/>
      <c r="C1195" s="220" t="n"/>
      <c r="D1195" s="220" t="n"/>
      <c r="E1195" s="220" t="n"/>
      <c r="F1195" s="220" t="n"/>
      <c r="G1195" s="169" t="n"/>
      <c r="H1195" s="219" t="n"/>
      <c r="I1195" s="220" t="n"/>
      <c r="J1195" s="221" t="n"/>
    </row>
    <row r="1196" ht="15" customHeight="1" s="131">
      <c r="A1196" s="220" t="n"/>
      <c r="B1196" s="222" t="n"/>
      <c r="C1196" s="220" t="n"/>
      <c r="D1196" s="220" t="n"/>
      <c r="E1196" s="220" t="n"/>
      <c r="F1196" s="220" t="n"/>
      <c r="G1196" s="169" t="n"/>
      <c r="H1196" s="219" t="n"/>
      <c r="I1196" s="220" t="n"/>
      <c r="J1196" s="221" t="n"/>
    </row>
    <row r="1197" ht="15" customHeight="1" s="131">
      <c r="A1197" s="220" t="n"/>
      <c r="B1197" s="222" t="n"/>
      <c r="C1197" s="220" t="n"/>
      <c r="D1197" s="220" t="n"/>
      <c r="E1197" s="220" t="n"/>
      <c r="F1197" s="220" t="n"/>
      <c r="G1197" s="169" t="n"/>
      <c r="H1197" s="219" t="n"/>
      <c r="I1197" s="220" t="n"/>
      <c r="J1197" s="221" t="n"/>
    </row>
    <row r="1198" ht="15" customHeight="1" s="131">
      <c r="A1198" s="220" t="n"/>
      <c r="B1198" s="222" t="n"/>
      <c r="C1198" s="220" t="n"/>
      <c r="D1198" s="220" t="n"/>
      <c r="E1198" s="220" t="n"/>
      <c r="F1198" s="220" t="n"/>
      <c r="G1198" s="169" t="n"/>
      <c r="H1198" s="219" t="n"/>
      <c r="I1198" s="220" t="n"/>
      <c r="J1198" s="221" t="n"/>
    </row>
    <row r="1199" ht="15" customHeight="1" s="131">
      <c r="A1199" s="220" t="n"/>
      <c r="B1199" s="222" t="n"/>
      <c r="C1199" s="220" t="n"/>
      <c r="D1199" s="220" t="n"/>
      <c r="E1199" s="220" t="n"/>
      <c r="F1199" s="220" t="n"/>
      <c r="G1199" s="169" t="n"/>
      <c r="H1199" s="219" t="n"/>
      <c r="I1199" s="220" t="n"/>
      <c r="J1199" s="221" t="n"/>
    </row>
    <row r="1200" ht="15" customHeight="1" s="131">
      <c r="A1200" s="220" t="n"/>
      <c r="B1200" s="222" t="n"/>
      <c r="C1200" s="220" t="n"/>
      <c r="D1200" s="220" t="n"/>
      <c r="E1200" s="220" t="n"/>
      <c r="F1200" s="220" t="n"/>
      <c r="G1200" s="169" t="n"/>
      <c r="H1200" s="219" t="n"/>
      <c r="I1200" s="220" t="n"/>
      <c r="J1200" s="221" t="n"/>
    </row>
  </sheetData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tabColor rgb="FFC6E0B4"/>
    <outlinePr summaryBelow="1" summaryRight="1"/>
    <pageSetUpPr fitToPage="0"/>
  </sheetPr>
  <dimension ref="A1:G1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14" customWidth="1" style="130" min="1" max="1"/>
    <col width="36" customWidth="1" style="130" min="2" max="2"/>
    <col width="20" customWidth="1" style="130" min="3" max="3"/>
    <col width="24" customWidth="1" style="130" min="4" max="4"/>
    <col width="28" customWidth="1" style="130" min="5" max="5"/>
    <col width="22" customWidth="1" style="130" min="6" max="6"/>
    <col width="34" customWidth="1" style="130" min="7" max="7"/>
  </cols>
  <sheetData>
    <row r="1" ht="24" customHeight="1" s="131">
      <c r="A1" s="132" t="inlineStr">
        <is>
          <t>BASE — DADM-09 · Custos Administrativos</t>
        </is>
      </c>
    </row>
    <row r="2" ht="30" customHeight="1" s="131">
      <c r="A2" s="133" t="inlineStr">
        <is>
          <t>Despesas mensais por centro de custo e modalidade. A população usada no denominador vem da base acadêmica.</t>
        </is>
      </c>
    </row>
    <row r="3"/>
    <row r="4" ht="30" customHeight="1" s="131">
      <c r="A4" s="199" t="inlineStr">
        <is>
          <t>Período</t>
        </is>
      </c>
      <c r="B4" s="199" t="inlineStr">
        <is>
          <t>Centro de Custo</t>
        </is>
      </c>
      <c r="C4" s="199" t="inlineStr">
        <is>
          <t>Modalidade</t>
        </is>
      </c>
      <c r="D4" s="199" t="inlineStr">
        <is>
          <t>Despesa Administrativa</t>
        </is>
      </c>
      <c r="E4" s="199" t="inlineStr">
        <is>
          <t>Lançado por</t>
        </is>
      </c>
      <c r="F4" s="199" t="n"/>
      <c r="G4" s="199" t="n"/>
    </row>
    <row r="5" ht="15" customHeight="1" s="131">
      <c r="A5" s="164" t="n"/>
      <c r="B5" s="218" t="n"/>
      <c r="C5" s="164" t="n"/>
      <c r="D5" s="179" t="n"/>
      <c r="E5" s="219" t="n"/>
      <c r="F5" s="220" t="n"/>
      <c r="G5" s="221" t="n"/>
    </row>
    <row r="6" ht="15" customHeight="1" s="131">
      <c r="A6" s="164" t="n"/>
      <c r="B6" s="218" t="n"/>
      <c r="C6" s="164" t="n"/>
      <c r="D6" s="179" t="n"/>
      <c r="E6" s="219" t="n"/>
      <c r="F6" s="220" t="n"/>
      <c r="G6" s="221" t="n"/>
    </row>
    <row r="7" ht="15" customHeight="1" s="131">
      <c r="A7" s="164" t="n"/>
      <c r="B7" s="218" t="n"/>
      <c r="C7" s="164" t="n"/>
      <c r="D7" s="179" t="n"/>
      <c r="E7" s="219" t="n"/>
      <c r="F7" s="220" t="n"/>
      <c r="G7" s="221" t="n"/>
    </row>
    <row r="8" ht="15" customHeight="1" s="131">
      <c r="A8" s="164" t="n"/>
      <c r="B8" s="218" t="n"/>
      <c r="C8" s="164" t="n"/>
      <c r="D8" s="179" t="n"/>
      <c r="E8" s="219" t="n"/>
      <c r="F8" s="220" t="n"/>
      <c r="G8" s="221" t="n"/>
    </row>
    <row r="9" ht="15" customHeight="1" s="131">
      <c r="A9" s="164" t="n"/>
      <c r="B9" s="218" t="n"/>
      <c r="C9" s="164" t="n"/>
      <c r="D9" s="179" t="n"/>
      <c r="E9" s="219" t="n"/>
      <c r="F9" s="220" t="n"/>
      <c r="G9" s="221" t="n"/>
    </row>
    <row r="10" ht="15" customHeight="1" s="131">
      <c r="A10" s="164" t="n"/>
      <c r="B10" s="218" t="n"/>
      <c r="C10" s="164" t="n"/>
      <c r="D10" s="179" t="n"/>
      <c r="E10" s="219" t="n"/>
      <c r="F10" s="220" t="n"/>
      <c r="G10" s="221" t="n"/>
    </row>
    <row r="11" ht="15" customHeight="1" s="131">
      <c r="A11" s="164" t="n"/>
      <c r="B11" s="218" t="n"/>
      <c r="C11" s="164" t="n"/>
      <c r="D11" s="179" t="n"/>
      <c r="E11" s="219" t="n"/>
      <c r="F11" s="220" t="n"/>
      <c r="G11" s="221" t="n"/>
    </row>
    <row r="12" ht="15" customHeight="1" s="131">
      <c r="A12" s="164" t="n"/>
      <c r="B12" s="218" t="n"/>
      <c r="C12" s="164" t="n"/>
      <c r="D12" s="179" t="n"/>
      <c r="E12" s="219" t="n"/>
      <c r="F12" s="220" t="n"/>
      <c r="G12" s="221" t="n"/>
    </row>
    <row r="13" ht="15" customHeight="1" s="131">
      <c r="A13" s="164" t="n"/>
      <c r="B13" s="218" t="n"/>
      <c r="C13" s="164" t="n"/>
      <c r="D13" s="179" t="n"/>
      <c r="E13" s="219" t="n"/>
      <c r="F13" s="220" t="n"/>
      <c r="G13" s="221" t="n"/>
    </row>
    <row r="14" ht="15" customHeight="1" s="131">
      <c r="A14" s="164" t="n"/>
      <c r="B14" s="218" t="n"/>
      <c r="C14" s="164" t="n"/>
      <c r="D14" s="179" t="n"/>
      <c r="E14" s="219" t="n"/>
      <c r="F14" s="220" t="n"/>
      <c r="G14" s="221" t="n"/>
    </row>
    <row r="15" ht="15" customHeight="1" s="131">
      <c r="A15" s="164" t="n"/>
      <c r="B15" s="218" t="n"/>
      <c r="C15" s="164" t="n"/>
      <c r="D15" s="179" t="n"/>
      <c r="E15" s="219" t="n"/>
      <c r="F15" s="220" t="n"/>
      <c r="G15" s="221" t="n"/>
    </row>
    <row r="16" ht="15" customHeight="1" s="131">
      <c r="A16" s="164" t="n"/>
      <c r="B16" s="218" t="n"/>
      <c r="C16" s="164" t="n"/>
      <c r="D16" s="179" t="n"/>
      <c r="E16" s="219" t="n"/>
      <c r="F16" s="220" t="n"/>
      <c r="G16" s="221" t="n"/>
    </row>
    <row r="17" ht="15" customHeight="1" s="131">
      <c r="A17" s="164" t="n"/>
      <c r="B17" s="218" t="n"/>
      <c r="C17" s="164" t="n"/>
      <c r="D17" s="179" t="n"/>
      <c r="E17" s="219" t="n"/>
      <c r="F17" s="220" t="n"/>
      <c r="G17" s="221" t="n"/>
    </row>
    <row r="18" ht="15" customHeight="1" s="131">
      <c r="A18" s="164" t="n"/>
      <c r="B18" s="218" t="n"/>
      <c r="C18" s="164" t="n"/>
      <c r="D18" s="179" t="n"/>
      <c r="E18" s="219" t="n"/>
      <c r="F18" s="220" t="n"/>
      <c r="G18" s="221" t="n"/>
    </row>
    <row r="19" ht="15" customHeight="1" s="131">
      <c r="A19" s="164" t="n"/>
      <c r="B19" s="218" t="n"/>
      <c r="C19" s="164" t="n"/>
      <c r="D19" s="179" t="n"/>
      <c r="E19" s="219" t="n"/>
      <c r="F19" s="220" t="n"/>
      <c r="G19" s="221" t="n"/>
    </row>
    <row r="20" ht="15" customHeight="1" s="131">
      <c r="A20" s="164" t="n"/>
      <c r="B20" s="218" t="n"/>
      <c r="C20" s="164" t="n"/>
      <c r="D20" s="179" t="n"/>
      <c r="E20" s="219" t="n"/>
      <c r="F20" s="220" t="n"/>
      <c r="G20" s="221" t="n"/>
    </row>
    <row r="21" ht="15" customHeight="1" s="131">
      <c r="A21" s="164" t="n"/>
      <c r="B21" s="218" t="n"/>
      <c r="C21" s="164" t="n"/>
      <c r="D21" s="179" t="n"/>
      <c r="E21" s="219" t="n"/>
      <c r="F21" s="220" t="n"/>
      <c r="G21" s="221" t="n"/>
    </row>
    <row r="22" ht="15" customHeight="1" s="131">
      <c r="A22" s="164" t="n"/>
      <c r="B22" s="218" t="n"/>
      <c r="C22" s="164" t="n"/>
      <c r="D22" s="179" t="n"/>
      <c r="E22" s="219" t="n"/>
      <c r="F22" s="220" t="n"/>
      <c r="G22" s="221" t="n"/>
    </row>
    <row r="23" ht="15" customHeight="1" s="131">
      <c r="A23" s="164" t="n"/>
      <c r="B23" s="218" t="n"/>
      <c r="C23" s="164" t="n"/>
      <c r="D23" s="179" t="n"/>
      <c r="E23" s="219" t="n"/>
      <c r="F23" s="220" t="n"/>
      <c r="G23" s="221" t="n"/>
    </row>
    <row r="24" ht="15" customHeight="1" s="131">
      <c r="A24" s="164" t="n"/>
      <c r="B24" s="218" t="n"/>
      <c r="C24" s="164" t="n"/>
      <c r="D24" s="179" t="n"/>
      <c r="E24" s="219" t="n"/>
      <c r="F24" s="220" t="n"/>
      <c r="G24" s="221" t="n"/>
    </row>
    <row r="25" ht="15" customHeight="1" s="131">
      <c r="A25" s="164" t="n"/>
      <c r="B25" s="218" t="n"/>
      <c r="C25" s="164" t="n"/>
      <c r="D25" s="179" t="n"/>
      <c r="E25" s="219" t="n"/>
      <c r="F25" s="220" t="n"/>
      <c r="G25" s="221" t="n"/>
    </row>
    <row r="26" ht="15" customHeight="1" s="131">
      <c r="A26" s="164" t="n"/>
      <c r="B26" s="218" t="n"/>
      <c r="C26" s="164" t="n"/>
      <c r="D26" s="179" t="n"/>
      <c r="E26" s="219" t="n"/>
      <c r="F26" s="220" t="n"/>
      <c r="G26" s="221" t="n"/>
    </row>
    <row r="27" ht="15" customHeight="1" s="131">
      <c r="A27" s="164" t="n"/>
      <c r="B27" s="218" t="n"/>
      <c r="C27" s="164" t="n"/>
      <c r="D27" s="179" t="n"/>
      <c r="E27" s="219" t="n"/>
      <c r="F27" s="220" t="n"/>
      <c r="G27" s="221" t="n"/>
    </row>
    <row r="28" ht="15" customHeight="1" s="131">
      <c r="A28" s="164" t="n"/>
      <c r="B28" s="218" t="n"/>
      <c r="C28" s="164" t="n"/>
      <c r="D28" s="179" t="n"/>
      <c r="E28" s="219" t="n"/>
      <c r="F28" s="220" t="n"/>
      <c r="G28" s="221" t="n"/>
    </row>
    <row r="29" ht="15" customHeight="1" s="131">
      <c r="A29" s="164" t="n"/>
      <c r="B29" s="218" t="n"/>
      <c r="C29" s="164" t="n"/>
      <c r="D29" s="179" t="n"/>
      <c r="E29" s="219" t="n"/>
      <c r="F29" s="220" t="n"/>
      <c r="G29" s="221" t="n"/>
    </row>
    <row r="30" ht="15" customHeight="1" s="131">
      <c r="A30" s="164" t="n"/>
      <c r="B30" s="218" t="n"/>
      <c r="C30" s="164" t="n"/>
      <c r="D30" s="179" t="n"/>
      <c r="E30" s="219" t="n"/>
      <c r="F30" s="220" t="n"/>
      <c r="G30" s="221" t="n"/>
    </row>
    <row r="31" ht="15" customHeight="1" s="131">
      <c r="A31" s="164" t="n"/>
      <c r="B31" s="218" t="n"/>
      <c r="C31" s="164" t="n"/>
      <c r="D31" s="179" t="n"/>
      <c r="E31" s="219" t="n"/>
      <c r="F31" s="220" t="n"/>
      <c r="G31" s="221" t="n"/>
    </row>
    <row r="32" ht="15" customHeight="1" s="131">
      <c r="A32" s="220" t="n"/>
      <c r="B32" s="222" t="n"/>
      <c r="C32" s="220" t="n"/>
      <c r="D32" s="179" t="n"/>
      <c r="E32" s="219" t="n"/>
      <c r="F32" s="220" t="n"/>
      <c r="G32" s="221" t="n"/>
    </row>
    <row r="33" ht="15" customHeight="1" s="131">
      <c r="A33" s="220" t="n"/>
      <c r="B33" s="222" t="n"/>
      <c r="C33" s="220" t="n"/>
      <c r="D33" s="179" t="n"/>
      <c r="E33" s="219" t="n"/>
      <c r="F33" s="220" t="n"/>
      <c r="G33" s="221" t="n"/>
    </row>
    <row r="34" ht="15" customHeight="1" s="131">
      <c r="A34" s="220" t="n"/>
      <c r="B34" s="222" t="n"/>
      <c r="C34" s="220" t="n"/>
      <c r="D34" s="179" t="n"/>
      <c r="E34" s="219" t="n"/>
      <c r="F34" s="220" t="n"/>
      <c r="G34" s="221" t="n"/>
    </row>
    <row r="35" ht="15" customHeight="1" s="131">
      <c r="A35" s="220" t="n"/>
      <c r="B35" s="222" t="n"/>
      <c r="C35" s="220" t="n"/>
      <c r="D35" s="179" t="n"/>
      <c r="E35" s="219" t="n"/>
      <c r="F35" s="220" t="n"/>
      <c r="G35" s="221" t="n"/>
    </row>
    <row r="36" ht="15" customHeight="1" s="131">
      <c r="A36" s="220" t="n"/>
      <c r="B36" s="222" t="n"/>
      <c r="C36" s="220" t="n"/>
      <c r="D36" s="179" t="n"/>
      <c r="E36" s="219" t="n"/>
      <c r="F36" s="220" t="n"/>
      <c r="G36" s="221" t="n"/>
    </row>
    <row r="37" ht="15" customHeight="1" s="131">
      <c r="A37" s="220" t="n"/>
      <c r="B37" s="222" t="n"/>
      <c r="C37" s="220" t="n"/>
      <c r="D37" s="179" t="n"/>
      <c r="E37" s="219" t="n"/>
      <c r="F37" s="220" t="n"/>
      <c r="G37" s="221" t="n"/>
    </row>
    <row r="38" ht="15" customHeight="1" s="131">
      <c r="A38" s="220" t="n"/>
      <c r="B38" s="222" t="n"/>
      <c r="C38" s="220" t="n"/>
      <c r="D38" s="179" t="n"/>
      <c r="E38" s="219" t="n"/>
      <c r="F38" s="220" t="n"/>
      <c r="G38" s="221" t="n"/>
    </row>
    <row r="39" ht="15" customHeight="1" s="131">
      <c r="A39" s="220" t="n"/>
      <c r="B39" s="222" t="n"/>
      <c r="C39" s="220" t="n"/>
      <c r="D39" s="179" t="n"/>
      <c r="E39" s="219" t="n"/>
      <c r="F39" s="220" t="n"/>
      <c r="G39" s="221" t="n"/>
    </row>
    <row r="40" ht="15" customHeight="1" s="131">
      <c r="A40" s="220" t="n"/>
      <c r="B40" s="222" t="n"/>
      <c r="C40" s="220" t="n"/>
      <c r="D40" s="179" t="n"/>
      <c r="E40" s="219" t="n"/>
      <c r="F40" s="220" t="n"/>
      <c r="G40" s="221" t="n"/>
    </row>
    <row r="41" ht="15" customHeight="1" s="131">
      <c r="A41" s="220" t="n"/>
      <c r="B41" s="222" t="n"/>
      <c r="C41" s="220" t="n"/>
      <c r="D41" s="179" t="n"/>
      <c r="E41" s="219" t="n"/>
      <c r="F41" s="220" t="n"/>
      <c r="G41" s="221" t="n"/>
    </row>
    <row r="42" ht="15" customHeight="1" s="131">
      <c r="A42" s="220" t="n"/>
      <c r="B42" s="222" t="n"/>
      <c r="C42" s="220" t="n"/>
      <c r="D42" s="179" t="n"/>
      <c r="E42" s="219" t="n"/>
      <c r="F42" s="220" t="n"/>
      <c r="G42" s="221" t="n"/>
    </row>
    <row r="43" ht="15" customHeight="1" s="131">
      <c r="A43" s="220" t="n"/>
      <c r="B43" s="222" t="n"/>
      <c r="C43" s="220" t="n"/>
      <c r="D43" s="179" t="n"/>
      <c r="E43" s="219" t="n"/>
      <c r="F43" s="220" t="n"/>
      <c r="G43" s="221" t="n"/>
    </row>
    <row r="44" ht="15" customHeight="1" s="131">
      <c r="A44" s="220" t="n"/>
      <c r="B44" s="222" t="n"/>
      <c r="C44" s="220" t="n"/>
      <c r="D44" s="179" t="n"/>
      <c r="E44" s="219" t="n"/>
      <c r="F44" s="220" t="n"/>
      <c r="G44" s="221" t="n"/>
    </row>
    <row r="45" ht="15" customHeight="1" s="131">
      <c r="A45" s="220" t="n"/>
      <c r="B45" s="222" t="n"/>
      <c r="C45" s="220" t="n"/>
      <c r="D45" s="179" t="n"/>
      <c r="E45" s="219" t="n"/>
      <c r="F45" s="220" t="n"/>
      <c r="G45" s="221" t="n"/>
    </row>
    <row r="46" ht="15" customHeight="1" s="131">
      <c r="A46" s="220" t="n"/>
      <c r="B46" s="222" t="n"/>
      <c r="C46" s="220" t="n"/>
      <c r="D46" s="179" t="n"/>
      <c r="E46" s="219" t="n"/>
      <c r="F46" s="220" t="n"/>
      <c r="G46" s="221" t="n"/>
    </row>
    <row r="47" ht="15" customHeight="1" s="131">
      <c r="A47" s="220" t="n"/>
      <c r="B47" s="222" t="n"/>
      <c r="C47" s="220" t="n"/>
      <c r="D47" s="179" t="n"/>
      <c r="E47" s="219" t="n"/>
      <c r="F47" s="220" t="n"/>
      <c r="G47" s="221" t="n"/>
    </row>
    <row r="48" ht="15" customHeight="1" s="131">
      <c r="A48" s="220" t="n"/>
      <c r="B48" s="222" t="n"/>
      <c r="C48" s="220" t="n"/>
      <c r="D48" s="179" t="n"/>
      <c r="E48" s="219" t="n"/>
      <c r="F48" s="220" t="n"/>
      <c r="G48" s="221" t="n"/>
    </row>
    <row r="49" ht="15" customHeight="1" s="131">
      <c r="A49" s="220" t="n"/>
      <c r="B49" s="222" t="n"/>
      <c r="C49" s="220" t="n"/>
      <c r="D49" s="179" t="n"/>
      <c r="E49" s="219" t="n"/>
      <c r="F49" s="220" t="n"/>
      <c r="G49" s="221" t="n"/>
    </row>
    <row r="50" ht="15" customHeight="1" s="131">
      <c r="A50" s="220" t="n"/>
      <c r="B50" s="222" t="n"/>
      <c r="C50" s="220" t="n"/>
      <c r="D50" s="179" t="n"/>
      <c r="E50" s="219" t="n"/>
      <c r="F50" s="220" t="n"/>
      <c r="G50" s="221" t="n"/>
    </row>
    <row r="51" ht="15" customHeight="1" s="131">
      <c r="A51" s="220" t="n"/>
      <c r="B51" s="222" t="n"/>
      <c r="C51" s="220" t="n"/>
      <c r="D51" s="179" t="n"/>
      <c r="E51" s="219" t="n"/>
      <c r="F51" s="220" t="n"/>
      <c r="G51" s="221" t="n"/>
    </row>
    <row r="52" ht="15" customHeight="1" s="131">
      <c r="A52" s="220" t="n"/>
      <c r="B52" s="222" t="n"/>
      <c r="C52" s="220" t="n"/>
      <c r="D52" s="179" t="n"/>
      <c r="E52" s="219" t="n"/>
      <c r="F52" s="220" t="n"/>
      <c r="G52" s="221" t="n"/>
    </row>
    <row r="53" ht="15" customHeight="1" s="131">
      <c r="A53" s="220" t="n"/>
      <c r="B53" s="222" t="n"/>
      <c r="C53" s="220" t="n"/>
      <c r="D53" s="179" t="n"/>
      <c r="E53" s="219" t="n"/>
      <c r="F53" s="220" t="n"/>
      <c r="G53" s="221" t="n"/>
    </row>
    <row r="54" ht="15" customHeight="1" s="131">
      <c r="A54" s="220" t="n"/>
      <c r="B54" s="222" t="n"/>
      <c r="C54" s="220" t="n"/>
      <c r="D54" s="179" t="n"/>
      <c r="E54" s="219" t="n"/>
      <c r="F54" s="220" t="n"/>
      <c r="G54" s="221" t="n"/>
    </row>
    <row r="55" ht="15" customHeight="1" s="131">
      <c r="A55" s="220" t="n"/>
      <c r="B55" s="222" t="n"/>
      <c r="C55" s="220" t="n"/>
      <c r="D55" s="179" t="n"/>
      <c r="E55" s="219" t="n"/>
      <c r="F55" s="220" t="n"/>
      <c r="G55" s="221" t="n"/>
    </row>
    <row r="56" ht="15" customHeight="1" s="131">
      <c r="A56" s="220" t="n"/>
      <c r="B56" s="222" t="n"/>
      <c r="C56" s="220" t="n"/>
      <c r="D56" s="179" t="n"/>
      <c r="E56" s="219" t="n"/>
      <c r="F56" s="220" t="n"/>
      <c r="G56" s="221" t="n"/>
    </row>
    <row r="57" ht="15" customHeight="1" s="131">
      <c r="A57" s="220" t="n"/>
      <c r="B57" s="222" t="n"/>
      <c r="C57" s="220" t="n"/>
      <c r="D57" s="179" t="n"/>
      <c r="E57" s="219" t="n"/>
      <c r="F57" s="220" t="n"/>
      <c r="G57" s="221" t="n"/>
    </row>
    <row r="58" ht="15" customHeight="1" s="131">
      <c r="A58" s="220" t="n"/>
      <c r="B58" s="222" t="n"/>
      <c r="C58" s="220" t="n"/>
      <c r="D58" s="179" t="n"/>
      <c r="E58" s="219" t="n"/>
      <c r="F58" s="220" t="n"/>
      <c r="G58" s="221" t="n"/>
    </row>
    <row r="59" ht="15" customHeight="1" s="131">
      <c r="A59" s="220" t="n"/>
      <c r="B59" s="222" t="n"/>
      <c r="C59" s="220" t="n"/>
      <c r="D59" s="179" t="n"/>
      <c r="E59" s="219" t="n"/>
      <c r="F59" s="220" t="n"/>
      <c r="G59" s="221" t="n"/>
    </row>
    <row r="60" ht="15" customHeight="1" s="131">
      <c r="A60" s="220" t="n"/>
      <c r="B60" s="222" t="n"/>
      <c r="C60" s="220" t="n"/>
      <c r="D60" s="179" t="n"/>
      <c r="E60" s="219" t="n"/>
      <c r="F60" s="220" t="n"/>
      <c r="G60" s="221" t="n"/>
    </row>
    <row r="61" ht="15" customHeight="1" s="131">
      <c r="A61" s="220" t="n"/>
      <c r="B61" s="222" t="n"/>
      <c r="C61" s="220" t="n"/>
      <c r="D61" s="179" t="n"/>
      <c r="E61" s="219" t="n"/>
      <c r="F61" s="220" t="n"/>
      <c r="G61" s="221" t="n"/>
    </row>
    <row r="62" ht="15" customHeight="1" s="131">
      <c r="A62" s="220" t="n"/>
      <c r="B62" s="222" t="n"/>
      <c r="C62" s="220" t="n"/>
      <c r="D62" s="179" t="n"/>
      <c r="E62" s="219" t="n"/>
      <c r="F62" s="220" t="n"/>
      <c r="G62" s="221" t="n"/>
    </row>
    <row r="63" ht="15" customHeight="1" s="131">
      <c r="A63" s="220" t="n"/>
      <c r="B63" s="222" t="n"/>
      <c r="C63" s="220" t="n"/>
      <c r="D63" s="179" t="n"/>
      <c r="E63" s="219" t="n"/>
      <c r="F63" s="220" t="n"/>
      <c r="G63" s="221" t="n"/>
    </row>
    <row r="64" ht="15" customHeight="1" s="131">
      <c r="A64" s="220" t="n"/>
      <c r="B64" s="222" t="n"/>
      <c r="C64" s="220" t="n"/>
      <c r="D64" s="179" t="n"/>
      <c r="E64" s="219" t="n"/>
      <c r="F64" s="220" t="n"/>
      <c r="G64" s="221" t="n"/>
    </row>
    <row r="65" ht="15" customHeight="1" s="131">
      <c r="A65" s="220" t="n"/>
      <c r="B65" s="222" t="n"/>
      <c r="C65" s="220" t="n"/>
      <c r="D65" s="179" t="n"/>
      <c r="E65" s="219" t="n"/>
      <c r="F65" s="220" t="n"/>
      <c r="G65" s="221" t="n"/>
    </row>
    <row r="66" ht="15" customHeight="1" s="131">
      <c r="A66" s="220" t="n"/>
      <c r="B66" s="222" t="n"/>
      <c r="C66" s="220" t="n"/>
      <c r="D66" s="179" t="n"/>
      <c r="E66" s="219" t="n"/>
      <c r="F66" s="220" t="n"/>
      <c r="G66" s="221" t="n"/>
    </row>
    <row r="67" ht="15" customHeight="1" s="131">
      <c r="A67" s="220" t="n"/>
      <c r="B67" s="222" t="n"/>
      <c r="C67" s="220" t="n"/>
      <c r="D67" s="179" t="n"/>
      <c r="E67" s="219" t="n"/>
      <c r="F67" s="220" t="n"/>
      <c r="G67" s="221" t="n"/>
    </row>
    <row r="68" ht="15" customHeight="1" s="131">
      <c r="A68" s="220" t="n"/>
      <c r="B68" s="222" t="n"/>
      <c r="C68" s="220" t="n"/>
      <c r="D68" s="179" t="n"/>
      <c r="E68" s="219" t="n"/>
      <c r="F68" s="220" t="n"/>
      <c r="G68" s="221" t="n"/>
    </row>
    <row r="69" ht="15" customHeight="1" s="131">
      <c r="A69" s="220" t="n"/>
      <c r="B69" s="222" t="n"/>
      <c r="C69" s="220" t="n"/>
      <c r="D69" s="179" t="n"/>
      <c r="E69" s="219" t="n"/>
      <c r="F69" s="220" t="n"/>
      <c r="G69" s="221" t="n"/>
    </row>
    <row r="70" ht="15" customHeight="1" s="131">
      <c r="A70" s="220" t="n"/>
      <c r="B70" s="222" t="n"/>
      <c r="C70" s="220" t="n"/>
      <c r="D70" s="179" t="n"/>
      <c r="E70" s="219" t="n"/>
      <c r="F70" s="220" t="n"/>
      <c r="G70" s="221" t="n"/>
    </row>
    <row r="71" ht="15" customHeight="1" s="131">
      <c r="A71" s="220" t="n"/>
      <c r="B71" s="222" t="n"/>
      <c r="C71" s="220" t="n"/>
      <c r="D71" s="179" t="n"/>
      <c r="E71" s="219" t="n"/>
      <c r="F71" s="220" t="n"/>
      <c r="G71" s="221" t="n"/>
    </row>
    <row r="72" ht="15" customHeight="1" s="131">
      <c r="A72" s="220" t="n"/>
      <c r="B72" s="222" t="n"/>
      <c r="C72" s="220" t="n"/>
      <c r="D72" s="179" t="n"/>
      <c r="E72" s="219" t="n"/>
      <c r="F72" s="220" t="n"/>
      <c r="G72" s="221" t="n"/>
    </row>
    <row r="73" ht="15" customHeight="1" s="131">
      <c r="A73" s="220" t="n"/>
      <c r="B73" s="222" t="n"/>
      <c r="C73" s="220" t="n"/>
      <c r="D73" s="179" t="n"/>
      <c r="E73" s="219" t="n"/>
      <c r="F73" s="220" t="n"/>
      <c r="G73" s="221" t="n"/>
    </row>
    <row r="74" ht="15" customHeight="1" s="131">
      <c r="A74" s="220" t="n"/>
      <c r="B74" s="222" t="n"/>
      <c r="C74" s="220" t="n"/>
      <c r="D74" s="179" t="n"/>
      <c r="E74" s="219" t="n"/>
      <c r="F74" s="220" t="n"/>
      <c r="G74" s="221" t="n"/>
    </row>
    <row r="75" ht="15" customHeight="1" s="131">
      <c r="A75" s="220" t="n"/>
      <c r="B75" s="222" t="n"/>
      <c r="C75" s="220" t="n"/>
      <c r="D75" s="179" t="n"/>
      <c r="E75" s="219" t="n"/>
      <c r="F75" s="220" t="n"/>
      <c r="G75" s="221" t="n"/>
    </row>
    <row r="76" ht="15" customHeight="1" s="131">
      <c r="A76" s="220" t="n"/>
      <c r="B76" s="222" t="n"/>
      <c r="C76" s="220" t="n"/>
      <c r="D76" s="179" t="n"/>
      <c r="E76" s="219" t="n"/>
      <c r="F76" s="220" t="n"/>
      <c r="G76" s="221" t="n"/>
    </row>
    <row r="77" ht="15" customHeight="1" s="131">
      <c r="A77" s="220" t="n"/>
      <c r="B77" s="222" t="n"/>
      <c r="C77" s="220" t="n"/>
      <c r="D77" s="179" t="n"/>
      <c r="E77" s="219" t="n"/>
      <c r="F77" s="220" t="n"/>
      <c r="G77" s="221" t="n"/>
    </row>
    <row r="78" ht="15" customHeight="1" s="131">
      <c r="A78" s="220" t="n"/>
      <c r="B78" s="222" t="n"/>
      <c r="C78" s="220" t="n"/>
      <c r="D78" s="179" t="n"/>
      <c r="E78" s="219" t="n"/>
      <c r="F78" s="220" t="n"/>
      <c r="G78" s="221" t="n"/>
    </row>
    <row r="79" ht="15" customHeight="1" s="131">
      <c r="A79" s="220" t="n"/>
      <c r="B79" s="222" t="n"/>
      <c r="C79" s="220" t="n"/>
      <c r="D79" s="179" t="n"/>
      <c r="E79" s="219" t="n"/>
      <c r="F79" s="220" t="n"/>
      <c r="G79" s="221" t="n"/>
    </row>
    <row r="80" ht="15" customHeight="1" s="131">
      <c r="A80" s="220" t="n"/>
      <c r="B80" s="222" t="n"/>
      <c r="C80" s="220" t="n"/>
      <c r="D80" s="179" t="n"/>
      <c r="E80" s="219" t="n"/>
      <c r="F80" s="220" t="n"/>
      <c r="G80" s="221" t="n"/>
    </row>
    <row r="81" ht="15" customHeight="1" s="131">
      <c r="A81" s="220" t="n"/>
      <c r="B81" s="222" t="n"/>
      <c r="C81" s="220" t="n"/>
      <c r="D81" s="179" t="n"/>
      <c r="E81" s="219" t="n"/>
      <c r="F81" s="220" t="n"/>
      <c r="G81" s="221" t="n"/>
    </row>
    <row r="82" ht="15" customHeight="1" s="131">
      <c r="A82" s="220" t="n"/>
      <c r="B82" s="222" t="n"/>
      <c r="C82" s="220" t="n"/>
      <c r="D82" s="179" t="n"/>
      <c r="E82" s="219" t="n"/>
      <c r="F82" s="220" t="n"/>
      <c r="G82" s="221" t="n"/>
    </row>
    <row r="83" ht="15" customHeight="1" s="131">
      <c r="A83" s="220" t="n"/>
      <c r="B83" s="222" t="n"/>
      <c r="C83" s="220" t="n"/>
      <c r="D83" s="179" t="n"/>
      <c r="E83" s="219" t="n"/>
      <c r="F83" s="220" t="n"/>
      <c r="G83" s="221" t="n"/>
    </row>
    <row r="84" ht="15" customHeight="1" s="131">
      <c r="A84" s="220" t="n"/>
      <c r="B84" s="222" t="n"/>
      <c r="C84" s="220" t="n"/>
      <c r="D84" s="179" t="n"/>
      <c r="E84" s="219" t="n"/>
      <c r="F84" s="220" t="n"/>
      <c r="G84" s="221" t="n"/>
    </row>
    <row r="85" ht="15" customHeight="1" s="131">
      <c r="A85" s="220" t="n"/>
      <c r="B85" s="222" t="n"/>
      <c r="C85" s="220" t="n"/>
      <c r="D85" s="179" t="n"/>
      <c r="E85" s="219" t="n"/>
      <c r="F85" s="220" t="n"/>
      <c r="G85" s="221" t="n"/>
    </row>
    <row r="86" ht="15" customHeight="1" s="131">
      <c r="A86" s="220" t="n"/>
      <c r="B86" s="222" t="n"/>
      <c r="C86" s="220" t="n"/>
      <c r="D86" s="179" t="n"/>
      <c r="E86" s="219" t="n"/>
      <c r="F86" s="220" t="n"/>
      <c r="G86" s="221" t="n"/>
    </row>
    <row r="87" ht="15" customHeight="1" s="131">
      <c r="A87" s="220" t="n"/>
      <c r="B87" s="222" t="n"/>
      <c r="C87" s="220" t="n"/>
      <c r="D87" s="179" t="n"/>
      <c r="E87" s="219" t="n"/>
      <c r="F87" s="220" t="n"/>
      <c r="G87" s="221" t="n"/>
    </row>
    <row r="88" ht="15" customHeight="1" s="131">
      <c r="A88" s="220" t="n"/>
      <c r="B88" s="222" t="n"/>
      <c r="C88" s="220" t="n"/>
      <c r="D88" s="179" t="n"/>
      <c r="E88" s="219" t="n"/>
      <c r="F88" s="220" t="n"/>
      <c r="G88" s="221" t="n"/>
    </row>
    <row r="89" ht="15" customHeight="1" s="131">
      <c r="A89" s="220" t="n"/>
      <c r="B89" s="222" t="n"/>
      <c r="C89" s="220" t="n"/>
      <c r="D89" s="179" t="n"/>
      <c r="E89" s="219" t="n"/>
      <c r="F89" s="220" t="n"/>
      <c r="G89" s="221" t="n"/>
    </row>
    <row r="90" ht="15" customHeight="1" s="131">
      <c r="A90" s="220" t="n"/>
      <c r="B90" s="222" t="n"/>
      <c r="C90" s="220" t="n"/>
      <c r="D90" s="179" t="n"/>
      <c r="E90" s="219" t="n"/>
      <c r="F90" s="220" t="n"/>
      <c r="G90" s="221" t="n"/>
    </row>
    <row r="91" ht="15" customHeight="1" s="131">
      <c r="A91" s="220" t="n"/>
      <c r="B91" s="222" t="n"/>
      <c r="C91" s="220" t="n"/>
      <c r="D91" s="179" t="n"/>
      <c r="E91" s="219" t="n"/>
      <c r="F91" s="220" t="n"/>
      <c r="G91" s="221" t="n"/>
    </row>
    <row r="92" ht="15" customHeight="1" s="131">
      <c r="A92" s="220" t="n"/>
      <c r="B92" s="222" t="n"/>
      <c r="C92" s="220" t="n"/>
      <c r="D92" s="179" t="n"/>
      <c r="E92" s="219" t="n"/>
      <c r="F92" s="220" t="n"/>
      <c r="G92" s="221" t="n"/>
    </row>
    <row r="93" ht="15" customHeight="1" s="131">
      <c r="A93" s="220" t="n"/>
      <c r="B93" s="222" t="n"/>
      <c r="C93" s="220" t="n"/>
      <c r="D93" s="179" t="n"/>
      <c r="E93" s="219" t="n"/>
      <c r="F93" s="220" t="n"/>
      <c r="G93" s="221" t="n"/>
    </row>
    <row r="94" ht="15" customHeight="1" s="131">
      <c r="A94" s="220" t="n"/>
      <c r="B94" s="222" t="n"/>
      <c r="C94" s="220" t="n"/>
      <c r="D94" s="179" t="n"/>
      <c r="E94" s="219" t="n"/>
      <c r="F94" s="220" t="n"/>
      <c r="G94" s="221" t="n"/>
    </row>
    <row r="95" ht="15" customHeight="1" s="131">
      <c r="A95" s="220" t="n"/>
      <c r="B95" s="222" t="n"/>
      <c r="C95" s="220" t="n"/>
      <c r="D95" s="179" t="n"/>
      <c r="E95" s="219" t="n"/>
      <c r="F95" s="220" t="n"/>
      <c r="G95" s="221" t="n"/>
    </row>
    <row r="96" ht="15" customHeight="1" s="131">
      <c r="A96" s="220" t="n"/>
      <c r="B96" s="222" t="n"/>
      <c r="C96" s="220" t="n"/>
      <c r="D96" s="179" t="n"/>
      <c r="E96" s="219" t="n"/>
      <c r="F96" s="220" t="n"/>
      <c r="G96" s="221" t="n"/>
    </row>
    <row r="97" ht="15" customHeight="1" s="131">
      <c r="A97" s="220" t="n"/>
      <c r="B97" s="222" t="n"/>
      <c r="C97" s="220" t="n"/>
      <c r="D97" s="179" t="n"/>
      <c r="E97" s="219" t="n"/>
      <c r="F97" s="220" t="n"/>
      <c r="G97" s="221" t="n"/>
    </row>
    <row r="98" ht="15" customHeight="1" s="131">
      <c r="A98" s="220" t="n"/>
      <c r="B98" s="222" t="n"/>
      <c r="C98" s="220" t="n"/>
      <c r="D98" s="179" t="n"/>
      <c r="E98" s="219" t="n"/>
      <c r="F98" s="220" t="n"/>
      <c r="G98" s="221" t="n"/>
    </row>
    <row r="99" ht="15" customHeight="1" s="131">
      <c r="A99" s="220" t="n"/>
      <c r="B99" s="222" t="n"/>
      <c r="C99" s="220" t="n"/>
      <c r="D99" s="179" t="n"/>
      <c r="E99" s="219" t="n"/>
      <c r="F99" s="220" t="n"/>
      <c r="G99" s="221" t="n"/>
    </row>
    <row r="100" ht="15" customHeight="1" s="131">
      <c r="A100" s="220" t="n"/>
      <c r="B100" s="222" t="n"/>
      <c r="C100" s="220" t="n"/>
      <c r="D100" s="179" t="n"/>
      <c r="E100" s="219" t="n"/>
      <c r="F100" s="220" t="n"/>
      <c r="G100" s="221" t="n"/>
    </row>
    <row r="101" ht="15" customHeight="1" s="131">
      <c r="A101" s="220" t="n"/>
      <c r="B101" s="222" t="n"/>
      <c r="C101" s="220" t="n"/>
      <c r="D101" s="179" t="n"/>
      <c r="E101" s="219" t="n"/>
      <c r="F101" s="220" t="n"/>
      <c r="G101" s="221" t="n"/>
    </row>
    <row r="102" ht="15" customHeight="1" s="131">
      <c r="A102" s="220" t="n"/>
      <c r="B102" s="222" t="n"/>
      <c r="C102" s="220" t="n"/>
      <c r="D102" s="179" t="n"/>
      <c r="E102" s="219" t="n"/>
      <c r="F102" s="220" t="n"/>
      <c r="G102" s="221" t="n"/>
    </row>
    <row r="103" ht="15" customHeight="1" s="131">
      <c r="A103" s="220" t="n"/>
      <c r="B103" s="222" t="n"/>
      <c r="C103" s="220" t="n"/>
      <c r="D103" s="179" t="n"/>
      <c r="E103" s="219" t="n"/>
      <c r="F103" s="220" t="n"/>
      <c r="G103" s="221" t="n"/>
    </row>
    <row r="104" ht="15" customHeight="1" s="131">
      <c r="A104" s="220" t="n"/>
      <c r="B104" s="222" t="n"/>
      <c r="C104" s="220" t="n"/>
      <c r="D104" s="179" t="n"/>
      <c r="E104" s="219" t="n"/>
      <c r="F104" s="220" t="n"/>
      <c r="G104" s="221" t="n"/>
    </row>
    <row r="105" ht="15" customHeight="1" s="131">
      <c r="A105" s="220" t="n"/>
      <c r="B105" s="222" t="n"/>
      <c r="C105" s="220" t="n"/>
      <c r="D105" s="179" t="n"/>
      <c r="E105" s="219" t="n"/>
      <c r="F105" s="220" t="n"/>
      <c r="G105" s="221" t="n"/>
    </row>
    <row r="106" ht="15" customHeight="1" s="131">
      <c r="A106" s="220" t="n"/>
      <c r="B106" s="222" t="n"/>
      <c r="C106" s="220" t="n"/>
      <c r="D106" s="179" t="n"/>
      <c r="E106" s="219" t="n"/>
      <c r="F106" s="220" t="n"/>
      <c r="G106" s="221" t="n"/>
    </row>
    <row r="107" ht="15" customHeight="1" s="131">
      <c r="A107" s="220" t="n"/>
      <c r="B107" s="222" t="n"/>
      <c r="C107" s="220" t="n"/>
      <c r="D107" s="179" t="n"/>
      <c r="E107" s="219" t="n"/>
      <c r="F107" s="220" t="n"/>
      <c r="G107" s="221" t="n"/>
    </row>
    <row r="108" ht="15" customHeight="1" s="131">
      <c r="A108" s="220" t="n"/>
      <c r="B108" s="222" t="n"/>
      <c r="C108" s="220" t="n"/>
      <c r="D108" s="179" t="n"/>
      <c r="E108" s="219" t="n"/>
      <c r="F108" s="220" t="n"/>
      <c r="G108" s="221" t="n"/>
    </row>
    <row r="109" ht="15" customHeight="1" s="131">
      <c r="A109" s="220" t="n"/>
      <c r="B109" s="222" t="n"/>
      <c r="C109" s="220" t="n"/>
      <c r="D109" s="179" t="n"/>
      <c r="E109" s="219" t="n"/>
      <c r="F109" s="220" t="n"/>
      <c r="G109" s="221" t="n"/>
    </row>
    <row r="110" ht="15" customHeight="1" s="131">
      <c r="A110" s="220" t="n"/>
      <c r="B110" s="222" t="n"/>
      <c r="C110" s="220" t="n"/>
      <c r="D110" s="179" t="n"/>
      <c r="E110" s="219" t="n"/>
      <c r="F110" s="220" t="n"/>
      <c r="G110" s="221" t="n"/>
    </row>
    <row r="111" ht="15" customHeight="1" s="131">
      <c r="A111" s="220" t="n"/>
      <c r="B111" s="222" t="n"/>
      <c r="C111" s="220" t="n"/>
      <c r="D111" s="179" t="n"/>
      <c r="E111" s="219" t="n"/>
      <c r="F111" s="220" t="n"/>
      <c r="G111" s="221" t="n"/>
    </row>
    <row r="112" ht="15" customHeight="1" s="131">
      <c r="A112" s="220" t="n"/>
      <c r="B112" s="222" t="n"/>
      <c r="C112" s="220" t="n"/>
      <c r="D112" s="179" t="n"/>
      <c r="E112" s="219" t="n"/>
      <c r="F112" s="220" t="n"/>
      <c r="G112" s="221" t="n"/>
    </row>
    <row r="113" ht="15" customHeight="1" s="131">
      <c r="A113" s="220" t="n"/>
      <c r="B113" s="222" t="n"/>
      <c r="C113" s="220" t="n"/>
      <c r="D113" s="179" t="n"/>
      <c r="E113" s="219" t="n"/>
      <c r="F113" s="220" t="n"/>
      <c r="G113" s="221" t="n"/>
    </row>
    <row r="114" ht="15" customHeight="1" s="131">
      <c r="A114" s="220" t="n"/>
      <c r="B114" s="222" t="n"/>
      <c r="C114" s="220" t="n"/>
      <c r="D114" s="179" t="n"/>
      <c r="E114" s="219" t="n"/>
      <c r="F114" s="220" t="n"/>
      <c r="G114" s="221" t="n"/>
    </row>
    <row r="115" ht="15" customHeight="1" s="131">
      <c r="A115" s="220" t="n"/>
      <c r="B115" s="222" t="n"/>
      <c r="C115" s="220" t="n"/>
      <c r="D115" s="179" t="n"/>
      <c r="E115" s="219" t="n"/>
      <c r="F115" s="220" t="n"/>
      <c r="G115" s="221" t="n"/>
    </row>
    <row r="116" ht="15" customHeight="1" s="131">
      <c r="A116" s="220" t="n"/>
      <c r="B116" s="222" t="n"/>
      <c r="C116" s="220" t="n"/>
      <c r="D116" s="179" t="n"/>
      <c r="E116" s="219" t="n"/>
      <c r="F116" s="220" t="n"/>
      <c r="G116" s="221" t="n"/>
    </row>
    <row r="117" ht="15" customHeight="1" s="131">
      <c r="A117" s="220" t="n"/>
      <c r="B117" s="222" t="n"/>
      <c r="C117" s="220" t="n"/>
      <c r="D117" s="179" t="n"/>
      <c r="E117" s="219" t="n"/>
      <c r="F117" s="220" t="n"/>
      <c r="G117" s="221" t="n"/>
    </row>
    <row r="118" ht="15" customHeight="1" s="131">
      <c r="A118" s="220" t="n"/>
      <c r="B118" s="222" t="n"/>
      <c r="C118" s="220" t="n"/>
      <c r="D118" s="179" t="n"/>
      <c r="E118" s="219" t="n"/>
      <c r="F118" s="220" t="n"/>
      <c r="G118" s="221" t="n"/>
    </row>
    <row r="119" ht="15" customHeight="1" s="131">
      <c r="A119" s="220" t="n"/>
      <c r="B119" s="222" t="n"/>
      <c r="C119" s="220" t="n"/>
      <c r="D119" s="179" t="n"/>
      <c r="E119" s="219" t="n"/>
      <c r="F119" s="220" t="n"/>
      <c r="G119" s="221" t="n"/>
    </row>
    <row r="120" ht="15" customHeight="1" s="131">
      <c r="A120" s="220" t="n"/>
      <c r="B120" s="222" t="n"/>
      <c r="C120" s="220" t="n"/>
      <c r="D120" s="179" t="n"/>
      <c r="E120" s="219" t="n"/>
      <c r="F120" s="220" t="n"/>
      <c r="G120" s="221" t="n"/>
    </row>
    <row r="121" ht="15" customHeight="1" s="131">
      <c r="A121" s="220" t="n"/>
      <c r="B121" s="222" t="n"/>
      <c r="C121" s="220" t="n"/>
      <c r="D121" s="179" t="n"/>
      <c r="E121" s="219" t="n"/>
      <c r="F121" s="220" t="n"/>
      <c r="G121" s="221" t="n"/>
    </row>
    <row r="122" ht="15" customHeight="1" s="131">
      <c r="A122" s="220" t="n"/>
      <c r="B122" s="222" t="n"/>
      <c r="C122" s="220" t="n"/>
      <c r="D122" s="179" t="n"/>
      <c r="E122" s="219" t="n"/>
      <c r="F122" s="220" t="n"/>
      <c r="G122" s="221" t="n"/>
    </row>
    <row r="123" ht="15" customHeight="1" s="131">
      <c r="A123" s="220" t="n"/>
      <c r="B123" s="222" t="n"/>
      <c r="C123" s="220" t="n"/>
      <c r="D123" s="179" t="n"/>
      <c r="E123" s="219" t="n"/>
      <c r="F123" s="220" t="n"/>
      <c r="G123" s="221" t="n"/>
    </row>
    <row r="124" ht="15" customHeight="1" s="131">
      <c r="A124" s="220" t="n"/>
      <c r="B124" s="222" t="n"/>
      <c r="C124" s="220" t="n"/>
      <c r="D124" s="179" t="n"/>
      <c r="E124" s="219" t="n"/>
      <c r="F124" s="220" t="n"/>
      <c r="G124" s="221" t="n"/>
    </row>
    <row r="125" ht="15" customHeight="1" s="131">
      <c r="A125" s="220" t="n"/>
      <c r="B125" s="222" t="n"/>
      <c r="C125" s="220" t="n"/>
      <c r="D125" s="179" t="n"/>
      <c r="E125" s="219" t="n"/>
      <c r="F125" s="220" t="n"/>
      <c r="G125" s="221" t="n"/>
    </row>
    <row r="126" ht="15" customHeight="1" s="131">
      <c r="A126" s="220" t="n"/>
      <c r="B126" s="222" t="n"/>
      <c r="C126" s="220" t="n"/>
      <c r="D126" s="179" t="n"/>
      <c r="E126" s="219" t="n"/>
      <c r="F126" s="220" t="n"/>
      <c r="G126" s="221" t="n"/>
    </row>
    <row r="127" ht="15" customHeight="1" s="131">
      <c r="A127" s="220" t="n"/>
      <c r="B127" s="222" t="n"/>
      <c r="C127" s="220" t="n"/>
      <c r="D127" s="179" t="n"/>
      <c r="E127" s="219" t="n"/>
      <c r="F127" s="220" t="n"/>
      <c r="G127" s="221" t="n"/>
    </row>
    <row r="128" ht="15" customHeight="1" s="131">
      <c r="A128" s="220" t="n"/>
      <c r="B128" s="222" t="n"/>
      <c r="C128" s="220" t="n"/>
      <c r="D128" s="179" t="n"/>
      <c r="E128" s="219" t="n"/>
      <c r="F128" s="220" t="n"/>
      <c r="G128" s="221" t="n"/>
    </row>
    <row r="129" ht="15" customHeight="1" s="131">
      <c r="A129" s="220" t="n"/>
      <c r="B129" s="222" t="n"/>
      <c r="C129" s="220" t="n"/>
      <c r="D129" s="179" t="n"/>
      <c r="E129" s="219" t="n"/>
      <c r="F129" s="220" t="n"/>
      <c r="G129" s="221" t="n"/>
    </row>
    <row r="130" ht="15" customHeight="1" s="131">
      <c r="A130" s="220" t="n"/>
      <c r="B130" s="222" t="n"/>
      <c r="C130" s="220" t="n"/>
      <c r="D130" s="179" t="n"/>
      <c r="E130" s="219" t="n"/>
      <c r="F130" s="220" t="n"/>
      <c r="G130" s="221" t="n"/>
    </row>
    <row r="131" ht="15" customHeight="1" s="131">
      <c r="A131" s="220" t="n"/>
      <c r="B131" s="222" t="n"/>
      <c r="C131" s="220" t="n"/>
      <c r="D131" s="179" t="n"/>
      <c r="E131" s="219" t="n"/>
      <c r="F131" s="220" t="n"/>
      <c r="G131" s="221" t="n"/>
    </row>
    <row r="132" ht="15" customHeight="1" s="131">
      <c r="A132" s="220" t="n"/>
      <c r="B132" s="222" t="n"/>
      <c r="C132" s="220" t="n"/>
      <c r="D132" s="179" t="n"/>
      <c r="E132" s="219" t="n"/>
      <c r="F132" s="220" t="n"/>
      <c r="G132" s="221" t="n"/>
    </row>
    <row r="133" ht="15" customHeight="1" s="131">
      <c r="A133" s="220" t="n"/>
      <c r="B133" s="222" t="n"/>
      <c r="C133" s="220" t="n"/>
      <c r="D133" s="179" t="n"/>
      <c r="E133" s="219" t="n"/>
      <c r="F133" s="220" t="n"/>
      <c r="G133" s="221" t="n"/>
    </row>
    <row r="134" ht="15" customHeight="1" s="131">
      <c r="A134" s="220" t="n"/>
      <c r="B134" s="222" t="n"/>
      <c r="C134" s="220" t="n"/>
      <c r="D134" s="179" t="n"/>
      <c r="E134" s="219" t="n"/>
      <c r="F134" s="220" t="n"/>
      <c r="G134" s="221" t="n"/>
    </row>
    <row r="135" ht="15" customHeight="1" s="131">
      <c r="A135" s="220" t="n"/>
      <c r="B135" s="222" t="n"/>
      <c r="C135" s="220" t="n"/>
      <c r="D135" s="179" t="n"/>
      <c r="E135" s="219" t="n"/>
      <c r="F135" s="220" t="n"/>
      <c r="G135" s="221" t="n"/>
    </row>
    <row r="136" ht="15" customHeight="1" s="131">
      <c r="A136" s="220" t="n"/>
      <c r="B136" s="222" t="n"/>
      <c r="C136" s="220" t="n"/>
      <c r="D136" s="179" t="n"/>
      <c r="E136" s="219" t="n"/>
      <c r="F136" s="220" t="n"/>
      <c r="G136" s="221" t="n"/>
    </row>
    <row r="137" ht="15" customHeight="1" s="131">
      <c r="A137" s="220" t="n"/>
      <c r="B137" s="222" t="n"/>
      <c r="C137" s="220" t="n"/>
      <c r="D137" s="179" t="n"/>
      <c r="E137" s="219" t="n"/>
      <c r="F137" s="220" t="n"/>
      <c r="G137" s="221" t="n"/>
    </row>
    <row r="138" ht="15" customHeight="1" s="131">
      <c r="A138" s="220" t="n"/>
      <c r="B138" s="222" t="n"/>
      <c r="C138" s="220" t="n"/>
      <c r="D138" s="179" t="n"/>
      <c r="E138" s="219" t="n"/>
      <c r="F138" s="220" t="n"/>
      <c r="G138" s="221" t="n"/>
    </row>
    <row r="139" ht="15" customHeight="1" s="131">
      <c r="A139" s="220" t="n"/>
      <c r="B139" s="222" t="n"/>
      <c r="C139" s="220" t="n"/>
      <c r="D139" s="179" t="n"/>
      <c r="E139" s="219" t="n"/>
      <c r="F139" s="220" t="n"/>
      <c r="G139" s="221" t="n"/>
    </row>
    <row r="140" ht="15" customHeight="1" s="131">
      <c r="A140" s="220" t="n"/>
      <c r="B140" s="222" t="n"/>
      <c r="C140" s="220" t="n"/>
      <c r="D140" s="179" t="n"/>
      <c r="E140" s="219" t="n"/>
      <c r="F140" s="220" t="n"/>
      <c r="G140" s="221" t="n"/>
    </row>
    <row r="141" ht="15" customHeight="1" s="131">
      <c r="A141" s="220" t="n"/>
      <c r="B141" s="222" t="n"/>
      <c r="C141" s="220" t="n"/>
      <c r="D141" s="179" t="n"/>
      <c r="E141" s="219" t="n"/>
      <c r="F141" s="220" t="n"/>
      <c r="G141" s="221" t="n"/>
    </row>
    <row r="142" ht="15" customHeight="1" s="131">
      <c r="A142" s="220" t="n"/>
      <c r="B142" s="222" t="n"/>
      <c r="C142" s="220" t="n"/>
      <c r="D142" s="179" t="n"/>
      <c r="E142" s="219" t="n"/>
      <c r="F142" s="220" t="n"/>
      <c r="G142" s="221" t="n"/>
    </row>
    <row r="143" ht="15" customHeight="1" s="131">
      <c r="A143" s="220" t="n"/>
      <c r="B143" s="222" t="n"/>
      <c r="C143" s="220" t="n"/>
      <c r="D143" s="179" t="n"/>
      <c r="E143" s="219" t="n"/>
      <c r="F143" s="220" t="n"/>
      <c r="G143" s="221" t="n"/>
    </row>
    <row r="144" ht="15" customHeight="1" s="131">
      <c r="A144" s="220" t="n"/>
      <c r="B144" s="222" t="n"/>
      <c r="C144" s="220" t="n"/>
      <c r="D144" s="179" t="n"/>
      <c r="E144" s="219" t="n"/>
      <c r="F144" s="220" t="n"/>
      <c r="G144" s="221" t="n"/>
    </row>
    <row r="145" ht="15" customHeight="1" s="131">
      <c r="A145" s="220" t="n"/>
      <c r="B145" s="222" t="n"/>
      <c r="C145" s="220" t="n"/>
      <c r="D145" s="179" t="n"/>
      <c r="E145" s="219" t="n"/>
      <c r="F145" s="220" t="n"/>
      <c r="G145" s="221" t="n"/>
    </row>
    <row r="146" ht="15" customHeight="1" s="131">
      <c r="A146" s="220" t="n"/>
      <c r="B146" s="222" t="n"/>
      <c r="C146" s="220" t="n"/>
      <c r="D146" s="179" t="n"/>
      <c r="E146" s="219" t="n"/>
      <c r="F146" s="220" t="n"/>
      <c r="G146" s="221" t="n"/>
    </row>
    <row r="147" ht="15" customHeight="1" s="131">
      <c r="A147" s="220" t="n"/>
      <c r="B147" s="222" t="n"/>
      <c r="C147" s="220" t="n"/>
      <c r="D147" s="179" t="n"/>
      <c r="E147" s="219" t="n"/>
      <c r="F147" s="220" t="n"/>
      <c r="G147" s="221" t="n"/>
    </row>
    <row r="148" ht="15" customHeight="1" s="131">
      <c r="A148" s="220" t="n"/>
      <c r="B148" s="222" t="n"/>
      <c r="C148" s="220" t="n"/>
      <c r="D148" s="179" t="n"/>
      <c r="E148" s="219" t="n"/>
      <c r="F148" s="220" t="n"/>
      <c r="G148" s="221" t="n"/>
    </row>
    <row r="149" ht="15" customHeight="1" s="131">
      <c r="A149" s="220" t="n"/>
      <c r="B149" s="222" t="n"/>
      <c r="C149" s="220" t="n"/>
      <c r="D149" s="179" t="n"/>
      <c r="E149" s="219" t="n"/>
      <c r="F149" s="220" t="n"/>
      <c r="G149" s="221" t="n"/>
    </row>
    <row r="150" ht="15" customHeight="1" s="131">
      <c r="A150" s="220" t="n"/>
      <c r="B150" s="222" t="n"/>
      <c r="C150" s="220" t="n"/>
      <c r="D150" s="179" t="n"/>
      <c r="E150" s="219" t="n"/>
      <c r="F150" s="220" t="n"/>
      <c r="G150" s="221" t="n"/>
    </row>
    <row r="151" ht="15" customHeight="1" s="131">
      <c r="A151" s="220" t="n"/>
      <c r="B151" s="222" t="n"/>
      <c r="C151" s="220" t="n"/>
      <c r="D151" s="179" t="n"/>
      <c r="E151" s="219" t="n"/>
      <c r="F151" s="220" t="n"/>
      <c r="G151" s="221" t="n"/>
    </row>
    <row r="152" ht="15" customHeight="1" s="131">
      <c r="A152" s="220" t="n"/>
      <c r="B152" s="222" t="n"/>
      <c r="C152" s="220" t="n"/>
      <c r="D152" s="179" t="n"/>
      <c r="E152" s="219" t="n"/>
      <c r="F152" s="220" t="n"/>
      <c r="G152" s="221" t="n"/>
    </row>
    <row r="153" ht="15" customHeight="1" s="131">
      <c r="A153" s="220" t="n"/>
      <c r="B153" s="222" t="n"/>
      <c r="C153" s="220" t="n"/>
      <c r="D153" s="179" t="n"/>
      <c r="E153" s="219" t="n"/>
      <c r="F153" s="220" t="n"/>
      <c r="G153" s="221" t="n"/>
    </row>
    <row r="154" ht="15" customHeight="1" s="131">
      <c r="A154" s="220" t="n"/>
      <c r="B154" s="222" t="n"/>
      <c r="C154" s="220" t="n"/>
      <c r="D154" s="179" t="n"/>
      <c r="E154" s="219" t="n"/>
      <c r="F154" s="220" t="n"/>
      <c r="G154" s="221" t="n"/>
    </row>
    <row r="155" ht="15" customHeight="1" s="131">
      <c r="A155" s="220" t="n"/>
      <c r="B155" s="222" t="n"/>
      <c r="C155" s="220" t="n"/>
      <c r="D155" s="179" t="n"/>
      <c r="E155" s="219" t="n"/>
      <c r="F155" s="220" t="n"/>
      <c r="G155" s="221" t="n"/>
    </row>
    <row r="156" ht="15" customHeight="1" s="131">
      <c r="A156" s="220" t="n"/>
      <c r="B156" s="222" t="n"/>
      <c r="C156" s="220" t="n"/>
      <c r="D156" s="179" t="n"/>
      <c r="E156" s="219" t="n"/>
      <c r="F156" s="220" t="n"/>
      <c r="G156" s="221" t="n"/>
    </row>
    <row r="157" ht="15" customHeight="1" s="131">
      <c r="A157" s="220" t="n"/>
      <c r="B157" s="222" t="n"/>
      <c r="C157" s="220" t="n"/>
      <c r="D157" s="179" t="n"/>
      <c r="E157" s="219" t="n"/>
      <c r="F157" s="220" t="n"/>
      <c r="G157" s="221" t="n"/>
    </row>
    <row r="158" ht="15" customHeight="1" s="131">
      <c r="A158" s="220" t="n"/>
      <c r="B158" s="222" t="n"/>
      <c r="C158" s="220" t="n"/>
      <c r="D158" s="179" t="n"/>
      <c r="E158" s="219" t="n"/>
      <c r="F158" s="220" t="n"/>
      <c r="G158" s="221" t="n"/>
    </row>
    <row r="159" ht="15" customHeight="1" s="131">
      <c r="A159" s="220" t="n"/>
      <c r="B159" s="222" t="n"/>
      <c r="C159" s="220" t="n"/>
      <c r="D159" s="179" t="n"/>
      <c r="E159" s="219" t="n"/>
      <c r="F159" s="220" t="n"/>
      <c r="G159" s="221" t="n"/>
    </row>
    <row r="160" ht="15" customHeight="1" s="131">
      <c r="A160" s="220" t="n"/>
      <c r="B160" s="222" t="n"/>
      <c r="C160" s="220" t="n"/>
      <c r="D160" s="179" t="n"/>
      <c r="E160" s="219" t="n"/>
      <c r="F160" s="220" t="n"/>
      <c r="G160" s="221" t="n"/>
    </row>
    <row r="161" ht="15" customHeight="1" s="131">
      <c r="A161" s="220" t="n"/>
      <c r="B161" s="222" t="n"/>
      <c r="C161" s="220" t="n"/>
      <c r="D161" s="179" t="n"/>
      <c r="E161" s="219" t="n"/>
      <c r="F161" s="220" t="n"/>
      <c r="G161" s="221" t="n"/>
    </row>
    <row r="162" ht="15" customHeight="1" s="131">
      <c r="A162" s="220" t="n"/>
      <c r="B162" s="222" t="n"/>
      <c r="C162" s="220" t="n"/>
      <c r="D162" s="179" t="n"/>
      <c r="E162" s="219" t="n"/>
      <c r="F162" s="220" t="n"/>
      <c r="G162" s="221" t="n"/>
    </row>
    <row r="163" ht="15" customHeight="1" s="131">
      <c r="A163" s="220" t="n"/>
      <c r="B163" s="222" t="n"/>
      <c r="C163" s="220" t="n"/>
      <c r="D163" s="179" t="n"/>
      <c r="E163" s="219" t="n"/>
      <c r="F163" s="220" t="n"/>
      <c r="G163" s="221" t="n"/>
    </row>
    <row r="164" ht="15" customHeight="1" s="131">
      <c r="A164" s="220" t="n"/>
      <c r="B164" s="222" t="n"/>
      <c r="C164" s="220" t="n"/>
      <c r="D164" s="179" t="n"/>
      <c r="E164" s="219" t="n"/>
      <c r="F164" s="220" t="n"/>
      <c r="G164" s="221" t="n"/>
    </row>
    <row r="165" ht="15" customHeight="1" s="131">
      <c r="A165" s="220" t="n"/>
      <c r="B165" s="222" t="n"/>
      <c r="C165" s="220" t="n"/>
      <c r="D165" s="179" t="n"/>
      <c r="E165" s="219" t="n"/>
      <c r="F165" s="220" t="n"/>
      <c r="G165" s="221" t="n"/>
    </row>
    <row r="166" ht="15" customHeight="1" s="131">
      <c r="A166" s="220" t="n"/>
      <c r="B166" s="222" t="n"/>
      <c r="C166" s="220" t="n"/>
      <c r="D166" s="179" t="n"/>
      <c r="E166" s="219" t="n"/>
      <c r="F166" s="220" t="n"/>
      <c r="G166" s="221" t="n"/>
    </row>
    <row r="167" ht="15" customHeight="1" s="131">
      <c r="A167" s="220" t="n"/>
      <c r="B167" s="222" t="n"/>
      <c r="C167" s="220" t="n"/>
      <c r="D167" s="179" t="n"/>
      <c r="E167" s="219" t="n"/>
      <c r="F167" s="220" t="n"/>
      <c r="G167" s="221" t="n"/>
    </row>
    <row r="168" ht="15" customHeight="1" s="131">
      <c r="A168" s="220" t="n"/>
      <c r="B168" s="222" t="n"/>
      <c r="C168" s="220" t="n"/>
      <c r="D168" s="179" t="n"/>
      <c r="E168" s="219" t="n"/>
      <c r="F168" s="220" t="n"/>
      <c r="G168" s="221" t="n"/>
    </row>
    <row r="169" ht="15" customHeight="1" s="131">
      <c r="A169" s="220" t="n"/>
      <c r="B169" s="222" t="n"/>
      <c r="C169" s="220" t="n"/>
      <c r="D169" s="179" t="n"/>
      <c r="E169" s="219" t="n"/>
      <c r="F169" s="220" t="n"/>
      <c r="G169" s="221" t="n"/>
    </row>
    <row r="170" ht="15" customHeight="1" s="131">
      <c r="A170" s="220" t="n"/>
      <c r="B170" s="222" t="n"/>
      <c r="C170" s="220" t="n"/>
      <c r="D170" s="179" t="n"/>
      <c r="E170" s="219" t="n"/>
      <c r="F170" s="220" t="n"/>
      <c r="G170" s="221" t="n"/>
    </row>
    <row r="171" ht="15" customHeight="1" s="131">
      <c r="A171" s="220" t="n"/>
      <c r="B171" s="222" t="n"/>
      <c r="C171" s="220" t="n"/>
      <c r="D171" s="179" t="n"/>
      <c r="E171" s="219" t="n"/>
      <c r="F171" s="220" t="n"/>
      <c r="G171" s="221" t="n"/>
    </row>
    <row r="172" ht="15" customHeight="1" s="131">
      <c r="A172" s="220" t="n"/>
      <c r="B172" s="222" t="n"/>
      <c r="C172" s="220" t="n"/>
      <c r="D172" s="179" t="n"/>
      <c r="E172" s="219" t="n"/>
      <c r="F172" s="220" t="n"/>
      <c r="G172" s="221" t="n"/>
    </row>
    <row r="173" ht="15" customHeight="1" s="131">
      <c r="A173" s="220" t="n"/>
      <c r="B173" s="222" t="n"/>
      <c r="C173" s="220" t="n"/>
      <c r="D173" s="179" t="n"/>
      <c r="E173" s="219" t="n"/>
      <c r="F173" s="220" t="n"/>
      <c r="G173" s="221" t="n"/>
    </row>
    <row r="174" ht="15" customHeight="1" s="131">
      <c r="A174" s="220" t="n"/>
      <c r="B174" s="222" t="n"/>
      <c r="C174" s="220" t="n"/>
      <c r="D174" s="179" t="n"/>
      <c r="E174" s="219" t="n"/>
      <c r="F174" s="220" t="n"/>
      <c r="G174" s="221" t="n"/>
    </row>
    <row r="175" ht="15" customHeight="1" s="131">
      <c r="A175" s="220" t="n"/>
      <c r="B175" s="222" t="n"/>
      <c r="C175" s="220" t="n"/>
      <c r="D175" s="179" t="n"/>
      <c r="E175" s="219" t="n"/>
      <c r="F175" s="220" t="n"/>
      <c r="G175" s="221" t="n"/>
    </row>
    <row r="176" ht="15" customHeight="1" s="131">
      <c r="A176" s="220" t="n"/>
      <c r="B176" s="222" t="n"/>
      <c r="C176" s="220" t="n"/>
      <c r="D176" s="179" t="n"/>
      <c r="E176" s="219" t="n"/>
      <c r="F176" s="220" t="n"/>
      <c r="G176" s="221" t="n"/>
    </row>
    <row r="177" ht="15" customHeight="1" s="131">
      <c r="A177" s="220" t="n"/>
      <c r="B177" s="222" t="n"/>
      <c r="C177" s="220" t="n"/>
      <c r="D177" s="179" t="n"/>
      <c r="E177" s="219" t="n"/>
      <c r="F177" s="220" t="n"/>
      <c r="G177" s="221" t="n"/>
    </row>
    <row r="178" ht="15" customHeight="1" s="131">
      <c r="A178" s="220" t="n"/>
      <c r="B178" s="222" t="n"/>
      <c r="C178" s="220" t="n"/>
      <c r="D178" s="179" t="n"/>
      <c r="E178" s="219" t="n"/>
      <c r="F178" s="220" t="n"/>
      <c r="G178" s="221" t="n"/>
    </row>
    <row r="179" ht="15" customHeight="1" s="131">
      <c r="A179" s="220" t="n"/>
      <c r="B179" s="222" t="n"/>
      <c r="C179" s="220" t="n"/>
      <c r="D179" s="179" t="n"/>
      <c r="E179" s="219" t="n"/>
      <c r="F179" s="220" t="n"/>
      <c r="G179" s="221" t="n"/>
    </row>
    <row r="180" ht="15" customHeight="1" s="131">
      <c r="A180" s="220" t="n"/>
      <c r="B180" s="222" t="n"/>
      <c r="C180" s="220" t="n"/>
      <c r="D180" s="179" t="n"/>
      <c r="E180" s="219" t="n"/>
      <c r="F180" s="220" t="n"/>
      <c r="G180" s="221" t="n"/>
    </row>
    <row r="181" ht="15" customHeight="1" s="131">
      <c r="A181" s="220" t="n"/>
      <c r="B181" s="222" t="n"/>
      <c r="C181" s="220" t="n"/>
      <c r="D181" s="179" t="n"/>
      <c r="E181" s="219" t="n"/>
      <c r="F181" s="220" t="n"/>
      <c r="G181" s="221" t="n"/>
    </row>
    <row r="182" ht="15" customHeight="1" s="131">
      <c r="A182" s="220" t="n"/>
      <c r="B182" s="222" t="n"/>
      <c r="C182" s="220" t="n"/>
      <c r="D182" s="179" t="n"/>
      <c r="E182" s="219" t="n"/>
      <c r="F182" s="220" t="n"/>
      <c r="G182" s="221" t="n"/>
    </row>
    <row r="183" ht="15" customHeight="1" s="131">
      <c r="A183" s="220" t="n"/>
      <c r="B183" s="222" t="n"/>
      <c r="C183" s="220" t="n"/>
      <c r="D183" s="179" t="n"/>
      <c r="E183" s="219" t="n"/>
      <c r="F183" s="220" t="n"/>
      <c r="G183" s="221" t="n"/>
    </row>
    <row r="184" ht="15" customHeight="1" s="131">
      <c r="A184" s="220" t="n"/>
      <c r="B184" s="222" t="n"/>
      <c r="C184" s="220" t="n"/>
      <c r="D184" s="179" t="n"/>
      <c r="E184" s="219" t="n"/>
      <c r="F184" s="220" t="n"/>
      <c r="G184" s="221" t="n"/>
    </row>
    <row r="185" ht="15" customHeight="1" s="131">
      <c r="A185" s="220" t="n"/>
      <c r="B185" s="222" t="n"/>
      <c r="C185" s="220" t="n"/>
      <c r="D185" s="179" t="n"/>
      <c r="E185" s="219" t="n"/>
      <c r="F185" s="220" t="n"/>
      <c r="G185" s="221" t="n"/>
    </row>
    <row r="186" ht="15" customHeight="1" s="131">
      <c r="A186" s="220" t="n"/>
      <c r="B186" s="222" t="n"/>
      <c r="C186" s="220" t="n"/>
      <c r="D186" s="179" t="n"/>
      <c r="E186" s="219" t="n"/>
      <c r="F186" s="220" t="n"/>
      <c r="G186" s="221" t="n"/>
    </row>
    <row r="187" ht="15" customHeight="1" s="131">
      <c r="A187" s="220" t="n"/>
      <c r="B187" s="222" t="n"/>
      <c r="C187" s="220" t="n"/>
      <c r="D187" s="179" t="n"/>
      <c r="E187" s="219" t="n"/>
      <c r="F187" s="220" t="n"/>
      <c r="G187" s="221" t="n"/>
    </row>
    <row r="188" ht="15" customHeight="1" s="131">
      <c r="A188" s="220" t="n"/>
      <c r="B188" s="222" t="n"/>
      <c r="C188" s="220" t="n"/>
      <c r="D188" s="179" t="n"/>
      <c r="E188" s="219" t="n"/>
      <c r="F188" s="220" t="n"/>
      <c r="G188" s="221" t="n"/>
    </row>
    <row r="189" ht="15" customHeight="1" s="131">
      <c r="A189" s="220" t="n"/>
      <c r="B189" s="222" t="n"/>
      <c r="C189" s="220" t="n"/>
      <c r="D189" s="179" t="n"/>
      <c r="E189" s="219" t="n"/>
      <c r="F189" s="220" t="n"/>
      <c r="G189" s="221" t="n"/>
    </row>
    <row r="190" ht="15" customHeight="1" s="131">
      <c r="A190" s="220" t="n"/>
      <c r="B190" s="222" t="n"/>
      <c r="C190" s="220" t="n"/>
      <c r="D190" s="179" t="n"/>
      <c r="E190" s="219" t="n"/>
      <c r="F190" s="220" t="n"/>
      <c r="G190" s="221" t="n"/>
    </row>
    <row r="191" ht="15" customHeight="1" s="131">
      <c r="A191" s="220" t="n"/>
      <c r="B191" s="222" t="n"/>
      <c r="C191" s="220" t="n"/>
      <c r="D191" s="179" t="n"/>
      <c r="E191" s="219" t="n"/>
      <c r="F191" s="220" t="n"/>
      <c r="G191" s="221" t="n"/>
    </row>
    <row r="192" ht="15" customHeight="1" s="131">
      <c r="A192" s="220" t="n"/>
      <c r="B192" s="222" t="n"/>
      <c r="C192" s="220" t="n"/>
      <c r="D192" s="179" t="n"/>
      <c r="E192" s="219" t="n"/>
      <c r="F192" s="220" t="n"/>
      <c r="G192" s="221" t="n"/>
    </row>
    <row r="193" ht="15" customHeight="1" s="131">
      <c r="A193" s="220" t="n"/>
      <c r="B193" s="222" t="n"/>
      <c r="C193" s="220" t="n"/>
      <c r="D193" s="179" t="n"/>
      <c r="E193" s="219" t="n"/>
      <c r="F193" s="220" t="n"/>
      <c r="G193" s="221" t="n"/>
    </row>
    <row r="194" ht="15" customHeight="1" s="131">
      <c r="A194" s="220" t="n"/>
      <c r="B194" s="222" t="n"/>
      <c r="C194" s="220" t="n"/>
      <c r="D194" s="179" t="n"/>
      <c r="E194" s="219" t="n"/>
      <c r="F194" s="220" t="n"/>
      <c r="G194" s="221" t="n"/>
    </row>
    <row r="195" ht="15" customHeight="1" s="131">
      <c r="A195" s="220" t="n"/>
      <c r="B195" s="222" t="n"/>
      <c r="C195" s="220" t="n"/>
      <c r="D195" s="179" t="n"/>
      <c r="E195" s="219" t="n"/>
      <c r="F195" s="220" t="n"/>
      <c r="G195" s="221" t="n"/>
    </row>
    <row r="196" ht="15" customHeight="1" s="131">
      <c r="A196" s="220" t="n"/>
      <c r="B196" s="222" t="n"/>
      <c r="C196" s="220" t="n"/>
      <c r="D196" s="179" t="n"/>
      <c r="E196" s="219" t="n"/>
      <c r="F196" s="220" t="n"/>
      <c r="G196" s="221" t="n"/>
    </row>
    <row r="197" ht="15" customHeight="1" s="131">
      <c r="A197" s="220" t="n"/>
      <c r="B197" s="222" t="n"/>
      <c r="C197" s="220" t="n"/>
      <c r="D197" s="179" t="n"/>
      <c r="E197" s="219" t="n"/>
      <c r="F197" s="220" t="n"/>
      <c r="G197" s="221" t="n"/>
    </row>
    <row r="198" ht="15" customHeight="1" s="131">
      <c r="A198" s="220" t="n"/>
      <c r="B198" s="222" t="n"/>
      <c r="C198" s="220" t="n"/>
      <c r="D198" s="179" t="n"/>
      <c r="E198" s="219" t="n"/>
      <c r="F198" s="220" t="n"/>
      <c r="G198" s="221" t="n"/>
    </row>
    <row r="199" ht="15" customHeight="1" s="131">
      <c r="A199" s="220" t="n"/>
      <c r="B199" s="222" t="n"/>
      <c r="C199" s="220" t="n"/>
      <c r="D199" s="179" t="n"/>
      <c r="E199" s="219" t="n"/>
      <c r="F199" s="220" t="n"/>
      <c r="G199" s="221" t="n"/>
    </row>
    <row r="200" ht="15" customHeight="1" s="131">
      <c r="A200" s="220" t="n"/>
      <c r="B200" s="222" t="n"/>
      <c r="C200" s="220" t="n"/>
      <c r="D200" s="179" t="n"/>
      <c r="E200" s="219" t="n"/>
      <c r="F200" s="220" t="n"/>
      <c r="G200" s="221" t="n"/>
    </row>
    <row r="201" ht="15" customHeight="1" s="131">
      <c r="A201" s="220" t="n"/>
      <c r="B201" s="222" t="n"/>
      <c r="C201" s="220" t="n"/>
      <c r="D201" s="179" t="n"/>
      <c r="E201" s="219" t="n"/>
      <c r="F201" s="220" t="n"/>
      <c r="G201" s="221" t="n"/>
    </row>
    <row r="202" ht="15" customHeight="1" s="131">
      <c r="A202" s="220" t="n"/>
      <c r="B202" s="222" t="n"/>
      <c r="C202" s="220" t="n"/>
      <c r="D202" s="179" t="n"/>
      <c r="E202" s="219" t="n"/>
      <c r="F202" s="220" t="n"/>
      <c r="G202" s="221" t="n"/>
    </row>
    <row r="203" ht="15" customHeight="1" s="131">
      <c r="A203" s="220" t="n"/>
      <c r="B203" s="222" t="n"/>
      <c r="C203" s="220" t="n"/>
      <c r="D203" s="179" t="n"/>
      <c r="E203" s="219" t="n"/>
      <c r="F203" s="220" t="n"/>
      <c r="G203" s="221" t="n"/>
    </row>
    <row r="204" ht="15" customHeight="1" s="131">
      <c r="A204" s="220" t="n"/>
      <c r="B204" s="222" t="n"/>
      <c r="C204" s="220" t="n"/>
      <c r="D204" s="179" t="n"/>
      <c r="E204" s="219" t="n"/>
      <c r="F204" s="220" t="n"/>
      <c r="G204" s="221" t="n"/>
    </row>
    <row r="205" ht="15" customHeight="1" s="131">
      <c r="A205" s="220" t="n"/>
      <c r="B205" s="222" t="n"/>
      <c r="C205" s="220" t="n"/>
      <c r="D205" s="179" t="n"/>
      <c r="E205" s="219" t="n"/>
      <c r="F205" s="220" t="n"/>
      <c r="G205" s="221" t="n"/>
    </row>
    <row r="206" ht="15" customHeight="1" s="131">
      <c r="A206" s="220" t="n"/>
      <c r="B206" s="222" t="n"/>
      <c r="C206" s="220" t="n"/>
      <c r="D206" s="179" t="n"/>
      <c r="E206" s="219" t="n"/>
      <c r="F206" s="220" t="n"/>
      <c r="G206" s="221" t="n"/>
    </row>
    <row r="207" ht="15" customHeight="1" s="131">
      <c r="A207" s="220" t="n"/>
      <c r="B207" s="222" t="n"/>
      <c r="C207" s="220" t="n"/>
      <c r="D207" s="179" t="n"/>
      <c r="E207" s="219" t="n"/>
      <c r="F207" s="220" t="n"/>
      <c r="G207" s="221" t="n"/>
    </row>
    <row r="208" ht="15" customHeight="1" s="131">
      <c r="A208" s="220" t="n"/>
      <c r="B208" s="222" t="n"/>
      <c r="C208" s="220" t="n"/>
      <c r="D208" s="179" t="n"/>
      <c r="E208" s="219" t="n"/>
      <c r="F208" s="220" t="n"/>
      <c r="G208" s="221" t="n"/>
    </row>
    <row r="209" ht="15" customHeight="1" s="131">
      <c r="A209" s="220" t="n"/>
      <c r="B209" s="222" t="n"/>
      <c r="C209" s="220" t="n"/>
      <c r="D209" s="179" t="n"/>
      <c r="E209" s="219" t="n"/>
      <c r="F209" s="220" t="n"/>
      <c r="G209" s="221" t="n"/>
    </row>
    <row r="210" ht="15" customHeight="1" s="131">
      <c r="A210" s="220" t="n"/>
      <c r="B210" s="222" t="n"/>
      <c r="C210" s="220" t="n"/>
      <c r="D210" s="179" t="n"/>
      <c r="E210" s="219" t="n"/>
      <c r="F210" s="220" t="n"/>
      <c r="G210" s="221" t="n"/>
    </row>
    <row r="211" ht="15" customHeight="1" s="131">
      <c r="A211" s="220" t="n"/>
      <c r="B211" s="222" t="n"/>
      <c r="C211" s="220" t="n"/>
      <c r="D211" s="179" t="n"/>
      <c r="E211" s="219" t="n"/>
      <c r="F211" s="220" t="n"/>
      <c r="G211" s="221" t="n"/>
    </row>
    <row r="212" ht="15" customHeight="1" s="131">
      <c r="A212" s="220" t="n"/>
      <c r="B212" s="222" t="n"/>
      <c r="C212" s="220" t="n"/>
      <c r="D212" s="179" t="n"/>
      <c r="E212" s="219" t="n"/>
      <c r="F212" s="220" t="n"/>
      <c r="G212" s="221" t="n"/>
    </row>
    <row r="213" ht="15" customHeight="1" s="131">
      <c r="A213" s="220" t="n"/>
      <c r="B213" s="222" t="n"/>
      <c r="C213" s="220" t="n"/>
      <c r="D213" s="179" t="n"/>
      <c r="E213" s="219" t="n"/>
      <c r="F213" s="220" t="n"/>
      <c r="G213" s="221" t="n"/>
    </row>
    <row r="214" ht="15" customHeight="1" s="131">
      <c r="A214" s="220" t="n"/>
      <c r="B214" s="222" t="n"/>
      <c r="C214" s="220" t="n"/>
      <c r="D214" s="179" t="n"/>
      <c r="E214" s="219" t="n"/>
      <c r="F214" s="220" t="n"/>
      <c r="G214" s="221" t="n"/>
    </row>
    <row r="215" ht="15" customHeight="1" s="131">
      <c r="A215" s="220" t="n"/>
      <c r="B215" s="222" t="n"/>
      <c r="C215" s="220" t="n"/>
      <c r="D215" s="179" t="n"/>
      <c r="E215" s="219" t="n"/>
      <c r="F215" s="220" t="n"/>
      <c r="G215" s="221" t="n"/>
    </row>
    <row r="216" ht="15" customHeight="1" s="131">
      <c r="A216" s="220" t="n"/>
      <c r="B216" s="222" t="n"/>
      <c r="C216" s="220" t="n"/>
      <c r="D216" s="179" t="n"/>
      <c r="E216" s="219" t="n"/>
      <c r="F216" s="220" t="n"/>
      <c r="G216" s="221" t="n"/>
    </row>
    <row r="217" ht="15" customHeight="1" s="131">
      <c r="A217" s="220" t="n"/>
      <c r="B217" s="222" t="n"/>
      <c r="C217" s="220" t="n"/>
      <c r="D217" s="179" t="n"/>
      <c r="E217" s="219" t="n"/>
      <c r="F217" s="220" t="n"/>
      <c r="G217" s="221" t="n"/>
    </row>
    <row r="218" ht="15" customHeight="1" s="131">
      <c r="A218" s="220" t="n"/>
      <c r="B218" s="222" t="n"/>
      <c r="C218" s="220" t="n"/>
      <c r="D218" s="179" t="n"/>
      <c r="E218" s="219" t="n"/>
      <c r="F218" s="220" t="n"/>
      <c r="G218" s="221" t="n"/>
    </row>
    <row r="219" ht="15" customHeight="1" s="131">
      <c r="A219" s="220" t="n"/>
      <c r="B219" s="222" t="n"/>
      <c r="C219" s="220" t="n"/>
      <c r="D219" s="179" t="n"/>
      <c r="E219" s="219" t="n"/>
      <c r="F219" s="220" t="n"/>
      <c r="G219" s="221" t="n"/>
    </row>
    <row r="220" ht="15" customHeight="1" s="131">
      <c r="A220" s="220" t="n"/>
      <c r="B220" s="222" t="n"/>
      <c r="C220" s="220" t="n"/>
      <c r="D220" s="179" t="n"/>
      <c r="E220" s="219" t="n"/>
      <c r="F220" s="220" t="n"/>
      <c r="G220" s="221" t="n"/>
    </row>
    <row r="221" ht="15" customHeight="1" s="131">
      <c r="A221" s="220" t="n"/>
      <c r="B221" s="222" t="n"/>
      <c r="C221" s="220" t="n"/>
      <c r="D221" s="179" t="n"/>
      <c r="E221" s="219" t="n"/>
      <c r="F221" s="220" t="n"/>
      <c r="G221" s="221" t="n"/>
    </row>
    <row r="222" ht="15" customHeight="1" s="131">
      <c r="A222" s="220" t="n"/>
      <c r="B222" s="222" t="n"/>
      <c r="C222" s="220" t="n"/>
      <c r="D222" s="179" t="n"/>
      <c r="E222" s="219" t="n"/>
      <c r="F222" s="220" t="n"/>
      <c r="G222" s="221" t="n"/>
    </row>
    <row r="223" ht="15" customHeight="1" s="131">
      <c r="A223" s="220" t="n"/>
      <c r="B223" s="222" t="n"/>
      <c r="C223" s="220" t="n"/>
      <c r="D223" s="179" t="n"/>
      <c r="E223" s="219" t="n"/>
      <c r="F223" s="220" t="n"/>
      <c r="G223" s="221" t="n"/>
    </row>
    <row r="224" ht="15" customHeight="1" s="131">
      <c r="A224" s="220" t="n"/>
      <c r="B224" s="222" t="n"/>
      <c r="C224" s="220" t="n"/>
      <c r="D224" s="179" t="n"/>
      <c r="E224" s="219" t="n"/>
      <c r="F224" s="220" t="n"/>
      <c r="G224" s="221" t="n"/>
    </row>
    <row r="225" ht="15" customHeight="1" s="131">
      <c r="A225" s="220" t="n"/>
      <c r="B225" s="222" t="n"/>
      <c r="C225" s="220" t="n"/>
      <c r="D225" s="179" t="n"/>
      <c r="E225" s="219" t="n"/>
      <c r="F225" s="220" t="n"/>
      <c r="G225" s="221" t="n"/>
    </row>
    <row r="226" ht="15" customHeight="1" s="131">
      <c r="A226" s="220" t="n"/>
      <c r="B226" s="222" t="n"/>
      <c r="C226" s="220" t="n"/>
      <c r="D226" s="179" t="n"/>
      <c r="E226" s="219" t="n"/>
      <c r="F226" s="220" t="n"/>
      <c r="G226" s="221" t="n"/>
    </row>
    <row r="227" ht="15" customHeight="1" s="131">
      <c r="A227" s="220" t="n"/>
      <c r="B227" s="222" t="n"/>
      <c r="C227" s="220" t="n"/>
      <c r="D227" s="179" t="n"/>
      <c r="E227" s="219" t="n"/>
      <c r="F227" s="220" t="n"/>
      <c r="G227" s="221" t="n"/>
    </row>
    <row r="228" ht="15" customHeight="1" s="131">
      <c r="A228" s="220" t="n"/>
      <c r="B228" s="222" t="n"/>
      <c r="C228" s="220" t="n"/>
      <c r="D228" s="179" t="n"/>
      <c r="E228" s="219" t="n"/>
      <c r="F228" s="220" t="n"/>
      <c r="G228" s="221" t="n"/>
    </row>
    <row r="229" ht="15" customHeight="1" s="131">
      <c r="A229" s="220" t="n"/>
      <c r="B229" s="222" t="n"/>
      <c r="C229" s="220" t="n"/>
      <c r="D229" s="179" t="n"/>
      <c r="E229" s="219" t="n"/>
      <c r="F229" s="220" t="n"/>
      <c r="G229" s="221" t="n"/>
    </row>
    <row r="230" ht="15" customHeight="1" s="131">
      <c r="A230" s="220" t="n"/>
      <c r="B230" s="222" t="n"/>
      <c r="C230" s="220" t="n"/>
      <c r="D230" s="179" t="n"/>
      <c r="E230" s="219" t="n"/>
      <c r="F230" s="220" t="n"/>
      <c r="G230" s="221" t="n"/>
    </row>
    <row r="231" ht="15" customHeight="1" s="131">
      <c r="A231" s="220" t="n"/>
      <c r="B231" s="222" t="n"/>
      <c r="C231" s="220" t="n"/>
      <c r="D231" s="179" t="n"/>
      <c r="E231" s="219" t="n"/>
      <c r="F231" s="220" t="n"/>
      <c r="G231" s="221" t="n"/>
    </row>
    <row r="232" ht="15" customHeight="1" s="131">
      <c r="A232" s="220" t="n"/>
      <c r="B232" s="222" t="n"/>
      <c r="C232" s="220" t="n"/>
      <c r="D232" s="179" t="n"/>
      <c r="E232" s="219" t="n"/>
      <c r="F232" s="220" t="n"/>
      <c r="G232" s="221" t="n"/>
    </row>
    <row r="233" ht="15" customHeight="1" s="131">
      <c r="A233" s="220" t="n"/>
      <c r="B233" s="222" t="n"/>
      <c r="C233" s="220" t="n"/>
      <c r="D233" s="179" t="n"/>
      <c r="E233" s="219" t="n"/>
      <c r="F233" s="220" t="n"/>
      <c r="G233" s="221" t="n"/>
    </row>
    <row r="234" ht="15" customHeight="1" s="131">
      <c r="A234" s="220" t="n"/>
      <c r="B234" s="222" t="n"/>
      <c r="C234" s="220" t="n"/>
      <c r="D234" s="179" t="n"/>
      <c r="E234" s="219" t="n"/>
      <c r="F234" s="220" t="n"/>
      <c r="G234" s="221" t="n"/>
    </row>
    <row r="235" ht="15" customHeight="1" s="131">
      <c r="A235" s="220" t="n"/>
      <c r="B235" s="222" t="n"/>
      <c r="C235" s="220" t="n"/>
      <c r="D235" s="179" t="n"/>
      <c r="E235" s="219" t="n"/>
      <c r="F235" s="220" t="n"/>
      <c r="G235" s="221" t="n"/>
    </row>
    <row r="236" ht="15" customHeight="1" s="131">
      <c r="A236" s="220" t="n"/>
      <c r="B236" s="222" t="n"/>
      <c r="C236" s="220" t="n"/>
      <c r="D236" s="179" t="n"/>
      <c r="E236" s="219" t="n"/>
      <c r="F236" s="220" t="n"/>
      <c r="G236" s="221" t="n"/>
    </row>
    <row r="237" ht="15" customHeight="1" s="131">
      <c r="A237" s="220" t="n"/>
      <c r="B237" s="222" t="n"/>
      <c r="C237" s="220" t="n"/>
      <c r="D237" s="179" t="n"/>
      <c r="E237" s="219" t="n"/>
      <c r="F237" s="220" t="n"/>
      <c r="G237" s="221" t="n"/>
    </row>
    <row r="238" ht="15" customHeight="1" s="131">
      <c r="A238" s="220" t="n"/>
      <c r="B238" s="222" t="n"/>
      <c r="C238" s="220" t="n"/>
      <c r="D238" s="179" t="n"/>
      <c r="E238" s="219" t="n"/>
      <c r="F238" s="220" t="n"/>
      <c r="G238" s="221" t="n"/>
    </row>
    <row r="239" ht="15" customHeight="1" s="131">
      <c r="A239" s="220" t="n"/>
      <c r="B239" s="222" t="n"/>
      <c r="C239" s="220" t="n"/>
      <c r="D239" s="179" t="n"/>
      <c r="E239" s="219" t="n"/>
      <c r="F239" s="220" t="n"/>
      <c r="G239" s="221" t="n"/>
    </row>
    <row r="240" ht="15" customHeight="1" s="131">
      <c r="A240" s="220" t="n"/>
      <c r="B240" s="222" t="n"/>
      <c r="C240" s="220" t="n"/>
      <c r="D240" s="179" t="n"/>
      <c r="E240" s="219" t="n"/>
      <c r="F240" s="220" t="n"/>
      <c r="G240" s="221" t="n"/>
    </row>
    <row r="241" ht="15" customHeight="1" s="131">
      <c r="A241" s="220" t="n"/>
      <c r="B241" s="222" t="n"/>
      <c r="C241" s="220" t="n"/>
      <c r="D241" s="179" t="n"/>
      <c r="E241" s="219" t="n"/>
      <c r="F241" s="220" t="n"/>
      <c r="G241" s="221" t="n"/>
    </row>
    <row r="242" ht="15" customHeight="1" s="131">
      <c r="A242" s="220" t="n"/>
      <c r="B242" s="222" t="n"/>
      <c r="C242" s="220" t="n"/>
      <c r="D242" s="179" t="n"/>
      <c r="E242" s="219" t="n"/>
      <c r="F242" s="220" t="n"/>
      <c r="G242" s="221" t="n"/>
    </row>
    <row r="243" ht="15" customHeight="1" s="131">
      <c r="A243" s="220" t="n"/>
      <c r="B243" s="222" t="n"/>
      <c r="C243" s="220" t="n"/>
      <c r="D243" s="179" t="n"/>
      <c r="E243" s="219" t="n"/>
      <c r="F243" s="220" t="n"/>
      <c r="G243" s="221" t="n"/>
    </row>
    <row r="244" ht="15" customHeight="1" s="131">
      <c r="A244" s="220" t="n"/>
      <c r="B244" s="222" t="n"/>
      <c r="C244" s="220" t="n"/>
      <c r="D244" s="179" t="n"/>
      <c r="E244" s="219" t="n"/>
      <c r="F244" s="220" t="n"/>
      <c r="G244" s="221" t="n"/>
    </row>
    <row r="245" ht="15" customHeight="1" s="131">
      <c r="A245" s="220" t="n"/>
      <c r="B245" s="222" t="n"/>
      <c r="C245" s="220" t="n"/>
      <c r="D245" s="179" t="n"/>
      <c r="E245" s="219" t="n"/>
      <c r="F245" s="220" t="n"/>
      <c r="G245" s="221" t="n"/>
    </row>
    <row r="246" ht="15" customHeight="1" s="131">
      <c r="A246" s="220" t="n"/>
      <c r="B246" s="222" t="n"/>
      <c r="C246" s="220" t="n"/>
      <c r="D246" s="179" t="n"/>
      <c r="E246" s="219" t="n"/>
      <c r="F246" s="220" t="n"/>
      <c r="G246" s="221" t="n"/>
    </row>
    <row r="247" ht="15" customHeight="1" s="131">
      <c r="A247" s="220" t="n"/>
      <c r="B247" s="222" t="n"/>
      <c r="C247" s="220" t="n"/>
      <c r="D247" s="179" t="n"/>
      <c r="E247" s="219" t="n"/>
      <c r="F247" s="220" t="n"/>
      <c r="G247" s="221" t="n"/>
    </row>
    <row r="248" ht="15" customHeight="1" s="131">
      <c r="A248" s="220" t="n"/>
      <c r="B248" s="222" t="n"/>
      <c r="C248" s="220" t="n"/>
      <c r="D248" s="179" t="n"/>
      <c r="E248" s="219" t="n"/>
      <c r="F248" s="220" t="n"/>
      <c r="G248" s="221" t="n"/>
    </row>
    <row r="249" ht="15" customHeight="1" s="131">
      <c r="A249" s="220" t="n"/>
      <c r="B249" s="222" t="n"/>
      <c r="C249" s="220" t="n"/>
      <c r="D249" s="179" t="n"/>
      <c r="E249" s="219" t="n"/>
      <c r="F249" s="220" t="n"/>
      <c r="G249" s="221" t="n"/>
    </row>
    <row r="250" ht="15" customHeight="1" s="131">
      <c r="A250" s="220" t="n"/>
      <c r="B250" s="222" t="n"/>
      <c r="C250" s="220" t="n"/>
      <c r="D250" s="179" t="n"/>
      <c r="E250" s="219" t="n"/>
      <c r="F250" s="220" t="n"/>
      <c r="G250" s="221" t="n"/>
    </row>
    <row r="251" ht="15" customHeight="1" s="131">
      <c r="A251" s="220" t="n"/>
      <c r="B251" s="222" t="n"/>
      <c r="C251" s="220" t="n"/>
      <c r="D251" s="179" t="n"/>
      <c r="E251" s="219" t="n"/>
      <c r="F251" s="220" t="n"/>
      <c r="G251" s="221" t="n"/>
    </row>
    <row r="252" ht="15" customHeight="1" s="131">
      <c r="A252" s="220" t="n"/>
      <c r="B252" s="222" t="n"/>
      <c r="C252" s="220" t="n"/>
      <c r="D252" s="179" t="n"/>
      <c r="E252" s="219" t="n"/>
      <c r="F252" s="220" t="n"/>
      <c r="G252" s="221" t="n"/>
    </row>
    <row r="253" ht="15" customHeight="1" s="131">
      <c r="A253" s="220" t="n"/>
      <c r="B253" s="222" t="n"/>
      <c r="C253" s="220" t="n"/>
      <c r="D253" s="179" t="n"/>
      <c r="E253" s="219" t="n"/>
      <c r="F253" s="220" t="n"/>
      <c r="G253" s="221" t="n"/>
    </row>
    <row r="254" ht="15" customHeight="1" s="131">
      <c r="A254" s="220" t="n"/>
      <c r="B254" s="222" t="n"/>
      <c r="C254" s="220" t="n"/>
      <c r="D254" s="179" t="n"/>
      <c r="E254" s="219" t="n"/>
      <c r="F254" s="220" t="n"/>
      <c r="G254" s="221" t="n"/>
    </row>
    <row r="255" ht="15" customHeight="1" s="131">
      <c r="A255" s="220" t="n"/>
      <c r="B255" s="222" t="n"/>
      <c r="C255" s="220" t="n"/>
      <c r="D255" s="179" t="n"/>
      <c r="E255" s="219" t="n"/>
      <c r="F255" s="220" t="n"/>
      <c r="G255" s="221" t="n"/>
    </row>
    <row r="256" ht="15" customHeight="1" s="131">
      <c r="A256" s="220" t="n"/>
      <c r="B256" s="222" t="n"/>
      <c r="C256" s="220" t="n"/>
      <c r="D256" s="179" t="n"/>
      <c r="E256" s="219" t="n"/>
      <c r="F256" s="220" t="n"/>
      <c r="G256" s="221" t="n"/>
    </row>
    <row r="257" ht="15" customHeight="1" s="131">
      <c r="A257" s="220" t="n"/>
      <c r="B257" s="222" t="n"/>
      <c r="C257" s="220" t="n"/>
      <c r="D257" s="179" t="n"/>
      <c r="E257" s="219" t="n"/>
      <c r="F257" s="220" t="n"/>
      <c r="G257" s="221" t="n"/>
    </row>
    <row r="258" ht="15" customHeight="1" s="131">
      <c r="A258" s="220" t="n"/>
      <c r="B258" s="222" t="n"/>
      <c r="C258" s="220" t="n"/>
      <c r="D258" s="179" t="n"/>
      <c r="E258" s="219" t="n"/>
      <c r="F258" s="220" t="n"/>
      <c r="G258" s="221" t="n"/>
    </row>
    <row r="259" ht="15" customHeight="1" s="131">
      <c r="A259" s="220" t="n"/>
      <c r="B259" s="222" t="n"/>
      <c r="C259" s="220" t="n"/>
      <c r="D259" s="179" t="n"/>
      <c r="E259" s="219" t="n"/>
      <c r="F259" s="220" t="n"/>
      <c r="G259" s="221" t="n"/>
    </row>
    <row r="260" ht="15" customHeight="1" s="131">
      <c r="A260" s="220" t="n"/>
      <c r="B260" s="222" t="n"/>
      <c r="C260" s="220" t="n"/>
      <c r="D260" s="179" t="n"/>
      <c r="E260" s="219" t="n"/>
      <c r="F260" s="220" t="n"/>
      <c r="G260" s="221" t="n"/>
    </row>
    <row r="261" ht="15" customHeight="1" s="131">
      <c r="A261" s="220" t="n"/>
      <c r="B261" s="222" t="n"/>
      <c r="C261" s="220" t="n"/>
      <c r="D261" s="179" t="n"/>
      <c r="E261" s="219" t="n"/>
      <c r="F261" s="220" t="n"/>
      <c r="G261" s="221" t="n"/>
    </row>
    <row r="262" ht="15" customHeight="1" s="131">
      <c r="A262" s="220" t="n"/>
      <c r="B262" s="222" t="n"/>
      <c r="C262" s="220" t="n"/>
      <c r="D262" s="179" t="n"/>
      <c r="E262" s="219" t="n"/>
      <c r="F262" s="220" t="n"/>
      <c r="G262" s="221" t="n"/>
    </row>
    <row r="263" ht="15" customHeight="1" s="131">
      <c r="A263" s="220" t="n"/>
      <c r="B263" s="222" t="n"/>
      <c r="C263" s="220" t="n"/>
      <c r="D263" s="179" t="n"/>
      <c r="E263" s="219" t="n"/>
      <c r="F263" s="220" t="n"/>
      <c r="G263" s="221" t="n"/>
    </row>
    <row r="264" ht="15" customHeight="1" s="131">
      <c r="A264" s="220" t="n"/>
      <c r="B264" s="222" t="n"/>
      <c r="C264" s="220" t="n"/>
      <c r="D264" s="179" t="n"/>
      <c r="E264" s="219" t="n"/>
      <c r="F264" s="220" t="n"/>
      <c r="G264" s="221" t="n"/>
    </row>
    <row r="265" ht="15" customHeight="1" s="131">
      <c r="A265" s="220" t="n"/>
      <c r="B265" s="222" t="n"/>
      <c r="C265" s="220" t="n"/>
      <c r="D265" s="179" t="n"/>
      <c r="E265" s="219" t="n"/>
      <c r="F265" s="220" t="n"/>
      <c r="G265" s="221" t="n"/>
    </row>
    <row r="266" ht="15" customHeight="1" s="131">
      <c r="A266" s="220" t="n"/>
      <c r="B266" s="222" t="n"/>
      <c r="C266" s="220" t="n"/>
      <c r="D266" s="179" t="n"/>
      <c r="E266" s="219" t="n"/>
      <c r="F266" s="220" t="n"/>
      <c r="G266" s="221" t="n"/>
    </row>
    <row r="267" ht="15" customHeight="1" s="131">
      <c r="A267" s="220" t="n"/>
      <c r="B267" s="222" t="n"/>
      <c r="C267" s="220" t="n"/>
      <c r="D267" s="179" t="n"/>
      <c r="E267" s="219" t="n"/>
      <c r="F267" s="220" t="n"/>
      <c r="G267" s="221" t="n"/>
    </row>
    <row r="268" ht="15" customHeight="1" s="131">
      <c r="A268" s="220" t="n"/>
      <c r="B268" s="222" t="n"/>
      <c r="C268" s="220" t="n"/>
      <c r="D268" s="179" t="n"/>
      <c r="E268" s="219" t="n"/>
      <c r="F268" s="220" t="n"/>
      <c r="G268" s="221" t="n"/>
    </row>
    <row r="269" ht="15" customHeight="1" s="131">
      <c r="A269" s="220" t="n"/>
      <c r="B269" s="222" t="n"/>
      <c r="C269" s="220" t="n"/>
      <c r="D269" s="179" t="n"/>
      <c r="E269" s="219" t="n"/>
      <c r="F269" s="220" t="n"/>
      <c r="G269" s="221" t="n"/>
    </row>
    <row r="270" ht="15" customHeight="1" s="131">
      <c r="A270" s="220" t="n"/>
      <c r="B270" s="222" t="n"/>
      <c r="C270" s="220" t="n"/>
      <c r="D270" s="179" t="n"/>
      <c r="E270" s="219" t="n"/>
      <c r="F270" s="220" t="n"/>
      <c r="G270" s="221" t="n"/>
    </row>
    <row r="271" ht="15" customHeight="1" s="131">
      <c r="A271" s="220" t="n"/>
      <c r="B271" s="222" t="n"/>
      <c r="C271" s="220" t="n"/>
      <c r="D271" s="179" t="n"/>
      <c r="E271" s="219" t="n"/>
      <c r="F271" s="220" t="n"/>
      <c r="G271" s="221" t="n"/>
    </row>
    <row r="272" ht="15" customHeight="1" s="131">
      <c r="A272" s="220" t="n"/>
      <c r="B272" s="222" t="n"/>
      <c r="C272" s="220" t="n"/>
      <c r="D272" s="179" t="n"/>
      <c r="E272" s="219" t="n"/>
      <c r="F272" s="220" t="n"/>
      <c r="G272" s="221" t="n"/>
    </row>
    <row r="273" ht="15" customHeight="1" s="131">
      <c r="A273" s="220" t="n"/>
      <c r="B273" s="222" t="n"/>
      <c r="C273" s="220" t="n"/>
      <c r="D273" s="179" t="n"/>
      <c r="E273" s="219" t="n"/>
      <c r="F273" s="220" t="n"/>
      <c r="G273" s="221" t="n"/>
    </row>
    <row r="274" ht="15" customHeight="1" s="131">
      <c r="A274" s="220" t="n"/>
      <c r="B274" s="222" t="n"/>
      <c r="C274" s="220" t="n"/>
      <c r="D274" s="179" t="n"/>
      <c r="E274" s="219" t="n"/>
      <c r="F274" s="220" t="n"/>
      <c r="G274" s="221" t="n"/>
    </row>
    <row r="275" ht="15" customHeight="1" s="131">
      <c r="A275" s="220" t="n"/>
      <c r="B275" s="222" t="n"/>
      <c r="C275" s="220" t="n"/>
      <c r="D275" s="179" t="n"/>
      <c r="E275" s="219" t="n"/>
      <c r="F275" s="220" t="n"/>
      <c r="G275" s="221" t="n"/>
    </row>
    <row r="276" ht="15" customHeight="1" s="131">
      <c r="A276" s="220" t="n"/>
      <c r="B276" s="222" t="n"/>
      <c r="C276" s="220" t="n"/>
      <c r="D276" s="179" t="n"/>
      <c r="E276" s="219" t="n"/>
      <c r="F276" s="220" t="n"/>
      <c r="G276" s="221" t="n"/>
    </row>
    <row r="277" ht="15" customHeight="1" s="131">
      <c r="A277" s="220" t="n"/>
      <c r="B277" s="222" t="n"/>
      <c r="C277" s="220" t="n"/>
      <c r="D277" s="179" t="n"/>
      <c r="E277" s="219" t="n"/>
      <c r="F277" s="220" t="n"/>
      <c r="G277" s="221" t="n"/>
    </row>
    <row r="278" ht="15" customHeight="1" s="131">
      <c r="A278" s="220" t="n"/>
      <c r="B278" s="222" t="n"/>
      <c r="C278" s="220" t="n"/>
      <c r="D278" s="179" t="n"/>
      <c r="E278" s="219" t="n"/>
      <c r="F278" s="220" t="n"/>
      <c r="G278" s="221" t="n"/>
    </row>
    <row r="279" ht="15" customHeight="1" s="131">
      <c r="A279" s="220" t="n"/>
      <c r="B279" s="222" t="n"/>
      <c r="C279" s="220" t="n"/>
      <c r="D279" s="179" t="n"/>
      <c r="E279" s="219" t="n"/>
      <c r="F279" s="220" t="n"/>
      <c r="G279" s="221" t="n"/>
    </row>
    <row r="280" ht="15" customHeight="1" s="131">
      <c r="A280" s="220" t="n"/>
      <c r="B280" s="222" t="n"/>
      <c r="C280" s="220" t="n"/>
      <c r="D280" s="179" t="n"/>
      <c r="E280" s="219" t="n"/>
      <c r="F280" s="220" t="n"/>
      <c r="G280" s="221" t="n"/>
    </row>
    <row r="281" ht="15" customHeight="1" s="131">
      <c r="A281" s="220" t="n"/>
      <c r="B281" s="222" t="n"/>
      <c r="C281" s="220" t="n"/>
      <c r="D281" s="179" t="n"/>
      <c r="E281" s="219" t="n"/>
      <c r="F281" s="220" t="n"/>
      <c r="G281" s="221" t="n"/>
    </row>
    <row r="282" ht="15" customHeight="1" s="131">
      <c r="A282" s="220" t="n"/>
      <c r="B282" s="222" t="n"/>
      <c r="C282" s="220" t="n"/>
      <c r="D282" s="179" t="n"/>
      <c r="E282" s="219" t="n"/>
      <c r="F282" s="220" t="n"/>
      <c r="G282" s="221" t="n"/>
    </row>
    <row r="283" ht="15" customHeight="1" s="131">
      <c r="A283" s="220" t="n"/>
      <c r="B283" s="222" t="n"/>
      <c r="C283" s="220" t="n"/>
      <c r="D283" s="179" t="n"/>
      <c r="E283" s="219" t="n"/>
      <c r="F283" s="220" t="n"/>
      <c r="G283" s="221" t="n"/>
    </row>
    <row r="284" ht="15" customHeight="1" s="131">
      <c r="A284" s="220" t="n"/>
      <c r="B284" s="222" t="n"/>
      <c r="C284" s="220" t="n"/>
      <c r="D284" s="179" t="n"/>
      <c r="E284" s="219" t="n"/>
      <c r="F284" s="220" t="n"/>
      <c r="G284" s="221" t="n"/>
    </row>
    <row r="285" ht="15" customHeight="1" s="131">
      <c r="A285" s="220" t="n"/>
      <c r="B285" s="222" t="n"/>
      <c r="C285" s="220" t="n"/>
      <c r="D285" s="179" t="n"/>
      <c r="E285" s="219" t="n"/>
      <c r="F285" s="220" t="n"/>
      <c r="G285" s="221" t="n"/>
    </row>
    <row r="286" ht="15" customHeight="1" s="131">
      <c r="A286" s="220" t="n"/>
      <c r="B286" s="222" t="n"/>
      <c r="C286" s="220" t="n"/>
      <c r="D286" s="179" t="n"/>
      <c r="E286" s="219" t="n"/>
      <c r="F286" s="220" t="n"/>
      <c r="G286" s="221" t="n"/>
    </row>
    <row r="287" ht="15" customHeight="1" s="131">
      <c r="A287" s="220" t="n"/>
      <c r="B287" s="222" t="n"/>
      <c r="C287" s="220" t="n"/>
      <c r="D287" s="179" t="n"/>
      <c r="E287" s="219" t="n"/>
      <c r="F287" s="220" t="n"/>
      <c r="G287" s="221" t="n"/>
    </row>
    <row r="288" ht="15" customHeight="1" s="131">
      <c r="A288" s="220" t="n"/>
      <c r="B288" s="222" t="n"/>
      <c r="C288" s="220" t="n"/>
      <c r="D288" s="179" t="n"/>
      <c r="E288" s="219" t="n"/>
      <c r="F288" s="220" t="n"/>
      <c r="G288" s="221" t="n"/>
    </row>
    <row r="289" ht="15" customHeight="1" s="131">
      <c r="A289" s="220" t="n"/>
      <c r="B289" s="222" t="n"/>
      <c r="C289" s="220" t="n"/>
      <c r="D289" s="179" t="n"/>
      <c r="E289" s="219" t="n"/>
      <c r="F289" s="220" t="n"/>
      <c r="G289" s="221" t="n"/>
    </row>
    <row r="290" ht="15" customHeight="1" s="131">
      <c r="A290" s="220" t="n"/>
      <c r="B290" s="222" t="n"/>
      <c r="C290" s="220" t="n"/>
      <c r="D290" s="179" t="n"/>
      <c r="E290" s="219" t="n"/>
      <c r="F290" s="220" t="n"/>
      <c r="G290" s="221" t="n"/>
    </row>
    <row r="291" ht="15" customHeight="1" s="131">
      <c r="A291" s="220" t="n"/>
      <c r="B291" s="222" t="n"/>
      <c r="C291" s="220" t="n"/>
      <c r="D291" s="179" t="n"/>
      <c r="E291" s="219" t="n"/>
      <c r="F291" s="220" t="n"/>
      <c r="G291" s="221" t="n"/>
    </row>
    <row r="292" ht="15" customHeight="1" s="131">
      <c r="A292" s="220" t="n"/>
      <c r="B292" s="222" t="n"/>
      <c r="C292" s="220" t="n"/>
      <c r="D292" s="179" t="n"/>
      <c r="E292" s="219" t="n"/>
      <c r="F292" s="220" t="n"/>
      <c r="G292" s="221" t="n"/>
    </row>
    <row r="293" ht="15" customHeight="1" s="131">
      <c r="A293" s="220" t="n"/>
      <c r="B293" s="222" t="n"/>
      <c r="C293" s="220" t="n"/>
      <c r="D293" s="179" t="n"/>
      <c r="E293" s="219" t="n"/>
      <c r="F293" s="220" t="n"/>
      <c r="G293" s="221" t="n"/>
    </row>
    <row r="294" ht="15" customHeight="1" s="131">
      <c r="A294" s="220" t="n"/>
      <c r="B294" s="222" t="n"/>
      <c r="C294" s="220" t="n"/>
      <c r="D294" s="179" t="n"/>
      <c r="E294" s="219" t="n"/>
      <c r="F294" s="220" t="n"/>
      <c r="G294" s="221" t="n"/>
    </row>
    <row r="295" ht="15" customHeight="1" s="131">
      <c r="A295" s="220" t="n"/>
      <c r="B295" s="222" t="n"/>
      <c r="C295" s="220" t="n"/>
      <c r="D295" s="179" t="n"/>
      <c r="E295" s="219" t="n"/>
      <c r="F295" s="220" t="n"/>
      <c r="G295" s="221" t="n"/>
    </row>
    <row r="296" ht="15" customHeight="1" s="131">
      <c r="A296" s="220" t="n"/>
      <c r="B296" s="222" t="n"/>
      <c r="C296" s="220" t="n"/>
      <c r="D296" s="179" t="n"/>
      <c r="E296" s="219" t="n"/>
      <c r="F296" s="220" t="n"/>
      <c r="G296" s="221" t="n"/>
    </row>
    <row r="297" ht="15" customHeight="1" s="131">
      <c r="A297" s="220" t="n"/>
      <c r="B297" s="222" t="n"/>
      <c r="C297" s="220" t="n"/>
      <c r="D297" s="179" t="n"/>
      <c r="E297" s="219" t="n"/>
      <c r="F297" s="220" t="n"/>
      <c r="G297" s="221" t="n"/>
    </row>
    <row r="298" ht="15" customHeight="1" s="131">
      <c r="A298" s="220" t="n"/>
      <c r="B298" s="222" t="n"/>
      <c r="C298" s="220" t="n"/>
      <c r="D298" s="179" t="n"/>
      <c r="E298" s="219" t="n"/>
      <c r="F298" s="220" t="n"/>
      <c r="G298" s="221" t="n"/>
    </row>
    <row r="299" ht="15" customHeight="1" s="131">
      <c r="A299" s="220" t="n"/>
      <c r="B299" s="222" t="n"/>
      <c r="C299" s="220" t="n"/>
      <c r="D299" s="179" t="n"/>
      <c r="E299" s="219" t="n"/>
      <c r="F299" s="220" t="n"/>
      <c r="G299" s="221" t="n"/>
    </row>
    <row r="300" ht="15" customHeight="1" s="131">
      <c r="A300" s="220" t="n"/>
      <c r="B300" s="222" t="n"/>
      <c r="C300" s="220" t="n"/>
      <c r="D300" s="179" t="n"/>
      <c r="E300" s="219" t="n"/>
      <c r="F300" s="220" t="n"/>
      <c r="G300" s="221" t="n"/>
    </row>
    <row r="301" ht="15" customHeight="1" s="131">
      <c r="A301" s="220" t="n"/>
      <c r="B301" s="222" t="n"/>
      <c r="C301" s="220" t="n"/>
      <c r="D301" s="179" t="n"/>
      <c r="E301" s="219" t="n"/>
      <c r="F301" s="220" t="n"/>
      <c r="G301" s="221" t="n"/>
    </row>
    <row r="302" ht="15" customHeight="1" s="131">
      <c r="A302" s="220" t="n"/>
      <c r="B302" s="222" t="n"/>
      <c r="C302" s="220" t="n"/>
      <c r="D302" s="179" t="n"/>
      <c r="E302" s="219" t="n"/>
      <c r="F302" s="220" t="n"/>
      <c r="G302" s="221" t="n"/>
    </row>
    <row r="303" ht="15" customHeight="1" s="131">
      <c r="A303" s="220" t="n"/>
      <c r="B303" s="222" t="n"/>
      <c r="C303" s="220" t="n"/>
      <c r="D303" s="179" t="n"/>
      <c r="E303" s="219" t="n"/>
      <c r="F303" s="220" t="n"/>
      <c r="G303" s="221" t="n"/>
    </row>
    <row r="304" ht="15" customHeight="1" s="131">
      <c r="A304" s="220" t="n"/>
      <c r="B304" s="222" t="n"/>
      <c r="C304" s="220" t="n"/>
      <c r="D304" s="179" t="n"/>
      <c r="E304" s="219" t="n"/>
      <c r="F304" s="220" t="n"/>
      <c r="G304" s="221" t="n"/>
    </row>
    <row r="305" ht="15" customHeight="1" s="131">
      <c r="A305" s="220" t="n"/>
      <c r="B305" s="222" t="n"/>
      <c r="C305" s="220" t="n"/>
      <c r="D305" s="179" t="n"/>
      <c r="E305" s="219" t="n"/>
      <c r="F305" s="220" t="n"/>
      <c r="G305" s="221" t="n"/>
    </row>
    <row r="306" ht="15" customHeight="1" s="131">
      <c r="A306" s="220" t="n"/>
      <c r="B306" s="222" t="n"/>
      <c r="C306" s="220" t="n"/>
      <c r="D306" s="179" t="n"/>
      <c r="E306" s="219" t="n"/>
      <c r="F306" s="220" t="n"/>
      <c r="G306" s="221" t="n"/>
    </row>
    <row r="307" ht="15" customHeight="1" s="131">
      <c r="A307" s="220" t="n"/>
      <c r="B307" s="222" t="n"/>
      <c r="C307" s="220" t="n"/>
      <c r="D307" s="179" t="n"/>
      <c r="E307" s="219" t="n"/>
      <c r="F307" s="220" t="n"/>
      <c r="G307" s="221" t="n"/>
    </row>
    <row r="308" ht="15" customHeight="1" s="131">
      <c r="A308" s="220" t="n"/>
      <c r="B308" s="222" t="n"/>
      <c r="C308" s="220" t="n"/>
      <c r="D308" s="179" t="n"/>
      <c r="E308" s="219" t="n"/>
      <c r="F308" s="220" t="n"/>
      <c r="G308" s="221" t="n"/>
    </row>
    <row r="309" ht="15" customHeight="1" s="131">
      <c r="A309" s="220" t="n"/>
      <c r="B309" s="222" t="n"/>
      <c r="C309" s="220" t="n"/>
      <c r="D309" s="179" t="n"/>
      <c r="E309" s="219" t="n"/>
      <c r="F309" s="220" t="n"/>
      <c r="G309" s="221" t="n"/>
    </row>
    <row r="310" ht="15" customHeight="1" s="131">
      <c r="A310" s="220" t="n"/>
      <c r="B310" s="222" t="n"/>
      <c r="C310" s="220" t="n"/>
      <c r="D310" s="179" t="n"/>
      <c r="E310" s="219" t="n"/>
      <c r="F310" s="220" t="n"/>
      <c r="G310" s="221" t="n"/>
    </row>
    <row r="311" ht="15" customHeight="1" s="131">
      <c r="A311" s="220" t="n"/>
      <c r="B311" s="222" t="n"/>
      <c r="C311" s="220" t="n"/>
      <c r="D311" s="179" t="n"/>
      <c r="E311" s="219" t="n"/>
      <c r="F311" s="220" t="n"/>
      <c r="G311" s="221" t="n"/>
    </row>
    <row r="312" ht="15" customHeight="1" s="131">
      <c r="A312" s="220" t="n"/>
      <c r="B312" s="222" t="n"/>
      <c r="C312" s="220" t="n"/>
      <c r="D312" s="179" t="n"/>
      <c r="E312" s="219" t="n"/>
      <c r="F312" s="220" t="n"/>
      <c r="G312" s="221" t="n"/>
    </row>
    <row r="313" ht="15" customHeight="1" s="131">
      <c r="A313" s="220" t="n"/>
      <c r="B313" s="222" t="n"/>
      <c r="C313" s="220" t="n"/>
      <c r="D313" s="179" t="n"/>
      <c r="E313" s="219" t="n"/>
      <c r="F313" s="220" t="n"/>
      <c r="G313" s="221" t="n"/>
    </row>
    <row r="314" ht="15" customHeight="1" s="131">
      <c r="A314" s="220" t="n"/>
      <c r="B314" s="222" t="n"/>
      <c r="C314" s="220" t="n"/>
      <c r="D314" s="179" t="n"/>
      <c r="E314" s="219" t="n"/>
      <c r="F314" s="220" t="n"/>
      <c r="G314" s="221" t="n"/>
    </row>
    <row r="315" ht="15" customHeight="1" s="131">
      <c r="A315" s="220" t="n"/>
      <c r="B315" s="222" t="n"/>
      <c r="C315" s="220" t="n"/>
      <c r="D315" s="179" t="n"/>
      <c r="E315" s="219" t="n"/>
      <c r="F315" s="220" t="n"/>
      <c r="G315" s="221" t="n"/>
    </row>
    <row r="316" ht="15" customHeight="1" s="131">
      <c r="A316" s="220" t="n"/>
      <c r="B316" s="222" t="n"/>
      <c r="C316" s="220" t="n"/>
      <c r="D316" s="179" t="n"/>
      <c r="E316" s="219" t="n"/>
      <c r="F316" s="220" t="n"/>
      <c r="G316" s="221" t="n"/>
    </row>
    <row r="317" ht="15" customHeight="1" s="131">
      <c r="A317" s="220" t="n"/>
      <c r="B317" s="222" t="n"/>
      <c r="C317" s="220" t="n"/>
      <c r="D317" s="179" t="n"/>
      <c r="E317" s="219" t="n"/>
      <c r="F317" s="220" t="n"/>
      <c r="G317" s="221" t="n"/>
    </row>
    <row r="318" ht="15" customHeight="1" s="131">
      <c r="A318" s="220" t="n"/>
      <c r="B318" s="222" t="n"/>
      <c r="C318" s="220" t="n"/>
      <c r="D318" s="179" t="n"/>
      <c r="E318" s="219" t="n"/>
      <c r="F318" s="220" t="n"/>
      <c r="G318" s="221" t="n"/>
    </row>
    <row r="319" ht="15" customHeight="1" s="131">
      <c r="A319" s="220" t="n"/>
      <c r="B319" s="222" t="n"/>
      <c r="C319" s="220" t="n"/>
      <c r="D319" s="179" t="n"/>
      <c r="E319" s="219" t="n"/>
      <c r="F319" s="220" t="n"/>
      <c r="G319" s="221" t="n"/>
    </row>
    <row r="320" ht="15" customHeight="1" s="131">
      <c r="A320" s="220" t="n"/>
      <c r="B320" s="222" t="n"/>
      <c r="C320" s="220" t="n"/>
      <c r="D320" s="179" t="n"/>
      <c r="E320" s="219" t="n"/>
      <c r="F320" s="220" t="n"/>
      <c r="G320" s="221" t="n"/>
    </row>
    <row r="321" ht="15" customHeight="1" s="131">
      <c r="A321" s="220" t="n"/>
      <c r="B321" s="222" t="n"/>
      <c r="C321" s="220" t="n"/>
      <c r="D321" s="179" t="n"/>
      <c r="E321" s="219" t="n"/>
      <c r="F321" s="220" t="n"/>
      <c r="G321" s="221" t="n"/>
    </row>
    <row r="322" ht="15" customHeight="1" s="131">
      <c r="A322" s="220" t="n"/>
      <c r="B322" s="222" t="n"/>
      <c r="C322" s="220" t="n"/>
      <c r="D322" s="179" t="n"/>
      <c r="E322" s="219" t="n"/>
      <c r="F322" s="220" t="n"/>
      <c r="G322" s="221" t="n"/>
    </row>
    <row r="323" ht="15" customHeight="1" s="131">
      <c r="A323" s="220" t="n"/>
      <c r="B323" s="222" t="n"/>
      <c r="C323" s="220" t="n"/>
      <c r="D323" s="179" t="n"/>
      <c r="E323" s="219" t="n"/>
      <c r="F323" s="220" t="n"/>
      <c r="G323" s="221" t="n"/>
    </row>
    <row r="324" ht="15" customHeight="1" s="131">
      <c r="A324" s="220" t="n"/>
      <c r="B324" s="222" t="n"/>
      <c r="C324" s="220" t="n"/>
      <c r="D324" s="179" t="n"/>
      <c r="E324" s="219" t="n"/>
      <c r="F324" s="220" t="n"/>
      <c r="G324" s="221" t="n"/>
    </row>
    <row r="325" ht="15" customHeight="1" s="131">
      <c r="A325" s="220" t="n"/>
      <c r="B325" s="222" t="n"/>
      <c r="C325" s="220" t="n"/>
      <c r="D325" s="179" t="n"/>
      <c r="E325" s="219" t="n"/>
      <c r="F325" s="220" t="n"/>
      <c r="G325" s="221" t="n"/>
    </row>
    <row r="326" ht="15" customHeight="1" s="131">
      <c r="A326" s="220" t="n"/>
      <c r="B326" s="222" t="n"/>
      <c r="C326" s="220" t="n"/>
      <c r="D326" s="179" t="n"/>
      <c r="E326" s="219" t="n"/>
      <c r="F326" s="220" t="n"/>
      <c r="G326" s="221" t="n"/>
    </row>
    <row r="327" ht="15" customHeight="1" s="131">
      <c r="A327" s="220" t="n"/>
      <c r="B327" s="222" t="n"/>
      <c r="C327" s="220" t="n"/>
      <c r="D327" s="179" t="n"/>
      <c r="E327" s="219" t="n"/>
      <c r="F327" s="220" t="n"/>
      <c r="G327" s="221" t="n"/>
    </row>
    <row r="328" ht="15" customHeight="1" s="131">
      <c r="A328" s="220" t="n"/>
      <c r="B328" s="222" t="n"/>
      <c r="C328" s="220" t="n"/>
      <c r="D328" s="179" t="n"/>
      <c r="E328" s="219" t="n"/>
      <c r="F328" s="220" t="n"/>
      <c r="G328" s="221" t="n"/>
    </row>
    <row r="329" ht="15" customHeight="1" s="131">
      <c r="A329" s="220" t="n"/>
      <c r="B329" s="222" t="n"/>
      <c r="C329" s="220" t="n"/>
      <c r="D329" s="179" t="n"/>
      <c r="E329" s="219" t="n"/>
      <c r="F329" s="220" t="n"/>
      <c r="G329" s="221" t="n"/>
    </row>
    <row r="330" ht="15" customHeight="1" s="131">
      <c r="A330" s="220" t="n"/>
      <c r="B330" s="222" t="n"/>
      <c r="C330" s="220" t="n"/>
      <c r="D330" s="179" t="n"/>
      <c r="E330" s="219" t="n"/>
      <c r="F330" s="220" t="n"/>
      <c r="G330" s="221" t="n"/>
    </row>
    <row r="331" ht="15" customHeight="1" s="131">
      <c r="A331" s="220" t="n"/>
      <c r="B331" s="222" t="n"/>
      <c r="C331" s="220" t="n"/>
      <c r="D331" s="179" t="n"/>
      <c r="E331" s="219" t="n"/>
      <c r="F331" s="220" t="n"/>
      <c r="G331" s="221" t="n"/>
    </row>
    <row r="332" ht="15" customHeight="1" s="131">
      <c r="A332" s="220" t="n"/>
      <c r="B332" s="222" t="n"/>
      <c r="C332" s="220" t="n"/>
      <c r="D332" s="179" t="n"/>
      <c r="E332" s="219" t="n"/>
      <c r="F332" s="220" t="n"/>
      <c r="G332" s="221" t="n"/>
    </row>
    <row r="333" ht="15" customHeight="1" s="131">
      <c r="A333" s="220" t="n"/>
      <c r="B333" s="222" t="n"/>
      <c r="C333" s="220" t="n"/>
      <c r="D333" s="179" t="n"/>
      <c r="E333" s="219" t="n"/>
      <c r="F333" s="220" t="n"/>
      <c r="G333" s="221" t="n"/>
    </row>
    <row r="334" ht="15" customHeight="1" s="131">
      <c r="A334" s="220" t="n"/>
      <c r="B334" s="222" t="n"/>
      <c r="C334" s="220" t="n"/>
      <c r="D334" s="179" t="n"/>
      <c r="E334" s="219" t="n"/>
      <c r="F334" s="220" t="n"/>
      <c r="G334" s="221" t="n"/>
    </row>
    <row r="335" ht="15" customHeight="1" s="131">
      <c r="A335" s="220" t="n"/>
      <c r="B335" s="222" t="n"/>
      <c r="C335" s="220" t="n"/>
      <c r="D335" s="179" t="n"/>
      <c r="E335" s="219" t="n"/>
      <c r="F335" s="220" t="n"/>
      <c r="G335" s="221" t="n"/>
    </row>
    <row r="336" ht="15" customHeight="1" s="131">
      <c r="A336" s="220" t="n"/>
      <c r="B336" s="222" t="n"/>
      <c r="C336" s="220" t="n"/>
      <c r="D336" s="179" t="n"/>
      <c r="E336" s="219" t="n"/>
      <c r="F336" s="220" t="n"/>
      <c r="G336" s="221" t="n"/>
    </row>
    <row r="337" ht="15" customHeight="1" s="131">
      <c r="A337" s="220" t="n"/>
      <c r="B337" s="222" t="n"/>
      <c r="C337" s="220" t="n"/>
      <c r="D337" s="179" t="n"/>
      <c r="E337" s="219" t="n"/>
      <c r="F337" s="220" t="n"/>
      <c r="G337" s="221" t="n"/>
    </row>
    <row r="338" ht="15" customHeight="1" s="131">
      <c r="A338" s="220" t="n"/>
      <c r="B338" s="222" t="n"/>
      <c r="C338" s="220" t="n"/>
      <c r="D338" s="179" t="n"/>
      <c r="E338" s="219" t="n"/>
      <c r="F338" s="220" t="n"/>
      <c r="G338" s="221" t="n"/>
    </row>
    <row r="339" ht="15" customHeight="1" s="131">
      <c r="A339" s="220" t="n"/>
      <c r="B339" s="222" t="n"/>
      <c r="C339" s="220" t="n"/>
      <c r="D339" s="179" t="n"/>
      <c r="E339" s="219" t="n"/>
      <c r="F339" s="220" t="n"/>
      <c r="G339" s="221" t="n"/>
    </row>
    <row r="340" ht="15" customHeight="1" s="131">
      <c r="A340" s="220" t="n"/>
      <c r="B340" s="222" t="n"/>
      <c r="C340" s="220" t="n"/>
      <c r="D340" s="179" t="n"/>
      <c r="E340" s="219" t="n"/>
      <c r="F340" s="220" t="n"/>
      <c r="G340" s="221" t="n"/>
    </row>
    <row r="341" ht="15" customHeight="1" s="131">
      <c r="A341" s="220" t="n"/>
      <c r="B341" s="222" t="n"/>
      <c r="C341" s="220" t="n"/>
      <c r="D341" s="179" t="n"/>
      <c r="E341" s="219" t="n"/>
      <c r="F341" s="220" t="n"/>
      <c r="G341" s="221" t="n"/>
    </row>
    <row r="342" ht="15" customHeight="1" s="131">
      <c r="A342" s="220" t="n"/>
      <c r="B342" s="222" t="n"/>
      <c r="C342" s="220" t="n"/>
      <c r="D342" s="179" t="n"/>
      <c r="E342" s="219" t="n"/>
      <c r="F342" s="220" t="n"/>
      <c r="G342" s="221" t="n"/>
    </row>
    <row r="343" ht="15" customHeight="1" s="131">
      <c r="A343" s="220" t="n"/>
      <c r="B343" s="222" t="n"/>
      <c r="C343" s="220" t="n"/>
      <c r="D343" s="179" t="n"/>
      <c r="E343" s="219" t="n"/>
      <c r="F343" s="220" t="n"/>
      <c r="G343" s="221" t="n"/>
    </row>
    <row r="344" ht="15" customHeight="1" s="131">
      <c r="A344" s="220" t="n"/>
      <c r="B344" s="222" t="n"/>
      <c r="C344" s="220" t="n"/>
      <c r="D344" s="179" t="n"/>
      <c r="E344" s="219" t="n"/>
      <c r="F344" s="220" t="n"/>
      <c r="G344" s="221" t="n"/>
    </row>
    <row r="345" ht="15" customHeight="1" s="131">
      <c r="A345" s="220" t="n"/>
      <c r="B345" s="222" t="n"/>
      <c r="C345" s="220" t="n"/>
      <c r="D345" s="179" t="n"/>
      <c r="E345" s="219" t="n"/>
      <c r="F345" s="220" t="n"/>
      <c r="G345" s="221" t="n"/>
    </row>
    <row r="346" ht="15" customHeight="1" s="131">
      <c r="A346" s="220" t="n"/>
      <c r="B346" s="222" t="n"/>
      <c r="C346" s="220" t="n"/>
      <c r="D346" s="179" t="n"/>
      <c r="E346" s="219" t="n"/>
      <c r="F346" s="220" t="n"/>
      <c r="G346" s="221" t="n"/>
    </row>
    <row r="347" ht="15" customHeight="1" s="131">
      <c r="A347" s="220" t="n"/>
      <c r="B347" s="222" t="n"/>
      <c r="C347" s="220" t="n"/>
      <c r="D347" s="179" t="n"/>
      <c r="E347" s="219" t="n"/>
      <c r="F347" s="220" t="n"/>
      <c r="G347" s="221" t="n"/>
    </row>
    <row r="348" ht="15" customHeight="1" s="131">
      <c r="A348" s="220" t="n"/>
      <c r="B348" s="222" t="n"/>
      <c r="C348" s="220" t="n"/>
      <c r="D348" s="179" t="n"/>
      <c r="E348" s="219" t="n"/>
      <c r="F348" s="220" t="n"/>
      <c r="G348" s="221" t="n"/>
    </row>
    <row r="349" ht="15" customHeight="1" s="131">
      <c r="A349" s="220" t="n"/>
      <c r="B349" s="222" t="n"/>
      <c r="C349" s="220" t="n"/>
      <c r="D349" s="179" t="n"/>
      <c r="E349" s="219" t="n"/>
      <c r="F349" s="220" t="n"/>
      <c r="G349" s="221" t="n"/>
    </row>
    <row r="350" ht="15" customHeight="1" s="131">
      <c r="A350" s="220" t="n"/>
      <c r="B350" s="222" t="n"/>
      <c r="C350" s="220" t="n"/>
      <c r="D350" s="179" t="n"/>
      <c r="E350" s="219" t="n"/>
      <c r="F350" s="220" t="n"/>
      <c r="G350" s="221" t="n"/>
    </row>
    <row r="351" ht="15" customHeight="1" s="131">
      <c r="A351" s="220" t="n"/>
      <c r="B351" s="222" t="n"/>
      <c r="C351" s="220" t="n"/>
      <c r="D351" s="179" t="n"/>
      <c r="E351" s="219" t="n"/>
      <c r="F351" s="220" t="n"/>
      <c r="G351" s="221" t="n"/>
    </row>
    <row r="352" ht="15" customHeight="1" s="131">
      <c r="A352" s="220" t="n"/>
      <c r="B352" s="222" t="n"/>
      <c r="C352" s="220" t="n"/>
      <c r="D352" s="179" t="n"/>
      <c r="E352" s="219" t="n"/>
      <c r="F352" s="220" t="n"/>
      <c r="G352" s="221" t="n"/>
    </row>
    <row r="353" ht="15" customHeight="1" s="131">
      <c r="A353" s="220" t="n"/>
      <c r="B353" s="222" t="n"/>
      <c r="C353" s="220" t="n"/>
      <c r="D353" s="179" t="n"/>
      <c r="E353" s="219" t="n"/>
      <c r="F353" s="220" t="n"/>
      <c r="G353" s="221" t="n"/>
    </row>
    <row r="354" ht="15" customHeight="1" s="131">
      <c r="A354" s="220" t="n"/>
      <c r="B354" s="222" t="n"/>
      <c r="C354" s="220" t="n"/>
      <c r="D354" s="179" t="n"/>
      <c r="E354" s="219" t="n"/>
      <c r="F354" s="220" t="n"/>
      <c r="G354" s="221" t="n"/>
    </row>
    <row r="355" ht="15" customHeight="1" s="131">
      <c r="A355" s="220" t="n"/>
      <c r="B355" s="222" t="n"/>
      <c r="C355" s="220" t="n"/>
      <c r="D355" s="179" t="n"/>
      <c r="E355" s="219" t="n"/>
      <c r="F355" s="220" t="n"/>
      <c r="G355" s="221" t="n"/>
    </row>
    <row r="356" ht="15" customHeight="1" s="131">
      <c r="A356" s="220" t="n"/>
      <c r="B356" s="222" t="n"/>
      <c r="C356" s="220" t="n"/>
      <c r="D356" s="179" t="n"/>
      <c r="E356" s="219" t="n"/>
      <c r="F356" s="220" t="n"/>
      <c r="G356" s="221" t="n"/>
    </row>
    <row r="357" ht="15" customHeight="1" s="131">
      <c r="A357" s="220" t="n"/>
      <c r="B357" s="222" t="n"/>
      <c r="C357" s="220" t="n"/>
      <c r="D357" s="179" t="n"/>
      <c r="E357" s="219" t="n"/>
      <c r="F357" s="220" t="n"/>
      <c r="G357" s="221" t="n"/>
    </row>
    <row r="358" ht="15" customHeight="1" s="131">
      <c r="A358" s="220" t="n"/>
      <c r="B358" s="222" t="n"/>
      <c r="C358" s="220" t="n"/>
      <c r="D358" s="179" t="n"/>
      <c r="E358" s="219" t="n"/>
      <c r="F358" s="220" t="n"/>
      <c r="G358" s="221" t="n"/>
    </row>
    <row r="359" ht="15" customHeight="1" s="131">
      <c r="A359" s="220" t="n"/>
      <c r="B359" s="222" t="n"/>
      <c r="C359" s="220" t="n"/>
      <c r="D359" s="179" t="n"/>
      <c r="E359" s="219" t="n"/>
      <c r="F359" s="220" t="n"/>
      <c r="G359" s="221" t="n"/>
    </row>
    <row r="360" ht="15" customHeight="1" s="131">
      <c r="A360" s="220" t="n"/>
      <c r="B360" s="222" t="n"/>
      <c r="C360" s="220" t="n"/>
      <c r="D360" s="179" t="n"/>
      <c r="E360" s="219" t="n"/>
      <c r="F360" s="220" t="n"/>
      <c r="G360" s="221" t="n"/>
    </row>
    <row r="361" ht="15" customHeight="1" s="131">
      <c r="A361" s="220" t="n"/>
      <c r="B361" s="222" t="n"/>
      <c r="C361" s="220" t="n"/>
      <c r="D361" s="179" t="n"/>
      <c r="E361" s="219" t="n"/>
      <c r="F361" s="220" t="n"/>
      <c r="G361" s="221" t="n"/>
    </row>
    <row r="362" ht="15" customHeight="1" s="131">
      <c r="A362" s="220" t="n"/>
      <c r="B362" s="222" t="n"/>
      <c r="C362" s="220" t="n"/>
      <c r="D362" s="179" t="n"/>
      <c r="E362" s="219" t="n"/>
      <c r="F362" s="220" t="n"/>
      <c r="G362" s="221" t="n"/>
    </row>
    <row r="363" ht="15" customHeight="1" s="131">
      <c r="A363" s="220" t="n"/>
      <c r="B363" s="222" t="n"/>
      <c r="C363" s="220" t="n"/>
      <c r="D363" s="179" t="n"/>
      <c r="E363" s="219" t="n"/>
      <c r="F363" s="220" t="n"/>
      <c r="G363" s="221" t="n"/>
    </row>
    <row r="364" ht="15" customHeight="1" s="131">
      <c r="A364" s="220" t="n"/>
      <c r="B364" s="222" t="n"/>
      <c r="C364" s="220" t="n"/>
      <c r="D364" s="179" t="n"/>
      <c r="E364" s="219" t="n"/>
      <c r="F364" s="220" t="n"/>
      <c r="G364" s="221" t="n"/>
    </row>
    <row r="365" ht="15" customHeight="1" s="131">
      <c r="A365" s="220" t="n"/>
      <c r="B365" s="222" t="n"/>
      <c r="C365" s="220" t="n"/>
      <c r="D365" s="179" t="n"/>
      <c r="E365" s="219" t="n"/>
      <c r="F365" s="220" t="n"/>
      <c r="G365" s="221" t="n"/>
    </row>
    <row r="366" ht="15" customHeight="1" s="131">
      <c r="A366" s="220" t="n"/>
      <c r="B366" s="222" t="n"/>
      <c r="C366" s="220" t="n"/>
      <c r="D366" s="179" t="n"/>
      <c r="E366" s="219" t="n"/>
      <c r="F366" s="220" t="n"/>
      <c r="G366" s="221" t="n"/>
    </row>
    <row r="367" ht="15" customHeight="1" s="131">
      <c r="A367" s="220" t="n"/>
      <c r="B367" s="222" t="n"/>
      <c r="C367" s="220" t="n"/>
      <c r="D367" s="179" t="n"/>
      <c r="E367" s="219" t="n"/>
      <c r="F367" s="220" t="n"/>
      <c r="G367" s="221" t="n"/>
    </row>
    <row r="368" ht="15" customHeight="1" s="131">
      <c r="A368" s="220" t="n"/>
      <c r="B368" s="222" t="n"/>
      <c r="C368" s="220" t="n"/>
      <c r="D368" s="179" t="n"/>
      <c r="E368" s="219" t="n"/>
      <c r="F368" s="220" t="n"/>
      <c r="G368" s="221" t="n"/>
    </row>
    <row r="369" ht="15" customHeight="1" s="131">
      <c r="A369" s="220" t="n"/>
      <c r="B369" s="222" t="n"/>
      <c r="C369" s="220" t="n"/>
      <c r="D369" s="179" t="n"/>
      <c r="E369" s="219" t="n"/>
      <c r="F369" s="220" t="n"/>
      <c r="G369" s="221" t="n"/>
    </row>
    <row r="370" ht="15" customHeight="1" s="131">
      <c r="A370" s="220" t="n"/>
      <c r="B370" s="222" t="n"/>
      <c r="C370" s="220" t="n"/>
      <c r="D370" s="179" t="n"/>
      <c r="E370" s="219" t="n"/>
      <c r="F370" s="220" t="n"/>
      <c r="G370" s="221" t="n"/>
    </row>
    <row r="371" ht="15" customHeight="1" s="131">
      <c r="A371" s="220" t="n"/>
      <c r="B371" s="222" t="n"/>
      <c r="C371" s="220" t="n"/>
      <c r="D371" s="179" t="n"/>
      <c r="E371" s="219" t="n"/>
      <c r="F371" s="220" t="n"/>
      <c r="G371" s="221" t="n"/>
    </row>
    <row r="372" ht="15" customHeight="1" s="131">
      <c r="A372" s="220" t="n"/>
      <c r="B372" s="222" t="n"/>
      <c r="C372" s="220" t="n"/>
      <c r="D372" s="179" t="n"/>
      <c r="E372" s="219" t="n"/>
      <c r="F372" s="220" t="n"/>
      <c r="G372" s="221" t="n"/>
    </row>
    <row r="373" ht="15" customHeight="1" s="131">
      <c r="A373" s="220" t="n"/>
      <c r="B373" s="222" t="n"/>
      <c r="C373" s="220" t="n"/>
      <c r="D373" s="179" t="n"/>
      <c r="E373" s="219" t="n"/>
      <c r="F373" s="220" t="n"/>
      <c r="G373" s="221" t="n"/>
    </row>
    <row r="374" ht="15" customHeight="1" s="131">
      <c r="A374" s="220" t="n"/>
      <c r="B374" s="222" t="n"/>
      <c r="C374" s="220" t="n"/>
      <c r="D374" s="179" t="n"/>
      <c r="E374" s="219" t="n"/>
      <c r="F374" s="220" t="n"/>
      <c r="G374" s="221" t="n"/>
    </row>
    <row r="375" ht="15" customHeight="1" s="131">
      <c r="A375" s="220" t="n"/>
      <c r="B375" s="222" t="n"/>
      <c r="C375" s="220" t="n"/>
      <c r="D375" s="179" t="n"/>
      <c r="E375" s="219" t="n"/>
      <c r="F375" s="220" t="n"/>
      <c r="G375" s="221" t="n"/>
    </row>
    <row r="376" ht="15" customHeight="1" s="131">
      <c r="A376" s="220" t="n"/>
      <c r="B376" s="222" t="n"/>
      <c r="C376" s="220" t="n"/>
      <c r="D376" s="179" t="n"/>
      <c r="E376" s="219" t="n"/>
      <c r="F376" s="220" t="n"/>
      <c r="G376" s="221" t="n"/>
    </row>
    <row r="377" ht="15" customHeight="1" s="131">
      <c r="A377" s="220" t="n"/>
      <c r="B377" s="222" t="n"/>
      <c r="C377" s="220" t="n"/>
      <c r="D377" s="179" t="n"/>
      <c r="E377" s="219" t="n"/>
      <c r="F377" s="220" t="n"/>
      <c r="G377" s="221" t="n"/>
    </row>
    <row r="378" ht="15" customHeight="1" s="131">
      <c r="A378" s="220" t="n"/>
      <c r="B378" s="222" t="n"/>
      <c r="C378" s="220" t="n"/>
      <c r="D378" s="179" t="n"/>
      <c r="E378" s="219" t="n"/>
      <c r="F378" s="220" t="n"/>
      <c r="G378" s="221" t="n"/>
    </row>
    <row r="379" ht="15" customHeight="1" s="131">
      <c r="A379" s="220" t="n"/>
      <c r="B379" s="222" t="n"/>
      <c r="C379" s="220" t="n"/>
      <c r="D379" s="179" t="n"/>
      <c r="E379" s="219" t="n"/>
      <c r="F379" s="220" t="n"/>
      <c r="G379" s="221" t="n"/>
    </row>
    <row r="380" ht="15" customHeight="1" s="131">
      <c r="A380" s="220" t="n"/>
      <c r="B380" s="222" t="n"/>
      <c r="C380" s="220" t="n"/>
      <c r="D380" s="179" t="n"/>
      <c r="E380" s="219" t="n"/>
      <c r="F380" s="220" t="n"/>
      <c r="G380" s="221" t="n"/>
    </row>
    <row r="381" ht="15" customHeight="1" s="131">
      <c r="A381" s="220" t="n"/>
      <c r="B381" s="222" t="n"/>
      <c r="C381" s="220" t="n"/>
      <c r="D381" s="179" t="n"/>
      <c r="E381" s="219" t="n"/>
      <c r="F381" s="220" t="n"/>
      <c r="G381" s="221" t="n"/>
    </row>
    <row r="382" ht="15" customHeight="1" s="131">
      <c r="A382" s="220" t="n"/>
      <c r="B382" s="222" t="n"/>
      <c r="C382" s="220" t="n"/>
      <c r="D382" s="179" t="n"/>
      <c r="E382" s="219" t="n"/>
      <c r="F382" s="220" t="n"/>
      <c r="G382" s="221" t="n"/>
    </row>
    <row r="383" ht="15" customHeight="1" s="131">
      <c r="A383" s="220" t="n"/>
      <c r="B383" s="222" t="n"/>
      <c r="C383" s="220" t="n"/>
      <c r="D383" s="179" t="n"/>
      <c r="E383" s="219" t="n"/>
      <c r="F383" s="220" t="n"/>
      <c r="G383" s="221" t="n"/>
    </row>
    <row r="384" ht="15" customHeight="1" s="131">
      <c r="A384" s="220" t="n"/>
      <c r="B384" s="222" t="n"/>
      <c r="C384" s="220" t="n"/>
      <c r="D384" s="179" t="n"/>
      <c r="E384" s="219" t="n"/>
      <c r="F384" s="220" t="n"/>
      <c r="G384" s="221" t="n"/>
    </row>
    <row r="385" ht="15" customHeight="1" s="131">
      <c r="A385" s="220" t="n"/>
      <c r="B385" s="222" t="n"/>
      <c r="C385" s="220" t="n"/>
      <c r="D385" s="179" t="n"/>
      <c r="E385" s="219" t="n"/>
      <c r="F385" s="220" t="n"/>
      <c r="G385" s="221" t="n"/>
    </row>
    <row r="386" ht="15" customHeight="1" s="131">
      <c r="A386" s="220" t="n"/>
      <c r="B386" s="222" t="n"/>
      <c r="C386" s="220" t="n"/>
      <c r="D386" s="179" t="n"/>
      <c r="E386" s="219" t="n"/>
      <c r="F386" s="220" t="n"/>
      <c r="G386" s="221" t="n"/>
    </row>
    <row r="387" ht="15" customHeight="1" s="131">
      <c r="A387" s="220" t="n"/>
      <c r="B387" s="222" t="n"/>
      <c r="C387" s="220" t="n"/>
      <c r="D387" s="179" t="n"/>
      <c r="E387" s="219" t="n"/>
      <c r="F387" s="220" t="n"/>
      <c r="G387" s="221" t="n"/>
    </row>
    <row r="388" ht="15" customHeight="1" s="131">
      <c r="A388" s="220" t="n"/>
      <c r="B388" s="222" t="n"/>
      <c r="C388" s="220" t="n"/>
      <c r="D388" s="179" t="n"/>
      <c r="E388" s="219" t="n"/>
      <c r="F388" s="220" t="n"/>
      <c r="G388" s="221" t="n"/>
    </row>
    <row r="389" ht="15" customHeight="1" s="131">
      <c r="A389" s="220" t="n"/>
      <c r="B389" s="222" t="n"/>
      <c r="C389" s="220" t="n"/>
      <c r="D389" s="179" t="n"/>
      <c r="E389" s="219" t="n"/>
      <c r="F389" s="220" t="n"/>
      <c r="G389" s="221" t="n"/>
    </row>
    <row r="390" ht="15" customHeight="1" s="131">
      <c r="A390" s="220" t="n"/>
      <c r="B390" s="222" t="n"/>
      <c r="C390" s="220" t="n"/>
      <c r="D390" s="179" t="n"/>
      <c r="E390" s="219" t="n"/>
      <c r="F390" s="220" t="n"/>
      <c r="G390" s="221" t="n"/>
    </row>
    <row r="391" ht="15" customHeight="1" s="131">
      <c r="A391" s="220" t="n"/>
      <c r="B391" s="222" t="n"/>
      <c r="C391" s="220" t="n"/>
      <c r="D391" s="179" t="n"/>
      <c r="E391" s="219" t="n"/>
      <c r="F391" s="220" t="n"/>
      <c r="G391" s="221" t="n"/>
    </row>
    <row r="392" ht="15" customHeight="1" s="131">
      <c r="A392" s="220" t="n"/>
      <c r="B392" s="222" t="n"/>
      <c r="C392" s="220" t="n"/>
      <c r="D392" s="179" t="n"/>
      <c r="E392" s="219" t="n"/>
      <c r="F392" s="220" t="n"/>
      <c r="G392" s="221" t="n"/>
    </row>
    <row r="393" ht="15" customHeight="1" s="131">
      <c r="A393" s="220" t="n"/>
      <c r="B393" s="222" t="n"/>
      <c r="C393" s="220" t="n"/>
      <c r="D393" s="179" t="n"/>
      <c r="E393" s="219" t="n"/>
      <c r="F393" s="220" t="n"/>
      <c r="G393" s="221" t="n"/>
    </row>
    <row r="394" ht="15" customHeight="1" s="131">
      <c r="A394" s="220" t="n"/>
      <c r="B394" s="222" t="n"/>
      <c r="C394" s="220" t="n"/>
      <c r="D394" s="179" t="n"/>
      <c r="E394" s="219" t="n"/>
      <c r="F394" s="220" t="n"/>
      <c r="G394" s="221" t="n"/>
    </row>
    <row r="395" ht="15" customHeight="1" s="131">
      <c r="A395" s="220" t="n"/>
      <c r="B395" s="222" t="n"/>
      <c r="C395" s="220" t="n"/>
      <c r="D395" s="179" t="n"/>
      <c r="E395" s="219" t="n"/>
      <c r="F395" s="220" t="n"/>
      <c r="G395" s="221" t="n"/>
    </row>
    <row r="396" ht="15" customHeight="1" s="131">
      <c r="A396" s="220" t="n"/>
      <c r="B396" s="222" t="n"/>
      <c r="C396" s="220" t="n"/>
      <c r="D396" s="179" t="n"/>
      <c r="E396" s="219" t="n"/>
      <c r="F396" s="220" t="n"/>
      <c r="G396" s="221" t="n"/>
    </row>
    <row r="397" ht="15" customHeight="1" s="131">
      <c r="A397" s="220" t="n"/>
      <c r="B397" s="222" t="n"/>
      <c r="C397" s="220" t="n"/>
      <c r="D397" s="179" t="n"/>
      <c r="E397" s="219" t="n"/>
      <c r="F397" s="220" t="n"/>
      <c r="G397" s="221" t="n"/>
    </row>
    <row r="398" ht="15" customHeight="1" s="131">
      <c r="A398" s="220" t="n"/>
      <c r="B398" s="222" t="n"/>
      <c r="C398" s="220" t="n"/>
      <c r="D398" s="179" t="n"/>
      <c r="E398" s="219" t="n"/>
      <c r="F398" s="220" t="n"/>
      <c r="G398" s="221" t="n"/>
    </row>
    <row r="399" ht="15" customHeight="1" s="131">
      <c r="A399" s="220" t="n"/>
      <c r="B399" s="222" t="n"/>
      <c r="C399" s="220" t="n"/>
      <c r="D399" s="179" t="n"/>
      <c r="E399" s="219" t="n"/>
      <c r="F399" s="220" t="n"/>
      <c r="G399" s="221" t="n"/>
    </row>
    <row r="400" ht="15" customHeight="1" s="131">
      <c r="A400" s="220" t="n"/>
      <c r="B400" s="222" t="n"/>
      <c r="C400" s="220" t="n"/>
      <c r="D400" s="179" t="n"/>
      <c r="E400" s="219" t="n"/>
      <c r="F400" s="220" t="n"/>
      <c r="G400" s="221" t="n"/>
    </row>
    <row r="401" ht="15" customHeight="1" s="131">
      <c r="A401" s="220" t="n"/>
      <c r="B401" s="222" t="n"/>
      <c r="C401" s="220" t="n"/>
      <c r="D401" s="179" t="n"/>
      <c r="E401" s="219" t="n"/>
      <c r="F401" s="220" t="n"/>
      <c r="G401" s="221" t="n"/>
    </row>
    <row r="402" ht="15" customHeight="1" s="131">
      <c r="A402" s="220" t="n"/>
      <c r="B402" s="222" t="n"/>
      <c r="C402" s="220" t="n"/>
      <c r="D402" s="179" t="n"/>
      <c r="E402" s="219" t="n"/>
      <c r="F402" s="220" t="n"/>
      <c r="G402" s="221" t="n"/>
    </row>
    <row r="403" ht="15" customHeight="1" s="131">
      <c r="A403" s="220" t="n"/>
      <c r="B403" s="222" t="n"/>
      <c r="C403" s="220" t="n"/>
      <c r="D403" s="179" t="n"/>
      <c r="E403" s="219" t="n"/>
      <c r="F403" s="220" t="n"/>
      <c r="G403" s="221" t="n"/>
    </row>
    <row r="404" ht="15" customHeight="1" s="131">
      <c r="A404" s="220" t="n"/>
      <c r="B404" s="222" t="n"/>
      <c r="C404" s="220" t="n"/>
      <c r="D404" s="179" t="n"/>
      <c r="E404" s="219" t="n"/>
      <c r="F404" s="220" t="n"/>
      <c r="G404" s="221" t="n"/>
    </row>
    <row r="405" ht="15" customHeight="1" s="131">
      <c r="A405" s="220" t="n"/>
      <c r="B405" s="222" t="n"/>
      <c r="C405" s="220" t="n"/>
      <c r="D405" s="179" t="n"/>
      <c r="E405" s="219" t="n"/>
      <c r="F405" s="220" t="n"/>
      <c r="G405" s="221" t="n"/>
    </row>
    <row r="406" ht="15" customHeight="1" s="131">
      <c r="A406" s="220" t="n"/>
      <c r="B406" s="222" t="n"/>
      <c r="C406" s="220" t="n"/>
      <c r="D406" s="179" t="n"/>
      <c r="E406" s="219" t="n"/>
      <c r="F406" s="220" t="n"/>
      <c r="G406" s="221" t="n"/>
    </row>
    <row r="407" ht="15" customHeight="1" s="131">
      <c r="A407" s="220" t="n"/>
      <c r="B407" s="222" t="n"/>
      <c r="C407" s="220" t="n"/>
      <c r="D407" s="179" t="n"/>
      <c r="E407" s="219" t="n"/>
      <c r="F407" s="220" t="n"/>
      <c r="G407" s="221" t="n"/>
    </row>
    <row r="408" ht="15" customHeight="1" s="131">
      <c r="A408" s="220" t="n"/>
      <c r="B408" s="222" t="n"/>
      <c r="C408" s="220" t="n"/>
      <c r="D408" s="179" t="n"/>
      <c r="E408" s="219" t="n"/>
      <c r="F408" s="220" t="n"/>
      <c r="G408" s="221" t="n"/>
    </row>
    <row r="409" ht="15" customHeight="1" s="131">
      <c r="A409" s="220" t="n"/>
      <c r="B409" s="222" t="n"/>
      <c r="C409" s="220" t="n"/>
      <c r="D409" s="179" t="n"/>
      <c r="E409" s="219" t="n"/>
      <c r="F409" s="220" t="n"/>
      <c r="G409" s="221" t="n"/>
    </row>
    <row r="410" ht="15" customHeight="1" s="131">
      <c r="A410" s="220" t="n"/>
      <c r="B410" s="222" t="n"/>
      <c r="C410" s="220" t="n"/>
      <c r="D410" s="179" t="n"/>
      <c r="E410" s="219" t="n"/>
      <c r="F410" s="220" t="n"/>
      <c r="G410" s="221" t="n"/>
    </row>
    <row r="411" ht="15" customHeight="1" s="131">
      <c r="A411" s="220" t="n"/>
      <c r="B411" s="222" t="n"/>
      <c r="C411" s="220" t="n"/>
      <c r="D411" s="179" t="n"/>
      <c r="E411" s="219" t="n"/>
      <c r="F411" s="220" t="n"/>
      <c r="G411" s="221" t="n"/>
    </row>
    <row r="412" ht="15" customHeight="1" s="131">
      <c r="A412" s="220" t="n"/>
      <c r="B412" s="222" t="n"/>
      <c r="C412" s="220" t="n"/>
      <c r="D412" s="179" t="n"/>
      <c r="E412" s="219" t="n"/>
      <c r="F412" s="220" t="n"/>
      <c r="G412" s="221" t="n"/>
    </row>
    <row r="413" ht="15" customHeight="1" s="131">
      <c r="A413" s="220" t="n"/>
      <c r="B413" s="222" t="n"/>
      <c r="C413" s="220" t="n"/>
      <c r="D413" s="179" t="n"/>
      <c r="E413" s="219" t="n"/>
      <c r="F413" s="220" t="n"/>
      <c r="G413" s="221" t="n"/>
    </row>
    <row r="414" ht="15" customHeight="1" s="131">
      <c r="A414" s="220" t="n"/>
      <c r="B414" s="222" t="n"/>
      <c r="C414" s="220" t="n"/>
      <c r="D414" s="179" t="n"/>
      <c r="E414" s="219" t="n"/>
      <c r="F414" s="220" t="n"/>
      <c r="G414" s="221" t="n"/>
    </row>
    <row r="415" ht="15" customHeight="1" s="131">
      <c r="A415" s="220" t="n"/>
      <c r="B415" s="222" t="n"/>
      <c r="C415" s="220" t="n"/>
      <c r="D415" s="179" t="n"/>
      <c r="E415" s="219" t="n"/>
      <c r="F415" s="220" t="n"/>
      <c r="G415" s="221" t="n"/>
    </row>
    <row r="416" ht="15" customHeight="1" s="131">
      <c r="A416" s="220" t="n"/>
      <c r="B416" s="222" t="n"/>
      <c r="C416" s="220" t="n"/>
      <c r="D416" s="179" t="n"/>
      <c r="E416" s="219" t="n"/>
      <c r="F416" s="220" t="n"/>
      <c r="G416" s="221" t="n"/>
    </row>
    <row r="417" ht="15" customHeight="1" s="131">
      <c r="A417" s="220" t="n"/>
      <c r="B417" s="222" t="n"/>
      <c r="C417" s="220" t="n"/>
      <c r="D417" s="179" t="n"/>
      <c r="E417" s="219" t="n"/>
      <c r="F417" s="220" t="n"/>
      <c r="G417" s="221" t="n"/>
    </row>
    <row r="418" ht="15" customHeight="1" s="131">
      <c r="A418" s="220" t="n"/>
      <c r="B418" s="222" t="n"/>
      <c r="C418" s="220" t="n"/>
      <c r="D418" s="179" t="n"/>
      <c r="E418" s="219" t="n"/>
      <c r="F418" s="220" t="n"/>
      <c r="G418" s="221" t="n"/>
    </row>
    <row r="419" ht="15" customHeight="1" s="131">
      <c r="A419" s="220" t="n"/>
      <c r="B419" s="222" t="n"/>
      <c r="C419" s="220" t="n"/>
      <c r="D419" s="179" t="n"/>
      <c r="E419" s="219" t="n"/>
      <c r="F419" s="220" t="n"/>
      <c r="G419" s="221" t="n"/>
    </row>
    <row r="420" ht="15" customHeight="1" s="131">
      <c r="A420" s="220" t="n"/>
      <c r="B420" s="222" t="n"/>
      <c r="C420" s="220" t="n"/>
      <c r="D420" s="179" t="n"/>
      <c r="E420" s="219" t="n"/>
      <c r="F420" s="220" t="n"/>
      <c r="G420" s="221" t="n"/>
    </row>
    <row r="421" ht="15" customHeight="1" s="131">
      <c r="A421" s="220" t="n"/>
      <c r="B421" s="222" t="n"/>
      <c r="C421" s="220" t="n"/>
      <c r="D421" s="179" t="n"/>
      <c r="E421" s="219" t="n"/>
      <c r="F421" s="220" t="n"/>
      <c r="G421" s="221" t="n"/>
    </row>
    <row r="422" ht="15" customHeight="1" s="131">
      <c r="A422" s="220" t="n"/>
      <c r="B422" s="222" t="n"/>
      <c r="C422" s="220" t="n"/>
      <c r="D422" s="179" t="n"/>
      <c r="E422" s="219" t="n"/>
      <c r="F422" s="220" t="n"/>
      <c r="G422" s="221" t="n"/>
    </row>
    <row r="423" ht="15" customHeight="1" s="131">
      <c r="A423" s="220" t="n"/>
      <c r="B423" s="222" t="n"/>
      <c r="C423" s="220" t="n"/>
      <c r="D423" s="179" t="n"/>
      <c r="E423" s="219" t="n"/>
      <c r="F423" s="220" t="n"/>
      <c r="G423" s="221" t="n"/>
    </row>
    <row r="424" ht="15" customHeight="1" s="131">
      <c r="A424" s="220" t="n"/>
      <c r="B424" s="222" t="n"/>
      <c r="C424" s="220" t="n"/>
      <c r="D424" s="179" t="n"/>
      <c r="E424" s="219" t="n"/>
      <c r="F424" s="220" t="n"/>
      <c r="G424" s="221" t="n"/>
    </row>
    <row r="425" ht="15" customHeight="1" s="131">
      <c r="A425" s="220" t="n"/>
      <c r="B425" s="222" t="n"/>
      <c r="C425" s="220" t="n"/>
      <c r="D425" s="179" t="n"/>
      <c r="E425" s="219" t="n"/>
      <c r="F425" s="220" t="n"/>
      <c r="G425" s="221" t="n"/>
    </row>
    <row r="426" ht="15" customHeight="1" s="131">
      <c r="A426" s="220" t="n"/>
      <c r="B426" s="222" t="n"/>
      <c r="C426" s="220" t="n"/>
      <c r="D426" s="179" t="n"/>
      <c r="E426" s="219" t="n"/>
      <c r="F426" s="220" t="n"/>
      <c r="G426" s="221" t="n"/>
    </row>
    <row r="427" ht="15" customHeight="1" s="131">
      <c r="A427" s="220" t="n"/>
      <c r="B427" s="222" t="n"/>
      <c r="C427" s="220" t="n"/>
      <c r="D427" s="179" t="n"/>
      <c r="E427" s="219" t="n"/>
      <c r="F427" s="220" t="n"/>
      <c r="G427" s="221" t="n"/>
    </row>
    <row r="428" ht="15" customHeight="1" s="131">
      <c r="A428" s="220" t="n"/>
      <c r="B428" s="222" t="n"/>
      <c r="C428" s="220" t="n"/>
      <c r="D428" s="179" t="n"/>
      <c r="E428" s="219" t="n"/>
      <c r="F428" s="220" t="n"/>
      <c r="G428" s="221" t="n"/>
    </row>
    <row r="429" ht="15" customHeight="1" s="131">
      <c r="A429" s="220" t="n"/>
      <c r="B429" s="222" t="n"/>
      <c r="C429" s="220" t="n"/>
      <c r="D429" s="179" t="n"/>
      <c r="E429" s="219" t="n"/>
      <c r="F429" s="220" t="n"/>
      <c r="G429" s="221" t="n"/>
    </row>
    <row r="430" ht="15" customHeight="1" s="131">
      <c r="A430" s="220" t="n"/>
      <c r="B430" s="222" t="n"/>
      <c r="C430" s="220" t="n"/>
      <c r="D430" s="179" t="n"/>
      <c r="E430" s="219" t="n"/>
      <c r="F430" s="220" t="n"/>
      <c r="G430" s="221" t="n"/>
    </row>
    <row r="431" ht="15" customHeight="1" s="131">
      <c r="A431" s="220" t="n"/>
      <c r="B431" s="222" t="n"/>
      <c r="C431" s="220" t="n"/>
      <c r="D431" s="179" t="n"/>
      <c r="E431" s="219" t="n"/>
      <c r="F431" s="220" t="n"/>
      <c r="G431" s="221" t="n"/>
    </row>
    <row r="432" ht="15" customHeight="1" s="131">
      <c r="A432" s="220" t="n"/>
      <c r="B432" s="222" t="n"/>
      <c r="C432" s="220" t="n"/>
      <c r="D432" s="179" t="n"/>
      <c r="E432" s="219" t="n"/>
      <c r="F432" s="220" t="n"/>
      <c r="G432" s="221" t="n"/>
    </row>
    <row r="433" ht="15" customHeight="1" s="131">
      <c r="A433" s="220" t="n"/>
      <c r="B433" s="222" t="n"/>
      <c r="C433" s="220" t="n"/>
      <c r="D433" s="179" t="n"/>
      <c r="E433" s="219" t="n"/>
      <c r="F433" s="220" t="n"/>
      <c r="G433" s="221" t="n"/>
    </row>
    <row r="434" ht="15" customHeight="1" s="131">
      <c r="A434" s="220" t="n"/>
      <c r="B434" s="222" t="n"/>
      <c r="C434" s="220" t="n"/>
      <c r="D434" s="179" t="n"/>
      <c r="E434" s="219" t="n"/>
      <c r="F434" s="220" t="n"/>
      <c r="G434" s="221" t="n"/>
    </row>
    <row r="435" ht="15" customHeight="1" s="131">
      <c r="A435" s="220" t="n"/>
      <c r="B435" s="222" t="n"/>
      <c r="C435" s="220" t="n"/>
      <c r="D435" s="179" t="n"/>
      <c r="E435" s="219" t="n"/>
      <c r="F435" s="220" t="n"/>
      <c r="G435" s="221" t="n"/>
    </row>
    <row r="436" ht="15" customHeight="1" s="131">
      <c r="A436" s="220" t="n"/>
      <c r="B436" s="222" t="n"/>
      <c r="C436" s="220" t="n"/>
      <c r="D436" s="179" t="n"/>
      <c r="E436" s="219" t="n"/>
      <c r="F436" s="220" t="n"/>
      <c r="G436" s="221" t="n"/>
    </row>
    <row r="437" ht="15" customHeight="1" s="131">
      <c r="A437" s="220" t="n"/>
      <c r="B437" s="222" t="n"/>
      <c r="C437" s="220" t="n"/>
      <c r="D437" s="179" t="n"/>
      <c r="E437" s="219" t="n"/>
      <c r="F437" s="220" t="n"/>
      <c r="G437" s="221" t="n"/>
    </row>
    <row r="438" ht="15" customHeight="1" s="131">
      <c r="A438" s="220" t="n"/>
      <c r="B438" s="222" t="n"/>
      <c r="C438" s="220" t="n"/>
      <c r="D438" s="179" t="n"/>
      <c r="E438" s="219" t="n"/>
      <c r="F438" s="220" t="n"/>
      <c r="G438" s="221" t="n"/>
    </row>
    <row r="439" ht="15" customHeight="1" s="131">
      <c r="A439" s="220" t="n"/>
      <c r="B439" s="222" t="n"/>
      <c r="C439" s="220" t="n"/>
      <c r="D439" s="179" t="n"/>
      <c r="E439" s="219" t="n"/>
      <c r="F439" s="220" t="n"/>
      <c r="G439" s="221" t="n"/>
    </row>
    <row r="440" ht="15" customHeight="1" s="131">
      <c r="A440" s="220" t="n"/>
      <c r="B440" s="222" t="n"/>
      <c r="C440" s="220" t="n"/>
      <c r="D440" s="179" t="n"/>
      <c r="E440" s="219" t="n"/>
      <c r="F440" s="220" t="n"/>
      <c r="G440" s="221" t="n"/>
    </row>
    <row r="441" ht="15" customHeight="1" s="131">
      <c r="A441" s="220" t="n"/>
      <c r="B441" s="222" t="n"/>
      <c r="C441" s="220" t="n"/>
      <c r="D441" s="179" t="n"/>
      <c r="E441" s="219" t="n"/>
      <c r="F441" s="220" t="n"/>
      <c r="G441" s="221" t="n"/>
    </row>
    <row r="442" ht="15" customHeight="1" s="131">
      <c r="A442" s="220" t="n"/>
      <c r="B442" s="222" t="n"/>
      <c r="C442" s="220" t="n"/>
      <c r="D442" s="179" t="n"/>
      <c r="E442" s="219" t="n"/>
      <c r="F442" s="220" t="n"/>
      <c r="G442" s="221" t="n"/>
    </row>
    <row r="443" ht="15" customHeight="1" s="131">
      <c r="A443" s="220" t="n"/>
      <c r="B443" s="222" t="n"/>
      <c r="C443" s="220" t="n"/>
      <c r="D443" s="179" t="n"/>
      <c r="E443" s="219" t="n"/>
      <c r="F443" s="220" t="n"/>
      <c r="G443" s="221" t="n"/>
    </row>
    <row r="444" ht="15" customHeight="1" s="131">
      <c r="A444" s="220" t="n"/>
      <c r="B444" s="222" t="n"/>
      <c r="C444" s="220" t="n"/>
      <c r="D444" s="179" t="n"/>
      <c r="E444" s="219" t="n"/>
      <c r="F444" s="220" t="n"/>
      <c r="G444" s="221" t="n"/>
    </row>
    <row r="445" ht="15" customHeight="1" s="131">
      <c r="A445" s="220" t="n"/>
      <c r="B445" s="222" t="n"/>
      <c r="C445" s="220" t="n"/>
      <c r="D445" s="179" t="n"/>
      <c r="E445" s="219" t="n"/>
      <c r="F445" s="220" t="n"/>
      <c r="G445" s="221" t="n"/>
    </row>
    <row r="446" ht="15" customHeight="1" s="131">
      <c r="A446" s="220" t="n"/>
      <c r="B446" s="222" t="n"/>
      <c r="C446" s="220" t="n"/>
      <c r="D446" s="179" t="n"/>
      <c r="E446" s="219" t="n"/>
      <c r="F446" s="220" t="n"/>
      <c r="G446" s="221" t="n"/>
    </row>
    <row r="447" ht="15" customHeight="1" s="131">
      <c r="A447" s="220" t="n"/>
      <c r="B447" s="222" t="n"/>
      <c r="C447" s="220" t="n"/>
      <c r="D447" s="179" t="n"/>
      <c r="E447" s="219" t="n"/>
      <c r="F447" s="220" t="n"/>
      <c r="G447" s="221" t="n"/>
    </row>
    <row r="448" ht="15" customHeight="1" s="131">
      <c r="A448" s="220" t="n"/>
      <c r="B448" s="222" t="n"/>
      <c r="C448" s="220" t="n"/>
      <c r="D448" s="179" t="n"/>
      <c r="E448" s="219" t="n"/>
      <c r="F448" s="220" t="n"/>
      <c r="G448" s="221" t="n"/>
    </row>
    <row r="449" ht="15" customHeight="1" s="131">
      <c r="A449" s="220" t="n"/>
      <c r="B449" s="222" t="n"/>
      <c r="C449" s="220" t="n"/>
      <c r="D449" s="179" t="n"/>
      <c r="E449" s="219" t="n"/>
      <c r="F449" s="220" t="n"/>
      <c r="G449" s="221" t="n"/>
    </row>
    <row r="450" ht="15" customHeight="1" s="131">
      <c r="A450" s="220" t="n"/>
      <c r="B450" s="222" t="n"/>
      <c r="C450" s="220" t="n"/>
      <c r="D450" s="179" t="n"/>
      <c r="E450" s="219" t="n"/>
      <c r="F450" s="220" t="n"/>
      <c r="G450" s="221" t="n"/>
    </row>
    <row r="451" ht="15" customHeight="1" s="131">
      <c r="A451" s="220" t="n"/>
      <c r="B451" s="222" t="n"/>
      <c r="C451" s="220" t="n"/>
      <c r="D451" s="179" t="n"/>
      <c r="E451" s="219" t="n"/>
      <c r="F451" s="220" t="n"/>
      <c r="G451" s="221" t="n"/>
    </row>
    <row r="452" ht="15" customHeight="1" s="131">
      <c r="A452" s="220" t="n"/>
      <c r="B452" s="222" t="n"/>
      <c r="C452" s="220" t="n"/>
      <c r="D452" s="179" t="n"/>
      <c r="E452" s="219" t="n"/>
      <c r="F452" s="220" t="n"/>
      <c r="G452" s="221" t="n"/>
    </row>
    <row r="453" ht="15" customHeight="1" s="131">
      <c r="A453" s="220" t="n"/>
      <c r="B453" s="222" t="n"/>
      <c r="C453" s="220" t="n"/>
      <c r="D453" s="179" t="n"/>
      <c r="E453" s="219" t="n"/>
      <c r="F453" s="220" t="n"/>
      <c r="G453" s="221" t="n"/>
    </row>
    <row r="454" ht="15" customHeight="1" s="131">
      <c r="A454" s="220" t="n"/>
      <c r="B454" s="222" t="n"/>
      <c r="C454" s="220" t="n"/>
      <c r="D454" s="179" t="n"/>
      <c r="E454" s="219" t="n"/>
      <c r="F454" s="220" t="n"/>
      <c r="G454" s="221" t="n"/>
    </row>
    <row r="455" ht="15" customHeight="1" s="131">
      <c r="A455" s="220" t="n"/>
      <c r="B455" s="222" t="n"/>
      <c r="C455" s="220" t="n"/>
      <c r="D455" s="179" t="n"/>
      <c r="E455" s="219" t="n"/>
      <c r="F455" s="220" t="n"/>
      <c r="G455" s="221" t="n"/>
    </row>
    <row r="456" ht="15" customHeight="1" s="131">
      <c r="A456" s="220" t="n"/>
      <c r="B456" s="222" t="n"/>
      <c r="C456" s="220" t="n"/>
      <c r="D456" s="179" t="n"/>
      <c r="E456" s="219" t="n"/>
      <c r="F456" s="220" t="n"/>
      <c r="G456" s="221" t="n"/>
    </row>
    <row r="457" ht="15" customHeight="1" s="131">
      <c r="A457" s="220" t="n"/>
      <c r="B457" s="222" t="n"/>
      <c r="C457" s="220" t="n"/>
      <c r="D457" s="179" t="n"/>
      <c r="E457" s="219" t="n"/>
      <c r="F457" s="220" t="n"/>
      <c r="G457" s="221" t="n"/>
    </row>
    <row r="458" ht="15" customHeight="1" s="131">
      <c r="A458" s="220" t="n"/>
      <c r="B458" s="222" t="n"/>
      <c r="C458" s="220" t="n"/>
      <c r="D458" s="179" t="n"/>
      <c r="E458" s="219" t="n"/>
      <c r="F458" s="220" t="n"/>
      <c r="G458" s="221" t="n"/>
    </row>
    <row r="459" ht="15" customHeight="1" s="131">
      <c r="A459" s="220" t="n"/>
      <c r="B459" s="222" t="n"/>
      <c r="C459" s="220" t="n"/>
      <c r="D459" s="179" t="n"/>
      <c r="E459" s="219" t="n"/>
      <c r="F459" s="220" t="n"/>
      <c r="G459" s="221" t="n"/>
    </row>
    <row r="460" ht="15" customHeight="1" s="131">
      <c r="A460" s="220" t="n"/>
      <c r="B460" s="222" t="n"/>
      <c r="C460" s="220" t="n"/>
      <c r="D460" s="179" t="n"/>
      <c r="E460" s="219" t="n"/>
      <c r="F460" s="220" t="n"/>
      <c r="G460" s="221" t="n"/>
    </row>
    <row r="461" ht="15" customHeight="1" s="131">
      <c r="A461" s="220" t="n"/>
      <c r="B461" s="222" t="n"/>
      <c r="C461" s="220" t="n"/>
      <c r="D461" s="179" t="n"/>
      <c r="E461" s="219" t="n"/>
      <c r="F461" s="220" t="n"/>
      <c r="G461" s="221" t="n"/>
    </row>
    <row r="462" ht="15" customHeight="1" s="131">
      <c r="A462" s="220" t="n"/>
      <c r="B462" s="222" t="n"/>
      <c r="C462" s="220" t="n"/>
      <c r="D462" s="179" t="n"/>
      <c r="E462" s="219" t="n"/>
      <c r="F462" s="220" t="n"/>
      <c r="G462" s="221" t="n"/>
    </row>
    <row r="463" ht="15" customHeight="1" s="131">
      <c r="A463" s="220" t="n"/>
      <c r="B463" s="222" t="n"/>
      <c r="C463" s="220" t="n"/>
      <c r="D463" s="179" t="n"/>
      <c r="E463" s="219" t="n"/>
      <c r="F463" s="220" t="n"/>
      <c r="G463" s="221" t="n"/>
    </row>
    <row r="464" ht="15" customHeight="1" s="131">
      <c r="A464" s="220" t="n"/>
      <c r="B464" s="222" t="n"/>
      <c r="C464" s="220" t="n"/>
      <c r="D464" s="179" t="n"/>
      <c r="E464" s="219" t="n"/>
      <c r="F464" s="220" t="n"/>
      <c r="G464" s="221" t="n"/>
    </row>
    <row r="465" ht="15" customHeight="1" s="131">
      <c r="A465" s="220" t="n"/>
      <c r="B465" s="222" t="n"/>
      <c r="C465" s="220" t="n"/>
      <c r="D465" s="179" t="n"/>
      <c r="E465" s="219" t="n"/>
      <c r="F465" s="220" t="n"/>
      <c r="G465" s="221" t="n"/>
    </row>
    <row r="466" ht="15" customHeight="1" s="131">
      <c r="A466" s="220" t="n"/>
      <c r="B466" s="222" t="n"/>
      <c r="C466" s="220" t="n"/>
      <c r="D466" s="179" t="n"/>
      <c r="E466" s="219" t="n"/>
      <c r="F466" s="220" t="n"/>
      <c r="G466" s="221" t="n"/>
    </row>
    <row r="467" ht="15" customHeight="1" s="131">
      <c r="A467" s="220" t="n"/>
      <c r="B467" s="222" t="n"/>
      <c r="C467" s="220" t="n"/>
      <c r="D467" s="179" t="n"/>
      <c r="E467" s="219" t="n"/>
      <c r="F467" s="220" t="n"/>
      <c r="G467" s="221" t="n"/>
    </row>
    <row r="468" ht="15" customHeight="1" s="131">
      <c r="A468" s="220" t="n"/>
      <c r="B468" s="222" t="n"/>
      <c r="C468" s="220" t="n"/>
      <c r="D468" s="179" t="n"/>
      <c r="E468" s="219" t="n"/>
      <c r="F468" s="220" t="n"/>
      <c r="G468" s="221" t="n"/>
    </row>
    <row r="469" ht="15" customHeight="1" s="131">
      <c r="A469" s="220" t="n"/>
      <c r="B469" s="222" t="n"/>
      <c r="C469" s="220" t="n"/>
      <c r="D469" s="179" t="n"/>
      <c r="E469" s="219" t="n"/>
      <c r="F469" s="220" t="n"/>
      <c r="G469" s="221" t="n"/>
    </row>
    <row r="470" ht="15" customHeight="1" s="131">
      <c r="A470" s="220" t="n"/>
      <c r="B470" s="222" t="n"/>
      <c r="C470" s="220" t="n"/>
      <c r="D470" s="179" t="n"/>
      <c r="E470" s="219" t="n"/>
      <c r="F470" s="220" t="n"/>
      <c r="G470" s="221" t="n"/>
    </row>
    <row r="471" ht="15" customHeight="1" s="131">
      <c r="A471" s="220" t="n"/>
      <c r="B471" s="222" t="n"/>
      <c r="C471" s="220" t="n"/>
      <c r="D471" s="179" t="n"/>
      <c r="E471" s="219" t="n"/>
      <c r="F471" s="220" t="n"/>
      <c r="G471" s="221" t="n"/>
    </row>
    <row r="472" ht="15" customHeight="1" s="131">
      <c r="A472" s="220" t="n"/>
      <c r="B472" s="222" t="n"/>
      <c r="C472" s="220" t="n"/>
      <c r="D472" s="179" t="n"/>
      <c r="E472" s="219" t="n"/>
      <c r="F472" s="220" t="n"/>
      <c r="G472" s="221" t="n"/>
    </row>
    <row r="473" ht="15" customHeight="1" s="131">
      <c r="A473" s="220" t="n"/>
      <c r="B473" s="222" t="n"/>
      <c r="C473" s="220" t="n"/>
      <c r="D473" s="179" t="n"/>
      <c r="E473" s="219" t="n"/>
      <c r="F473" s="220" t="n"/>
      <c r="G473" s="221" t="n"/>
    </row>
    <row r="474" ht="15" customHeight="1" s="131">
      <c r="A474" s="220" t="n"/>
      <c r="B474" s="222" t="n"/>
      <c r="C474" s="220" t="n"/>
      <c r="D474" s="179" t="n"/>
      <c r="E474" s="219" t="n"/>
      <c r="F474" s="220" t="n"/>
      <c r="G474" s="221" t="n"/>
    </row>
    <row r="475" ht="15" customHeight="1" s="131">
      <c r="A475" s="220" t="n"/>
      <c r="B475" s="222" t="n"/>
      <c r="C475" s="220" t="n"/>
      <c r="D475" s="179" t="n"/>
      <c r="E475" s="219" t="n"/>
      <c r="F475" s="220" t="n"/>
      <c r="G475" s="221" t="n"/>
    </row>
    <row r="476" ht="15" customHeight="1" s="131">
      <c r="A476" s="220" t="n"/>
      <c r="B476" s="222" t="n"/>
      <c r="C476" s="220" t="n"/>
      <c r="D476" s="179" t="n"/>
      <c r="E476" s="219" t="n"/>
      <c r="F476" s="220" t="n"/>
      <c r="G476" s="221" t="n"/>
    </row>
    <row r="477" ht="15" customHeight="1" s="131">
      <c r="A477" s="220" t="n"/>
      <c r="B477" s="222" t="n"/>
      <c r="C477" s="220" t="n"/>
      <c r="D477" s="179" t="n"/>
      <c r="E477" s="219" t="n"/>
      <c r="F477" s="220" t="n"/>
      <c r="G477" s="221" t="n"/>
    </row>
    <row r="478" ht="15" customHeight="1" s="131">
      <c r="A478" s="220" t="n"/>
      <c r="B478" s="222" t="n"/>
      <c r="C478" s="220" t="n"/>
      <c r="D478" s="179" t="n"/>
      <c r="E478" s="219" t="n"/>
      <c r="F478" s="220" t="n"/>
      <c r="G478" s="221" t="n"/>
    </row>
    <row r="479" ht="15" customHeight="1" s="131">
      <c r="A479" s="220" t="n"/>
      <c r="B479" s="222" t="n"/>
      <c r="C479" s="220" t="n"/>
      <c r="D479" s="179" t="n"/>
      <c r="E479" s="219" t="n"/>
      <c r="F479" s="220" t="n"/>
      <c r="G479" s="221" t="n"/>
    </row>
    <row r="480" ht="15" customHeight="1" s="131">
      <c r="A480" s="220" t="n"/>
      <c r="B480" s="222" t="n"/>
      <c r="C480" s="220" t="n"/>
      <c r="D480" s="179" t="n"/>
      <c r="E480" s="219" t="n"/>
      <c r="F480" s="220" t="n"/>
      <c r="G480" s="221" t="n"/>
    </row>
    <row r="481" ht="15" customHeight="1" s="131">
      <c r="A481" s="220" t="n"/>
      <c r="B481" s="222" t="n"/>
      <c r="C481" s="220" t="n"/>
      <c r="D481" s="179" t="n"/>
      <c r="E481" s="219" t="n"/>
      <c r="F481" s="220" t="n"/>
      <c r="G481" s="221" t="n"/>
    </row>
    <row r="482" ht="15" customHeight="1" s="131">
      <c r="A482" s="220" t="n"/>
      <c r="B482" s="222" t="n"/>
      <c r="C482" s="220" t="n"/>
      <c r="D482" s="179" t="n"/>
      <c r="E482" s="219" t="n"/>
      <c r="F482" s="220" t="n"/>
      <c r="G482" s="221" t="n"/>
    </row>
    <row r="483" ht="15" customHeight="1" s="131">
      <c r="A483" s="220" t="n"/>
      <c r="B483" s="222" t="n"/>
      <c r="C483" s="220" t="n"/>
      <c r="D483" s="179" t="n"/>
      <c r="E483" s="219" t="n"/>
      <c r="F483" s="220" t="n"/>
      <c r="G483" s="221" t="n"/>
    </row>
    <row r="484" ht="15" customHeight="1" s="131">
      <c r="A484" s="220" t="n"/>
      <c r="B484" s="222" t="n"/>
      <c r="C484" s="220" t="n"/>
      <c r="D484" s="179" t="n"/>
      <c r="E484" s="219" t="n"/>
      <c r="F484" s="220" t="n"/>
      <c r="G484" s="221" t="n"/>
    </row>
    <row r="485" ht="15" customHeight="1" s="131">
      <c r="A485" s="220" t="n"/>
      <c r="B485" s="222" t="n"/>
      <c r="C485" s="220" t="n"/>
      <c r="D485" s="179" t="n"/>
      <c r="E485" s="219" t="n"/>
      <c r="F485" s="220" t="n"/>
      <c r="G485" s="221" t="n"/>
    </row>
    <row r="486" ht="15" customHeight="1" s="131">
      <c r="A486" s="220" t="n"/>
      <c r="B486" s="222" t="n"/>
      <c r="C486" s="220" t="n"/>
      <c r="D486" s="179" t="n"/>
      <c r="E486" s="219" t="n"/>
      <c r="F486" s="220" t="n"/>
      <c r="G486" s="221" t="n"/>
    </row>
    <row r="487" ht="15" customHeight="1" s="131">
      <c r="A487" s="220" t="n"/>
      <c r="B487" s="222" t="n"/>
      <c r="C487" s="220" t="n"/>
      <c r="D487" s="179" t="n"/>
      <c r="E487" s="219" t="n"/>
      <c r="F487" s="220" t="n"/>
      <c r="G487" s="221" t="n"/>
    </row>
    <row r="488" ht="15" customHeight="1" s="131">
      <c r="A488" s="220" t="n"/>
      <c r="B488" s="222" t="n"/>
      <c r="C488" s="220" t="n"/>
      <c r="D488" s="179" t="n"/>
      <c r="E488" s="219" t="n"/>
      <c r="F488" s="220" t="n"/>
      <c r="G488" s="221" t="n"/>
    </row>
    <row r="489" ht="15" customHeight="1" s="131">
      <c r="A489" s="220" t="n"/>
      <c r="B489" s="222" t="n"/>
      <c r="C489" s="220" t="n"/>
      <c r="D489" s="179" t="n"/>
      <c r="E489" s="219" t="n"/>
      <c r="F489" s="220" t="n"/>
      <c r="G489" s="221" t="n"/>
    </row>
    <row r="490" ht="15" customHeight="1" s="131">
      <c r="A490" s="220" t="n"/>
      <c r="B490" s="222" t="n"/>
      <c r="C490" s="220" t="n"/>
      <c r="D490" s="179" t="n"/>
      <c r="E490" s="219" t="n"/>
      <c r="F490" s="220" t="n"/>
      <c r="G490" s="221" t="n"/>
    </row>
    <row r="491" ht="15" customHeight="1" s="131">
      <c r="A491" s="220" t="n"/>
      <c r="B491" s="222" t="n"/>
      <c r="C491" s="220" t="n"/>
      <c r="D491" s="179" t="n"/>
      <c r="E491" s="219" t="n"/>
      <c r="F491" s="220" t="n"/>
      <c r="G491" s="221" t="n"/>
    </row>
    <row r="492" ht="15" customHeight="1" s="131">
      <c r="A492" s="220" t="n"/>
      <c r="B492" s="222" t="n"/>
      <c r="C492" s="220" t="n"/>
      <c r="D492" s="179" t="n"/>
      <c r="E492" s="219" t="n"/>
      <c r="F492" s="220" t="n"/>
      <c r="G492" s="221" t="n"/>
    </row>
    <row r="493" ht="15" customHeight="1" s="131">
      <c r="A493" s="220" t="n"/>
      <c r="B493" s="222" t="n"/>
      <c r="C493" s="220" t="n"/>
      <c r="D493" s="179" t="n"/>
      <c r="E493" s="219" t="n"/>
      <c r="F493" s="220" t="n"/>
      <c r="G493" s="221" t="n"/>
    </row>
    <row r="494" ht="15" customHeight="1" s="131">
      <c r="A494" s="220" t="n"/>
      <c r="B494" s="222" t="n"/>
      <c r="C494" s="220" t="n"/>
      <c r="D494" s="179" t="n"/>
      <c r="E494" s="219" t="n"/>
      <c r="F494" s="220" t="n"/>
      <c r="G494" s="221" t="n"/>
    </row>
    <row r="495" ht="15" customHeight="1" s="131">
      <c r="A495" s="220" t="n"/>
      <c r="B495" s="222" t="n"/>
      <c r="C495" s="220" t="n"/>
      <c r="D495" s="179" t="n"/>
      <c r="E495" s="219" t="n"/>
      <c r="F495" s="220" t="n"/>
      <c r="G495" s="221" t="n"/>
    </row>
    <row r="496" ht="15" customHeight="1" s="131">
      <c r="A496" s="220" t="n"/>
      <c r="B496" s="222" t="n"/>
      <c r="C496" s="220" t="n"/>
      <c r="D496" s="179" t="n"/>
      <c r="E496" s="219" t="n"/>
      <c r="F496" s="220" t="n"/>
      <c r="G496" s="221" t="n"/>
    </row>
    <row r="497" ht="15" customHeight="1" s="131">
      <c r="A497" s="220" t="n"/>
      <c r="B497" s="222" t="n"/>
      <c r="C497" s="220" t="n"/>
      <c r="D497" s="179" t="n"/>
      <c r="E497" s="219" t="n"/>
      <c r="F497" s="220" t="n"/>
      <c r="G497" s="221" t="n"/>
    </row>
    <row r="498" ht="15" customHeight="1" s="131">
      <c r="A498" s="220" t="n"/>
      <c r="B498" s="222" t="n"/>
      <c r="C498" s="220" t="n"/>
      <c r="D498" s="179" t="n"/>
      <c r="E498" s="219" t="n"/>
      <c r="F498" s="220" t="n"/>
      <c r="G498" s="221" t="n"/>
    </row>
    <row r="499" ht="15" customHeight="1" s="131">
      <c r="A499" s="220" t="n"/>
      <c r="B499" s="222" t="n"/>
      <c r="C499" s="220" t="n"/>
      <c r="D499" s="179" t="n"/>
      <c r="E499" s="219" t="n"/>
      <c r="F499" s="220" t="n"/>
      <c r="G499" s="221" t="n"/>
    </row>
    <row r="500" ht="15" customHeight="1" s="131">
      <c r="A500" s="220" t="n"/>
      <c r="B500" s="222" t="n"/>
      <c r="C500" s="220" t="n"/>
      <c r="D500" s="179" t="n"/>
      <c r="E500" s="219" t="n"/>
      <c r="F500" s="220" t="n"/>
      <c r="G500" s="221" t="n"/>
    </row>
    <row r="501" ht="15" customHeight="1" s="131">
      <c r="A501" s="220" t="n"/>
      <c r="B501" s="222" t="n"/>
      <c r="C501" s="220" t="n"/>
      <c r="D501" s="179" t="n"/>
      <c r="E501" s="219" t="n"/>
      <c r="F501" s="220" t="n"/>
      <c r="G501" s="221" t="n"/>
    </row>
    <row r="502" ht="15" customHeight="1" s="131">
      <c r="A502" s="220" t="n"/>
      <c r="B502" s="222" t="n"/>
      <c r="C502" s="220" t="n"/>
      <c r="D502" s="179" t="n"/>
      <c r="E502" s="219" t="n"/>
      <c r="F502" s="220" t="n"/>
      <c r="G502" s="221" t="n"/>
    </row>
    <row r="503" ht="15" customHeight="1" s="131">
      <c r="A503" s="220" t="n"/>
      <c r="B503" s="222" t="n"/>
      <c r="C503" s="220" t="n"/>
      <c r="D503" s="179" t="n"/>
      <c r="E503" s="219" t="n"/>
      <c r="F503" s="220" t="n"/>
      <c r="G503" s="221" t="n"/>
    </row>
    <row r="504" ht="15" customHeight="1" s="131">
      <c r="A504" s="220" t="n"/>
      <c r="B504" s="222" t="n"/>
      <c r="C504" s="220" t="n"/>
      <c r="D504" s="179" t="n"/>
      <c r="E504" s="219" t="n"/>
      <c r="F504" s="220" t="n"/>
      <c r="G504" s="221" t="n"/>
    </row>
    <row r="505" ht="15" customHeight="1" s="131">
      <c r="A505" s="220" t="n"/>
      <c r="B505" s="222" t="n"/>
      <c r="C505" s="220" t="n"/>
      <c r="D505" s="179" t="n"/>
      <c r="E505" s="219" t="n"/>
      <c r="F505" s="220" t="n"/>
      <c r="G505" s="221" t="n"/>
    </row>
    <row r="506" ht="15" customHeight="1" s="131">
      <c r="A506" s="220" t="n"/>
      <c r="B506" s="222" t="n"/>
      <c r="C506" s="220" t="n"/>
      <c r="D506" s="179" t="n"/>
      <c r="E506" s="219" t="n"/>
      <c r="F506" s="220" t="n"/>
      <c r="G506" s="221" t="n"/>
    </row>
    <row r="507" ht="15" customHeight="1" s="131">
      <c r="A507" s="220" t="n"/>
      <c r="B507" s="222" t="n"/>
      <c r="C507" s="220" t="n"/>
      <c r="D507" s="179" t="n"/>
      <c r="E507" s="219" t="n"/>
      <c r="F507" s="220" t="n"/>
      <c r="G507" s="221" t="n"/>
    </row>
    <row r="508" ht="15" customHeight="1" s="131">
      <c r="A508" s="220" t="n"/>
      <c r="B508" s="222" t="n"/>
      <c r="C508" s="220" t="n"/>
      <c r="D508" s="179" t="n"/>
      <c r="E508" s="219" t="n"/>
      <c r="F508" s="220" t="n"/>
      <c r="G508" s="221" t="n"/>
    </row>
    <row r="509" ht="15" customHeight="1" s="131">
      <c r="A509" s="220" t="n"/>
      <c r="B509" s="222" t="n"/>
      <c r="C509" s="220" t="n"/>
      <c r="D509" s="179" t="n"/>
      <c r="E509" s="219" t="n"/>
      <c r="F509" s="220" t="n"/>
      <c r="G509" s="221" t="n"/>
    </row>
    <row r="510" ht="15" customHeight="1" s="131">
      <c r="A510" s="220" t="n"/>
      <c r="B510" s="222" t="n"/>
      <c r="C510" s="220" t="n"/>
      <c r="D510" s="179" t="n"/>
      <c r="E510" s="219" t="n"/>
      <c r="F510" s="220" t="n"/>
      <c r="G510" s="221" t="n"/>
    </row>
    <row r="511" ht="15" customHeight="1" s="131">
      <c r="A511" s="220" t="n"/>
      <c r="B511" s="222" t="n"/>
      <c r="C511" s="220" t="n"/>
      <c r="D511" s="179" t="n"/>
      <c r="E511" s="219" t="n"/>
      <c r="F511" s="220" t="n"/>
      <c r="G511" s="221" t="n"/>
    </row>
    <row r="512" ht="15" customHeight="1" s="131">
      <c r="A512" s="220" t="n"/>
      <c r="B512" s="222" t="n"/>
      <c r="C512" s="220" t="n"/>
      <c r="D512" s="179" t="n"/>
      <c r="E512" s="219" t="n"/>
      <c r="F512" s="220" t="n"/>
      <c r="G512" s="221" t="n"/>
    </row>
    <row r="513" ht="15" customHeight="1" s="131">
      <c r="A513" s="220" t="n"/>
      <c r="B513" s="222" t="n"/>
      <c r="C513" s="220" t="n"/>
      <c r="D513" s="179" t="n"/>
      <c r="E513" s="219" t="n"/>
      <c r="F513" s="220" t="n"/>
      <c r="G513" s="221" t="n"/>
    </row>
    <row r="514" ht="15" customHeight="1" s="131">
      <c r="A514" s="220" t="n"/>
      <c r="B514" s="222" t="n"/>
      <c r="C514" s="220" t="n"/>
      <c r="D514" s="179" t="n"/>
      <c r="E514" s="219" t="n"/>
      <c r="F514" s="220" t="n"/>
      <c r="G514" s="221" t="n"/>
    </row>
    <row r="515" ht="15" customHeight="1" s="131">
      <c r="A515" s="220" t="n"/>
      <c r="B515" s="222" t="n"/>
      <c r="C515" s="220" t="n"/>
      <c r="D515" s="179" t="n"/>
      <c r="E515" s="219" t="n"/>
      <c r="F515" s="220" t="n"/>
      <c r="G515" s="221" t="n"/>
    </row>
    <row r="516" ht="15" customHeight="1" s="131">
      <c r="A516" s="220" t="n"/>
      <c r="B516" s="222" t="n"/>
      <c r="C516" s="220" t="n"/>
      <c r="D516" s="179" t="n"/>
      <c r="E516" s="219" t="n"/>
      <c r="F516" s="220" t="n"/>
      <c r="G516" s="221" t="n"/>
    </row>
    <row r="517" ht="15" customHeight="1" s="131">
      <c r="A517" s="220" t="n"/>
      <c r="B517" s="222" t="n"/>
      <c r="C517" s="220" t="n"/>
      <c r="D517" s="179" t="n"/>
      <c r="E517" s="219" t="n"/>
      <c r="F517" s="220" t="n"/>
      <c r="G517" s="221" t="n"/>
    </row>
    <row r="518" ht="15" customHeight="1" s="131">
      <c r="A518" s="220" t="n"/>
      <c r="B518" s="222" t="n"/>
      <c r="C518" s="220" t="n"/>
      <c r="D518" s="179" t="n"/>
      <c r="E518" s="219" t="n"/>
      <c r="F518" s="220" t="n"/>
      <c r="G518" s="221" t="n"/>
    </row>
    <row r="519" ht="15" customHeight="1" s="131">
      <c r="A519" s="220" t="n"/>
      <c r="B519" s="222" t="n"/>
      <c r="C519" s="220" t="n"/>
      <c r="D519" s="179" t="n"/>
      <c r="E519" s="219" t="n"/>
      <c r="F519" s="220" t="n"/>
      <c r="G519" s="221" t="n"/>
    </row>
    <row r="520" ht="15" customHeight="1" s="131">
      <c r="A520" s="220" t="n"/>
      <c r="B520" s="222" t="n"/>
      <c r="C520" s="220" t="n"/>
      <c r="D520" s="179" t="n"/>
      <c r="E520" s="219" t="n"/>
      <c r="F520" s="220" t="n"/>
      <c r="G520" s="221" t="n"/>
    </row>
    <row r="521" ht="15" customHeight="1" s="131">
      <c r="A521" s="220" t="n"/>
      <c r="B521" s="222" t="n"/>
      <c r="C521" s="220" t="n"/>
      <c r="D521" s="179" t="n"/>
      <c r="E521" s="219" t="n"/>
      <c r="F521" s="220" t="n"/>
      <c r="G521" s="221" t="n"/>
    </row>
    <row r="522" ht="15" customHeight="1" s="131">
      <c r="A522" s="220" t="n"/>
      <c r="B522" s="222" t="n"/>
      <c r="C522" s="220" t="n"/>
      <c r="D522" s="179" t="n"/>
      <c r="E522" s="219" t="n"/>
      <c r="F522" s="220" t="n"/>
      <c r="G522" s="221" t="n"/>
    </row>
    <row r="523" ht="15" customHeight="1" s="131">
      <c r="A523" s="220" t="n"/>
      <c r="B523" s="222" t="n"/>
      <c r="C523" s="220" t="n"/>
      <c r="D523" s="179" t="n"/>
      <c r="E523" s="219" t="n"/>
      <c r="F523" s="220" t="n"/>
      <c r="G523" s="221" t="n"/>
    </row>
    <row r="524" ht="15" customHeight="1" s="131">
      <c r="A524" s="220" t="n"/>
      <c r="B524" s="222" t="n"/>
      <c r="C524" s="220" t="n"/>
      <c r="D524" s="179" t="n"/>
      <c r="E524" s="219" t="n"/>
      <c r="F524" s="220" t="n"/>
      <c r="G524" s="221" t="n"/>
    </row>
    <row r="525" ht="15" customHeight="1" s="131">
      <c r="A525" s="220" t="n"/>
      <c r="B525" s="222" t="n"/>
      <c r="C525" s="220" t="n"/>
      <c r="D525" s="179" t="n"/>
      <c r="E525" s="219" t="n"/>
      <c r="F525" s="220" t="n"/>
      <c r="G525" s="221" t="n"/>
    </row>
    <row r="526" ht="15" customHeight="1" s="131">
      <c r="A526" s="220" t="n"/>
      <c r="B526" s="222" t="n"/>
      <c r="C526" s="220" t="n"/>
      <c r="D526" s="179" t="n"/>
      <c r="E526" s="219" t="n"/>
      <c r="F526" s="220" t="n"/>
      <c r="G526" s="221" t="n"/>
    </row>
    <row r="527" ht="15" customHeight="1" s="131">
      <c r="A527" s="220" t="n"/>
      <c r="B527" s="222" t="n"/>
      <c r="C527" s="220" t="n"/>
      <c r="D527" s="179" t="n"/>
      <c r="E527" s="219" t="n"/>
      <c r="F527" s="220" t="n"/>
      <c r="G527" s="221" t="n"/>
    </row>
    <row r="528" ht="15" customHeight="1" s="131">
      <c r="A528" s="220" t="n"/>
      <c r="B528" s="222" t="n"/>
      <c r="C528" s="220" t="n"/>
      <c r="D528" s="179" t="n"/>
      <c r="E528" s="219" t="n"/>
      <c r="F528" s="220" t="n"/>
      <c r="G528" s="221" t="n"/>
    </row>
    <row r="529" ht="15" customHeight="1" s="131">
      <c r="A529" s="220" t="n"/>
      <c r="B529" s="222" t="n"/>
      <c r="C529" s="220" t="n"/>
      <c r="D529" s="179" t="n"/>
      <c r="E529" s="219" t="n"/>
      <c r="F529" s="220" t="n"/>
      <c r="G529" s="221" t="n"/>
    </row>
    <row r="530" ht="15" customHeight="1" s="131">
      <c r="A530" s="220" t="n"/>
      <c r="B530" s="222" t="n"/>
      <c r="C530" s="220" t="n"/>
      <c r="D530" s="179" t="n"/>
      <c r="E530" s="219" t="n"/>
      <c r="F530" s="220" t="n"/>
      <c r="G530" s="221" t="n"/>
    </row>
    <row r="531" ht="15" customHeight="1" s="131">
      <c r="A531" s="220" t="n"/>
      <c r="B531" s="222" t="n"/>
      <c r="C531" s="220" t="n"/>
      <c r="D531" s="179" t="n"/>
      <c r="E531" s="219" t="n"/>
      <c r="F531" s="220" t="n"/>
      <c r="G531" s="221" t="n"/>
    </row>
    <row r="532" ht="15" customHeight="1" s="131">
      <c r="A532" s="220" t="n"/>
      <c r="B532" s="222" t="n"/>
      <c r="C532" s="220" t="n"/>
      <c r="D532" s="179" t="n"/>
      <c r="E532" s="219" t="n"/>
      <c r="F532" s="220" t="n"/>
      <c r="G532" s="221" t="n"/>
    </row>
    <row r="533" ht="15" customHeight="1" s="131">
      <c r="A533" s="220" t="n"/>
      <c r="B533" s="222" t="n"/>
      <c r="C533" s="220" t="n"/>
      <c r="D533" s="179" t="n"/>
      <c r="E533" s="219" t="n"/>
      <c r="F533" s="220" t="n"/>
      <c r="G533" s="221" t="n"/>
    </row>
    <row r="534" ht="15" customHeight="1" s="131">
      <c r="A534" s="220" t="n"/>
      <c r="B534" s="222" t="n"/>
      <c r="C534" s="220" t="n"/>
      <c r="D534" s="179" t="n"/>
      <c r="E534" s="219" t="n"/>
      <c r="F534" s="220" t="n"/>
      <c r="G534" s="221" t="n"/>
    </row>
    <row r="535" ht="15" customHeight="1" s="131">
      <c r="A535" s="220" t="n"/>
      <c r="B535" s="222" t="n"/>
      <c r="C535" s="220" t="n"/>
      <c r="D535" s="179" t="n"/>
      <c r="E535" s="219" t="n"/>
      <c r="F535" s="220" t="n"/>
      <c r="G535" s="221" t="n"/>
    </row>
    <row r="536" ht="15" customHeight="1" s="131">
      <c r="A536" s="220" t="n"/>
      <c r="B536" s="222" t="n"/>
      <c r="C536" s="220" t="n"/>
      <c r="D536" s="179" t="n"/>
      <c r="E536" s="219" t="n"/>
      <c r="F536" s="220" t="n"/>
      <c r="G536" s="221" t="n"/>
    </row>
    <row r="537" ht="15" customHeight="1" s="131">
      <c r="A537" s="220" t="n"/>
      <c r="B537" s="222" t="n"/>
      <c r="C537" s="220" t="n"/>
      <c r="D537" s="179" t="n"/>
      <c r="E537" s="219" t="n"/>
      <c r="F537" s="220" t="n"/>
      <c r="G537" s="221" t="n"/>
    </row>
    <row r="538" ht="15" customHeight="1" s="131">
      <c r="A538" s="220" t="n"/>
      <c r="B538" s="222" t="n"/>
      <c r="C538" s="220" t="n"/>
      <c r="D538" s="179" t="n"/>
      <c r="E538" s="219" t="n"/>
      <c r="F538" s="220" t="n"/>
      <c r="G538" s="221" t="n"/>
    </row>
    <row r="539" ht="15" customHeight="1" s="131">
      <c r="A539" s="220" t="n"/>
      <c r="B539" s="222" t="n"/>
      <c r="C539" s="220" t="n"/>
      <c r="D539" s="179" t="n"/>
      <c r="E539" s="219" t="n"/>
      <c r="F539" s="220" t="n"/>
      <c r="G539" s="221" t="n"/>
    </row>
    <row r="540" ht="15" customHeight="1" s="131">
      <c r="A540" s="220" t="n"/>
      <c r="B540" s="222" t="n"/>
      <c r="C540" s="220" t="n"/>
      <c r="D540" s="179" t="n"/>
      <c r="E540" s="219" t="n"/>
      <c r="F540" s="220" t="n"/>
      <c r="G540" s="221" t="n"/>
    </row>
    <row r="541" ht="15" customHeight="1" s="131">
      <c r="A541" s="220" t="n"/>
      <c r="B541" s="222" t="n"/>
      <c r="C541" s="220" t="n"/>
      <c r="D541" s="179" t="n"/>
      <c r="E541" s="219" t="n"/>
      <c r="F541" s="220" t="n"/>
      <c r="G541" s="221" t="n"/>
    </row>
    <row r="542" ht="15" customHeight="1" s="131">
      <c r="A542" s="220" t="n"/>
      <c r="B542" s="222" t="n"/>
      <c r="C542" s="220" t="n"/>
      <c r="D542" s="179" t="n"/>
      <c r="E542" s="219" t="n"/>
      <c r="F542" s="220" t="n"/>
      <c r="G542" s="221" t="n"/>
    </row>
    <row r="543" ht="15" customHeight="1" s="131">
      <c r="A543" s="220" t="n"/>
      <c r="B543" s="222" t="n"/>
      <c r="C543" s="220" t="n"/>
      <c r="D543" s="179" t="n"/>
      <c r="E543" s="219" t="n"/>
      <c r="F543" s="220" t="n"/>
      <c r="G543" s="221" t="n"/>
    </row>
    <row r="544" ht="15" customHeight="1" s="131">
      <c r="A544" s="220" t="n"/>
      <c r="B544" s="222" t="n"/>
      <c r="C544" s="220" t="n"/>
      <c r="D544" s="179" t="n"/>
      <c r="E544" s="219" t="n"/>
      <c r="F544" s="220" t="n"/>
      <c r="G544" s="221" t="n"/>
    </row>
    <row r="545" ht="15" customHeight="1" s="131">
      <c r="A545" s="220" t="n"/>
      <c r="B545" s="222" t="n"/>
      <c r="C545" s="220" t="n"/>
      <c r="D545" s="179" t="n"/>
      <c r="E545" s="219" t="n"/>
      <c r="F545" s="220" t="n"/>
      <c r="G545" s="221" t="n"/>
    </row>
    <row r="546" ht="15" customHeight="1" s="131">
      <c r="A546" s="220" t="n"/>
      <c r="B546" s="222" t="n"/>
      <c r="C546" s="220" t="n"/>
      <c r="D546" s="179" t="n"/>
      <c r="E546" s="219" t="n"/>
      <c r="F546" s="220" t="n"/>
      <c r="G546" s="221" t="n"/>
    </row>
    <row r="547" ht="15" customHeight="1" s="131">
      <c r="A547" s="220" t="n"/>
      <c r="B547" s="222" t="n"/>
      <c r="C547" s="220" t="n"/>
      <c r="D547" s="179" t="n"/>
      <c r="E547" s="219" t="n"/>
      <c r="F547" s="220" t="n"/>
      <c r="G547" s="221" t="n"/>
    </row>
    <row r="548" ht="15" customHeight="1" s="131">
      <c r="A548" s="220" t="n"/>
      <c r="B548" s="222" t="n"/>
      <c r="C548" s="220" t="n"/>
      <c r="D548" s="179" t="n"/>
      <c r="E548" s="219" t="n"/>
      <c r="F548" s="220" t="n"/>
      <c r="G548" s="221" t="n"/>
    </row>
    <row r="549" ht="15" customHeight="1" s="131">
      <c r="A549" s="220" t="n"/>
      <c r="B549" s="222" t="n"/>
      <c r="C549" s="220" t="n"/>
      <c r="D549" s="179" t="n"/>
      <c r="E549" s="219" t="n"/>
      <c r="F549" s="220" t="n"/>
      <c r="G549" s="221" t="n"/>
    </row>
    <row r="550" ht="15" customHeight="1" s="131">
      <c r="A550" s="220" t="n"/>
      <c r="B550" s="222" t="n"/>
      <c r="C550" s="220" t="n"/>
      <c r="D550" s="179" t="n"/>
      <c r="E550" s="219" t="n"/>
      <c r="F550" s="220" t="n"/>
      <c r="G550" s="221" t="n"/>
    </row>
    <row r="551" ht="15" customHeight="1" s="131">
      <c r="A551" s="220" t="n"/>
      <c r="B551" s="222" t="n"/>
      <c r="C551" s="220" t="n"/>
      <c r="D551" s="179" t="n"/>
      <c r="E551" s="219" t="n"/>
      <c r="F551" s="220" t="n"/>
      <c r="G551" s="221" t="n"/>
    </row>
    <row r="552" ht="15" customHeight="1" s="131">
      <c r="A552" s="220" t="n"/>
      <c r="B552" s="222" t="n"/>
      <c r="C552" s="220" t="n"/>
      <c r="D552" s="179" t="n"/>
      <c r="E552" s="219" t="n"/>
      <c r="F552" s="220" t="n"/>
      <c r="G552" s="221" t="n"/>
    </row>
    <row r="553" ht="15" customHeight="1" s="131">
      <c r="A553" s="220" t="n"/>
      <c r="B553" s="222" t="n"/>
      <c r="C553" s="220" t="n"/>
      <c r="D553" s="179" t="n"/>
      <c r="E553" s="219" t="n"/>
      <c r="F553" s="220" t="n"/>
      <c r="G553" s="221" t="n"/>
    </row>
    <row r="554" ht="15" customHeight="1" s="131">
      <c r="A554" s="220" t="n"/>
      <c r="B554" s="222" t="n"/>
      <c r="C554" s="220" t="n"/>
      <c r="D554" s="179" t="n"/>
      <c r="E554" s="219" t="n"/>
      <c r="F554" s="220" t="n"/>
      <c r="G554" s="221" t="n"/>
    </row>
    <row r="555" ht="15" customHeight="1" s="131">
      <c r="A555" s="220" t="n"/>
      <c r="B555" s="222" t="n"/>
      <c r="C555" s="220" t="n"/>
      <c r="D555" s="179" t="n"/>
      <c r="E555" s="219" t="n"/>
      <c r="F555" s="220" t="n"/>
      <c r="G555" s="221" t="n"/>
    </row>
    <row r="556" ht="15" customHeight="1" s="131">
      <c r="A556" s="220" t="n"/>
      <c r="B556" s="222" t="n"/>
      <c r="C556" s="220" t="n"/>
      <c r="D556" s="179" t="n"/>
      <c r="E556" s="219" t="n"/>
      <c r="F556" s="220" t="n"/>
      <c r="G556" s="221" t="n"/>
    </row>
    <row r="557" ht="15" customHeight="1" s="131">
      <c r="A557" s="220" t="n"/>
      <c r="B557" s="222" t="n"/>
      <c r="C557" s="220" t="n"/>
      <c r="D557" s="179" t="n"/>
      <c r="E557" s="219" t="n"/>
      <c r="F557" s="220" t="n"/>
      <c r="G557" s="221" t="n"/>
    </row>
    <row r="558" ht="15" customHeight="1" s="131">
      <c r="A558" s="220" t="n"/>
      <c r="B558" s="222" t="n"/>
      <c r="C558" s="220" t="n"/>
      <c r="D558" s="179" t="n"/>
      <c r="E558" s="219" t="n"/>
      <c r="F558" s="220" t="n"/>
      <c r="G558" s="221" t="n"/>
    </row>
    <row r="559" ht="15" customHeight="1" s="131">
      <c r="A559" s="220" t="n"/>
      <c r="B559" s="222" t="n"/>
      <c r="C559" s="220" t="n"/>
      <c r="D559" s="179" t="n"/>
      <c r="E559" s="219" t="n"/>
      <c r="F559" s="220" t="n"/>
      <c r="G559" s="221" t="n"/>
    </row>
    <row r="560" ht="15" customHeight="1" s="131">
      <c r="A560" s="220" t="n"/>
      <c r="B560" s="222" t="n"/>
      <c r="C560" s="220" t="n"/>
      <c r="D560" s="179" t="n"/>
      <c r="E560" s="219" t="n"/>
      <c r="F560" s="220" t="n"/>
      <c r="G560" s="221" t="n"/>
    </row>
    <row r="561" ht="15" customHeight="1" s="131">
      <c r="A561" s="220" t="n"/>
      <c r="B561" s="222" t="n"/>
      <c r="C561" s="220" t="n"/>
      <c r="D561" s="179" t="n"/>
      <c r="E561" s="219" t="n"/>
      <c r="F561" s="220" t="n"/>
      <c r="G561" s="221" t="n"/>
    </row>
    <row r="562" ht="15" customHeight="1" s="131">
      <c r="A562" s="220" t="n"/>
      <c r="B562" s="222" t="n"/>
      <c r="C562" s="220" t="n"/>
      <c r="D562" s="179" t="n"/>
      <c r="E562" s="219" t="n"/>
      <c r="F562" s="220" t="n"/>
      <c r="G562" s="221" t="n"/>
    </row>
    <row r="563" ht="15" customHeight="1" s="131">
      <c r="A563" s="220" t="n"/>
      <c r="B563" s="222" t="n"/>
      <c r="C563" s="220" t="n"/>
      <c r="D563" s="179" t="n"/>
      <c r="E563" s="219" t="n"/>
      <c r="F563" s="220" t="n"/>
      <c r="G563" s="221" t="n"/>
    </row>
    <row r="564" ht="15" customHeight="1" s="131">
      <c r="A564" s="220" t="n"/>
      <c r="B564" s="222" t="n"/>
      <c r="C564" s="220" t="n"/>
      <c r="D564" s="179" t="n"/>
      <c r="E564" s="219" t="n"/>
      <c r="F564" s="220" t="n"/>
      <c r="G564" s="221" t="n"/>
    </row>
    <row r="565" ht="15" customHeight="1" s="131">
      <c r="A565" s="220" t="n"/>
      <c r="B565" s="222" t="n"/>
      <c r="C565" s="220" t="n"/>
      <c r="D565" s="179" t="n"/>
      <c r="E565" s="219" t="n"/>
      <c r="F565" s="220" t="n"/>
      <c r="G565" s="221" t="n"/>
    </row>
    <row r="566" ht="15" customHeight="1" s="131">
      <c r="A566" s="220" t="n"/>
      <c r="B566" s="222" t="n"/>
      <c r="C566" s="220" t="n"/>
      <c r="D566" s="179" t="n"/>
      <c r="E566" s="219" t="n"/>
      <c r="F566" s="220" t="n"/>
      <c r="G566" s="221" t="n"/>
    </row>
    <row r="567" ht="15" customHeight="1" s="131">
      <c r="A567" s="220" t="n"/>
      <c r="B567" s="222" t="n"/>
      <c r="C567" s="220" t="n"/>
      <c r="D567" s="179" t="n"/>
      <c r="E567" s="219" t="n"/>
      <c r="F567" s="220" t="n"/>
      <c r="G567" s="221" t="n"/>
    </row>
    <row r="568" ht="15" customHeight="1" s="131">
      <c r="A568" s="220" t="n"/>
      <c r="B568" s="222" t="n"/>
      <c r="C568" s="220" t="n"/>
      <c r="D568" s="179" t="n"/>
      <c r="E568" s="219" t="n"/>
      <c r="F568" s="220" t="n"/>
      <c r="G568" s="221" t="n"/>
    </row>
    <row r="569" ht="15" customHeight="1" s="131">
      <c r="A569" s="220" t="n"/>
      <c r="B569" s="222" t="n"/>
      <c r="C569" s="220" t="n"/>
      <c r="D569" s="179" t="n"/>
      <c r="E569" s="219" t="n"/>
      <c r="F569" s="220" t="n"/>
      <c r="G569" s="221" t="n"/>
    </row>
    <row r="570" ht="15" customHeight="1" s="131">
      <c r="A570" s="220" t="n"/>
      <c r="B570" s="222" t="n"/>
      <c r="C570" s="220" t="n"/>
      <c r="D570" s="179" t="n"/>
      <c r="E570" s="219" t="n"/>
      <c r="F570" s="220" t="n"/>
      <c r="G570" s="221" t="n"/>
    </row>
    <row r="571" ht="15" customHeight="1" s="131">
      <c r="A571" s="220" t="n"/>
      <c r="B571" s="222" t="n"/>
      <c r="C571" s="220" t="n"/>
      <c r="D571" s="179" t="n"/>
      <c r="E571" s="219" t="n"/>
      <c r="F571" s="220" t="n"/>
      <c r="G571" s="221" t="n"/>
    </row>
    <row r="572" ht="15" customHeight="1" s="131">
      <c r="A572" s="220" t="n"/>
      <c r="B572" s="222" t="n"/>
      <c r="C572" s="220" t="n"/>
      <c r="D572" s="179" t="n"/>
      <c r="E572" s="219" t="n"/>
      <c r="F572" s="220" t="n"/>
      <c r="G572" s="221" t="n"/>
    </row>
    <row r="573" ht="15" customHeight="1" s="131">
      <c r="A573" s="220" t="n"/>
      <c r="B573" s="222" t="n"/>
      <c r="C573" s="220" t="n"/>
      <c r="D573" s="179" t="n"/>
      <c r="E573" s="219" t="n"/>
      <c r="F573" s="220" t="n"/>
      <c r="G573" s="221" t="n"/>
    </row>
    <row r="574" ht="15" customHeight="1" s="131">
      <c r="A574" s="220" t="n"/>
      <c r="B574" s="222" t="n"/>
      <c r="C574" s="220" t="n"/>
      <c r="D574" s="179" t="n"/>
      <c r="E574" s="219" t="n"/>
      <c r="F574" s="220" t="n"/>
      <c r="G574" s="221" t="n"/>
    </row>
    <row r="575" ht="15" customHeight="1" s="131">
      <c r="A575" s="220" t="n"/>
      <c r="B575" s="222" t="n"/>
      <c r="C575" s="220" t="n"/>
      <c r="D575" s="179" t="n"/>
      <c r="E575" s="219" t="n"/>
      <c r="F575" s="220" t="n"/>
      <c r="G575" s="221" t="n"/>
    </row>
    <row r="576" ht="15" customHeight="1" s="131">
      <c r="A576" s="220" t="n"/>
      <c r="B576" s="222" t="n"/>
      <c r="C576" s="220" t="n"/>
      <c r="D576" s="179" t="n"/>
      <c r="E576" s="219" t="n"/>
      <c r="F576" s="220" t="n"/>
      <c r="G576" s="221" t="n"/>
    </row>
    <row r="577" ht="15" customHeight="1" s="131">
      <c r="A577" s="220" t="n"/>
      <c r="B577" s="222" t="n"/>
      <c r="C577" s="220" t="n"/>
      <c r="D577" s="179" t="n"/>
      <c r="E577" s="219" t="n"/>
      <c r="F577" s="220" t="n"/>
      <c r="G577" s="221" t="n"/>
    </row>
    <row r="578" ht="15" customHeight="1" s="131">
      <c r="A578" s="220" t="n"/>
      <c r="B578" s="222" t="n"/>
      <c r="C578" s="220" t="n"/>
      <c r="D578" s="179" t="n"/>
      <c r="E578" s="219" t="n"/>
      <c r="F578" s="220" t="n"/>
      <c r="G578" s="221" t="n"/>
    </row>
    <row r="579" ht="15" customHeight="1" s="131">
      <c r="A579" s="220" t="n"/>
      <c r="B579" s="222" t="n"/>
      <c r="C579" s="220" t="n"/>
      <c r="D579" s="179" t="n"/>
      <c r="E579" s="219" t="n"/>
      <c r="F579" s="220" t="n"/>
      <c r="G579" s="221" t="n"/>
    </row>
    <row r="580" ht="15" customHeight="1" s="131">
      <c r="A580" s="220" t="n"/>
      <c r="B580" s="222" t="n"/>
      <c r="C580" s="220" t="n"/>
      <c r="D580" s="179" t="n"/>
      <c r="E580" s="219" t="n"/>
      <c r="F580" s="220" t="n"/>
      <c r="G580" s="221" t="n"/>
    </row>
    <row r="581" ht="15" customHeight="1" s="131">
      <c r="A581" s="220" t="n"/>
      <c r="B581" s="222" t="n"/>
      <c r="C581" s="220" t="n"/>
      <c r="D581" s="179" t="n"/>
      <c r="E581" s="219" t="n"/>
      <c r="F581" s="220" t="n"/>
      <c r="G581" s="221" t="n"/>
    </row>
    <row r="582" ht="15" customHeight="1" s="131">
      <c r="A582" s="220" t="n"/>
      <c r="B582" s="222" t="n"/>
      <c r="C582" s="220" t="n"/>
      <c r="D582" s="179" t="n"/>
      <c r="E582" s="219" t="n"/>
      <c r="F582" s="220" t="n"/>
      <c r="G582" s="221" t="n"/>
    </row>
    <row r="583" ht="15" customHeight="1" s="131">
      <c r="A583" s="220" t="n"/>
      <c r="B583" s="222" t="n"/>
      <c r="C583" s="220" t="n"/>
      <c r="D583" s="179" t="n"/>
      <c r="E583" s="219" t="n"/>
      <c r="F583" s="220" t="n"/>
      <c r="G583" s="221" t="n"/>
    </row>
    <row r="584" ht="15" customHeight="1" s="131">
      <c r="A584" s="220" t="n"/>
      <c r="B584" s="222" t="n"/>
      <c r="C584" s="220" t="n"/>
      <c r="D584" s="179" t="n"/>
      <c r="E584" s="219" t="n"/>
      <c r="F584" s="220" t="n"/>
      <c r="G584" s="221" t="n"/>
    </row>
    <row r="585" ht="15" customHeight="1" s="131">
      <c r="A585" s="220" t="n"/>
      <c r="B585" s="222" t="n"/>
      <c r="C585" s="220" t="n"/>
      <c r="D585" s="179" t="n"/>
      <c r="E585" s="219" t="n"/>
      <c r="F585" s="220" t="n"/>
      <c r="G585" s="221" t="n"/>
    </row>
    <row r="586" ht="15" customHeight="1" s="131">
      <c r="A586" s="220" t="n"/>
      <c r="B586" s="222" t="n"/>
      <c r="C586" s="220" t="n"/>
      <c r="D586" s="179" t="n"/>
      <c r="E586" s="219" t="n"/>
      <c r="F586" s="220" t="n"/>
      <c r="G586" s="221" t="n"/>
    </row>
    <row r="587" ht="15" customHeight="1" s="131">
      <c r="A587" s="220" t="n"/>
      <c r="B587" s="222" t="n"/>
      <c r="C587" s="220" t="n"/>
      <c r="D587" s="179" t="n"/>
      <c r="E587" s="219" t="n"/>
      <c r="F587" s="220" t="n"/>
      <c r="G587" s="221" t="n"/>
    </row>
    <row r="588" ht="15" customHeight="1" s="131">
      <c r="A588" s="220" t="n"/>
      <c r="B588" s="222" t="n"/>
      <c r="C588" s="220" t="n"/>
      <c r="D588" s="179" t="n"/>
      <c r="E588" s="219" t="n"/>
      <c r="F588" s="220" t="n"/>
      <c r="G588" s="221" t="n"/>
    </row>
    <row r="589" ht="15" customHeight="1" s="131">
      <c r="A589" s="220" t="n"/>
      <c r="B589" s="222" t="n"/>
      <c r="C589" s="220" t="n"/>
      <c r="D589" s="179" t="n"/>
      <c r="E589" s="219" t="n"/>
      <c r="F589" s="220" t="n"/>
      <c r="G589" s="221" t="n"/>
    </row>
    <row r="590" ht="15" customHeight="1" s="131">
      <c r="A590" s="220" t="n"/>
      <c r="B590" s="222" t="n"/>
      <c r="C590" s="220" t="n"/>
      <c r="D590" s="179" t="n"/>
      <c r="E590" s="219" t="n"/>
      <c r="F590" s="220" t="n"/>
      <c r="G590" s="221" t="n"/>
    </row>
    <row r="591" ht="15" customHeight="1" s="131">
      <c r="A591" s="220" t="n"/>
      <c r="B591" s="222" t="n"/>
      <c r="C591" s="220" t="n"/>
      <c r="D591" s="179" t="n"/>
      <c r="E591" s="219" t="n"/>
      <c r="F591" s="220" t="n"/>
      <c r="G591" s="221" t="n"/>
    </row>
    <row r="592" ht="15" customHeight="1" s="131">
      <c r="A592" s="220" t="n"/>
      <c r="B592" s="222" t="n"/>
      <c r="C592" s="220" t="n"/>
      <c r="D592" s="179" t="n"/>
      <c r="E592" s="219" t="n"/>
      <c r="F592" s="220" t="n"/>
      <c r="G592" s="221" t="n"/>
    </row>
    <row r="593" ht="15" customHeight="1" s="131">
      <c r="A593" s="220" t="n"/>
      <c r="B593" s="222" t="n"/>
      <c r="C593" s="220" t="n"/>
      <c r="D593" s="179" t="n"/>
      <c r="E593" s="219" t="n"/>
      <c r="F593" s="220" t="n"/>
      <c r="G593" s="221" t="n"/>
    </row>
    <row r="594" ht="15" customHeight="1" s="131">
      <c r="A594" s="220" t="n"/>
      <c r="B594" s="222" t="n"/>
      <c r="C594" s="220" t="n"/>
      <c r="D594" s="179" t="n"/>
      <c r="E594" s="219" t="n"/>
      <c r="F594" s="220" t="n"/>
      <c r="G594" s="221" t="n"/>
    </row>
    <row r="595" ht="15" customHeight="1" s="131">
      <c r="A595" s="220" t="n"/>
      <c r="B595" s="222" t="n"/>
      <c r="C595" s="220" t="n"/>
      <c r="D595" s="179" t="n"/>
      <c r="E595" s="219" t="n"/>
      <c r="F595" s="220" t="n"/>
      <c r="G595" s="221" t="n"/>
    </row>
    <row r="596" ht="15" customHeight="1" s="131">
      <c r="A596" s="220" t="n"/>
      <c r="B596" s="222" t="n"/>
      <c r="C596" s="220" t="n"/>
      <c r="D596" s="179" t="n"/>
      <c r="E596" s="219" t="n"/>
      <c r="F596" s="220" t="n"/>
      <c r="G596" s="221" t="n"/>
    </row>
    <row r="597" ht="15" customHeight="1" s="131">
      <c r="A597" s="220" t="n"/>
      <c r="B597" s="222" t="n"/>
      <c r="C597" s="220" t="n"/>
      <c r="D597" s="179" t="n"/>
      <c r="E597" s="219" t="n"/>
      <c r="F597" s="220" t="n"/>
      <c r="G597" s="221" t="n"/>
    </row>
    <row r="598" ht="15" customHeight="1" s="131">
      <c r="A598" s="220" t="n"/>
      <c r="B598" s="222" t="n"/>
      <c r="C598" s="220" t="n"/>
      <c r="D598" s="179" t="n"/>
      <c r="E598" s="219" t="n"/>
      <c r="F598" s="220" t="n"/>
      <c r="G598" s="221" t="n"/>
    </row>
    <row r="599" ht="15" customHeight="1" s="131">
      <c r="A599" s="220" t="n"/>
      <c r="B599" s="222" t="n"/>
      <c r="C599" s="220" t="n"/>
      <c r="D599" s="179" t="n"/>
      <c r="E599" s="219" t="n"/>
      <c r="F599" s="220" t="n"/>
      <c r="G599" s="221" t="n"/>
    </row>
    <row r="600" ht="15" customHeight="1" s="131">
      <c r="A600" s="220" t="n"/>
      <c r="B600" s="222" t="n"/>
      <c r="C600" s="220" t="n"/>
      <c r="D600" s="179" t="n"/>
      <c r="E600" s="219" t="n"/>
      <c r="F600" s="220" t="n"/>
      <c r="G600" s="221" t="n"/>
    </row>
    <row r="601" ht="15" customHeight="1" s="131">
      <c r="A601" s="220" t="n"/>
      <c r="B601" s="222" t="n"/>
      <c r="C601" s="220" t="n"/>
      <c r="D601" s="179" t="n"/>
      <c r="E601" s="219" t="n"/>
      <c r="F601" s="220" t="n"/>
      <c r="G601" s="221" t="n"/>
    </row>
    <row r="602" ht="15" customHeight="1" s="131">
      <c r="A602" s="220" t="n"/>
      <c r="B602" s="222" t="n"/>
      <c r="C602" s="220" t="n"/>
      <c r="D602" s="179" t="n"/>
      <c r="E602" s="219" t="n"/>
      <c r="F602" s="220" t="n"/>
      <c r="G602" s="221" t="n"/>
    </row>
    <row r="603" ht="15" customHeight="1" s="131">
      <c r="A603" s="220" t="n"/>
      <c r="B603" s="222" t="n"/>
      <c r="C603" s="220" t="n"/>
      <c r="D603" s="179" t="n"/>
      <c r="E603" s="219" t="n"/>
      <c r="F603" s="220" t="n"/>
      <c r="G603" s="221" t="n"/>
    </row>
    <row r="604" ht="15" customHeight="1" s="131">
      <c r="A604" s="220" t="n"/>
      <c r="B604" s="222" t="n"/>
      <c r="C604" s="220" t="n"/>
      <c r="D604" s="179" t="n"/>
      <c r="E604" s="219" t="n"/>
      <c r="F604" s="220" t="n"/>
      <c r="G604" s="221" t="n"/>
    </row>
    <row r="605" ht="15" customHeight="1" s="131">
      <c r="A605" s="220" t="n"/>
      <c r="B605" s="222" t="n"/>
      <c r="C605" s="220" t="n"/>
      <c r="D605" s="179" t="n"/>
      <c r="E605" s="219" t="n"/>
      <c r="F605" s="220" t="n"/>
      <c r="G605" s="221" t="n"/>
    </row>
    <row r="606" ht="15" customHeight="1" s="131">
      <c r="A606" s="220" t="n"/>
      <c r="B606" s="222" t="n"/>
      <c r="C606" s="220" t="n"/>
      <c r="D606" s="179" t="n"/>
      <c r="E606" s="219" t="n"/>
      <c r="F606" s="220" t="n"/>
      <c r="G606" s="221" t="n"/>
    </row>
    <row r="607" ht="15" customHeight="1" s="131">
      <c r="A607" s="220" t="n"/>
      <c r="B607" s="222" t="n"/>
      <c r="C607" s="220" t="n"/>
      <c r="D607" s="179" t="n"/>
      <c r="E607" s="219" t="n"/>
      <c r="F607" s="220" t="n"/>
      <c r="G607" s="221" t="n"/>
    </row>
    <row r="608" ht="15" customHeight="1" s="131">
      <c r="A608" s="220" t="n"/>
      <c r="B608" s="222" t="n"/>
      <c r="C608" s="220" t="n"/>
      <c r="D608" s="179" t="n"/>
      <c r="E608" s="219" t="n"/>
      <c r="F608" s="220" t="n"/>
      <c r="G608" s="221" t="n"/>
    </row>
    <row r="609" ht="15" customHeight="1" s="131">
      <c r="A609" s="220" t="n"/>
      <c r="B609" s="222" t="n"/>
      <c r="C609" s="220" t="n"/>
      <c r="D609" s="179" t="n"/>
      <c r="E609" s="219" t="n"/>
      <c r="F609" s="220" t="n"/>
      <c r="G609" s="221" t="n"/>
    </row>
    <row r="610" ht="15" customHeight="1" s="131">
      <c r="A610" s="220" t="n"/>
      <c r="B610" s="222" t="n"/>
      <c r="C610" s="220" t="n"/>
      <c r="D610" s="179" t="n"/>
      <c r="E610" s="219" t="n"/>
      <c r="F610" s="220" t="n"/>
      <c r="G610" s="221" t="n"/>
    </row>
    <row r="611" ht="15" customHeight="1" s="131">
      <c r="A611" s="220" t="n"/>
      <c r="B611" s="222" t="n"/>
      <c r="C611" s="220" t="n"/>
      <c r="D611" s="179" t="n"/>
      <c r="E611" s="219" t="n"/>
      <c r="F611" s="220" t="n"/>
      <c r="G611" s="221" t="n"/>
    </row>
    <row r="612" ht="15" customHeight="1" s="131">
      <c r="A612" s="220" t="n"/>
      <c r="B612" s="222" t="n"/>
      <c r="C612" s="220" t="n"/>
      <c r="D612" s="179" t="n"/>
      <c r="E612" s="219" t="n"/>
      <c r="F612" s="220" t="n"/>
      <c r="G612" s="221" t="n"/>
    </row>
    <row r="613" ht="15" customHeight="1" s="131">
      <c r="A613" s="220" t="n"/>
      <c r="B613" s="222" t="n"/>
      <c r="C613" s="220" t="n"/>
      <c r="D613" s="179" t="n"/>
      <c r="E613" s="219" t="n"/>
      <c r="F613" s="220" t="n"/>
      <c r="G613" s="221" t="n"/>
    </row>
    <row r="614" ht="15" customHeight="1" s="131">
      <c r="A614" s="220" t="n"/>
      <c r="B614" s="222" t="n"/>
      <c r="C614" s="220" t="n"/>
      <c r="D614" s="179" t="n"/>
      <c r="E614" s="219" t="n"/>
      <c r="F614" s="220" t="n"/>
      <c r="G614" s="221" t="n"/>
    </row>
    <row r="615" ht="15" customHeight="1" s="131">
      <c r="A615" s="220" t="n"/>
      <c r="B615" s="222" t="n"/>
      <c r="C615" s="220" t="n"/>
      <c r="D615" s="179" t="n"/>
      <c r="E615" s="219" t="n"/>
      <c r="F615" s="220" t="n"/>
      <c r="G615" s="221" t="n"/>
    </row>
    <row r="616" ht="15" customHeight="1" s="131">
      <c r="A616" s="220" t="n"/>
      <c r="B616" s="222" t="n"/>
      <c r="C616" s="220" t="n"/>
      <c r="D616" s="179" t="n"/>
      <c r="E616" s="219" t="n"/>
      <c r="F616" s="220" t="n"/>
      <c r="G616" s="221" t="n"/>
    </row>
    <row r="617" ht="15" customHeight="1" s="131">
      <c r="A617" s="220" t="n"/>
      <c r="B617" s="222" t="n"/>
      <c r="C617" s="220" t="n"/>
      <c r="D617" s="179" t="n"/>
      <c r="E617" s="219" t="n"/>
      <c r="F617" s="220" t="n"/>
      <c r="G617" s="221" t="n"/>
    </row>
    <row r="618" ht="15" customHeight="1" s="131">
      <c r="A618" s="220" t="n"/>
      <c r="B618" s="222" t="n"/>
      <c r="C618" s="220" t="n"/>
      <c r="D618" s="179" t="n"/>
      <c r="E618" s="219" t="n"/>
      <c r="F618" s="220" t="n"/>
      <c r="G618" s="221" t="n"/>
    </row>
    <row r="619" ht="15" customHeight="1" s="131">
      <c r="A619" s="220" t="n"/>
      <c r="B619" s="222" t="n"/>
      <c r="C619" s="220" t="n"/>
      <c r="D619" s="179" t="n"/>
      <c r="E619" s="219" t="n"/>
      <c r="F619" s="220" t="n"/>
      <c r="G619" s="221" t="n"/>
    </row>
    <row r="620" ht="15" customHeight="1" s="131">
      <c r="A620" s="220" t="n"/>
      <c r="B620" s="222" t="n"/>
      <c r="C620" s="220" t="n"/>
      <c r="D620" s="179" t="n"/>
      <c r="E620" s="219" t="n"/>
      <c r="F620" s="220" t="n"/>
      <c r="G620" s="221" t="n"/>
    </row>
    <row r="621" ht="15" customHeight="1" s="131">
      <c r="A621" s="220" t="n"/>
      <c r="B621" s="222" t="n"/>
      <c r="C621" s="220" t="n"/>
      <c r="D621" s="179" t="n"/>
      <c r="E621" s="219" t="n"/>
      <c r="F621" s="220" t="n"/>
      <c r="G621" s="221" t="n"/>
    </row>
    <row r="622" ht="15" customHeight="1" s="131">
      <c r="A622" s="220" t="n"/>
      <c r="B622" s="222" t="n"/>
      <c r="C622" s="220" t="n"/>
      <c r="D622" s="179" t="n"/>
      <c r="E622" s="219" t="n"/>
      <c r="F622" s="220" t="n"/>
      <c r="G622" s="221" t="n"/>
    </row>
    <row r="623" ht="15" customHeight="1" s="131">
      <c r="A623" s="220" t="n"/>
      <c r="B623" s="222" t="n"/>
      <c r="C623" s="220" t="n"/>
      <c r="D623" s="179" t="n"/>
      <c r="E623" s="219" t="n"/>
      <c r="F623" s="220" t="n"/>
      <c r="G623" s="221" t="n"/>
    </row>
    <row r="624" ht="15" customHeight="1" s="131">
      <c r="A624" s="220" t="n"/>
      <c r="B624" s="222" t="n"/>
      <c r="C624" s="220" t="n"/>
      <c r="D624" s="179" t="n"/>
      <c r="E624" s="219" t="n"/>
      <c r="F624" s="220" t="n"/>
      <c r="G624" s="221" t="n"/>
    </row>
    <row r="625" ht="15" customHeight="1" s="131">
      <c r="A625" s="220" t="n"/>
      <c r="B625" s="222" t="n"/>
      <c r="C625" s="220" t="n"/>
      <c r="D625" s="179" t="n"/>
      <c r="E625" s="219" t="n"/>
      <c r="F625" s="220" t="n"/>
      <c r="G625" s="221" t="n"/>
    </row>
    <row r="626" ht="15" customHeight="1" s="131">
      <c r="A626" s="220" t="n"/>
      <c r="B626" s="222" t="n"/>
      <c r="C626" s="220" t="n"/>
      <c r="D626" s="179" t="n"/>
      <c r="E626" s="219" t="n"/>
      <c r="F626" s="220" t="n"/>
      <c r="G626" s="221" t="n"/>
    </row>
    <row r="627" ht="15" customHeight="1" s="131">
      <c r="A627" s="220" t="n"/>
      <c r="B627" s="222" t="n"/>
      <c r="C627" s="220" t="n"/>
      <c r="D627" s="179" t="n"/>
      <c r="E627" s="219" t="n"/>
      <c r="F627" s="220" t="n"/>
      <c r="G627" s="221" t="n"/>
    </row>
    <row r="628" ht="15" customHeight="1" s="131">
      <c r="A628" s="220" t="n"/>
      <c r="B628" s="222" t="n"/>
      <c r="C628" s="220" t="n"/>
      <c r="D628" s="179" t="n"/>
      <c r="E628" s="219" t="n"/>
      <c r="F628" s="220" t="n"/>
      <c r="G628" s="221" t="n"/>
    </row>
    <row r="629" ht="15" customHeight="1" s="131">
      <c r="A629" s="220" t="n"/>
      <c r="B629" s="222" t="n"/>
      <c r="C629" s="220" t="n"/>
      <c r="D629" s="179" t="n"/>
      <c r="E629" s="219" t="n"/>
      <c r="F629" s="220" t="n"/>
      <c r="G629" s="221" t="n"/>
    </row>
    <row r="630" ht="15" customHeight="1" s="131">
      <c r="A630" s="220" t="n"/>
      <c r="B630" s="222" t="n"/>
      <c r="C630" s="220" t="n"/>
      <c r="D630" s="179" t="n"/>
      <c r="E630" s="219" t="n"/>
      <c r="F630" s="220" t="n"/>
      <c r="G630" s="221" t="n"/>
    </row>
    <row r="631" ht="15" customHeight="1" s="131">
      <c r="A631" s="220" t="n"/>
      <c r="B631" s="222" t="n"/>
      <c r="C631" s="220" t="n"/>
      <c r="D631" s="179" t="n"/>
      <c r="E631" s="219" t="n"/>
      <c r="F631" s="220" t="n"/>
      <c r="G631" s="221" t="n"/>
    </row>
    <row r="632" ht="15" customHeight="1" s="131">
      <c r="A632" s="220" t="n"/>
      <c r="B632" s="222" t="n"/>
      <c r="C632" s="220" t="n"/>
      <c r="D632" s="179" t="n"/>
      <c r="E632" s="219" t="n"/>
      <c r="F632" s="220" t="n"/>
      <c r="G632" s="221" t="n"/>
    </row>
    <row r="633" ht="15" customHeight="1" s="131">
      <c r="A633" s="220" t="n"/>
      <c r="B633" s="222" t="n"/>
      <c r="C633" s="220" t="n"/>
      <c r="D633" s="179" t="n"/>
      <c r="E633" s="219" t="n"/>
      <c r="F633" s="220" t="n"/>
      <c r="G633" s="221" t="n"/>
    </row>
    <row r="634" ht="15" customHeight="1" s="131">
      <c r="A634" s="220" t="n"/>
      <c r="B634" s="222" t="n"/>
      <c r="C634" s="220" t="n"/>
      <c r="D634" s="179" t="n"/>
      <c r="E634" s="219" t="n"/>
      <c r="F634" s="220" t="n"/>
      <c r="G634" s="221" t="n"/>
    </row>
    <row r="635" ht="15" customHeight="1" s="131">
      <c r="A635" s="220" t="n"/>
      <c r="B635" s="222" t="n"/>
      <c r="C635" s="220" t="n"/>
      <c r="D635" s="179" t="n"/>
      <c r="E635" s="219" t="n"/>
      <c r="F635" s="220" t="n"/>
      <c r="G635" s="221" t="n"/>
    </row>
    <row r="636" ht="15" customHeight="1" s="131">
      <c r="A636" s="220" t="n"/>
      <c r="B636" s="222" t="n"/>
      <c r="C636" s="220" t="n"/>
      <c r="D636" s="179" t="n"/>
      <c r="E636" s="219" t="n"/>
      <c r="F636" s="220" t="n"/>
      <c r="G636" s="221" t="n"/>
    </row>
    <row r="637" ht="15" customHeight="1" s="131">
      <c r="A637" s="220" t="n"/>
      <c r="B637" s="222" t="n"/>
      <c r="C637" s="220" t="n"/>
      <c r="D637" s="179" t="n"/>
      <c r="E637" s="219" t="n"/>
      <c r="F637" s="220" t="n"/>
      <c r="G637" s="221" t="n"/>
    </row>
    <row r="638" ht="15" customHeight="1" s="131">
      <c r="A638" s="220" t="n"/>
      <c r="B638" s="222" t="n"/>
      <c r="C638" s="220" t="n"/>
      <c r="D638" s="179" t="n"/>
      <c r="E638" s="219" t="n"/>
      <c r="F638" s="220" t="n"/>
      <c r="G638" s="221" t="n"/>
    </row>
    <row r="639" ht="15" customHeight="1" s="131">
      <c r="A639" s="220" t="n"/>
      <c r="B639" s="222" t="n"/>
      <c r="C639" s="220" t="n"/>
      <c r="D639" s="179" t="n"/>
      <c r="E639" s="219" t="n"/>
      <c r="F639" s="220" t="n"/>
      <c r="G639" s="221" t="n"/>
    </row>
    <row r="640" ht="15" customHeight="1" s="131">
      <c r="A640" s="220" t="n"/>
      <c r="B640" s="222" t="n"/>
      <c r="C640" s="220" t="n"/>
      <c r="D640" s="179" t="n"/>
      <c r="E640" s="219" t="n"/>
      <c r="F640" s="220" t="n"/>
      <c r="G640" s="221" t="n"/>
    </row>
    <row r="641" ht="15" customHeight="1" s="131">
      <c r="A641" s="220" t="n"/>
      <c r="B641" s="222" t="n"/>
      <c r="C641" s="220" t="n"/>
      <c r="D641" s="179" t="n"/>
      <c r="E641" s="219" t="n"/>
      <c r="F641" s="220" t="n"/>
      <c r="G641" s="221" t="n"/>
    </row>
    <row r="642" ht="15" customHeight="1" s="131">
      <c r="A642" s="220" t="n"/>
      <c r="B642" s="222" t="n"/>
      <c r="C642" s="220" t="n"/>
      <c r="D642" s="179" t="n"/>
      <c r="E642" s="219" t="n"/>
      <c r="F642" s="220" t="n"/>
      <c r="G642" s="221" t="n"/>
    </row>
    <row r="643" ht="15" customHeight="1" s="131">
      <c r="A643" s="220" t="n"/>
      <c r="B643" s="222" t="n"/>
      <c r="C643" s="220" t="n"/>
      <c r="D643" s="179" t="n"/>
      <c r="E643" s="219" t="n"/>
      <c r="F643" s="220" t="n"/>
      <c r="G643" s="221" t="n"/>
    </row>
    <row r="644" ht="15" customHeight="1" s="131">
      <c r="A644" s="220" t="n"/>
      <c r="B644" s="222" t="n"/>
      <c r="C644" s="220" t="n"/>
      <c r="D644" s="179" t="n"/>
      <c r="E644" s="219" t="n"/>
      <c r="F644" s="220" t="n"/>
      <c r="G644" s="221" t="n"/>
    </row>
    <row r="645" ht="15" customHeight="1" s="131">
      <c r="A645" s="220" t="n"/>
      <c r="B645" s="222" t="n"/>
      <c r="C645" s="220" t="n"/>
      <c r="D645" s="179" t="n"/>
      <c r="E645" s="219" t="n"/>
      <c r="F645" s="220" t="n"/>
      <c r="G645" s="221" t="n"/>
    </row>
    <row r="646" ht="15" customHeight="1" s="131">
      <c r="A646" s="220" t="n"/>
      <c r="B646" s="222" t="n"/>
      <c r="C646" s="220" t="n"/>
      <c r="D646" s="179" t="n"/>
      <c r="E646" s="219" t="n"/>
      <c r="F646" s="220" t="n"/>
      <c r="G646" s="221" t="n"/>
    </row>
    <row r="647" ht="15" customHeight="1" s="131">
      <c r="A647" s="220" t="n"/>
      <c r="B647" s="222" t="n"/>
      <c r="C647" s="220" t="n"/>
      <c r="D647" s="179" t="n"/>
      <c r="E647" s="219" t="n"/>
      <c r="F647" s="220" t="n"/>
      <c r="G647" s="221" t="n"/>
    </row>
    <row r="648" ht="15" customHeight="1" s="131">
      <c r="A648" s="220" t="n"/>
      <c r="B648" s="222" t="n"/>
      <c r="C648" s="220" t="n"/>
      <c r="D648" s="179" t="n"/>
      <c r="E648" s="219" t="n"/>
      <c r="F648" s="220" t="n"/>
      <c r="G648" s="221" t="n"/>
    </row>
    <row r="649" ht="15" customHeight="1" s="131">
      <c r="A649" s="220" t="n"/>
      <c r="B649" s="222" t="n"/>
      <c r="C649" s="220" t="n"/>
      <c r="D649" s="179" t="n"/>
      <c r="E649" s="219" t="n"/>
      <c r="F649" s="220" t="n"/>
      <c r="G649" s="221" t="n"/>
    </row>
    <row r="650" ht="15" customHeight="1" s="131">
      <c r="A650" s="220" t="n"/>
      <c r="B650" s="222" t="n"/>
      <c r="C650" s="220" t="n"/>
      <c r="D650" s="179" t="n"/>
      <c r="E650" s="219" t="n"/>
      <c r="F650" s="220" t="n"/>
      <c r="G650" s="221" t="n"/>
    </row>
    <row r="651" ht="15" customHeight="1" s="131">
      <c r="A651" s="220" t="n"/>
      <c r="B651" s="222" t="n"/>
      <c r="C651" s="220" t="n"/>
      <c r="D651" s="179" t="n"/>
      <c r="E651" s="219" t="n"/>
      <c r="F651" s="220" t="n"/>
      <c r="G651" s="221" t="n"/>
    </row>
    <row r="652" ht="15" customHeight="1" s="131">
      <c r="A652" s="220" t="n"/>
      <c r="B652" s="222" t="n"/>
      <c r="C652" s="220" t="n"/>
      <c r="D652" s="179" t="n"/>
      <c r="E652" s="219" t="n"/>
      <c r="F652" s="220" t="n"/>
      <c r="G652" s="221" t="n"/>
    </row>
    <row r="653" ht="15" customHeight="1" s="131">
      <c r="A653" s="220" t="n"/>
      <c r="B653" s="222" t="n"/>
      <c r="C653" s="220" t="n"/>
      <c r="D653" s="179" t="n"/>
      <c r="E653" s="219" t="n"/>
      <c r="F653" s="220" t="n"/>
      <c r="G653" s="221" t="n"/>
    </row>
    <row r="654" ht="15" customHeight="1" s="131">
      <c r="A654" s="220" t="n"/>
      <c r="B654" s="222" t="n"/>
      <c r="C654" s="220" t="n"/>
      <c r="D654" s="179" t="n"/>
      <c r="E654" s="219" t="n"/>
      <c r="F654" s="220" t="n"/>
      <c r="G654" s="221" t="n"/>
    </row>
    <row r="655" ht="15" customHeight="1" s="131">
      <c r="A655" s="220" t="n"/>
      <c r="B655" s="222" t="n"/>
      <c r="C655" s="220" t="n"/>
      <c r="D655" s="179" t="n"/>
      <c r="E655" s="219" t="n"/>
      <c r="F655" s="220" t="n"/>
      <c r="G655" s="221" t="n"/>
    </row>
    <row r="656" ht="15" customHeight="1" s="131">
      <c r="A656" s="220" t="n"/>
      <c r="B656" s="222" t="n"/>
      <c r="C656" s="220" t="n"/>
      <c r="D656" s="179" t="n"/>
      <c r="E656" s="219" t="n"/>
      <c r="F656" s="220" t="n"/>
      <c r="G656" s="221" t="n"/>
    </row>
    <row r="657" ht="15" customHeight="1" s="131">
      <c r="A657" s="220" t="n"/>
      <c r="B657" s="222" t="n"/>
      <c r="C657" s="220" t="n"/>
      <c r="D657" s="179" t="n"/>
      <c r="E657" s="219" t="n"/>
      <c r="F657" s="220" t="n"/>
      <c r="G657" s="221" t="n"/>
    </row>
    <row r="658" ht="15" customHeight="1" s="131">
      <c r="A658" s="220" t="n"/>
      <c r="B658" s="222" t="n"/>
      <c r="C658" s="220" t="n"/>
      <c r="D658" s="179" t="n"/>
      <c r="E658" s="219" t="n"/>
      <c r="F658" s="220" t="n"/>
      <c r="G658" s="221" t="n"/>
    </row>
    <row r="659" ht="15" customHeight="1" s="131">
      <c r="A659" s="220" t="n"/>
      <c r="B659" s="222" t="n"/>
      <c r="C659" s="220" t="n"/>
      <c r="D659" s="179" t="n"/>
      <c r="E659" s="219" t="n"/>
      <c r="F659" s="220" t="n"/>
      <c r="G659" s="221" t="n"/>
    </row>
    <row r="660" ht="15" customHeight="1" s="131">
      <c r="A660" s="220" t="n"/>
      <c r="B660" s="222" t="n"/>
      <c r="C660" s="220" t="n"/>
      <c r="D660" s="179" t="n"/>
      <c r="E660" s="219" t="n"/>
      <c r="F660" s="220" t="n"/>
      <c r="G660" s="221" t="n"/>
    </row>
    <row r="661" ht="15" customHeight="1" s="131">
      <c r="A661" s="220" t="n"/>
      <c r="B661" s="222" t="n"/>
      <c r="C661" s="220" t="n"/>
      <c r="D661" s="179" t="n"/>
      <c r="E661" s="219" t="n"/>
      <c r="F661" s="220" t="n"/>
      <c r="G661" s="221" t="n"/>
    </row>
    <row r="662" ht="15" customHeight="1" s="131">
      <c r="A662" s="220" t="n"/>
      <c r="B662" s="222" t="n"/>
      <c r="C662" s="220" t="n"/>
      <c r="D662" s="179" t="n"/>
      <c r="E662" s="219" t="n"/>
      <c r="F662" s="220" t="n"/>
      <c r="G662" s="221" t="n"/>
    </row>
    <row r="663" ht="15" customHeight="1" s="131">
      <c r="A663" s="220" t="n"/>
      <c r="B663" s="222" t="n"/>
      <c r="C663" s="220" t="n"/>
      <c r="D663" s="179" t="n"/>
      <c r="E663" s="219" t="n"/>
      <c r="F663" s="220" t="n"/>
      <c r="G663" s="221" t="n"/>
    </row>
    <row r="664" ht="15" customHeight="1" s="131">
      <c r="A664" s="220" t="n"/>
      <c r="B664" s="222" t="n"/>
      <c r="C664" s="220" t="n"/>
      <c r="D664" s="179" t="n"/>
      <c r="E664" s="219" t="n"/>
      <c r="F664" s="220" t="n"/>
      <c r="G664" s="221" t="n"/>
    </row>
    <row r="665" ht="15" customHeight="1" s="131">
      <c r="A665" s="220" t="n"/>
      <c r="B665" s="222" t="n"/>
      <c r="C665" s="220" t="n"/>
      <c r="D665" s="179" t="n"/>
      <c r="E665" s="219" t="n"/>
      <c r="F665" s="220" t="n"/>
      <c r="G665" s="221" t="n"/>
    </row>
    <row r="666" ht="15" customHeight="1" s="131">
      <c r="A666" s="220" t="n"/>
      <c r="B666" s="222" t="n"/>
      <c r="C666" s="220" t="n"/>
      <c r="D666" s="179" t="n"/>
      <c r="E666" s="219" t="n"/>
      <c r="F666" s="220" t="n"/>
      <c r="G666" s="221" t="n"/>
    </row>
    <row r="667" ht="15" customHeight="1" s="131">
      <c r="A667" s="220" t="n"/>
      <c r="B667" s="222" t="n"/>
      <c r="C667" s="220" t="n"/>
      <c r="D667" s="179" t="n"/>
      <c r="E667" s="219" t="n"/>
      <c r="F667" s="220" t="n"/>
      <c r="G667" s="221" t="n"/>
    </row>
    <row r="668" ht="15" customHeight="1" s="131">
      <c r="A668" s="220" t="n"/>
      <c r="B668" s="222" t="n"/>
      <c r="C668" s="220" t="n"/>
      <c r="D668" s="179" t="n"/>
      <c r="E668" s="219" t="n"/>
      <c r="F668" s="220" t="n"/>
      <c r="G668" s="221" t="n"/>
    </row>
    <row r="669" ht="15" customHeight="1" s="131">
      <c r="A669" s="220" t="n"/>
      <c r="B669" s="222" t="n"/>
      <c r="C669" s="220" t="n"/>
      <c r="D669" s="179" t="n"/>
      <c r="E669" s="219" t="n"/>
      <c r="F669" s="220" t="n"/>
      <c r="G669" s="221" t="n"/>
    </row>
    <row r="670" ht="15" customHeight="1" s="131">
      <c r="A670" s="220" t="n"/>
      <c r="B670" s="222" t="n"/>
      <c r="C670" s="220" t="n"/>
      <c r="D670" s="179" t="n"/>
      <c r="E670" s="219" t="n"/>
      <c r="F670" s="220" t="n"/>
      <c r="G670" s="221" t="n"/>
    </row>
    <row r="671" ht="15" customHeight="1" s="131">
      <c r="A671" s="220" t="n"/>
      <c r="B671" s="222" t="n"/>
      <c r="C671" s="220" t="n"/>
      <c r="D671" s="179" t="n"/>
      <c r="E671" s="219" t="n"/>
      <c r="F671" s="220" t="n"/>
      <c r="G671" s="221" t="n"/>
    </row>
    <row r="672" ht="15" customHeight="1" s="131">
      <c r="A672" s="220" t="n"/>
      <c r="B672" s="222" t="n"/>
      <c r="C672" s="220" t="n"/>
      <c r="D672" s="179" t="n"/>
      <c r="E672" s="219" t="n"/>
      <c r="F672" s="220" t="n"/>
      <c r="G672" s="221" t="n"/>
    </row>
    <row r="673" ht="15" customHeight="1" s="131">
      <c r="A673" s="220" t="n"/>
      <c r="B673" s="222" t="n"/>
      <c r="C673" s="220" t="n"/>
      <c r="D673" s="179" t="n"/>
      <c r="E673" s="219" t="n"/>
      <c r="F673" s="220" t="n"/>
      <c r="G673" s="221" t="n"/>
    </row>
    <row r="674" ht="15" customHeight="1" s="131">
      <c r="A674" s="220" t="n"/>
      <c r="B674" s="222" t="n"/>
      <c r="C674" s="220" t="n"/>
      <c r="D674" s="179" t="n"/>
      <c r="E674" s="219" t="n"/>
      <c r="F674" s="220" t="n"/>
      <c r="G674" s="221" t="n"/>
    </row>
    <row r="675" ht="15" customHeight="1" s="131">
      <c r="A675" s="220" t="n"/>
      <c r="B675" s="222" t="n"/>
      <c r="C675" s="220" t="n"/>
      <c r="D675" s="179" t="n"/>
      <c r="E675" s="219" t="n"/>
      <c r="F675" s="220" t="n"/>
      <c r="G675" s="221" t="n"/>
    </row>
    <row r="676" ht="15" customHeight="1" s="131">
      <c r="A676" s="220" t="n"/>
      <c r="B676" s="222" t="n"/>
      <c r="C676" s="220" t="n"/>
      <c r="D676" s="179" t="n"/>
      <c r="E676" s="219" t="n"/>
      <c r="F676" s="220" t="n"/>
      <c r="G676" s="221" t="n"/>
    </row>
    <row r="677" ht="15" customHeight="1" s="131">
      <c r="A677" s="220" t="n"/>
      <c r="B677" s="222" t="n"/>
      <c r="C677" s="220" t="n"/>
      <c r="D677" s="179" t="n"/>
      <c r="E677" s="219" t="n"/>
      <c r="F677" s="220" t="n"/>
      <c r="G677" s="221" t="n"/>
    </row>
    <row r="678" ht="15" customHeight="1" s="131">
      <c r="A678" s="220" t="n"/>
      <c r="B678" s="222" t="n"/>
      <c r="C678" s="220" t="n"/>
      <c r="D678" s="179" t="n"/>
      <c r="E678" s="219" t="n"/>
      <c r="F678" s="220" t="n"/>
      <c r="G678" s="221" t="n"/>
    </row>
    <row r="679" ht="15" customHeight="1" s="131">
      <c r="A679" s="220" t="n"/>
      <c r="B679" s="222" t="n"/>
      <c r="C679" s="220" t="n"/>
      <c r="D679" s="179" t="n"/>
      <c r="E679" s="219" t="n"/>
      <c r="F679" s="220" t="n"/>
      <c r="G679" s="221" t="n"/>
    </row>
    <row r="680" ht="15" customHeight="1" s="131">
      <c r="A680" s="220" t="n"/>
      <c r="B680" s="222" t="n"/>
      <c r="C680" s="220" t="n"/>
      <c r="D680" s="179" t="n"/>
      <c r="E680" s="219" t="n"/>
      <c r="F680" s="220" t="n"/>
      <c r="G680" s="221" t="n"/>
    </row>
    <row r="681" ht="15" customHeight="1" s="131">
      <c r="A681" s="220" t="n"/>
      <c r="B681" s="222" t="n"/>
      <c r="C681" s="220" t="n"/>
      <c r="D681" s="179" t="n"/>
      <c r="E681" s="219" t="n"/>
      <c r="F681" s="220" t="n"/>
      <c r="G681" s="221" t="n"/>
    </row>
    <row r="682" ht="15" customHeight="1" s="131">
      <c r="A682" s="220" t="n"/>
      <c r="B682" s="222" t="n"/>
      <c r="C682" s="220" t="n"/>
      <c r="D682" s="179" t="n"/>
      <c r="E682" s="219" t="n"/>
      <c r="F682" s="220" t="n"/>
      <c r="G682" s="221" t="n"/>
    </row>
    <row r="683" ht="15" customHeight="1" s="131">
      <c r="A683" s="220" t="n"/>
      <c r="B683" s="222" t="n"/>
      <c r="C683" s="220" t="n"/>
      <c r="D683" s="179" t="n"/>
      <c r="E683" s="219" t="n"/>
      <c r="F683" s="220" t="n"/>
      <c r="G683" s="221" t="n"/>
    </row>
    <row r="684" ht="15" customHeight="1" s="131">
      <c r="A684" s="220" t="n"/>
      <c r="B684" s="222" t="n"/>
      <c r="C684" s="220" t="n"/>
      <c r="D684" s="179" t="n"/>
      <c r="E684" s="219" t="n"/>
      <c r="F684" s="220" t="n"/>
      <c r="G684" s="221" t="n"/>
    </row>
    <row r="685" ht="15" customHeight="1" s="131">
      <c r="A685" s="220" t="n"/>
      <c r="B685" s="222" t="n"/>
      <c r="C685" s="220" t="n"/>
      <c r="D685" s="179" t="n"/>
      <c r="E685" s="219" t="n"/>
      <c r="F685" s="220" t="n"/>
      <c r="G685" s="221" t="n"/>
    </row>
    <row r="686" ht="15" customHeight="1" s="131">
      <c r="A686" s="220" t="n"/>
      <c r="B686" s="222" t="n"/>
      <c r="C686" s="220" t="n"/>
      <c r="D686" s="179" t="n"/>
      <c r="E686" s="219" t="n"/>
      <c r="F686" s="220" t="n"/>
      <c r="G686" s="221" t="n"/>
    </row>
    <row r="687" ht="15" customHeight="1" s="131">
      <c r="A687" s="220" t="n"/>
      <c r="B687" s="222" t="n"/>
      <c r="C687" s="220" t="n"/>
      <c r="D687" s="179" t="n"/>
      <c r="E687" s="219" t="n"/>
      <c r="F687" s="220" t="n"/>
      <c r="G687" s="221" t="n"/>
    </row>
    <row r="688" ht="15" customHeight="1" s="131">
      <c r="A688" s="220" t="n"/>
      <c r="B688" s="222" t="n"/>
      <c r="C688" s="220" t="n"/>
      <c r="D688" s="179" t="n"/>
      <c r="E688" s="219" t="n"/>
      <c r="F688" s="220" t="n"/>
      <c r="G688" s="221" t="n"/>
    </row>
    <row r="689" ht="15" customHeight="1" s="131">
      <c r="A689" s="220" t="n"/>
      <c r="B689" s="222" t="n"/>
      <c r="C689" s="220" t="n"/>
      <c r="D689" s="179" t="n"/>
      <c r="E689" s="219" t="n"/>
      <c r="F689" s="220" t="n"/>
      <c r="G689" s="221" t="n"/>
    </row>
    <row r="690" ht="15" customHeight="1" s="131">
      <c r="A690" s="220" t="n"/>
      <c r="B690" s="222" t="n"/>
      <c r="C690" s="220" t="n"/>
      <c r="D690" s="179" t="n"/>
      <c r="E690" s="219" t="n"/>
      <c r="F690" s="220" t="n"/>
      <c r="G690" s="221" t="n"/>
    </row>
    <row r="691" ht="15" customHeight="1" s="131">
      <c r="A691" s="220" t="n"/>
      <c r="B691" s="222" t="n"/>
      <c r="C691" s="220" t="n"/>
      <c r="D691" s="179" t="n"/>
      <c r="E691" s="219" t="n"/>
      <c r="F691" s="220" t="n"/>
      <c r="G691" s="221" t="n"/>
    </row>
    <row r="692" ht="15" customHeight="1" s="131">
      <c r="A692" s="220" t="n"/>
      <c r="B692" s="222" t="n"/>
      <c r="C692" s="220" t="n"/>
      <c r="D692" s="179" t="n"/>
      <c r="E692" s="219" t="n"/>
      <c r="F692" s="220" t="n"/>
      <c r="G692" s="221" t="n"/>
    </row>
    <row r="693" ht="15" customHeight="1" s="131">
      <c r="A693" s="220" t="n"/>
      <c r="B693" s="222" t="n"/>
      <c r="C693" s="220" t="n"/>
      <c r="D693" s="179" t="n"/>
      <c r="E693" s="219" t="n"/>
      <c r="F693" s="220" t="n"/>
      <c r="G693" s="221" t="n"/>
    </row>
    <row r="694" ht="15" customHeight="1" s="131">
      <c r="A694" s="220" t="n"/>
      <c r="B694" s="222" t="n"/>
      <c r="C694" s="220" t="n"/>
      <c r="D694" s="179" t="n"/>
      <c r="E694" s="219" t="n"/>
      <c r="F694" s="220" t="n"/>
      <c r="G694" s="221" t="n"/>
    </row>
    <row r="695" ht="15" customHeight="1" s="131">
      <c r="A695" s="220" t="n"/>
      <c r="B695" s="222" t="n"/>
      <c r="C695" s="220" t="n"/>
      <c r="D695" s="179" t="n"/>
      <c r="E695" s="219" t="n"/>
      <c r="F695" s="220" t="n"/>
      <c r="G695" s="221" t="n"/>
    </row>
    <row r="696" ht="15" customHeight="1" s="131">
      <c r="A696" s="220" t="n"/>
      <c r="B696" s="222" t="n"/>
      <c r="C696" s="220" t="n"/>
      <c r="D696" s="179" t="n"/>
      <c r="E696" s="219" t="n"/>
      <c r="F696" s="220" t="n"/>
      <c r="G696" s="221" t="n"/>
    </row>
    <row r="697" ht="15" customHeight="1" s="131">
      <c r="A697" s="220" t="n"/>
      <c r="B697" s="222" t="n"/>
      <c r="C697" s="220" t="n"/>
      <c r="D697" s="179" t="n"/>
      <c r="E697" s="219" t="n"/>
      <c r="F697" s="220" t="n"/>
      <c r="G697" s="221" t="n"/>
    </row>
    <row r="698" ht="15" customHeight="1" s="131">
      <c r="A698" s="220" t="n"/>
      <c r="B698" s="222" t="n"/>
      <c r="C698" s="220" t="n"/>
      <c r="D698" s="179" t="n"/>
      <c r="E698" s="219" t="n"/>
      <c r="F698" s="220" t="n"/>
      <c r="G698" s="221" t="n"/>
    </row>
    <row r="699" ht="15" customHeight="1" s="131">
      <c r="A699" s="220" t="n"/>
      <c r="B699" s="222" t="n"/>
      <c r="C699" s="220" t="n"/>
      <c r="D699" s="179" t="n"/>
      <c r="E699" s="219" t="n"/>
      <c r="F699" s="220" t="n"/>
      <c r="G699" s="221" t="n"/>
    </row>
    <row r="700" ht="15" customHeight="1" s="131">
      <c r="A700" s="220" t="n"/>
      <c r="B700" s="222" t="n"/>
      <c r="C700" s="220" t="n"/>
      <c r="D700" s="179" t="n"/>
      <c r="E700" s="219" t="n"/>
      <c r="F700" s="220" t="n"/>
      <c r="G700" s="221" t="n"/>
    </row>
    <row r="701" ht="15" customHeight="1" s="131">
      <c r="A701" s="220" t="n"/>
      <c r="B701" s="222" t="n"/>
      <c r="C701" s="220" t="n"/>
      <c r="D701" s="179" t="n"/>
      <c r="E701" s="219" t="n"/>
      <c r="F701" s="220" t="n"/>
      <c r="G701" s="221" t="n"/>
    </row>
    <row r="702" ht="15" customHeight="1" s="131">
      <c r="A702" s="220" t="n"/>
      <c r="B702" s="222" t="n"/>
      <c r="C702" s="220" t="n"/>
      <c r="D702" s="179" t="n"/>
      <c r="E702" s="219" t="n"/>
      <c r="F702" s="220" t="n"/>
      <c r="G702" s="221" t="n"/>
    </row>
    <row r="703" ht="15" customHeight="1" s="131">
      <c r="A703" s="220" t="n"/>
      <c r="B703" s="222" t="n"/>
      <c r="C703" s="220" t="n"/>
      <c r="D703" s="179" t="n"/>
      <c r="E703" s="219" t="n"/>
      <c r="F703" s="220" t="n"/>
      <c r="G703" s="221" t="n"/>
    </row>
    <row r="704" ht="15" customHeight="1" s="131">
      <c r="A704" s="220" t="n"/>
      <c r="B704" s="222" t="n"/>
      <c r="C704" s="220" t="n"/>
      <c r="D704" s="179" t="n"/>
      <c r="E704" s="219" t="n"/>
      <c r="F704" s="220" t="n"/>
      <c r="G704" s="221" t="n"/>
    </row>
    <row r="705" ht="15" customHeight="1" s="131">
      <c r="A705" s="220" t="n"/>
      <c r="B705" s="222" t="n"/>
      <c r="C705" s="220" t="n"/>
      <c r="D705" s="179" t="n"/>
      <c r="E705" s="219" t="n"/>
      <c r="F705" s="220" t="n"/>
      <c r="G705" s="221" t="n"/>
    </row>
    <row r="706" ht="15" customHeight="1" s="131">
      <c r="A706" s="220" t="n"/>
      <c r="B706" s="222" t="n"/>
      <c r="C706" s="220" t="n"/>
      <c r="D706" s="179" t="n"/>
      <c r="E706" s="219" t="n"/>
      <c r="F706" s="220" t="n"/>
      <c r="G706" s="221" t="n"/>
    </row>
    <row r="707" ht="15" customHeight="1" s="131">
      <c r="A707" s="220" t="n"/>
      <c r="B707" s="222" t="n"/>
      <c r="C707" s="220" t="n"/>
      <c r="D707" s="179" t="n"/>
      <c r="E707" s="219" t="n"/>
      <c r="F707" s="220" t="n"/>
      <c r="G707" s="221" t="n"/>
    </row>
    <row r="708" ht="15" customHeight="1" s="131">
      <c r="A708" s="220" t="n"/>
      <c r="B708" s="222" t="n"/>
      <c r="C708" s="220" t="n"/>
      <c r="D708" s="179" t="n"/>
      <c r="E708" s="219" t="n"/>
      <c r="F708" s="220" t="n"/>
      <c r="G708" s="221" t="n"/>
    </row>
    <row r="709" ht="15" customHeight="1" s="131">
      <c r="A709" s="220" t="n"/>
      <c r="B709" s="222" t="n"/>
      <c r="C709" s="220" t="n"/>
      <c r="D709" s="179" t="n"/>
      <c r="E709" s="219" t="n"/>
      <c r="F709" s="220" t="n"/>
      <c r="G709" s="221" t="n"/>
    </row>
    <row r="710" ht="15" customHeight="1" s="131">
      <c r="A710" s="220" t="n"/>
      <c r="B710" s="222" t="n"/>
      <c r="C710" s="220" t="n"/>
      <c r="D710" s="179" t="n"/>
      <c r="E710" s="219" t="n"/>
      <c r="F710" s="220" t="n"/>
      <c r="G710" s="221" t="n"/>
    </row>
    <row r="711" ht="15" customHeight="1" s="131">
      <c r="A711" s="220" t="n"/>
      <c r="B711" s="222" t="n"/>
      <c r="C711" s="220" t="n"/>
      <c r="D711" s="179" t="n"/>
      <c r="E711" s="219" t="n"/>
      <c r="F711" s="220" t="n"/>
      <c r="G711" s="221" t="n"/>
    </row>
    <row r="712" ht="15" customHeight="1" s="131">
      <c r="A712" s="220" t="n"/>
      <c r="B712" s="222" t="n"/>
      <c r="C712" s="220" t="n"/>
      <c r="D712" s="179" t="n"/>
      <c r="E712" s="219" t="n"/>
      <c r="F712" s="220" t="n"/>
      <c r="G712" s="221" t="n"/>
    </row>
    <row r="713" ht="15" customHeight="1" s="131">
      <c r="A713" s="220" t="n"/>
      <c r="B713" s="222" t="n"/>
      <c r="C713" s="220" t="n"/>
      <c r="D713" s="179" t="n"/>
      <c r="E713" s="219" t="n"/>
      <c r="F713" s="220" t="n"/>
      <c r="G713" s="221" t="n"/>
    </row>
    <row r="714" ht="15" customHeight="1" s="131">
      <c r="A714" s="220" t="n"/>
      <c r="B714" s="222" t="n"/>
      <c r="C714" s="220" t="n"/>
      <c r="D714" s="179" t="n"/>
      <c r="E714" s="219" t="n"/>
      <c r="F714" s="220" t="n"/>
      <c r="G714" s="221" t="n"/>
    </row>
    <row r="715" ht="15" customHeight="1" s="131">
      <c r="A715" s="220" t="n"/>
      <c r="B715" s="222" t="n"/>
      <c r="C715" s="220" t="n"/>
      <c r="D715" s="179" t="n"/>
      <c r="E715" s="219" t="n"/>
      <c r="F715" s="220" t="n"/>
      <c r="G715" s="221" t="n"/>
    </row>
    <row r="716" ht="15" customHeight="1" s="131">
      <c r="A716" s="220" t="n"/>
      <c r="B716" s="222" t="n"/>
      <c r="C716" s="220" t="n"/>
      <c r="D716" s="179" t="n"/>
      <c r="E716" s="219" t="n"/>
      <c r="F716" s="220" t="n"/>
      <c r="G716" s="221" t="n"/>
    </row>
    <row r="717" ht="15" customHeight="1" s="131">
      <c r="A717" s="220" t="n"/>
      <c r="B717" s="222" t="n"/>
      <c r="C717" s="220" t="n"/>
      <c r="D717" s="179" t="n"/>
      <c r="E717" s="219" t="n"/>
      <c r="F717" s="220" t="n"/>
      <c r="G717" s="221" t="n"/>
    </row>
    <row r="718" ht="15" customHeight="1" s="131">
      <c r="A718" s="220" t="n"/>
      <c r="B718" s="222" t="n"/>
      <c r="C718" s="220" t="n"/>
      <c r="D718" s="179" t="n"/>
      <c r="E718" s="219" t="n"/>
      <c r="F718" s="220" t="n"/>
      <c r="G718" s="221" t="n"/>
    </row>
    <row r="719" ht="15" customHeight="1" s="131">
      <c r="A719" s="220" t="n"/>
      <c r="B719" s="222" t="n"/>
      <c r="C719" s="220" t="n"/>
      <c r="D719" s="179" t="n"/>
      <c r="E719" s="219" t="n"/>
      <c r="F719" s="220" t="n"/>
      <c r="G719" s="221" t="n"/>
    </row>
    <row r="720" ht="15" customHeight="1" s="131">
      <c r="A720" s="220" t="n"/>
      <c r="B720" s="222" t="n"/>
      <c r="C720" s="220" t="n"/>
      <c r="D720" s="179" t="n"/>
      <c r="E720" s="219" t="n"/>
      <c r="F720" s="220" t="n"/>
      <c r="G720" s="221" t="n"/>
    </row>
    <row r="721" ht="15" customHeight="1" s="131">
      <c r="A721" s="220" t="n"/>
      <c r="B721" s="222" t="n"/>
      <c r="C721" s="220" t="n"/>
      <c r="D721" s="179" t="n"/>
      <c r="E721" s="219" t="n"/>
      <c r="F721" s="220" t="n"/>
      <c r="G721" s="221" t="n"/>
    </row>
    <row r="722" ht="15" customHeight="1" s="131">
      <c r="A722" s="220" t="n"/>
      <c r="B722" s="222" t="n"/>
      <c r="C722" s="220" t="n"/>
      <c r="D722" s="179" t="n"/>
      <c r="E722" s="219" t="n"/>
      <c r="F722" s="220" t="n"/>
      <c r="G722" s="221" t="n"/>
    </row>
    <row r="723" ht="15" customHeight="1" s="131">
      <c r="A723" s="220" t="n"/>
      <c r="B723" s="222" t="n"/>
      <c r="C723" s="220" t="n"/>
      <c r="D723" s="179" t="n"/>
      <c r="E723" s="219" t="n"/>
      <c r="F723" s="220" t="n"/>
      <c r="G723" s="221" t="n"/>
    </row>
    <row r="724" ht="15" customHeight="1" s="131">
      <c r="A724" s="220" t="n"/>
      <c r="B724" s="222" t="n"/>
      <c r="C724" s="220" t="n"/>
      <c r="D724" s="179" t="n"/>
      <c r="E724" s="219" t="n"/>
      <c r="F724" s="220" t="n"/>
      <c r="G724" s="221" t="n"/>
    </row>
    <row r="725" ht="15" customHeight="1" s="131">
      <c r="A725" s="220" t="n"/>
      <c r="B725" s="222" t="n"/>
      <c r="C725" s="220" t="n"/>
      <c r="D725" s="179" t="n"/>
      <c r="E725" s="219" t="n"/>
      <c r="F725" s="220" t="n"/>
      <c r="G725" s="221" t="n"/>
    </row>
    <row r="726" ht="15" customHeight="1" s="131">
      <c r="A726" s="220" t="n"/>
      <c r="B726" s="222" t="n"/>
      <c r="C726" s="220" t="n"/>
      <c r="D726" s="179" t="n"/>
      <c r="E726" s="219" t="n"/>
      <c r="F726" s="220" t="n"/>
      <c r="G726" s="221" t="n"/>
    </row>
    <row r="727" ht="15" customHeight="1" s="131">
      <c r="A727" s="220" t="n"/>
      <c r="B727" s="222" t="n"/>
      <c r="C727" s="220" t="n"/>
      <c r="D727" s="179" t="n"/>
      <c r="E727" s="219" t="n"/>
      <c r="F727" s="220" t="n"/>
      <c r="G727" s="221" t="n"/>
    </row>
    <row r="728" ht="15" customHeight="1" s="131">
      <c r="A728" s="220" t="n"/>
      <c r="B728" s="222" t="n"/>
      <c r="C728" s="220" t="n"/>
      <c r="D728" s="179" t="n"/>
      <c r="E728" s="219" t="n"/>
      <c r="F728" s="220" t="n"/>
      <c r="G728" s="221" t="n"/>
    </row>
    <row r="729" ht="15" customHeight="1" s="131">
      <c r="A729" s="220" t="n"/>
      <c r="B729" s="222" t="n"/>
      <c r="C729" s="220" t="n"/>
      <c r="D729" s="179" t="n"/>
      <c r="E729" s="219" t="n"/>
      <c r="F729" s="220" t="n"/>
      <c r="G729" s="221" t="n"/>
    </row>
    <row r="730" ht="15" customHeight="1" s="131">
      <c r="A730" s="220" t="n"/>
      <c r="B730" s="222" t="n"/>
      <c r="C730" s="220" t="n"/>
      <c r="D730" s="179" t="n"/>
      <c r="E730" s="219" t="n"/>
      <c r="F730" s="220" t="n"/>
      <c r="G730" s="221" t="n"/>
    </row>
    <row r="731" ht="15" customHeight="1" s="131">
      <c r="A731" s="220" t="n"/>
      <c r="B731" s="222" t="n"/>
      <c r="C731" s="220" t="n"/>
      <c r="D731" s="179" t="n"/>
      <c r="E731" s="219" t="n"/>
      <c r="F731" s="220" t="n"/>
      <c r="G731" s="221" t="n"/>
    </row>
    <row r="732" ht="15" customHeight="1" s="131">
      <c r="A732" s="220" t="n"/>
      <c r="B732" s="222" t="n"/>
      <c r="C732" s="220" t="n"/>
      <c r="D732" s="179" t="n"/>
      <c r="E732" s="219" t="n"/>
      <c r="F732" s="220" t="n"/>
      <c r="G732" s="221" t="n"/>
    </row>
    <row r="733" ht="15" customHeight="1" s="131">
      <c r="A733" s="220" t="n"/>
      <c r="B733" s="222" t="n"/>
      <c r="C733" s="220" t="n"/>
      <c r="D733" s="179" t="n"/>
      <c r="E733" s="219" t="n"/>
      <c r="F733" s="220" t="n"/>
      <c r="G733" s="221" t="n"/>
    </row>
    <row r="734" ht="15" customHeight="1" s="131">
      <c r="A734" s="220" t="n"/>
      <c r="B734" s="222" t="n"/>
      <c r="C734" s="220" t="n"/>
      <c r="D734" s="179" t="n"/>
      <c r="E734" s="219" t="n"/>
      <c r="F734" s="220" t="n"/>
      <c r="G734" s="221" t="n"/>
    </row>
    <row r="735" ht="15" customHeight="1" s="131">
      <c r="A735" s="220" t="n"/>
      <c r="B735" s="222" t="n"/>
      <c r="C735" s="220" t="n"/>
      <c r="D735" s="179" t="n"/>
      <c r="E735" s="219" t="n"/>
      <c r="F735" s="220" t="n"/>
      <c r="G735" s="221" t="n"/>
    </row>
    <row r="736" ht="15" customHeight="1" s="131">
      <c r="A736" s="220" t="n"/>
      <c r="B736" s="222" t="n"/>
      <c r="C736" s="220" t="n"/>
      <c r="D736" s="179" t="n"/>
      <c r="E736" s="219" t="n"/>
      <c r="F736" s="220" t="n"/>
      <c r="G736" s="221" t="n"/>
    </row>
    <row r="737" ht="15" customHeight="1" s="131">
      <c r="A737" s="220" t="n"/>
      <c r="B737" s="222" t="n"/>
      <c r="C737" s="220" t="n"/>
      <c r="D737" s="179" t="n"/>
      <c r="E737" s="219" t="n"/>
      <c r="F737" s="220" t="n"/>
      <c r="G737" s="221" t="n"/>
    </row>
    <row r="738" ht="15" customHeight="1" s="131">
      <c r="A738" s="220" t="n"/>
      <c r="B738" s="222" t="n"/>
      <c r="C738" s="220" t="n"/>
      <c r="D738" s="179" t="n"/>
      <c r="E738" s="219" t="n"/>
      <c r="F738" s="220" t="n"/>
      <c r="G738" s="221" t="n"/>
    </row>
    <row r="739" ht="15" customHeight="1" s="131">
      <c r="A739" s="220" t="n"/>
      <c r="B739" s="222" t="n"/>
      <c r="C739" s="220" t="n"/>
      <c r="D739" s="179" t="n"/>
      <c r="E739" s="219" t="n"/>
      <c r="F739" s="220" t="n"/>
      <c r="G739" s="221" t="n"/>
    </row>
    <row r="740" ht="15" customHeight="1" s="131">
      <c r="A740" s="220" t="n"/>
      <c r="B740" s="222" t="n"/>
      <c r="C740" s="220" t="n"/>
      <c r="D740" s="179" t="n"/>
      <c r="E740" s="219" t="n"/>
      <c r="F740" s="220" t="n"/>
      <c r="G740" s="221" t="n"/>
    </row>
    <row r="741" ht="15" customHeight="1" s="131">
      <c r="A741" s="220" t="n"/>
      <c r="B741" s="222" t="n"/>
      <c r="C741" s="220" t="n"/>
      <c r="D741" s="179" t="n"/>
      <c r="E741" s="219" t="n"/>
      <c r="F741" s="220" t="n"/>
      <c r="G741" s="221" t="n"/>
    </row>
    <row r="742" ht="15" customHeight="1" s="131">
      <c r="A742" s="220" t="n"/>
      <c r="B742" s="222" t="n"/>
      <c r="C742" s="220" t="n"/>
      <c r="D742" s="179" t="n"/>
      <c r="E742" s="219" t="n"/>
      <c r="F742" s="220" t="n"/>
      <c r="G742" s="221" t="n"/>
    </row>
    <row r="743" ht="15" customHeight="1" s="131">
      <c r="A743" s="220" t="n"/>
      <c r="B743" s="222" t="n"/>
      <c r="C743" s="220" t="n"/>
      <c r="D743" s="179" t="n"/>
      <c r="E743" s="219" t="n"/>
      <c r="F743" s="220" t="n"/>
      <c r="G743" s="221" t="n"/>
    </row>
    <row r="744" ht="15" customHeight="1" s="131">
      <c r="A744" s="220" t="n"/>
      <c r="B744" s="222" t="n"/>
      <c r="C744" s="220" t="n"/>
      <c r="D744" s="179" t="n"/>
      <c r="E744" s="219" t="n"/>
      <c r="F744" s="220" t="n"/>
      <c r="G744" s="221" t="n"/>
    </row>
    <row r="745" ht="15" customHeight="1" s="131">
      <c r="A745" s="220" t="n"/>
      <c r="B745" s="222" t="n"/>
      <c r="C745" s="220" t="n"/>
      <c r="D745" s="179" t="n"/>
      <c r="E745" s="219" t="n"/>
      <c r="F745" s="220" t="n"/>
      <c r="G745" s="221" t="n"/>
    </row>
    <row r="746" ht="15" customHeight="1" s="131">
      <c r="A746" s="220" t="n"/>
      <c r="B746" s="222" t="n"/>
      <c r="C746" s="220" t="n"/>
      <c r="D746" s="179" t="n"/>
      <c r="E746" s="219" t="n"/>
      <c r="F746" s="220" t="n"/>
      <c r="G746" s="221" t="n"/>
    </row>
    <row r="747" ht="15" customHeight="1" s="131">
      <c r="A747" s="220" t="n"/>
      <c r="B747" s="222" t="n"/>
      <c r="C747" s="220" t="n"/>
      <c r="D747" s="179" t="n"/>
      <c r="E747" s="219" t="n"/>
      <c r="F747" s="220" t="n"/>
      <c r="G747" s="221" t="n"/>
    </row>
    <row r="748" ht="15" customHeight="1" s="131">
      <c r="A748" s="220" t="n"/>
      <c r="B748" s="222" t="n"/>
      <c r="C748" s="220" t="n"/>
      <c r="D748" s="179" t="n"/>
      <c r="E748" s="219" t="n"/>
      <c r="F748" s="220" t="n"/>
      <c r="G748" s="221" t="n"/>
    </row>
    <row r="749" ht="15" customHeight="1" s="131">
      <c r="A749" s="220" t="n"/>
      <c r="B749" s="222" t="n"/>
      <c r="C749" s="220" t="n"/>
      <c r="D749" s="179" t="n"/>
      <c r="E749" s="219" t="n"/>
      <c r="F749" s="220" t="n"/>
      <c r="G749" s="221" t="n"/>
    </row>
    <row r="750" ht="15" customHeight="1" s="131">
      <c r="A750" s="220" t="n"/>
      <c r="B750" s="222" t="n"/>
      <c r="C750" s="220" t="n"/>
      <c r="D750" s="179" t="n"/>
      <c r="E750" s="219" t="n"/>
      <c r="F750" s="220" t="n"/>
      <c r="G750" s="221" t="n"/>
    </row>
    <row r="751" ht="15" customHeight="1" s="131">
      <c r="A751" s="220" t="n"/>
      <c r="B751" s="222" t="n"/>
      <c r="C751" s="220" t="n"/>
      <c r="D751" s="179" t="n"/>
      <c r="E751" s="219" t="n"/>
      <c r="F751" s="220" t="n"/>
      <c r="G751" s="221" t="n"/>
    </row>
    <row r="752" ht="15" customHeight="1" s="131">
      <c r="A752" s="220" t="n"/>
      <c r="B752" s="222" t="n"/>
      <c r="C752" s="220" t="n"/>
      <c r="D752" s="179" t="n"/>
      <c r="E752" s="219" t="n"/>
      <c r="F752" s="220" t="n"/>
      <c r="G752" s="221" t="n"/>
    </row>
    <row r="753" ht="15" customHeight="1" s="131">
      <c r="A753" s="220" t="n"/>
      <c r="B753" s="222" t="n"/>
      <c r="C753" s="220" t="n"/>
      <c r="D753" s="179" t="n"/>
      <c r="E753" s="219" t="n"/>
      <c r="F753" s="220" t="n"/>
      <c r="G753" s="221" t="n"/>
    </row>
    <row r="754" ht="15" customHeight="1" s="131">
      <c r="A754" s="220" t="n"/>
      <c r="B754" s="222" t="n"/>
      <c r="C754" s="220" t="n"/>
      <c r="D754" s="179" t="n"/>
      <c r="E754" s="219" t="n"/>
      <c r="F754" s="220" t="n"/>
      <c r="G754" s="221" t="n"/>
    </row>
    <row r="755" ht="15" customHeight="1" s="131">
      <c r="A755" s="220" t="n"/>
      <c r="B755" s="222" t="n"/>
      <c r="C755" s="220" t="n"/>
      <c r="D755" s="179" t="n"/>
      <c r="E755" s="219" t="n"/>
      <c r="F755" s="220" t="n"/>
      <c r="G755" s="221" t="n"/>
    </row>
    <row r="756" ht="15" customHeight="1" s="131">
      <c r="A756" s="220" t="n"/>
      <c r="B756" s="222" t="n"/>
      <c r="C756" s="220" t="n"/>
      <c r="D756" s="179" t="n"/>
      <c r="E756" s="219" t="n"/>
      <c r="F756" s="220" t="n"/>
      <c r="G756" s="221" t="n"/>
    </row>
    <row r="757" ht="15" customHeight="1" s="131">
      <c r="A757" s="220" t="n"/>
      <c r="B757" s="222" t="n"/>
      <c r="C757" s="220" t="n"/>
      <c r="D757" s="179" t="n"/>
      <c r="E757" s="219" t="n"/>
      <c r="F757" s="220" t="n"/>
      <c r="G757" s="221" t="n"/>
    </row>
    <row r="758" ht="15" customHeight="1" s="131">
      <c r="A758" s="220" t="n"/>
      <c r="B758" s="222" t="n"/>
      <c r="C758" s="220" t="n"/>
      <c r="D758" s="179" t="n"/>
      <c r="E758" s="219" t="n"/>
      <c r="F758" s="220" t="n"/>
      <c r="G758" s="221" t="n"/>
    </row>
    <row r="759" ht="15" customHeight="1" s="131">
      <c r="A759" s="220" t="n"/>
      <c r="B759" s="222" t="n"/>
      <c r="C759" s="220" t="n"/>
      <c r="D759" s="179" t="n"/>
      <c r="E759" s="219" t="n"/>
      <c r="F759" s="220" t="n"/>
      <c r="G759" s="221" t="n"/>
    </row>
    <row r="760" ht="15" customHeight="1" s="131">
      <c r="A760" s="220" t="n"/>
      <c r="B760" s="222" t="n"/>
      <c r="C760" s="220" t="n"/>
      <c r="D760" s="179" t="n"/>
      <c r="E760" s="219" t="n"/>
      <c r="F760" s="220" t="n"/>
      <c r="G760" s="221" t="n"/>
    </row>
    <row r="761" ht="15" customHeight="1" s="131">
      <c r="A761" s="220" t="n"/>
      <c r="B761" s="222" t="n"/>
      <c r="C761" s="220" t="n"/>
      <c r="D761" s="179" t="n"/>
      <c r="E761" s="219" t="n"/>
      <c r="F761" s="220" t="n"/>
      <c r="G761" s="221" t="n"/>
    </row>
    <row r="762" ht="15" customHeight="1" s="131">
      <c r="A762" s="220" t="n"/>
      <c r="B762" s="222" t="n"/>
      <c r="C762" s="220" t="n"/>
      <c r="D762" s="179" t="n"/>
      <c r="E762" s="219" t="n"/>
      <c r="F762" s="220" t="n"/>
      <c r="G762" s="221" t="n"/>
    </row>
    <row r="763" ht="15" customHeight="1" s="131">
      <c r="A763" s="220" t="n"/>
      <c r="B763" s="222" t="n"/>
      <c r="C763" s="220" t="n"/>
      <c r="D763" s="179" t="n"/>
      <c r="E763" s="219" t="n"/>
      <c r="F763" s="220" t="n"/>
      <c r="G763" s="221" t="n"/>
    </row>
    <row r="764" ht="15" customHeight="1" s="131">
      <c r="A764" s="220" t="n"/>
      <c r="B764" s="222" t="n"/>
      <c r="C764" s="220" t="n"/>
      <c r="D764" s="179" t="n"/>
      <c r="E764" s="219" t="n"/>
      <c r="F764" s="220" t="n"/>
      <c r="G764" s="221" t="n"/>
    </row>
    <row r="765" ht="15" customHeight="1" s="131">
      <c r="A765" s="220" t="n"/>
      <c r="B765" s="222" t="n"/>
      <c r="C765" s="220" t="n"/>
      <c r="D765" s="179" t="n"/>
      <c r="E765" s="219" t="n"/>
      <c r="F765" s="220" t="n"/>
      <c r="G765" s="221" t="n"/>
    </row>
    <row r="766" ht="15" customHeight="1" s="131">
      <c r="A766" s="220" t="n"/>
      <c r="B766" s="222" t="n"/>
      <c r="C766" s="220" t="n"/>
      <c r="D766" s="179" t="n"/>
      <c r="E766" s="219" t="n"/>
      <c r="F766" s="220" t="n"/>
      <c r="G766" s="221" t="n"/>
    </row>
    <row r="767" ht="15" customHeight="1" s="131">
      <c r="A767" s="220" t="n"/>
      <c r="B767" s="222" t="n"/>
      <c r="C767" s="220" t="n"/>
      <c r="D767" s="179" t="n"/>
      <c r="E767" s="219" t="n"/>
      <c r="F767" s="220" t="n"/>
      <c r="G767" s="221" t="n"/>
    </row>
    <row r="768" ht="15" customHeight="1" s="131">
      <c r="A768" s="220" t="n"/>
      <c r="B768" s="222" t="n"/>
      <c r="C768" s="220" t="n"/>
      <c r="D768" s="179" t="n"/>
      <c r="E768" s="219" t="n"/>
      <c r="F768" s="220" t="n"/>
      <c r="G768" s="221" t="n"/>
    </row>
    <row r="769" ht="15" customHeight="1" s="131">
      <c r="A769" s="220" t="n"/>
      <c r="B769" s="222" t="n"/>
      <c r="C769" s="220" t="n"/>
      <c r="D769" s="179" t="n"/>
      <c r="E769" s="219" t="n"/>
      <c r="F769" s="220" t="n"/>
      <c r="G769" s="221" t="n"/>
    </row>
    <row r="770" ht="15" customHeight="1" s="131">
      <c r="A770" s="220" t="n"/>
      <c r="B770" s="222" t="n"/>
      <c r="C770" s="220" t="n"/>
      <c r="D770" s="179" t="n"/>
      <c r="E770" s="219" t="n"/>
      <c r="F770" s="220" t="n"/>
      <c r="G770" s="221" t="n"/>
    </row>
    <row r="771" ht="15" customHeight="1" s="131">
      <c r="A771" s="220" t="n"/>
      <c r="B771" s="222" t="n"/>
      <c r="C771" s="220" t="n"/>
      <c r="D771" s="179" t="n"/>
      <c r="E771" s="219" t="n"/>
      <c r="F771" s="220" t="n"/>
      <c r="G771" s="221" t="n"/>
    </row>
    <row r="772" ht="15" customHeight="1" s="131">
      <c r="A772" s="220" t="n"/>
      <c r="B772" s="222" t="n"/>
      <c r="C772" s="220" t="n"/>
      <c r="D772" s="179" t="n"/>
      <c r="E772" s="219" t="n"/>
      <c r="F772" s="220" t="n"/>
      <c r="G772" s="221" t="n"/>
    </row>
    <row r="773" ht="15" customHeight="1" s="131">
      <c r="A773" s="220" t="n"/>
      <c r="B773" s="222" t="n"/>
      <c r="C773" s="220" t="n"/>
      <c r="D773" s="179" t="n"/>
      <c r="E773" s="219" t="n"/>
      <c r="F773" s="220" t="n"/>
      <c r="G773" s="221" t="n"/>
    </row>
    <row r="774" ht="15" customHeight="1" s="131">
      <c r="A774" s="220" t="n"/>
      <c r="B774" s="222" t="n"/>
      <c r="C774" s="220" t="n"/>
      <c r="D774" s="179" t="n"/>
      <c r="E774" s="219" t="n"/>
      <c r="F774" s="220" t="n"/>
      <c r="G774" s="221" t="n"/>
    </row>
    <row r="775" ht="15" customHeight="1" s="131">
      <c r="A775" s="220" t="n"/>
      <c r="B775" s="222" t="n"/>
      <c r="C775" s="220" t="n"/>
      <c r="D775" s="179" t="n"/>
      <c r="E775" s="219" t="n"/>
      <c r="F775" s="220" t="n"/>
      <c r="G775" s="221" t="n"/>
    </row>
    <row r="776" ht="15" customHeight="1" s="131">
      <c r="A776" s="220" t="n"/>
      <c r="B776" s="222" t="n"/>
      <c r="C776" s="220" t="n"/>
      <c r="D776" s="179" t="n"/>
      <c r="E776" s="219" t="n"/>
      <c r="F776" s="220" t="n"/>
      <c r="G776" s="221" t="n"/>
    </row>
    <row r="777" ht="15" customHeight="1" s="131">
      <c r="A777" s="220" t="n"/>
      <c r="B777" s="222" t="n"/>
      <c r="C777" s="220" t="n"/>
      <c r="D777" s="179" t="n"/>
      <c r="E777" s="219" t="n"/>
      <c r="F777" s="220" t="n"/>
      <c r="G777" s="221" t="n"/>
    </row>
    <row r="778" ht="15" customHeight="1" s="131">
      <c r="A778" s="220" t="n"/>
      <c r="B778" s="222" t="n"/>
      <c r="C778" s="220" t="n"/>
      <c r="D778" s="179" t="n"/>
      <c r="E778" s="219" t="n"/>
      <c r="F778" s="220" t="n"/>
      <c r="G778" s="221" t="n"/>
    </row>
    <row r="779" ht="15" customHeight="1" s="131">
      <c r="A779" s="220" t="n"/>
      <c r="B779" s="222" t="n"/>
      <c r="C779" s="220" t="n"/>
      <c r="D779" s="179" t="n"/>
      <c r="E779" s="219" t="n"/>
      <c r="F779" s="220" t="n"/>
      <c r="G779" s="221" t="n"/>
    </row>
    <row r="780" ht="15" customHeight="1" s="131">
      <c r="A780" s="220" t="n"/>
      <c r="B780" s="222" t="n"/>
      <c r="C780" s="220" t="n"/>
      <c r="D780" s="179" t="n"/>
      <c r="E780" s="219" t="n"/>
      <c r="F780" s="220" t="n"/>
      <c r="G780" s="221" t="n"/>
    </row>
    <row r="781" ht="15" customHeight="1" s="131">
      <c r="A781" s="220" t="n"/>
      <c r="B781" s="222" t="n"/>
      <c r="C781" s="220" t="n"/>
      <c r="D781" s="179" t="n"/>
      <c r="E781" s="219" t="n"/>
      <c r="F781" s="220" t="n"/>
      <c r="G781" s="221" t="n"/>
    </row>
    <row r="782" ht="15" customHeight="1" s="131">
      <c r="A782" s="220" t="n"/>
      <c r="B782" s="222" t="n"/>
      <c r="C782" s="220" t="n"/>
      <c r="D782" s="179" t="n"/>
      <c r="E782" s="219" t="n"/>
      <c r="F782" s="220" t="n"/>
      <c r="G782" s="221" t="n"/>
    </row>
    <row r="783" ht="15" customHeight="1" s="131">
      <c r="A783" s="220" t="n"/>
      <c r="B783" s="222" t="n"/>
      <c r="C783" s="220" t="n"/>
      <c r="D783" s="179" t="n"/>
      <c r="E783" s="219" t="n"/>
      <c r="F783" s="220" t="n"/>
      <c r="G783" s="221" t="n"/>
    </row>
    <row r="784" ht="15" customHeight="1" s="131">
      <c r="A784" s="220" t="n"/>
      <c r="B784" s="222" t="n"/>
      <c r="C784" s="220" t="n"/>
      <c r="D784" s="179" t="n"/>
      <c r="E784" s="219" t="n"/>
      <c r="F784" s="220" t="n"/>
      <c r="G784" s="221" t="n"/>
    </row>
    <row r="785" ht="15" customHeight="1" s="131">
      <c r="A785" s="220" t="n"/>
      <c r="B785" s="222" t="n"/>
      <c r="C785" s="220" t="n"/>
      <c r="D785" s="179" t="n"/>
      <c r="E785" s="219" t="n"/>
      <c r="F785" s="220" t="n"/>
      <c r="G785" s="221" t="n"/>
    </row>
    <row r="786" ht="15" customHeight="1" s="131">
      <c r="A786" s="220" t="n"/>
      <c r="B786" s="222" t="n"/>
      <c r="C786" s="220" t="n"/>
      <c r="D786" s="179" t="n"/>
      <c r="E786" s="219" t="n"/>
      <c r="F786" s="220" t="n"/>
      <c r="G786" s="221" t="n"/>
    </row>
    <row r="787" ht="15" customHeight="1" s="131">
      <c r="A787" s="220" t="n"/>
      <c r="B787" s="222" t="n"/>
      <c r="C787" s="220" t="n"/>
      <c r="D787" s="179" t="n"/>
      <c r="E787" s="219" t="n"/>
      <c r="F787" s="220" t="n"/>
      <c r="G787" s="221" t="n"/>
    </row>
    <row r="788" ht="15" customHeight="1" s="131">
      <c r="A788" s="220" t="n"/>
      <c r="B788" s="222" t="n"/>
      <c r="C788" s="220" t="n"/>
      <c r="D788" s="179" t="n"/>
      <c r="E788" s="219" t="n"/>
      <c r="F788" s="220" t="n"/>
      <c r="G788" s="221" t="n"/>
    </row>
    <row r="789" ht="15" customHeight="1" s="131">
      <c r="A789" s="220" t="n"/>
      <c r="B789" s="222" t="n"/>
      <c r="C789" s="220" t="n"/>
      <c r="D789" s="179" t="n"/>
      <c r="E789" s="219" t="n"/>
      <c r="F789" s="220" t="n"/>
      <c r="G789" s="221" t="n"/>
    </row>
    <row r="790" ht="15" customHeight="1" s="131">
      <c r="A790" s="220" t="n"/>
      <c r="B790" s="222" t="n"/>
      <c r="C790" s="220" t="n"/>
      <c r="D790" s="179" t="n"/>
      <c r="E790" s="219" t="n"/>
      <c r="F790" s="220" t="n"/>
      <c r="G790" s="221" t="n"/>
    </row>
    <row r="791" ht="15" customHeight="1" s="131">
      <c r="A791" s="220" t="n"/>
      <c r="B791" s="222" t="n"/>
      <c r="C791" s="220" t="n"/>
      <c r="D791" s="179" t="n"/>
      <c r="E791" s="219" t="n"/>
      <c r="F791" s="220" t="n"/>
      <c r="G791" s="221" t="n"/>
    </row>
    <row r="792" ht="15" customHeight="1" s="131">
      <c r="A792" s="220" t="n"/>
      <c r="B792" s="222" t="n"/>
      <c r="C792" s="220" t="n"/>
      <c r="D792" s="179" t="n"/>
      <c r="E792" s="219" t="n"/>
      <c r="F792" s="220" t="n"/>
      <c r="G792" s="221" t="n"/>
    </row>
    <row r="793" ht="15" customHeight="1" s="131">
      <c r="A793" s="220" t="n"/>
      <c r="B793" s="222" t="n"/>
      <c r="C793" s="220" t="n"/>
      <c r="D793" s="179" t="n"/>
      <c r="E793" s="219" t="n"/>
      <c r="F793" s="220" t="n"/>
      <c r="G793" s="221" t="n"/>
    </row>
    <row r="794" ht="15" customHeight="1" s="131">
      <c r="A794" s="220" t="n"/>
      <c r="B794" s="222" t="n"/>
      <c r="C794" s="220" t="n"/>
      <c r="D794" s="179" t="n"/>
      <c r="E794" s="219" t="n"/>
      <c r="F794" s="220" t="n"/>
      <c r="G794" s="221" t="n"/>
    </row>
    <row r="795" ht="15" customHeight="1" s="131">
      <c r="A795" s="220" t="n"/>
      <c r="B795" s="222" t="n"/>
      <c r="C795" s="220" t="n"/>
      <c r="D795" s="179" t="n"/>
      <c r="E795" s="219" t="n"/>
      <c r="F795" s="220" t="n"/>
      <c r="G795" s="221" t="n"/>
    </row>
    <row r="796" ht="15" customHeight="1" s="131">
      <c r="A796" s="220" t="n"/>
      <c r="B796" s="222" t="n"/>
      <c r="C796" s="220" t="n"/>
      <c r="D796" s="179" t="n"/>
      <c r="E796" s="219" t="n"/>
      <c r="F796" s="220" t="n"/>
      <c r="G796" s="221" t="n"/>
    </row>
    <row r="797" ht="15" customHeight="1" s="131">
      <c r="A797" s="220" t="n"/>
      <c r="B797" s="222" t="n"/>
      <c r="C797" s="220" t="n"/>
      <c r="D797" s="179" t="n"/>
      <c r="E797" s="219" t="n"/>
      <c r="F797" s="220" t="n"/>
      <c r="G797" s="221" t="n"/>
    </row>
    <row r="798" ht="15" customHeight="1" s="131">
      <c r="A798" s="220" t="n"/>
      <c r="B798" s="222" t="n"/>
      <c r="C798" s="220" t="n"/>
      <c r="D798" s="179" t="n"/>
      <c r="E798" s="219" t="n"/>
      <c r="F798" s="220" t="n"/>
      <c r="G798" s="221" t="n"/>
    </row>
    <row r="799" ht="15" customHeight="1" s="131">
      <c r="A799" s="220" t="n"/>
      <c r="B799" s="222" t="n"/>
      <c r="C799" s="220" t="n"/>
      <c r="D799" s="179" t="n"/>
      <c r="E799" s="219" t="n"/>
      <c r="F799" s="220" t="n"/>
      <c r="G799" s="221" t="n"/>
    </row>
    <row r="800" ht="15" customHeight="1" s="131">
      <c r="A800" s="220" t="n"/>
      <c r="B800" s="222" t="n"/>
      <c r="C800" s="220" t="n"/>
      <c r="D800" s="179" t="n"/>
      <c r="E800" s="219" t="n"/>
      <c r="F800" s="220" t="n"/>
      <c r="G800" s="221" t="n"/>
    </row>
    <row r="801" ht="15" customHeight="1" s="131">
      <c r="A801" s="220" t="n"/>
      <c r="B801" s="222" t="n"/>
      <c r="C801" s="220" t="n"/>
      <c r="D801" s="179" t="n"/>
      <c r="E801" s="219" t="n"/>
      <c r="F801" s="220" t="n"/>
      <c r="G801" s="221" t="n"/>
    </row>
    <row r="802" ht="15" customHeight="1" s="131">
      <c r="A802" s="220" t="n"/>
      <c r="B802" s="222" t="n"/>
      <c r="C802" s="220" t="n"/>
      <c r="D802" s="179" t="n"/>
      <c r="E802" s="219" t="n"/>
      <c r="F802" s="220" t="n"/>
      <c r="G802" s="221" t="n"/>
    </row>
    <row r="803" ht="15" customHeight="1" s="131">
      <c r="A803" s="220" t="n"/>
      <c r="B803" s="222" t="n"/>
      <c r="C803" s="220" t="n"/>
      <c r="D803" s="179" t="n"/>
      <c r="E803" s="219" t="n"/>
      <c r="F803" s="220" t="n"/>
      <c r="G803" s="221" t="n"/>
    </row>
    <row r="804" ht="15" customHeight="1" s="131">
      <c r="A804" s="220" t="n"/>
      <c r="B804" s="222" t="n"/>
      <c r="C804" s="220" t="n"/>
      <c r="D804" s="179" t="n"/>
      <c r="E804" s="219" t="n"/>
      <c r="F804" s="220" t="n"/>
      <c r="G804" s="221" t="n"/>
    </row>
    <row r="805" ht="15" customHeight="1" s="131">
      <c r="A805" s="220" t="n"/>
      <c r="B805" s="222" t="n"/>
      <c r="C805" s="220" t="n"/>
      <c r="D805" s="179" t="n"/>
      <c r="E805" s="219" t="n"/>
      <c r="F805" s="220" t="n"/>
      <c r="G805" s="221" t="n"/>
    </row>
    <row r="806" ht="15" customHeight="1" s="131">
      <c r="A806" s="220" t="n"/>
      <c r="B806" s="222" t="n"/>
      <c r="C806" s="220" t="n"/>
      <c r="D806" s="179" t="n"/>
      <c r="E806" s="219" t="n"/>
      <c r="F806" s="220" t="n"/>
      <c r="G806" s="221" t="n"/>
    </row>
    <row r="807" ht="15" customHeight="1" s="131">
      <c r="A807" s="220" t="n"/>
      <c r="B807" s="222" t="n"/>
      <c r="C807" s="220" t="n"/>
      <c r="D807" s="179" t="n"/>
      <c r="E807" s="219" t="n"/>
      <c r="F807" s="220" t="n"/>
      <c r="G807" s="221" t="n"/>
    </row>
    <row r="808" ht="15" customHeight="1" s="131">
      <c r="A808" s="220" t="n"/>
      <c r="B808" s="222" t="n"/>
      <c r="C808" s="220" t="n"/>
      <c r="D808" s="179" t="n"/>
      <c r="E808" s="219" t="n"/>
      <c r="F808" s="220" t="n"/>
      <c r="G808" s="221" t="n"/>
    </row>
    <row r="809" ht="15" customHeight="1" s="131">
      <c r="A809" s="220" t="n"/>
      <c r="B809" s="222" t="n"/>
      <c r="C809" s="220" t="n"/>
      <c r="D809" s="179" t="n"/>
      <c r="E809" s="219" t="n"/>
      <c r="F809" s="220" t="n"/>
      <c r="G809" s="221" t="n"/>
    </row>
    <row r="810" ht="15" customHeight="1" s="131">
      <c r="A810" s="220" t="n"/>
      <c r="B810" s="222" t="n"/>
      <c r="C810" s="220" t="n"/>
      <c r="D810" s="179" t="n"/>
      <c r="E810" s="219" t="n"/>
      <c r="F810" s="220" t="n"/>
      <c r="G810" s="221" t="n"/>
    </row>
    <row r="811" ht="15" customHeight="1" s="131">
      <c r="A811" s="220" t="n"/>
      <c r="B811" s="222" t="n"/>
      <c r="C811" s="220" t="n"/>
      <c r="D811" s="179" t="n"/>
      <c r="E811" s="219" t="n"/>
      <c r="F811" s="220" t="n"/>
      <c r="G811" s="221" t="n"/>
    </row>
    <row r="812" ht="15" customHeight="1" s="131">
      <c r="A812" s="220" t="n"/>
      <c r="B812" s="222" t="n"/>
      <c r="C812" s="220" t="n"/>
      <c r="D812" s="179" t="n"/>
      <c r="E812" s="219" t="n"/>
      <c r="F812" s="220" t="n"/>
      <c r="G812" s="221" t="n"/>
    </row>
    <row r="813" ht="15" customHeight="1" s="131">
      <c r="A813" s="220" t="n"/>
      <c r="B813" s="222" t="n"/>
      <c r="C813" s="220" t="n"/>
      <c r="D813" s="179" t="n"/>
      <c r="E813" s="219" t="n"/>
      <c r="F813" s="220" t="n"/>
      <c r="G813" s="221" t="n"/>
    </row>
    <row r="814" ht="15" customHeight="1" s="131">
      <c r="A814" s="220" t="n"/>
      <c r="B814" s="222" t="n"/>
      <c r="C814" s="220" t="n"/>
      <c r="D814" s="179" t="n"/>
      <c r="E814" s="219" t="n"/>
      <c r="F814" s="220" t="n"/>
      <c r="G814" s="221" t="n"/>
    </row>
    <row r="815" ht="15" customHeight="1" s="131">
      <c r="A815" s="220" t="n"/>
      <c r="B815" s="222" t="n"/>
      <c r="C815" s="220" t="n"/>
      <c r="D815" s="179" t="n"/>
      <c r="E815" s="219" t="n"/>
      <c r="F815" s="220" t="n"/>
      <c r="G815" s="221" t="n"/>
    </row>
    <row r="816" ht="15" customHeight="1" s="131">
      <c r="A816" s="220" t="n"/>
      <c r="B816" s="222" t="n"/>
      <c r="C816" s="220" t="n"/>
      <c r="D816" s="179" t="n"/>
      <c r="E816" s="219" t="n"/>
      <c r="F816" s="220" t="n"/>
      <c r="G816" s="221" t="n"/>
    </row>
    <row r="817" ht="15" customHeight="1" s="131">
      <c r="A817" s="220" t="n"/>
      <c r="B817" s="222" t="n"/>
      <c r="C817" s="220" t="n"/>
      <c r="D817" s="179" t="n"/>
      <c r="E817" s="219" t="n"/>
      <c r="F817" s="220" t="n"/>
      <c r="G817" s="221" t="n"/>
    </row>
    <row r="818" ht="15" customHeight="1" s="131">
      <c r="A818" s="220" t="n"/>
      <c r="B818" s="222" t="n"/>
      <c r="C818" s="220" t="n"/>
      <c r="D818" s="179" t="n"/>
      <c r="E818" s="219" t="n"/>
      <c r="F818" s="220" t="n"/>
      <c r="G818" s="221" t="n"/>
    </row>
    <row r="819" ht="15" customHeight="1" s="131">
      <c r="A819" s="220" t="n"/>
      <c r="B819" s="222" t="n"/>
      <c r="C819" s="220" t="n"/>
      <c r="D819" s="179" t="n"/>
      <c r="E819" s="219" t="n"/>
      <c r="F819" s="220" t="n"/>
      <c r="G819" s="221" t="n"/>
    </row>
    <row r="820" ht="15" customHeight="1" s="131">
      <c r="A820" s="220" t="n"/>
      <c r="B820" s="222" t="n"/>
      <c r="C820" s="220" t="n"/>
      <c r="D820" s="179" t="n"/>
      <c r="E820" s="219" t="n"/>
      <c r="F820" s="220" t="n"/>
      <c r="G820" s="221" t="n"/>
    </row>
    <row r="821" ht="15" customHeight="1" s="131">
      <c r="A821" s="220" t="n"/>
      <c r="B821" s="222" t="n"/>
      <c r="C821" s="220" t="n"/>
      <c r="D821" s="179" t="n"/>
      <c r="E821" s="219" t="n"/>
      <c r="F821" s="220" t="n"/>
      <c r="G821" s="221" t="n"/>
    </row>
    <row r="822" ht="15" customHeight="1" s="131">
      <c r="A822" s="220" t="n"/>
      <c r="B822" s="222" t="n"/>
      <c r="C822" s="220" t="n"/>
      <c r="D822" s="179" t="n"/>
      <c r="E822" s="219" t="n"/>
      <c r="F822" s="220" t="n"/>
      <c r="G822" s="221" t="n"/>
    </row>
    <row r="823" ht="15" customHeight="1" s="131">
      <c r="A823" s="220" t="n"/>
      <c r="B823" s="222" t="n"/>
      <c r="C823" s="220" t="n"/>
      <c r="D823" s="179" t="n"/>
      <c r="E823" s="219" t="n"/>
      <c r="F823" s="220" t="n"/>
      <c r="G823" s="221" t="n"/>
    </row>
    <row r="824" ht="15" customHeight="1" s="131">
      <c r="A824" s="220" t="n"/>
      <c r="B824" s="222" t="n"/>
      <c r="C824" s="220" t="n"/>
      <c r="D824" s="179" t="n"/>
      <c r="E824" s="219" t="n"/>
      <c r="F824" s="220" t="n"/>
      <c r="G824" s="221" t="n"/>
    </row>
    <row r="825" ht="15" customHeight="1" s="131">
      <c r="A825" s="220" t="n"/>
      <c r="B825" s="222" t="n"/>
      <c r="C825" s="220" t="n"/>
      <c r="D825" s="179" t="n"/>
      <c r="E825" s="219" t="n"/>
      <c r="F825" s="220" t="n"/>
      <c r="G825" s="221" t="n"/>
    </row>
    <row r="826" ht="15" customHeight="1" s="131">
      <c r="A826" s="220" t="n"/>
      <c r="B826" s="222" t="n"/>
      <c r="C826" s="220" t="n"/>
      <c r="D826" s="179" t="n"/>
      <c r="E826" s="219" t="n"/>
      <c r="F826" s="220" t="n"/>
      <c r="G826" s="221" t="n"/>
    </row>
    <row r="827" ht="15" customHeight="1" s="131">
      <c r="A827" s="220" t="n"/>
      <c r="B827" s="222" t="n"/>
      <c r="C827" s="220" t="n"/>
      <c r="D827" s="179" t="n"/>
      <c r="E827" s="219" t="n"/>
      <c r="F827" s="220" t="n"/>
      <c r="G827" s="221" t="n"/>
    </row>
    <row r="828" ht="15" customHeight="1" s="131">
      <c r="A828" s="220" t="n"/>
      <c r="B828" s="222" t="n"/>
      <c r="C828" s="220" t="n"/>
      <c r="D828" s="179" t="n"/>
      <c r="E828" s="219" t="n"/>
      <c r="F828" s="220" t="n"/>
      <c r="G828" s="221" t="n"/>
    </row>
    <row r="829" ht="15" customHeight="1" s="131">
      <c r="A829" s="220" t="n"/>
      <c r="B829" s="222" t="n"/>
      <c r="C829" s="220" t="n"/>
      <c r="D829" s="179" t="n"/>
      <c r="E829" s="219" t="n"/>
      <c r="F829" s="220" t="n"/>
      <c r="G829" s="221" t="n"/>
    </row>
    <row r="830" ht="15" customHeight="1" s="131">
      <c r="A830" s="220" t="n"/>
      <c r="B830" s="222" t="n"/>
      <c r="C830" s="220" t="n"/>
      <c r="D830" s="179" t="n"/>
      <c r="E830" s="219" t="n"/>
      <c r="F830" s="220" t="n"/>
      <c r="G830" s="221" t="n"/>
    </row>
    <row r="831" ht="15" customHeight="1" s="131">
      <c r="A831" s="220" t="n"/>
      <c r="B831" s="222" t="n"/>
      <c r="C831" s="220" t="n"/>
      <c r="D831" s="179" t="n"/>
      <c r="E831" s="219" t="n"/>
      <c r="F831" s="220" t="n"/>
      <c r="G831" s="221" t="n"/>
    </row>
    <row r="832" ht="15" customHeight="1" s="131">
      <c r="A832" s="220" t="n"/>
      <c r="B832" s="222" t="n"/>
      <c r="C832" s="220" t="n"/>
      <c r="D832" s="179" t="n"/>
      <c r="E832" s="219" t="n"/>
      <c r="F832" s="220" t="n"/>
      <c r="G832" s="221" t="n"/>
    </row>
    <row r="833" ht="15" customHeight="1" s="131">
      <c r="A833" s="220" t="n"/>
      <c r="B833" s="222" t="n"/>
      <c r="C833" s="220" t="n"/>
      <c r="D833" s="179" t="n"/>
      <c r="E833" s="219" t="n"/>
      <c r="F833" s="220" t="n"/>
      <c r="G833" s="221" t="n"/>
    </row>
    <row r="834" ht="15" customHeight="1" s="131">
      <c r="A834" s="220" t="n"/>
      <c r="B834" s="222" t="n"/>
      <c r="C834" s="220" t="n"/>
      <c r="D834" s="179" t="n"/>
      <c r="E834" s="219" t="n"/>
      <c r="F834" s="220" t="n"/>
      <c r="G834" s="221" t="n"/>
    </row>
    <row r="835" ht="15" customHeight="1" s="131">
      <c r="A835" s="220" t="n"/>
      <c r="B835" s="222" t="n"/>
      <c r="C835" s="220" t="n"/>
      <c r="D835" s="179" t="n"/>
      <c r="E835" s="219" t="n"/>
      <c r="F835" s="220" t="n"/>
      <c r="G835" s="221" t="n"/>
    </row>
    <row r="836" ht="15" customHeight="1" s="131">
      <c r="A836" s="220" t="n"/>
      <c r="B836" s="222" t="n"/>
      <c r="C836" s="220" t="n"/>
      <c r="D836" s="179" t="n"/>
      <c r="E836" s="219" t="n"/>
      <c r="F836" s="220" t="n"/>
      <c r="G836" s="221" t="n"/>
    </row>
    <row r="837" ht="15" customHeight="1" s="131">
      <c r="A837" s="220" t="n"/>
      <c r="B837" s="222" t="n"/>
      <c r="C837" s="220" t="n"/>
      <c r="D837" s="179" t="n"/>
      <c r="E837" s="219" t="n"/>
      <c r="F837" s="220" t="n"/>
      <c r="G837" s="221" t="n"/>
    </row>
    <row r="838" ht="15" customHeight="1" s="131">
      <c r="A838" s="220" t="n"/>
      <c r="B838" s="222" t="n"/>
      <c r="C838" s="220" t="n"/>
      <c r="D838" s="179" t="n"/>
      <c r="E838" s="219" t="n"/>
      <c r="F838" s="220" t="n"/>
      <c r="G838" s="221" t="n"/>
    </row>
    <row r="839" ht="15" customHeight="1" s="131">
      <c r="A839" s="220" t="n"/>
      <c r="B839" s="222" t="n"/>
      <c r="C839" s="220" t="n"/>
      <c r="D839" s="179" t="n"/>
      <c r="E839" s="219" t="n"/>
      <c r="F839" s="220" t="n"/>
      <c r="G839" s="221" t="n"/>
    </row>
    <row r="840" ht="15" customHeight="1" s="131">
      <c r="A840" s="220" t="n"/>
      <c r="B840" s="222" t="n"/>
      <c r="C840" s="220" t="n"/>
      <c r="D840" s="179" t="n"/>
      <c r="E840" s="219" t="n"/>
      <c r="F840" s="220" t="n"/>
      <c r="G840" s="221" t="n"/>
    </row>
    <row r="841" ht="15" customHeight="1" s="131">
      <c r="A841" s="220" t="n"/>
      <c r="B841" s="222" t="n"/>
      <c r="C841" s="220" t="n"/>
      <c r="D841" s="179" t="n"/>
      <c r="E841" s="219" t="n"/>
      <c r="F841" s="220" t="n"/>
      <c r="G841" s="221" t="n"/>
    </row>
    <row r="842" ht="15" customHeight="1" s="131">
      <c r="A842" s="220" t="n"/>
      <c r="B842" s="222" t="n"/>
      <c r="C842" s="220" t="n"/>
      <c r="D842" s="179" t="n"/>
      <c r="E842" s="219" t="n"/>
      <c r="F842" s="220" t="n"/>
      <c r="G842" s="221" t="n"/>
    </row>
    <row r="843" ht="15" customHeight="1" s="131">
      <c r="A843" s="220" t="n"/>
      <c r="B843" s="222" t="n"/>
      <c r="C843" s="220" t="n"/>
      <c r="D843" s="179" t="n"/>
      <c r="E843" s="219" t="n"/>
      <c r="F843" s="220" t="n"/>
      <c r="G843" s="221" t="n"/>
    </row>
    <row r="844" ht="15" customHeight="1" s="131">
      <c r="A844" s="220" t="n"/>
      <c r="B844" s="222" t="n"/>
      <c r="C844" s="220" t="n"/>
      <c r="D844" s="179" t="n"/>
      <c r="E844" s="219" t="n"/>
      <c r="F844" s="220" t="n"/>
      <c r="G844" s="221" t="n"/>
    </row>
    <row r="845" ht="15" customHeight="1" s="131">
      <c r="A845" s="220" t="n"/>
      <c r="B845" s="222" t="n"/>
      <c r="C845" s="220" t="n"/>
      <c r="D845" s="179" t="n"/>
      <c r="E845" s="219" t="n"/>
      <c r="F845" s="220" t="n"/>
      <c r="G845" s="221" t="n"/>
    </row>
    <row r="846" ht="15" customHeight="1" s="131">
      <c r="A846" s="220" t="n"/>
      <c r="B846" s="222" t="n"/>
      <c r="C846" s="220" t="n"/>
      <c r="D846" s="179" t="n"/>
      <c r="E846" s="219" t="n"/>
      <c r="F846" s="220" t="n"/>
      <c r="G846" s="221" t="n"/>
    </row>
    <row r="847" ht="15" customHeight="1" s="131">
      <c r="A847" s="220" t="n"/>
      <c r="B847" s="222" t="n"/>
      <c r="C847" s="220" t="n"/>
      <c r="D847" s="179" t="n"/>
      <c r="E847" s="219" t="n"/>
      <c r="F847" s="220" t="n"/>
      <c r="G847" s="221" t="n"/>
    </row>
    <row r="848" ht="15" customHeight="1" s="131">
      <c r="A848" s="220" t="n"/>
      <c r="B848" s="222" t="n"/>
      <c r="C848" s="220" t="n"/>
      <c r="D848" s="179" t="n"/>
      <c r="E848" s="219" t="n"/>
      <c r="F848" s="220" t="n"/>
      <c r="G848" s="221" t="n"/>
    </row>
    <row r="849" ht="15" customHeight="1" s="131">
      <c r="A849" s="220" t="n"/>
      <c r="B849" s="222" t="n"/>
      <c r="C849" s="220" t="n"/>
      <c r="D849" s="179" t="n"/>
      <c r="E849" s="219" t="n"/>
      <c r="F849" s="220" t="n"/>
      <c r="G849" s="221" t="n"/>
    </row>
    <row r="850" ht="15" customHeight="1" s="131">
      <c r="A850" s="220" t="n"/>
      <c r="B850" s="222" t="n"/>
      <c r="C850" s="220" t="n"/>
      <c r="D850" s="179" t="n"/>
      <c r="E850" s="219" t="n"/>
      <c r="F850" s="220" t="n"/>
      <c r="G850" s="221" t="n"/>
    </row>
    <row r="851" ht="15" customHeight="1" s="131">
      <c r="A851" s="220" t="n"/>
      <c r="B851" s="222" t="n"/>
      <c r="C851" s="220" t="n"/>
      <c r="D851" s="179" t="n"/>
      <c r="E851" s="219" t="n"/>
      <c r="F851" s="220" t="n"/>
      <c r="G851" s="221" t="n"/>
    </row>
    <row r="852" ht="15" customHeight="1" s="131">
      <c r="A852" s="220" t="n"/>
      <c r="B852" s="222" t="n"/>
      <c r="C852" s="220" t="n"/>
      <c r="D852" s="179" t="n"/>
      <c r="E852" s="219" t="n"/>
      <c r="F852" s="220" t="n"/>
      <c r="G852" s="221" t="n"/>
    </row>
    <row r="853" ht="15" customHeight="1" s="131">
      <c r="A853" s="220" t="n"/>
      <c r="B853" s="222" t="n"/>
      <c r="C853" s="220" t="n"/>
      <c r="D853" s="179" t="n"/>
      <c r="E853" s="219" t="n"/>
      <c r="F853" s="220" t="n"/>
      <c r="G853" s="221" t="n"/>
    </row>
    <row r="854" ht="15" customHeight="1" s="131">
      <c r="A854" s="220" t="n"/>
      <c r="B854" s="222" t="n"/>
      <c r="C854" s="220" t="n"/>
      <c r="D854" s="179" t="n"/>
      <c r="E854" s="219" t="n"/>
      <c r="F854" s="220" t="n"/>
      <c r="G854" s="221" t="n"/>
    </row>
    <row r="855" ht="15" customHeight="1" s="131">
      <c r="A855" s="220" t="n"/>
      <c r="B855" s="222" t="n"/>
      <c r="C855" s="220" t="n"/>
      <c r="D855" s="179" t="n"/>
      <c r="E855" s="219" t="n"/>
      <c r="F855" s="220" t="n"/>
      <c r="G855" s="221" t="n"/>
    </row>
    <row r="856" ht="15" customHeight="1" s="131">
      <c r="A856" s="220" t="n"/>
      <c r="B856" s="222" t="n"/>
      <c r="C856" s="220" t="n"/>
      <c r="D856" s="179" t="n"/>
      <c r="E856" s="219" t="n"/>
      <c r="F856" s="220" t="n"/>
      <c r="G856" s="221" t="n"/>
    </row>
    <row r="857" ht="15" customHeight="1" s="131">
      <c r="A857" s="220" t="n"/>
      <c r="B857" s="222" t="n"/>
      <c r="C857" s="220" t="n"/>
      <c r="D857" s="179" t="n"/>
      <c r="E857" s="219" t="n"/>
      <c r="F857" s="220" t="n"/>
      <c r="G857" s="221" t="n"/>
    </row>
    <row r="858" ht="15" customHeight="1" s="131">
      <c r="A858" s="220" t="n"/>
      <c r="B858" s="222" t="n"/>
      <c r="C858" s="220" t="n"/>
      <c r="D858" s="179" t="n"/>
      <c r="E858" s="219" t="n"/>
      <c r="F858" s="220" t="n"/>
      <c r="G858" s="221" t="n"/>
    </row>
    <row r="859" ht="15" customHeight="1" s="131">
      <c r="A859" s="220" t="n"/>
      <c r="B859" s="222" t="n"/>
      <c r="C859" s="220" t="n"/>
      <c r="D859" s="179" t="n"/>
      <c r="E859" s="219" t="n"/>
      <c r="F859" s="220" t="n"/>
      <c r="G859" s="221" t="n"/>
    </row>
    <row r="860" ht="15" customHeight="1" s="131">
      <c r="A860" s="220" t="n"/>
      <c r="B860" s="222" t="n"/>
      <c r="C860" s="220" t="n"/>
      <c r="D860" s="179" t="n"/>
      <c r="E860" s="219" t="n"/>
      <c r="F860" s="220" t="n"/>
      <c r="G860" s="221" t="n"/>
    </row>
    <row r="861" ht="15" customHeight="1" s="131">
      <c r="A861" s="220" t="n"/>
      <c r="B861" s="222" t="n"/>
      <c r="C861" s="220" t="n"/>
      <c r="D861" s="179" t="n"/>
      <c r="E861" s="219" t="n"/>
      <c r="F861" s="220" t="n"/>
      <c r="G861" s="221" t="n"/>
    </row>
    <row r="862" ht="15" customHeight="1" s="131">
      <c r="A862" s="220" t="n"/>
      <c r="B862" s="222" t="n"/>
      <c r="C862" s="220" t="n"/>
      <c r="D862" s="179" t="n"/>
      <c r="E862" s="219" t="n"/>
      <c r="F862" s="220" t="n"/>
      <c r="G862" s="221" t="n"/>
    </row>
    <row r="863" ht="15" customHeight="1" s="131">
      <c r="A863" s="220" t="n"/>
      <c r="B863" s="222" t="n"/>
      <c r="C863" s="220" t="n"/>
      <c r="D863" s="179" t="n"/>
      <c r="E863" s="219" t="n"/>
      <c r="F863" s="220" t="n"/>
      <c r="G863" s="221" t="n"/>
    </row>
    <row r="864" ht="15" customHeight="1" s="131">
      <c r="A864" s="220" t="n"/>
      <c r="B864" s="222" t="n"/>
      <c r="C864" s="220" t="n"/>
      <c r="D864" s="179" t="n"/>
      <c r="E864" s="219" t="n"/>
      <c r="F864" s="220" t="n"/>
      <c r="G864" s="221" t="n"/>
    </row>
    <row r="865" ht="15" customHeight="1" s="131">
      <c r="A865" s="220" t="n"/>
      <c r="B865" s="222" t="n"/>
      <c r="C865" s="220" t="n"/>
      <c r="D865" s="179" t="n"/>
      <c r="E865" s="219" t="n"/>
      <c r="F865" s="220" t="n"/>
      <c r="G865" s="221" t="n"/>
    </row>
    <row r="866" ht="15" customHeight="1" s="131">
      <c r="A866" s="220" t="n"/>
      <c r="B866" s="222" t="n"/>
      <c r="C866" s="220" t="n"/>
      <c r="D866" s="179" t="n"/>
      <c r="E866" s="219" t="n"/>
      <c r="F866" s="220" t="n"/>
      <c r="G866" s="221" t="n"/>
    </row>
    <row r="867" ht="15" customHeight="1" s="131">
      <c r="A867" s="220" t="n"/>
      <c r="B867" s="222" t="n"/>
      <c r="C867" s="220" t="n"/>
      <c r="D867" s="179" t="n"/>
      <c r="E867" s="219" t="n"/>
      <c r="F867" s="220" t="n"/>
      <c r="G867" s="221" t="n"/>
    </row>
    <row r="868" ht="15" customHeight="1" s="131">
      <c r="A868" s="220" t="n"/>
      <c r="B868" s="222" t="n"/>
      <c r="C868" s="220" t="n"/>
      <c r="D868" s="179" t="n"/>
      <c r="E868" s="219" t="n"/>
      <c r="F868" s="220" t="n"/>
      <c r="G868" s="221" t="n"/>
    </row>
    <row r="869" ht="15" customHeight="1" s="131">
      <c r="A869" s="220" t="n"/>
      <c r="B869" s="222" t="n"/>
      <c r="C869" s="220" t="n"/>
      <c r="D869" s="179" t="n"/>
      <c r="E869" s="219" t="n"/>
      <c r="F869" s="220" t="n"/>
      <c r="G869" s="221" t="n"/>
    </row>
    <row r="870" ht="15" customHeight="1" s="131">
      <c r="A870" s="220" t="n"/>
      <c r="B870" s="222" t="n"/>
      <c r="C870" s="220" t="n"/>
      <c r="D870" s="179" t="n"/>
      <c r="E870" s="219" t="n"/>
      <c r="F870" s="220" t="n"/>
      <c r="G870" s="221" t="n"/>
    </row>
    <row r="871" ht="15" customHeight="1" s="131">
      <c r="A871" s="220" t="n"/>
      <c r="B871" s="222" t="n"/>
      <c r="C871" s="220" t="n"/>
      <c r="D871" s="179" t="n"/>
      <c r="E871" s="219" t="n"/>
      <c r="F871" s="220" t="n"/>
      <c r="G871" s="221" t="n"/>
    </row>
    <row r="872" ht="15" customHeight="1" s="131">
      <c r="A872" s="220" t="n"/>
      <c r="B872" s="222" t="n"/>
      <c r="C872" s="220" t="n"/>
      <c r="D872" s="179" t="n"/>
      <c r="E872" s="219" t="n"/>
      <c r="F872" s="220" t="n"/>
      <c r="G872" s="221" t="n"/>
    </row>
    <row r="873" ht="15" customHeight="1" s="131">
      <c r="A873" s="220" t="n"/>
      <c r="B873" s="222" t="n"/>
      <c r="C873" s="220" t="n"/>
      <c r="D873" s="179" t="n"/>
      <c r="E873" s="219" t="n"/>
      <c r="F873" s="220" t="n"/>
      <c r="G873" s="221" t="n"/>
    </row>
    <row r="874" ht="15" customHeight="1" s="131">
      <c r="A874" s="220" t="n"/>
      <c r="B874" s="222" t="n"/>
      <c r="C874" s="220" t="n"/>
      <c r="D874" s="179" t="n"/>
      <c r="E874" s="219" t="n"/>
      <c r="F874" s="220" t="n"/>
      <c r="G874" s="221" t="n"/>
    </row>
    <row r="875" ht="15" customHeight="1" s="131">
      <c r="A875" s="220" t="n"/>
      <c r="B875" s="222" t="n"/>
      <c r="C875" s="220" t="n"/>
      <c r="D875" s="179" t="n"/>
      <c r="E875" s="219" t="n"/>
      <c r="F875" s="220" t="n"/>
      <c r="G875" s="221" t="n"/>
    </row>
    <row r="876" ht="15" customHeight="1" s="131">
      <c r="A876" s="220" t="n"/>
      <c r="B876" s="222" t="n"/>
      <c r="C876" s="220" t="n"/>
      <c r="D876" s="179" t="n"/>
      <c r="E876" s="219" t="n"/>
      <c r="F876" s="220" t="n"/>
      <c r="G876" s="221" t="n"/>
    </row>
    <row r="877" ht="15" customHeight="1" s="131">
      <c r="A877" s="220" t="n"/>
      <c r="B877" s="222" t="n"/>
      <c r="C877" s="220" t="n"/>
      <c r="D877" s="179" t="n"/>
      <c r="E877" s="219" t="n"/>
      <c r="F877" s="220" t="n"/>
      <c r="G877" s="221" t="n"/>
    </row>
    <row r="878" ht="15" customHeight="1" s="131">
      <c r="A878" s="220" t="n"/>
      <c r="B878" s="222" t="n"/>
      <c r="C878" s="220" t="n"/>
      <c r="D878" s="179" t="n"/>
      <c r="E878" s="219" t="n"/>
      <c r="F878" s="220" t="n"/>
      <c r="G878" s="221" t="n"/>
    </row>
    <row r="879" ht="15" customHeight="1" s="131">
      <c r="A879" s="220" t="n"/>
      <c r="B879" s="222" t="n"/>
      <c r="C879" s="220" t="n"/>
      <c r="D879" s="179" t="n"/>
      <c r="E879" s="219" t="n"/>
      <c r="F879" s="220" t="n"/>
      <c r="G879" s="221" t="n"/>
    </row>
    <row r="880" ht="15" customHeight="1" s="131">
      <c r="A880" s="220" t="n"/>
      <c r="B880" s="222" t="n"/>
      <c r="C880" s="220" t="n"/>
      <c r="D880" s="179" t="n"/>
      <c r="E880" s="219" t="n"/>
      <c r="F880" s="220" t="n"/>
      <c r="G880" s="221" t="n"/>
    </row>
    <row r="881" ht="15" customHeight="1" s="131">
      <c r="A881" s="220" t="n"/>
      <c r="B881" s="222" t="n"/>
      <c r="C881" s="220" t="n"/>
      <c r="D881" s="179" t="n"/>
      <c r="E881" s="219" t="n"/>
      <c r="F881" s="220" t="n"/>
      <c r="G881" s="221" t="n"/>
    </row>
    <row r="882" ht="15" customHeight="1" s="131">
      <c r="A882" s="220" t="n"/>
      <c r="B882" s="222" t="n"/>
      <c r="C882" s="220" t="n"/>
      <c r="D882" s="179" t="n"/>
      <c r="E882" s="219" t="n"/>
      <c r="F882" s="220" t="n"/>
      <c r="G882" s="221" t="n"/>
    </row>
    <row r="883" ht="15" customHeight="1" s="131">
      <c r="A883" s="220" t="n"/>
      <c r="B883" s="222" t="n"/>
      <c r="C883" s="220" t="n"/>
      <c r="D883" s="179" t="n"/>
      <c r="E883" s="219" t="n"/>
      <c r="F883" s="220" t="n"/>
      <c r="G883" s="221" t="n"/>
    </row>
    <row r="884" ht="15" customHeight="1" s="131">
      <c r="A884" s="220" t="n"/>
      <c r="B884" s="222" t="n"/>
      <c r="C884" s="220" t="n"/>
      <c r="D884" s="179" t="n"/>
      <c r="E884" s="219" t="n"/>
      <c r="F884" s="220" t="n"/>
      <c r="G884" s="221" t="n"/>
    </row>
    <row r="885" ht="15" customHeight="1" s="131">
      <c r="A885" s="220" t="n"/>
      <c r="B885" s="222" t="n"/>
      <c r="C885" s="220" t="n"/>
      <c r="D885" s="179" t="n"/>
      <c r="E885" s="219" t="n"/>
      <c r="F885" s="220" t="n"/>
      <c r="G885" s="221" t="n"/>
    </row>
    <row r="886" ht="15" customHeight="1" s="131">
      <c r="A886" s="220" t="n"/>
      <c r="B886" s="222" t="n"/>
      <c r="C886" s="220" t="n"/>
      <c r="D886" s="179" t="n"/>
      <c r="E886" s="219" t="n"/>
      <c r="F886" s="220" t="n"/>
      <c r="G886" s="221" t="n"/>
    </row>
    <row r="887" ht="15" customHeight="1" s="131">
      <c r="A887" s="220" t="n"/>
      <c r="B887" s="222" t="n"/>
      <c r="C887" s="220" t="n"/>
      <c r="D887" s="179" t="n"/>
      <c r="E887" s="219" t="n"/>
      <c r="F887" s="220" t="n"/>
      <c r="G887" s="221" t="n"/>
    </row>
    <row r="888" ht="15" customHeight="1" s="131">
      <c r="A888" s="220" t="n"/>
      <c r="B888" s="222" t="n"/>
      <c r="C888" s="220" t="n"/>
      <c r="D888" s="179" t="n"/>
      <c r="E888" s="219" t="n"/>
      <c r="F888" s="220" t="n"/>
      <c r="G888" s="221" t="n"/>
    </row>
    <row r="889" ht="15" customHeight="1" s="131">
      <c r="A889" s="220" t="n"/>
      <c r="B889" s="222" t="n"/>
      <c r="C889" s="220" t="n"/>
      <c r="D889" s="179" t="n"/>
      <c r="E889" s="219" t="n"/>
      <c r="F889" s="220" t="n"/>
      <c r="G889" s="221" t="n"/>
    </row>
    <row r="890" ht="15" customHeight="1" s="131">
      <c r="A890" s="220" t="n"/>
      <c r="B890" s="222" t="n"/>
      <c r="C890" s="220" t="n"/>
      <c r="D890" s="179" t="n"/>
      <c r="E890" s="219" t="n"/>
      <c r="F890" s="220" t="n"/>
      <c r="G890" s="221" t="n"/>
    </row>
    <row r="891" ht="15" customHeight="1" s="131">
      <c r="A891" s="220" t="n"/>
      <c r="B891" s="222" t="n"/>
      <c r="C891" s="220" t="n"/>
      <c r="D891" s="179" t="n"/>
      <c r="E891" s="219" t="n"/>
      <c r="F891" s="220" t="n"/>
      <c r="G891" s="221" t="n"/>
    </row>
    <row r="892" ht="15" customHeight="1" s="131">
      <c r="A892" s="220" t="n"/>
      <c r="B892" s="222" t="n"/>
      <c r="C892" s="220" t="n"/>
      <c r="D892" s="179" t="n"/>
      <c r="E892" s="219" t="n"/>
      <c r="F892" s="220" t="n"/>
      <c r="G892" s="221" t="n"/>
    </row>
    <row r="893" ht="15" customHeight="1" s="131">
      <c r="A893" s="220" t="n"/>
      <c r="B893" s="222" t="n"/>
      <c r="C893" s="220" t="n"/>
      <c r="D893" s="179" t="n"/>
      <c r="E893" s="219" t="n"/>
      <c r="F893" s="220" t="n"/>
      <c r="G893" s="221" t="n"/>
    </row>
    <row r="894" ht="15" customHeight="1" s="131">
      <c r="A894" s="220" t="n"/>
      <c r="B894" s="222" t="n"/>
      <c r="C894" s="220" t="n"/>
      <c r="D894" s="179" t="n"/>
      <c r="E894" s="219" t="n"/>
      <c r="F894" s="220" t="n"/>
      <c r="G894" s="221" t="n"/>
    </row>
    <row r="895" ht="15" customHeight="1" s="131">
      <c r="A895" s="220" t="n"/>
      <c r="B895" s="222" t="n"/>
      <c r="C895" s="220" t="n"/>
      <c r="D895" s="179" t="n"/>
      <c r="E895" s="219" t="n"/>
      <c r="F895" s="220" t="n"/>
      <c r="G895" s="221" t="n"/>
    </row>
    <row r="896" ht="15" customHeight="1" s="131">
      <c r="A896" s="220" t="n"/>
      <c r="B896" s="222" t="n"/>
      <c r="C896" s="220" t="n"/>
      <c r="D896" s="179" t="n"/>
      <c r="E896" s="219" t="n"/>
      <c r="F896" s="220" t="n"/>
      <c r="G896" s="221" t="n"/>
    </row>
    <row r="897" ht="15" customHeight="1" s="131">
      <c r="A897" s="220" t="n"/>
      <c r="B897" s="222" t="n"/>
      <c r="C897" s="220" t="n"/>
      <c r="D897" s="179" t="n"/>
      <c r="E897" s="219" t="n"/>
      <c r="F897" s="220" t="n"/>
      <c r="G897" s="221" t="n"/>
    </row>
    <row r="898" ht="15" customHeight="1" s="131">
      <c r="A898" s="220" t="n"/>
      <c r="B898" s="222" t="n"/>
      <c r="C898" s="220" t="n"/>
      <c r="D898" s="179" t="n"/>
      <c r="E898" s="219" t="n"/>
      <c r="F898" s="220" t="n"/>
      <c r="G898" s="221" t="n"/>
    </row>
    <row r="899" ht="15" customHeight="1" s="131">
      <c r="A899" s="220" t="n"/>
      <c r="B899" s="222" t="n"/>
      <c r="C899" s="220" t="n"/>
      <c r="D899" s="179" t="n"/>
      <c r="E899" s="219" t="n"/>
      <c r="F899" s="220" t="n"/>
      <c r="G899" s="221" t="n"/>
    </row>
    <row r="900" ht="15" customHeight="1" s="131">
      <c r="A900" s="220" t="n"/>
      <c r="B900" s="222" t="n"/>
      <c r="C900" s="220" t="n"/>
      <c r="D900" s="179" t="n"/>
      <c r="E900" s="219" t="n"/>
      <c r="F900" s="220" t="n"/>
      <c r="G900" s="221" t="n"/>
    </row>
    <row r="901" ht="15" customHeight="1" s="131">
      <c r="A901" s="220" t="n"/>
      <c r="B901" s="222" t="n"/>
      <c r="C901" s="220" t="n"/>
      <c r="D901" s="179" t="n"/>
      <c r="E901" s="219" t="n"/>
      <c r="F901" s="220" t="n"/>
      <c r="G901" s="221" t="n"/>
    </row>
    <row r="902" ht="15" customHeight="1" s="131">
      <c r="A902" s="220" t="n"/>
      <c r="B902" s="222" t="n"/>
      <c r="C902" s="220" t="n"/>
      <c r="D902" s="179" t="n"/>
      <c r="E902" s="219" t="n"/>
      <c r="F902" s="220" t="n"/>
      <c r="G902" s="221" t="n"/>
    </row>
    <row r="903" ht="15" customHeight="1" s="131">
      <c r="A903" s="220" t="n"/>
      <c r="B903" s="222" t="n"/>
      <c r="C903" s="220" t="n"/>
      <c r="D903" s="179" t="n"/>
      <c r="E903" s="219" t="n"/>
      <c r="F903" s="220" t="n"/>
      <c r="G903" s="221" t="n"/>
    </row>
    <row r="904" ht="15" customHeight="1" s="131">
      <c r="A904" s="220" t="n"/>
      <c r="B904" s="222" t="n"/>
      <c r="C904" s="220" t="n"/>
      <c r="D904" s="179" t="n"/>
      <c r="E904" s="219" t="n"/>
      <c r="F904" s="220" t="n"/>
      <c r="G904" s="221" t="n"/>
    </row>
    <row r="905" ht="15" customHeight="1" s="131">
      <c r="A905" s="220" t="n"/>
      <c r="B905" s="222" t="n"/>
      <c r="C905" s="220" t="n"/>
      <c r="D905" s="179" t="n"/>
      <c r="E905" s="219" t="n"/>
      <c r="F905" s="220" t="n"/>
      <c r="G905" s="221" t="n"/>
    </row>
    <row r="906" ht="15" customHeight="1" s="131">
      <c r="A906" s="220" t="n"/>
      <c r="B906" s="222" t="n"/>
      <c r="C906" s="220" t="n"/>
      <c r="D906" s="179" t="n"/>
      <c r="E906" s="219" t="n"/>
      <c r="F906" s="220" t="n"/>
      <c r="G906" s="221" t="n"/>
    </row>
    <row r="907" ht="15" customHeight="1" s="131">
      <c r="A907" s="220" t="n"/>
      <c r="B907" s="222" t="n"/>
      <c r="C907" s="220" t="n"/>
      <c r="D907" s="179" t="n"/>
      <c r="E907" s="219" t="n"/>
      <c r="F907" s="220" t="n"/>
      <c r="G907" s="221" t="n"/>
    </row>
    <row r="908" ht="15" customHeight="1" s="131">
      <c r="A908" s="220" t="n"/>
      <c r="B908" s="222" t="n"/>
      <c r="C908" s="220" t="n"/>
      <c r="D908" s="179" t="n"/>
      <c r="E908" s="219" t="n"/>
      <c r="F908" s="220" t="n"/>
      <c r="G908" s="221" t="n"/>
    </row>
    <row r="909" ht="15" customHeight="1" s="131">
      <c r="A909" s="220" t="n"/>
      <c r="B909" s="222" t="n"/>
      <c r="C909" s="220" t="n"/>
      <c r="D909" s="179" t="n"/>
      <c r="E909" s="219" t="n"/>
      <c r="F909" s="220" t="n"/>
      <c r="G909" s="221" t="n"/>
    </row>
    <row r="910" ht="15" customHeight="1" s="131">
      <c r="A910" s="220" t="n"/>
      <c r="B910" s="222" t="n"/>
      <c r="C910" s="220" t="n"/>
      <c r="D910" s="179" t="n"/>
      <c r="E910" s="219" t="n"/>
      <c r="F910" s="220" t="n"/>
      <c r="G910" s="221" t="n"/>
    </row>
    <row r="911" ht="15" customHeight="1" s="131">
      <c r="A911" s="220" t="n"/>
      <c r="B911" s="222" t="n"/>
      <c r="C911" s="220" t="n"/>
      <c r="D911" s="179" t="n"/>
      <c r="E911" s="219" t="n"/>
      <c r="F911" s="220" t="n"/>
      <c r="G911" s="221" t="n"/>
    </row>
    <row r="912" ht="15" customHeight="1" s="131">
      <c r="A912" s="220" t="n"/>
      <c r="B912" s="222" t="n"/>
      <c r="C912" s="220" t="n"/>
      <c r="D912" s="179" t="n"/>
      <c r="E912" s="219" t="n"/>
      <c r="F912" s="220" t="n"/>
      <c r="G912" s="221" t="n"/>
    </row>
    <row r="913" ht="15" customHeight="1" s="131">
      <c r="A913" s="220" t="n"/>
      <c r="B913" s="222" t="n"/>
      <c r="C913" s="220" t="n"/>
      <c r="D913" s="179" t="n"/>
      <c r="E913" s="219" t="n"/>
      <c r="F913" s="220" t="n"/>
      <c r="G913" s="221" t="n"/>
    </row>
    <row r="914" ht="15" customHeight="1" s="131">
      <c r="A914" s="220" t="n"/>
      <c r="B914" s="222" t="n"/>
      <c r="C914" s="220" t="n"/>
      <c r="D914" s="179" t="n"/>
      <c r="E914" s="219" t="n"/>
      <c r="F914" s="220" t="n"/>
      <c r="G914" s="221" t="n"/>
    </row>
    <row r="915" ht="15" customHeight="1" s="131">
      <c r="A915" s="220" t="n"/>
      <c r="B915" s="222" t="n"/>
      <c r="C915" s="220" t="n"/>
      <c r="D915" s="179" t="n"/>
      <c r="E915" s="219" t="n"/>
      <c r="F915" s="220" t="n"/>
      <c r="G915" s="221" t="n"/>
    </row>
    <row r="916" ht="15" customHeight="1" s="131">
      <c r="A916" s="220" t="n"/>
      <c r="B916" s="222" t="n"/>
      <c r="C916" s="220" t="n"/>
      <c r="D916" s="179" t="n"/>
      <c r="E916" s="219" t="n"/>
      <c r="F916" s="220" t="n"/>
      <c r="G916" s="221" t="n"/>
    </row>
    <row r="917" ht="15" customHeight="1" s="131">
      <c r="A917" s="220" t="n"/>
      <c r="B917" s="222" t="n"/>
      <c r="C917" s="220" t="n"/>
      <c r="D917" s="179" t="n"/>
      <c r="E917" s="219" t="n"/>
      <c r="F917" s="220" t="n"/>
      <c r="G917" s="221" t="n"/>
    </row>
    <row r="918" ht="15" customHeight="1" s="131">
      <c r="A918" s="220" t="n"/>
      <c r="B918" s="222" t="n"/>
      <c r="C918" s="220" t="n"/>
      <c r="D918" s="179" t="n"/>
      <c r="E918" s="219" t="n"/>
      <c r="F918" s="220" t="n"/>
      <c r="G918" s="221" t="n"/>
    </row>
    <row r="919" ht="15" customHeight="1" s="131">
      <c r="A919" s="220" t="n"/>
      <c r="B919" s="222" t="n"/>
      <c r="C919" s="220" t="n"/>
      <c r="D919" s="179" t="n"/>
      <c r="E919" s="219" t="n"/>
      <c r="F919" s="220" t="n"/>
      <c r="G919" s="221" t="n"/>
    </row>
    <row r="920" ht="15" customHeight="1" s="131">
      <c r="A920" s="220" t="n"/>
      <c r="B920" s="222" t="n"/>
      <c r="C920" s="220" t="n"/>
      <c r="D920" s="179" t="n"/>
      <c r="E920" s="219" t="n"/>
      <c r="F920" s="220" t="n"/>
      <c r="G920" s="221" t="n"/>
    </row>
    <row r="921" ht="15" customHeight="1" s="131">
      <c r="A921" s="220" t="n"/>
      <c r="B921" s="222" t="n"/>
      <c r="C921" s="220" t="n"/>
      <c r="D921" s="179" t="n"/>
      <c r="E921" s="219" t="n"/>
      <c r="F921" s="220" t="n"/>
      <c r="G921" s="221" t="n"/>
    </row>
    <row r="922" ht="15" customHeight="1" s="131">
      <c r="A922" s="220" t="n"/>
      <c r="B922" s="222" t="n"/>
      <c r="C922" s="220" t="n"/>
      <c r="D922" s="179" t="n"/>
      <c r="E922" s="219" t="n"/>
      <c r="F922" s="220" t="n"/>
      <c r="G922" s="221" t="n"/>
    </row>
    <row r="923" ht="15" customHeight="1" s="131">
      <c r="A923" s="220" t="n"/>
      <c r="B923" s="222" t="n"/>
      <c r="C923" s="220" t="n"/>
      <c r="D923" s="179" t="n"/>
      <c r="E923" s="219" t="n"/>
      <c r="F923" s="220" t="n"/>
      <c r="G923" s="221" t="n"/>
    </row>
    <row r="924" ht="15" customHeight="1" s="131">
      <c r="A924" s="220" t="n"/>
      <c r="B924" s="222" t="n"/>
      <c r="C924" s="220" t="n"/>
      <c r="D924" s="179" t="n"/>
      <c r="E924" s="219" t="n"/>
      <c r="F924" s="220" t="n"/>
      <c r="G924" s="221" t="n"/>
    </row>
    <row r="925" ht="15" customHeight="1" s="131">
      <c r="A925" s="220" t="n"/>
      <c r="B925" s="222" t="n"/>
      <c r="C925" s="220" t="n"/>
      <c r="D925" s="179" t="n"/>
      <c r="E925" s="219" t="n"/>
      <c r="F925" s="220" t="n"/>
      <c r="G925" s="221" t="n"/>
    </row>
    <row r="926" ht="15" customHeight="1" s="131">
      <c r="A926" s="220" t="n"/>
      <c r="B926" s="222" t="n"/>
      <c r="C926" s="220" t="n"/>
      <c r="D926" s="179" t="n"/>
      <c r="E926" s="219" t="n"/>
      <c r="F926" s="220" t="n"/>
      <c r="G926" s="221" t="n"/>
    </row>
    <row r="927" ht="15" customHeight="1" s="131">
      <c r="A927" s="220" t="n"/>
      <c r="B927" s="222" t="n"/>
      <c r="C927" s="220" t="n"/>
      <c r="D927" s="179" t="n"/>
      <c r="E927" s="219" t="n"/>
      <c r="F927" s="220" t="n"/>
      <c r="G927" s="221" t="n"/>
    </row>
    <row r="928" ht="15" customHeight="1" s="131">
      <c r="A928" s="220" t="n"/>
      <c r="B928" s="222" t="n"/>
      <c r="C928" s="220" t="n"/>
      <c r="D928" s="179" t="n"/>
      <c r="E928" s="219" t="n"/>
      <c r="F928" s="220" t="n"/>
      <c r="G928" s="221" t="n"/>
    </row>
    <row r="929" ht="15" customHeight="1" s="131">
      <c r="A929" s="220" t="n"/>
      <c r="B929" s="222" t="n"/>
      <c r="C929" s="220" t="n"/>
      <c r="D929" s="179" t="n"/>
      <c r="E929" s="219" t="n"/>
      <c r="F929" s="220" t="n"/>
      <c r="G929" s="221" t="n"/>
    </row>
    <row r="930" ht="15" customHeight="1" s="131">
      <c r="A930" s="220" t="n"/>
      <c r="B930" s="222" t="n"/>
      <c r="C930" s="220" t="n"/>
      <c r="D930" s="179" t="n"/>
      <c r="E930" s="219" t="n"/>
      <c r="F930" s="220" t="n"/>
      <c r="G930" s="221" t="n"/>
    </row>
    <row r="931" ht="15" customHeight="1" s="131">
      <c r="A931" s="220" t="n"/>
      <c r="B931" s="222" t="n"/>
      <c r="C931" s="220" t="n"/>
      <c r="D931" s="179" t="n"/>
      <c r="E931" s="219" t="n"/>
      <c r="F931" s="220" t="n"/>
      <c r="G931" s="221" t="n"/>
    </row>
    <row r="932" ht="15" customHeight="1" s="131">
      <c r="A932" s="220" t="n"/>
      <c r="B932" s="222" t="n"/>
      <c r="C932" s="220" t="n"/>
      <c r="D932" s="179" t="n"/>
      <c r="E932" s="219" t="n"/>
      <c r="F932" s="220" t="n"/>
      <c r="G932" s="221" t="n"/>
    </row>
    <row r="933" ht="15" customHeight="1" s="131">
      <c r="A933" s="220" t="n"/>
      <c r="B933" s="222" t="n"/>
      <c r="C933" s="220" t="n"/>
      <c r="D933" s="179" t="n"/>
      <c r="E933" s="219" t="n"/>
      <c r="F933" s="220" t="n"/>
      <c r="G933" s="221" t="n"/>
    </row>
    <row r="934" ht="15" customHeight="1" s="131">
      <c r="A934" s="220" t="n"/>
      <c r="B934" s="222" t="n"/>
      <c r="C934" s="220" t="n"/>
      <c r="D934" s="179" t="n"/>
      <c r="E934" s="219" t="n"/>
      <c r="F934" s="220" t="n"/>
      <c r="G934" s="221" t="n"/>
    </row>
    <row r="935" ht="15" customHeight="1" s="131">
      <c r="A935" s="220" t="n"/>
      <c r="B935" s="222" t="n"/>
      <c r="C935" s="220" t="n"/>
      <c r="D935" s="179" t="n"/>
      <c r="E935" s="219" t="n"/>
      <c r="F935" s="220" t="n"/>
      <c r="G935" s="221" t="n"/>
    </row>
    <row r="936" ht="15" customHeight="1" s="131">
      <c r="A936" s="220" t="n"/>
      <c r="B936" s="222" t="n"/>
      <c r="C936" s="220" t="n"/>
      <c r="D936" s="179" t="n"/>
      <c r="E936" s="219" t="n"/>
      <c r="F936" s="220" t="n"/>
      <c r="G936" s="221" t="n"/>
    </row>
    <row r="937" ht="15" customHeight="1" s="131">
      <c r="A937" s="220" t="n"/>
      <c r="B937" s="222" t="n"/>
      <c r="C937" s="220" t="n"/>
      <c r="D937" s="179" t="n"/>
      <c r="E937" s="219" t="n"/>
      <c r="F937" s="220" t="n"/>
      <c r="G937" s="221" t="n"/>
    </row>
    <row r="938" ht="15" customHeight="1" s="131">
      <c r="A938" s="220" t="n"/>
      <c r="B938" s="222" t="n"/>
      <c r="C938" s="220" t="n"/>
      <c r="D938" s="179" t="n"/>
      <c r="E938" s="219" t="n"/>
      <c r="F938" s="220" t="n"/>
      <c r="G938" s="221" t="n"/>
    </row>
    <row r="939" ht="15" customHeight="1" s="131">
      <c r="A939" s="220" t="n"/>
      <c r="B939" s="222" t="n"/>
      <c r="C939" s="220" t="n"/>
      <c r="D939" s="179" t="n"/>
      <c r="E939" s="219" t="n"/>
      <c r="F939" s="220" t="n"/>
      <c r="G939" s="221" t="n"/>
    </row>
    <row r="940" ht="15" customHeight="1" s="131">
      <c r="A940" s="220" t="n"/>
      <c r="B940" s="222" t="n"/>
      <c r="C940" s="220" t="n"/>
      <c r="D940" s="179" t="n"/>
      <c r="E940" s="219" t="n"/>
      <c r="F940" s="220" t="n"/>
      <c r="G940" s="221" t="n"/>
    </row>
    <row r="941" ht="15" customHeight="1" s="131">
      <c r="A941" s="220" t="n"/>
      <c r="B941" s="222" t="n"/>
      <c r="C941" s="220" t="n"/>
      <c r="D941" s="179" t="n"/>
      <c r="E941" s="219" t="n"/>
      <c r="F941" s="220" t="n"/>
      <c r="G941" s="221" t="n"/>
    </row>
    <row r="942" ht="15" customHeight="1" s="131">
      <c r="A942" s="220" t="n"/>
      <c r="B942" s="222" t="n"/>
      <c r="C942" s="220" t="n"/>
      <c r="D942" s="179" t="n"/>
      <c r="E942" s="219" t="n"/>
      <c r="F942" s="220" t="n"/>
      <c r="G942" s="221" t="n"/>
    </row>
    <row r="943" ht="15" customHeight="1" s="131">
      <c r="A943" s="220" t="n"/>
      <c r="B943" s="222" t="n"/>
      <c r="C943" s="220" t="n"/>
      <c r="D943" s="179" t="n"/>
      <c r="E943" s="219" t="n"/>
      <c r="F943" s="220" t="n"/>
      <c r="G943" s="221" t="n"/>
    </row>
    <row r="944" ht="15" customHeight="1" s="131">
      <c r="A944" s="220" t="n"/>
      <c r="B944" s="222" t="n"/>
      <c r="C944" s="220" t="n"/>
      <c r="D944" s="179" t="n"/>
      <c r="E944" s="219" t="n"/>
      <c r="F944" s="220" t="n"/>
      <c r="G944" s="221" t="n"/>
    </row>
    <row r="945" ht="15" customHeight="1" s="131">
      <c r="A945" s="220" t="n"/>
      <c r="B945" s="222" t="n"/>
      <c r="C945" s="220" t="n"/>
      <c r="D945" s="179" t="n"/>
      <c r="E945" s="219" t="n"/>
      <c r="F945" s="220" t="n"/>
      <c r="G945" s="221" t="n"/>
    </row>
    <row r="946" ht="15" customHeight="1" s="131">
      <c r="A946" s="220" t="n"/>
      <c r="B946" s="222" t="n"/>
      <c r="C946" s="220" t="n"/>
      <c r="D946" s="179" t="n"/>
      <c r="E946" s="219" t="n"/>
      <c r="F946" s="220" t="n"/>
      <c r="G946" s="221" t="n"/>
    </row>
    <row r="947" ht="15" customHeight="1" s="131">
      <c r="A947" s="220" t="n"/>
      <c r="B947" s="222" t="n"/>
      <c r="C947" s="220" t="n"/>
      <c r="D947" s="179" t="n"/>
      <c r="E947" s="219" t="n"/>
      <c r="F947" s="220" t="n"/>
      <c r="G947" s="221" t="n"/>
    </row>
    <row r="948" ht="15" customHeight="1" s="131">
      <c r="A948" s="220" t="n"/>
      <c r="B948" s="222" t="n"/>
      <c r="C948" s="220" t="n"/>
      <c r="D948" s="179" t="n"/>
      <c r="E948" s="219" t="n"/>
      <c r="F948" s="220" t="n"/>
      <c r="G948" s="221" t="n"/>
    </row>
    <row r="949" ht="15" customHeight="1" s="131">
      <c r="A949" s="220" t="n"/>
      <c r="B949" s="222" t="n"/>
      <c r="C949" s="220" t="n"/>
      <c r="D949" s="179" t="n"/>
      <c r="E949" s="219" t="n"/>
      <c r="F949" s="220" t="n"/>
      <c r="G949" s="221" t="n"/>
    </row>
    <row r="950" ht="15" customHeight="1" s="131">
      <c r="A950" s="220" t="n"/>
      <c r="B950" s="222" t="n"/>
      <c r="C950" s="220" t="n"/>
      <c r="D950" s="179" t="n"/>
      <c r="E950" s="219" t="n"/>
      <c r="F950" s="220" t="n"/>
      <c r="G950" s="221" t="n"/>
    </row>
    <row r="951" ht="15" customHeight="1" s="131">
      <c r="A951" s="220" t="n"/>
      <c r="B951" s="222" t="n"/>
      <c r="C951" s="220" t="n"/>
      <c r="D951" s="179" t="n"/>
      <c r="E951" s="219" t="n"/>
      <c r="F951" s="220" t="n"/>
      <c r="G951" s="221" t="n"/>
    </row>
    <row r="952" ht="15" customHeight="1" s="131">
      <c r="A952" s="220" t="n"/>
      <c r="B952" s="222" t="n"/>
      <c r="C952" s="220" t="n"/>
      <c r="D952" s="179" t="n"/>
      <c r="E952" s="219" t="n"/>
      <c r="F952" s="220" t="n"/>
      <c r="G952" s="221" t="n"/>
    </row>
    <row r="953" ht="15" customHeight="1" s="131">
      <c r="A953" s="220" t="n"/>
      <c r="B953" s="222" t="n"/>
      <c r="C953" s="220" t="n"/>
      <c r="D953" s="179" t="n"/>
      <c r="E953" s="219" t="n"/>
      <c r="F953" s="220" t="n"/>
      <c r="G953" s="221" t="n"/>
    </row>
    <row r="954" ht="15" customHeight="1" s="131">
      <c r="A954" s="220" t="n"/>
      <c r="B954" s="222" t="n"/>
      <c r="C954" s="220" t="n"/>
      <c r="D954" s="179" t="n"/>
      <c r="E954" s="219" t="n"/>
      <c r="F954" s="220" t="n"/>
      <c r="G954" s="221" t="n"/>
    </row>
    <row r="955" ht="15" customHeight="1" s="131">
      <c r="A955" s="220" t="n"/>
      <c r="B955" s="222" t="n"/>
      <c r="C955" s="220" t="n"/>
      <c r="D955" s="179" t="n"/>
      <c r="E955" s="219" t="n"/>
      <c r="F955" s="220" t="n"/>
      <c r="G955" s="221" t="n"/>
    </row>
    <row r="956" ht="15" customHeight="1" s="131">
      <c r="A956" s="220" t="n"/>
      <c r="B956" s="222" t="n"/>
      <c r="C956" s="220" t="n"/>
      <c r="D956" s="179" t="n"/>
      <c r="E956" s="219" t="n"/>
      <c r="F956" s="220" t="n"/>
      <c r="G956" s="221" t="n"/>
    </row>
    <row r="957" ht="15" customHeight="1" s="131">
      <c r="A957" s="220" t="n"/>
      <c r="B957" s="222" t="n"/>
      <c r="C957" s="220" t="n"/>
      <c r="D957" s="179" t="n"/>
      <c r="E957" s="219" t="n"/>
      <c r="F957" s="220" t="n"/>
      <c r="G957" s="221" t="n"/>
    </row>
    <row r="958" ht="15" customHeight="1" s="131">
      <c r="A958" s="220" t="n"/>
      <c r="B958" s="222" t="n"/>
      <c r="C958" s="220" t="n"/>
      <c r="D958" s="179" t="n"/>
      <c r="E958" s="219" t="n"/>
      <c r="F958" s="220" t="n"/>
      <c r="G958" s="221" t="n"/>
    </row>
    <row r="959" ht="15" customHeight="1" s="131">
      <c r="A959" s="220" t="n"/>
      <c r="B959" s="222" t="n"/>
      <c r="C959" s="220" t="n"/>
      <c r="D959" s="179" t="n"/>
      <c r="E959" s="219" t="n"/>
      <c r="F959" s="220" t="n"/>
      <c r="G959" s="221" t="n"/>
    </row>
    <row r="960" ht="15" customHeight="1" s="131">
      <c r="A960" s="220" t="n"/>
      <c r="B960" s="222" t="n"/>
      <c r="C960" s="220" t="n"/>
      <c r="D960" s="179" t="n"/>
      <c r="E960" s="219" t="n"/>
      <c r="F960" s="220" t="n"/>
      <c r="G960" s="221" t="n"/>
    </row>
    <row r="961" ht="15" customHeight="1" s="131">
      <c r="A961" s="220" t="n"/>
      <c r="B961" s="222" t="n"/>
      <c r="C961" s="220" t="n"/>
      <c r="D961" s="179" t="n"/>
      <c r="E961" s="219" t="n"/>
      <c r="F961" s="220" t="n"/>
      <c r="G961" s="221" t="n"/>
    </row>
    <row r="962" ht="15" customHeight="1" s="131">
      <c r="A962" s="220" t="n"/>
      <c r="B962" s="222" t="n"/>
      <c r="C962" s="220" t="n"/>
      <c r="D962" s="179" t="n"/>
      <c r="E962" s="219" t="n"/>
      <c r="F962" s="220" t="n"/>
      <c r="G962" s="221" t="n"/>
    </row>
    <row r="963" ht="15" customHeight="1" s="131">
      <c r="A963" s="220" t="n"/>
      <c r="B963" s="222" t="n"/>
      <c r="C963" s="220" t="n"/>
      <c r="D963" s="179" t="n"/>
      <c r="E963" s="219" t="n"/>
      <c r="F963" s="220" t="n"/>
      <c r="G963" s="221" t="n"/>
    </row>
    <row r="964" ht="15" customHeight="1" s="131">
      <c r="A964" s="220" t="n"/>
      <c r="B964" s="222" t="n"/>
      <c r="C964" s="220" t="n"/>
      <c r="D964" s="179" t="n"/>
      <c r="E964" s="219" t="n"/>
      <c r="F964" s="220" t="n"/>
      <c r="G964" s="221" t="n"/>
    </row>
    <row r="965" ht="15" customHeight="1" s="131">
      <c r="A965" s="220" t="n"/>
      <c r="B965" s="222" t="n"/>
      <c r="C965" s="220" t="n"/>
      <c r="D965" s="179" t="n"/>
      <c r="E965" s="219" t="n"/>
      <c r="F965" s="220" t="n"/>
      <c r="G965" s="221" t="n"/>
    </row>
    <row r="966" ht="15" customHeight="1" s="131">
      <c r="A966" s="220" t="n"/>
      <c r="B966" s="222" t="n"/>
      <c r="C966" s="220" t="n"/>
      <c r="D966" s="179" t="n"/>
      <c r="E966" s="219" t="n"/>
      <c r="F966" s="220" t="n"/>
      <c r="G966" s="221" t="n"/>
    </row>
    <row r="967" ht="15" customHeight="1" s="131">
      <c r="A967" s="220" t="n"/>
      <c r="B967" s="222" t="n"/>
      <c r="C967" s="220" t="n"/>
      <c r="D967" s="179" t="n"/>
      <c r="E967" s="219" t="n"/>
      <c r="F967" s="220" t="n"/>
      <c r="G967" s="221" t="n"/>
    </row>
    <row r="968" ht="15" customHeight="1" s="131">
      <c r="A968" s="220" t="n"/>
      <c r="B968" s="222" t="n"/>
      <c r="C968" s="220" t="n"/>
      <c r="D968" s="179" t="n"/>
      <c r="E968" s="219" t="n"/>
      <c r="F968" s="220" t="n"/>
      <c r="G968" s="221" t="n"/>
    </row>
    <row r="969" ht="15" customHeight="1" s="131">
      <c r="A969" s="220" t="n"/>
      <c r="B969" s="222" t="n"/>
      <c r="C969" s="220" t="n"/>
      <c r="D969" s="179" t="n"/>
      <c r="E969" s="219" t="n"/>
      <c r="F969" s="220" t="n"/>
      <c r="G969" s="221" t="n"/>
    </row>
    <row r="970" ht="15" customHeight="1" s="131">
      <c r="A970" s="220" t="n"/>
      <c r="B970" s="222" t="n"/>
      <c r="C970" s="220" t="n"/>
      <c r="D970" s="179" t="n"/>
      <c r="E970" s="219" t="n"/>
      <c r="F970" s="220" t="n"/>
      <c r="G970" s="221" t="n"/>
    </row>
    <row r="971" ht="15" customHeight="1" s="131">
      <c r="A971" s="220" t="n"/>
      <c r="B971" s="222" t="n"/>
      <c r="C971" s="220" t="n"/>
      <c r="D971" s="179" t="n"/>
      <c r="E971" s="219" t="n"/>
      <c r="F971" s="220" t="n"/>
      <c r="G971" s="221" t="n"/>
    </row>
    <row r="972" ht="15" customHeight="1" s="131">
      <c r="A972" s="220" t="n"/>
      <c r="B972" s="222" t="n"/>
      <c r="C972" s="220" t="n"/>
      <c r="D972" s="179" t="n"/>
      <c r="E972" s="219" t="n"/>
      <c r="F972" s="220" t="n"/>
      <c r="G972" s="221" t="n"/>
    </row>
    <row r="973" ht="15" customHeight="1" s="131">
      <c r="A973" s="220" t="n"/>
      <c r="B973" s="222" t="n"/>
      <c r="C973" s="220" t="n"/>
      <c r="D973" s="179" t="n"/>
      <c r="E973" s="219" t="n"/>
      <c r="F973" s="220" t="n"/>
      <c r="G973" s="221" t="n"/>
    </row>
    <row r="974" ht="15" customHeight="1" s="131">
      <c r="A974" s="220" t="n"/>
      <c r="B974" s="222" t="n"/>
      <c r="C974" s="220" t="n"/>
      <c r="D974" s="179" t="n"/>
      <c r="E974" s="219" t="n"/>
      <c r="F974" s="220" t="n"/>
      <c r="G974" s="221" t="n"/>
    </row>
    <row r="975" ht="15" customHeight="1" s="131">
      <c r="A975" s="220" t="n"/>
      <c r="B975" s="222" t="n"/>
      <c r="C975" s="220" t="n"/>
      <c r="D975" s="179" t="n"/>
      <c r="E975" s="219" t="n"/>
      <c r="F975" s="220" t="n"/>
      <c r="G975" s="221" t="n"/>
    </row>
    <row r="976" ht="15" customHeight="1" s="131">
      <c r="A976" s="220" t="n"/>
      <c r="B976" s="222" t="n"/>
      <c r="C976" s="220" t="n"/>
      <c r="D976" s="179" t="n"/>
      <c r="E976" s="219" t="n"/>
      <c r="F976" s="220" t="n"/>
      <c r="G976" s="221" t="n"/>
    </row>
    <row r="977" ht="15" customHeight="1" s="131">
      <c r="A977" s="220" t="n"/>
      <c r="B977" s="222" t="n"/>
      <c r="C977" s="220" t="n"/>
      <c r="D977" s="179" t="n"/>
      <c r="E977" s="219" t="n"/>
      <c r="F977" s="220" t="n"/>
      <c r="G977" s="221" t="n"/>
    </row>
    <row r="978" ht="15" customHeight="1" s="131">
      <c r="A978" s="220" t="n"/>
      <c r="B978" s="222" t="n"/>
      <c r="C978" s="220" t="n"/>
      <c r="D978" s="179" t="n"/>
      <c r="E978" s="219" t="n"/>
      <c r="F978" s="220" t="n"/>
      <c r="G978" s="221" t="n"/>
    </row>
    <row r="979" ht="15" customHeight="1" s="131">
      <c r="A979" s="220" t="n"/>
      <c r="B979" s="222" t="n"/>
      <c r="C979" s="220" t="n"/>
      <c r="D979" s="179" t="n"/>
      <c r="E979" s="219" t="n"/>
      <c r="F979" s="220" t="n"/>
      <c r="G979" s="221" t="n"/>
    </row>
    <row r="980" ht="15" customHeight="1" s="131">
      <c r="A980" s="220" t="n"/>
      <c r="B980" s="222" t="n"/>
      <c r="C980" s="220" t="n"/>
      <c r="D980" s="179" t="n"/>
      <c r="E980" s="219" t="n"/>
      <c r="F980" s="220" t="n"/>
      <c r="G980" s="221" t="n"/>
    </row>
    <row r="981" ht="15" customHeight="1" s="131">
      <c r="A981" s="220" t="n"/>
      <c r="B981" s="222" t="n"/>
      <c r="C981" s="220" t="n"/>
      <c r="D981" s="179" t="n"/>
      <c r="E981" s="219" t="n"/>
      <c r="F981" s="220" t="n"/>
      <c r="G981" s="221" t="n"/>
    </row>
    <row r="982" ht="15" customHeight="1" s="131">
      <c r="A982" s="220" t="n"/>
      <c r="B982" s="222" t="n"/>
      <c r="C982" s="220" t="n"/>
      <c r="D982" s="179" t="n"/>
      <c r="E982" s="219" t="n"/>
      <c r="F982" s="220" t="n"/>
      <c r="G982" s="221" t="n"/>
    </row>
    <row r="983" ht="15" customHeight="1" s="131">
      <c r="A983" s="220" t="n"/>
      <c r="B983" s="222" t="n"/>
      <c r="C983" s="220" t="n"/>
      <c r="D983" s="179" t="n"/>
      <c r="E983" s="219" t="n"/>
      <c r="F983" s="220" t="n"/>
      <c r="G983" s="221" t="n"/>
    </row>
    <row r="984" ht="15" customHeight="1" s="131">
      <c r="A984" s="220" t="n"/>
      <c r="B984" s="222" t="n"/>
      <c r="C984" s="220" t="n"/>
      <c r="D984" s="179" t="n"/>
      <c r="E984" s="219" t="n"/>
      <c r="F984" s="220" t="n"/>
      <c r="G984" s="221" t="n"/>
    </row>
    <row r="985" ht="15" customHeight="1" s="131">
      <c r="A985" s="220" t="n"/>
      <c r="B985" s="222" t="n"/>
      <c r="C985" s="220" t="n"/>
      <c r="D985" s="179" t="n"/>
      <c r="E985" s="219" t="n"/>
      <c r="F985" s="220" t="n"/>
      <c r="G985" s="221" t="n"/>
    </row>
    <row r="986" ht="15" customHeight="1" s="131">
      <c r="A986" s="220" t="n"/>
      <c r="B986" s="222" t="n"/>
      <c r="C986" s="220" t="n"/>
      <c r="D986" s="179" t="n"/>
      <c r="E986" s="219" t="n"/>
      <c r="F986" s="220" t="n"/>
      <c r="G986" s="221" t="n"/>
    </row>
    <row r="987" ht="15" customHeight="1" s="131">
      <c r="A987" s="220" t="n"/>
      <c r="B987" s="222" t="n"/>
      <c r="C987" s="220" t="n"/>
      <c r="D987" s="179" t="n"/>
      <c r="E987" s="219" t="n"/>
      <c r="F987" s="220" t="n"/>
      <c r="G987" s="221" t="n"/>
    </row>
    <row r="988" ht="15" customHeight="1" s="131">
      <c r="A988" s="220" t="n"/>
      <c r="B988" s="222" t="n"/>
      <c r="C988" s="220" t="n"/>
      <c r="D988" s="179" t="n"/>
      <c r="E988" s="219" t="n"/>
      <c r="F988" s="220" t="n"/>
      <c r="G988" s="221" t="n"/>
    </row>
    <row r="989" ht="15" customHeight="1" s="131">
      <c r="A989" s="220" t="n"/>
      <c r="B989" s="222" t="n"/>
      <c r="C989" s="220" t="n"/>
      <c r="D989" s="179" t="n"/>
      <c r="E989" s="219" t="n"/>
      <c r="F989" s="220" t="n"/>
      <c r="G989" s="221" t="n"/>
    </row>
    <row r="990" ht="15" customHeight="1" s="131">
      <c r="A990" s="220" t="n"/>
      <c r="B990" s="222" t="n"/>
      <c r="C990" s="220" t="n"/>
      <c r="D990" s="179" t="n"/>
      <c r="E990" s="219" t="n"/>
      <c r="F990" s="220" t="n"/>
      <c r="G990" s="221" t="n"/>
    </row>
    <row r="991" ht="15" customHeight="1" s="131">
      <c r="A991" s="220" t="n"/>
      <c r="B991" s="222" t="n"/>
      <c r="C991" s="220" t="n"/>
      <c r="D991" s="179" t="n"/>
      <c r="E991" s="219" t="n"/>
      <c r="F991" s="220" t="n"/>
      <c r="G991" s="221" t="n"/>
    </row>
    <row r="992" ht="15" customHeight="1" s="131">
      <c r="A992" s="220" t="n"/>
      <c r="B992" s="222" t="n"/>
      <c r="C992" s="220" t="n"/>
      <c r="D992" s="179" t="n"/>
      <c r="E992" s="219" t="n"/>
      <c r="F992" s="220" t="n"/>
      <c r="G992" s="221" t="n"/>
    </row>
    <row r="993" ht="15" customHeight="1" s="131">
      <c r="A993" s="220" t="n"/>
      <c r="B993" s="222" t="n"/>
      <c r="C993" s="220" t="n"/>
      <c r="D993" s="179" t="n"/>
      <c r="E993" s="219" t="n"/>
      <c r="F993" s="220" t="n"/>
      <c r="G993" s="221" t="n"/>
    </row>
    <row r="994" ht="15" customHeight="1" s="131">
      <c r="A994" s="220" t="n"/>
      <c r="B994" s="222" t="n"/>
      <c r="C994" s="220" t="n"/>
      <c r="D994" s="179" t="n"/>
      <c r="E994" s="219" t="n"/>
      <c r="F994" s="220" t="n"/>
      <c r="G994" s="221" t="n"/>
    </row>
    <row r="995" ht="15" customHeight="1" s="131">
      <c r="A995" s="220" t="n"/>
      <c r="B995" s="222" t="n"/>
      <c r="C995" s="220" t="n"/>
      <c r="D995" s="179" t="n"/>
      <c r="E995" s="219" t="n"/>
      <c r="F995" s="220" t="n"/>
      <c r="G995" s="221" t="n"/>
    </row>
    <row r="996" ht="15" customHeight="1" s="131">
      <c r="A996" s="220" t="n"/>
      <c r="B996" s="222" t="n"/>
      <c r="C996" s="220" t="n"/>
      <c r="D996" s="179" t="n"/>
      <c r="E996" s="219" t="n"/>
      <c r="F996" s="220" t="n"/>
      <c r="G996" s="221" t="n"/>
    </row>
    <row r="997" ht="15" customHeight="1" s="131">
      <c r="A997" s="220" t="n"/>
      <c r="B997" s="222" t="n"/>
      <c r="C997" s="220" t="n"/>
      <c r="D997" s="179" t="n"/>
      <c r="E997" s="219" t="n"/>
      <c r="F997" s="220" t="n"/>
      <c r="G997" s="221" t="n"/>
    </row>
    <row r="998" ht="15" customHeight="1" s="131">
      <c r="A998" s="220" t="n"/>
      <c r="B998" s="222" t="n"/>
      <c r="C998" s="220" t="n"/>
      <c r="D998" s="179" t="n"/>
      <c r="E998" s="219" t="n"/>
      <c r="F998" s="220" t="n"/>
      <c r="G998" s="221" t="n"/>
    </row>
    <row r="999" ht="15" customHeight="1" s="131">
      <c r="A999" s="220" t="n"/>
      <c r="B999" s="222" t="n"/>
      <c r="C999" s="220" t="n"/>
      <c r="D999" s="179" t="n"/>
      <c r="E999" s="219" t="n"/>
      <c r="F999" s="220" t="n"/>
      <c r="G999" s="221" t="n"/>
    </row>
    <row r="1000" ht="15" customHeight="1" s="131">
      <c r="A1000" s="220" t="n"/>
      <c r="B1000" s="222" t="n"/>
      <c r="C1000" s="220" t="n"/>
      <c r="D1000" s="179" t="n"/>
      <c r="E1000" s="219" t="n"/>
      <c r="F1000" s="220" t="n"/>
      <c r="G1000" s="221" t="n"/>
    </row>
    <row r="1001" ht="15" customHeight="1" s="131">
      <c r="A1001" s="220" t="n"/>
      <c r="B1001" s="222" t="n"/>
      <c r="C1001" s="220" t="n"/>
      <c r="D1001" s="179" t="n"/>
      <c r="E1001" s="219" t="n"/>
      <c r="F1001" s="220" t="n"/>
      <c r="G1001" s="221" t="n"/>
    </row>
    <row r="1002" ht="15" customHeight="1" s="131">
      <c r="A1002" s="220" t="n"/>
      <c r="B1002" s="222" t="n"/>
      <c r="C1002" s="220" t="n"/>
      <c r="D1002" s="179" t="n"/>
      <c r="E1002" s="219" t="n"/>
      <c r="F1002" s="220" t="n"/>
      <c r="G1002" s="221" t="n"/>
    </row>
    <row r="1003" ht="15" customHeight="1" s="131">
      <c r="A1003" s="220" t="n"/>
      <c r="B1003" s="222" t="n"/>
      <c r="C1003" s="220" t="n"/>
      <c r="D1003" s="179" t="n"/>
      <c r="E1003" s="219" t="n"/>
      <c r="F1003" s="220" t="n"/>
      <c r="G1003" s="221" t="n"/>
    </row>
    <row r="1004" ht="15" customHeight="1" s="131">
      <c r="A1004" s="220" t="n"/>
      <c r="B1004" s="222" t="n"/>
      <c r="C1004" s="220" t="n"/>
      <c r="D1004" s="179" t="n"/>
      <c r="E1004" s="219" t="n"/>
      <c r="F1004" s="220" t="n"/>
      <c r="G1004" s="221" t="n"/>
    </row>
    <row r="1005" ht="15" customHeight="1" s="131">
      <c r="A1005" s="220" t="n"/>
      <c r="B1005" s="222" t="n"/>
      <c r="C1005" s="220" t="n"/>
      <c r="D1005" s="179" t="n"/>
      <c r="E1005" s="219" t="n"/>
      <c r="F1005" s="220" t="n"/>
      <c r="G1005" s="221" t="n"/>
    </row>
    <row r="1006" ht="15" customHeight="1" s="131">
      <c r="A1006" s="220" t="n"/>
      <c r="B1006" s="222" t="n"/>
      <c r="C1006" s="220" t="n"/>
      <c r="D1006" s="179" t="n"/>
      <c r="E1006" s="219" t="n"/>
      <c r="F1006" s="220" t="n"/>
      <c r="G1006" s="221" t="n"/>
    </row>
    <row r="1007" ht="15" customHeight="1" s="131">
      <c r="A1007" s="220" t="n"/>
      <c r="B1007" s="222" t="n"/>
      <c r="C1007" s="220" t="n"/>
      <c r="D1007" s="179" t="n"/>
      <c r="E1007" s="219" t="n"/>
      <c r="F1007" s="220" t="n"/>
      <c r="G1007" s="221" t="n"/>
    </row>
    <row r="1008" ht="15" customHeight="1" s="131">
      <c r="A1008" s="220" t="n"/>
      <c r="B1008" s="222" t="n"/>
      <c r="C1008" s="220" t="n"/>
      <c r="D1008" s="179" t="n"/>
      <c r="E1008" s="219" t="n"/>
      <c r="F1008" s="220" t="n"/>
      <c r="G1008" s="221" t="n"/>
    </row>
    <row r="1009" ht="15" customHeight="1" s="131">
      <c r="A1009" s="220" t="n"/>
      <c r="B1009" s="222" t="n"/>
      <c r="C1009" s="220" t="n"/>
      <c r="D1009" s="179" t="n"/>
      <c r="E1009" s="219" t="n"/>
      <c r="F1009" s="220" t="n"/>
      <c r="G1009" s="221" t="n"/>
    </row>
    <row r="1010" ht="15" customHeight="1" s="131">
      <c r="A1010" s="220" t="n"/>
      <c r="B1010" s="222" t="n"/>
      <c r="C1010" s="220" t="n"/>
      <c r="D1010" s="179" t="n"/>
      <c r="E1010" s="219" t="n"/>
      <c r="F1010" s="220" t="n"/>
      <c r="G1010" s="221" t="n"/>
    </row>
    <row r="1011" ht="15" customHeight="1" s="131">
      <c r="A1011" s="220" t="n"/>
      <c r="B1011" s="222" t="n"/>
      <c r="C1011" s="220" t="n"/>
      <c r="D1011" s="179" t="n"/>
      <c r="E1011" s="219" t="n"/>
      <c r="F1011" s="220" t="n"/>
      <c r="G1011" s="221" t="n"/>
    </row>
    <row r="1012" ht="15" customHeight="1" s="131">
      <c r="A1012" s="220" t="n"/>
      <c r="B1012" s="222" t="n"/>
      <c r="C1012" s="220" t="n"/>
      <c r="D1012" s="179" t="n"/>
      <c r="E1012" s="219" t="n"/>
      <c r="F1012" s="220" t="n"/>
      <c r="G1012" s="221" t="n"/>
    </row>
    <row r="1013" ht="15" customHeight="1" s="131">
      <c r="A1013" s="220" t="n"/>
      <c r="B1013" s="222" t="n"/>
      <c r="C1013" s="220" t="n"/>
      <c r="D1013" s="179" t="n"/>
      <c r="E1013" s="219" t="n"/>
      <c r="F1013" s="220" t="n"/>
      <c r="G1013" s="221" t="n"/>
    </row>
    <row r="1014" ht="15" customHeight="1" s="131">
      <c r="A1014" s="220" t="n"/>
      <c r="B1014" s="222" t="n"/>
      <c r="C1014" s="220" t="n"/>
      <c r="D1014" s="179" t="n"/>
      <c r="E1014" s="219" t="n"/>
      <c r="F1014" s="220" t="n"/>
      <c r="G1014" s="221" t="n"/>
    </row>
    <row r="1015" ht="15" customHeight="1" s="131">
      <c r="A1015" s="220" t="n"/>
      <c r="B1015" s="222" t="n"/>
      <c r="C1015" s="220" t="n"/>
      <c r="D1015" s="179" t="n"/>
      <c r="E1015" s="219" t="n"/>
      <c r="F1015" s="220" t="n"/>
      <c r="G1015" s="221" t="n"/>
    </row>
    <row r="1016" ht="15" customHeight="1" s="131">
      <c r="A1016" s="220" t="n"/>
      <c r="B1016" s="222" t="n"/>
      <c r="C1016" s="220" t="n"/>
      <c r="D1016" s="179" t="n"/>
      <c r="E1016" s="219" t="n"/>
      <c r="F1016" s="220" t="n"/>
      <c r="G1016" s="221" t="n"/>
    </row>
    <row r="1017" ht="15" customHeight="1" s="131">
      <c r="A1017" s="220" t="n"/>
      <c r="B1017" s="222" t="n"/>
      <c r="C1017" s="220" t="n"/>
      <c r="D1017" s="179" t="n"/>
      <c r="E1017" s="219" t="n"/>
      <c r="F1017" s="220" t="n"/>
      <c r="G1017" s="221" t="n"/>
    </row>
    <row r="1018" ht="15" customHeight="1" s="131">
      <c r="A1018" s="220" t="n"/>
      <c r="B1018" s="222" t="n"/>
      <c r="C1018" s="220" t="n"/>
      <c r="D1018" s="179" t="n"/>
      <c r="E1018" s="219" t="n"/>
      <c r="F1018" s="220" t="n"/>
      <c r="G1018" s="221" t="n"/>
    </row>
    <row r="1019" ht="15" customHeight="1" s="131">
      <c r="A1019" s="220" t="n"/>
      <c r="B1019" s="222" t="n"/>
      <c r="C1019" s="220" t="n"/>
      <c r="D1019" s="179" t="n"/>
      <c r="E1019" s="219" t="n"/>
      <c r="F1019" s="220" t="n"/>
      <c r="G1019" s="221" t="n"/>
    </row>
    <row r="1020" ht="15" customHeight="1" s="131">
      <c r="A1020" s="220" t="n"/>
      <c r="B1020" s="222" t="n"/>
      <c r="C1020" s="220" t="n"/>
      <c r="D1020" s="179" t="n"/>
      <c r="E1020" s="219" t="n"/>
      <c r="F1020" s="220" t="n"/>
      <c r="G1020" s="221" t="n"/>
    </row>
    <row r="1021" ht="15" customHeight="1" s="131">
      <c r="A1021" s="220" t="n"/>
      <c r="B1021" s="222" t="n"/>
      <c r="C1021" s="220" t="n"/>
      <c r="D1021" s="179" t="n"/>
      <c r="E1021" s="219" t="n"/>
      <c r="F1021" s="220" t="n"/>
      <c r="G1021" s="221" t="n"/>
    </row>
    <row r="1022" ht="15" customHeight="1" s="131">
      <c r="A1022" s="220" t="n"/>
      <c r="B1022" s="222" t="n"/>
      <c r="C1022" s="220" t="n"/>
      <c r="D1022" s="179" t="n"/>
      <c r="E1022" s="219" t="n"/>
      <c r="F1022" s="220" t="n"/>
      <c r="G1022" s="221" t="n"/>
    </row>
    <row r="1023" ht="15" customHeight="1" s="131">
      <c r="A1023" s="220" t="n"/>
      <c r="B1023" s="222" t="n"/>
      <c r="C1023" s="220" t="n"/>
      <c r="D1023" s="179" t="n"/>
      <c r="E1023" s="219" t="n"/>
      <c r="F1023" s="220" t="n"/>
      <c r="G1023" s="221" t="n"/>
    </row>
    <row r="1024" ht="15" customHeight="1" s="131">
      <c r="A1024" s="220" t="n"/>
      <c r="B1024" s="222" t="n"/>
      <c r="C1024" s="220" t="n"/>
      <c r="D1024" s="179" t="n"/>
      <c r="E1024" s="219" t="n"/>
      <c r="F1024" s="220" t="n"/>
      <c r="G1024" s="221" t="n"/>
    </row>
    <row r="1025" ht="15" customHeight="1" s="131">
      <c r="A1025" s="220" t="n"/>
      <c r="B1025" s="222" t="n"/>
      <c r="C1025" s="220" t="n"/>
      <c r="D1025" s="179" t="n"/>
      <c r="E1025" s="219" t="n"/>
      <c r="F1025" s="220" t="n"/>
      <c r="G1025" s="221" t="n"/>
    </row>
    <row r="1026" ht="15" customHeight="1" s="131">
      <c r="A1026" s="220" t="n"/>
      <c r="B1026" s="222" t="n"/>
      <c r="C1026" s="220" t="n"/>
      <c r="D1026" s="179" t="n"/>
      <c r="E1026" s="219" t="n"/>
      <c r="F1026" s="220" t="n"/>
      <c r="G1026" s="221" t="n"/>
    </row>
    <row r="1027" ht="15" customHeight="1" s="131">
      <c r="A1027" s="220" t="n"/>
      <c r="B1027" s="222" t="n"/>
      <c r="C1027" s="220" t="n"/>
      <c r="D1027" s="179" t="n"/>
      <c r="E1027" s="219" t="n"/>
      <c r="F1027" s="220" t="n"/>
      <c r="G1027" s="221" t="n"/>
    </row>
    <row r="1028" ht="15" customHeight="1" s="131">
      <c r="A1028" s="220" t="n"/>
      <c r="B1028" s="222" t="n"/>
      <c r="C1028" s="220" t="n"/>
      <c r="D1028" s="179" t="n"/>
      <c r="E1028" s="219" t="n"/>
      <c r="F1028" s="220" t="n"/>
      <c r="G1028" s="221" t="n"/>
    </row>
    <row r="1029" ht="15" customHeight="1" s="131">
      <c r="A1029" s="220" t="n"/>
      <c r="B1029" s="222" t="n"/>
      <c r="C1029" s="220" t="n"/>
      <c r="D1029" s="179" t="n"/>
      <c r="E1029" s="219" t="n"/>
      <c r="F1029" s="220" t="n"/>
      <c r="G1029" s="221" t="n"/>
    </row>
    <row r="1030" ht="15" customHeight="1" s="131">
      <c r="A1030" s="220" t="n"/>
      <c r="B1030" s="222" t="n"/>
      <c r="C1030" s="220" t="n"/>
      <c r="D1030" s="179" t="n"/>
      <c r="E1030" s="219" t="n"/>
      <c r="F1030" s="220" t="n"/>
      <c r="G1030" s="221" t="n"/>
    </row>
    <row r="1031" ht="15" customHeight="1" s="131">
      <c r="A1031" s="220" t="n"/>
      <c r="B1031" s="222" t="n"/>
      <c r="C1031" s="220" t="n"/>
      <c r="D1031" s="179" t="n"/>
      <c r="E1031" s="219" t="n"/>
      <c r="F1031" s="220" t="n"/>
      <c r="G1031" s="221" t="n"/>
    </row>
    <row r="1032" ht="15" customHeight="1" s="131">
      <c r="A1032" s="220" t="n"/>
      <c r="B1032" s="222" t="n"/>
      <c r="C1032" s="220" t="n"/>
      <c r="D1032" s="179" t="n"/>
      <c r="E1032" s="219" t="n"/>
      <c r="F1032" s="220" t="n"/>
      <c r="G1032" s="221" t="n"/>
    </row>
    <row r="1033" ht="15" customHeight="1" s="131">
      <c r="A1033" s="220" t="n"/>
      <c r="B1033" s="222" t="n"/>
      <c r="C1033" s="220" t="n"/>
      <c r="D1033" s="179" t="n"/>
      <c r="E1033" s="219" t="n"/>
      <c r="F1033" s="220" t="n"/>
      <c r="G1033" s="221" t="n"/>
    </row>
    <row r="1034" ht="15" customHeight="1" s="131">
      <c r="A1034" s="220" t="n"/>
      <c r="B1034" s="222" t="n"/>
      <c r="C1034" s="220" t="n"/>
      <c r="D1034" s="179" t="n"/>
      <c r="E1034" s="219" t="n"/>
      <c r="F1034" s="220" t="n"/>
      <c r="G1034" s="221" t="n"/>
    </row>
    <row r="1035" ht="15" customHeight="1" s="131">
      <c r="A1035" s="220" t="n"/>
      <c r="B1035" s="222" t="n"/>
      <c r="C1035" s="220" t="n"/>
      <c r="D1035" s="179" t="n"/>
      <c r="E1035" s="219" t="n"/>
      <c r="F1035" s="220" t="n"/>
      <c r="G1035" s="221" t="n"/>
    </row>
    <row r="1036" ht="15" customHeight="1" s="131">
      <c r="A1036" s="220" t="n"/>
      <c r="B1036" s="222" t="n"/>
      <c r="C1036" s="220" t="n"/>
      <c r="D1036" s="179" t="n"/>
      <c r="E1036" s="219" t="n"/>
      <c r="F1036" s="220" t="n"/>
      <c r="G1036" s="221" t="n"/>
    </row>
    <row r="1037" ht="15" customHeight="1" s="131">
      <c r="A1037" s="220" t="n"/>
      <c r="B1037" s="222" t="n"/>
      <c r="C1037" s="220" t="n"/>
      <c r="D1037" s="179" t="n"/>
      <c r="E1037" s="219" t="n"/>
      <c r="F1037" s="220" t="n"/>
      <c r="G1037" s="221" t="n"/>
    </row>
    <row r="1038" ht="15" customHeight="1" s="131">
      <c r="A1038" s="220" t="n"/>
      <c r="B1038" s="222" t="n"/>
      <c r="C1038" s="220" t="n"/>
      <c r="D1038" s="179" t="n"/>
      <c r="E1038" s="219" t="n"/>
      <c r="F1038" s="220" t="n"/>
      <c r="G1038" s="221" t="n"/>
    </row>
    <row r="1039" ht="15" customHeight="1" s="131">
      <c r="A1039" s="220" t="n"/>
      <c r="B1039" s="222" t="n"/>
      <c r="C1039" s="220" t="n"/>
      <c r="D1039" s="179" t="n"/>
      <c r="E1039" s="219" t="n"/>
      <c r="F1039" s="220" t="n"/>
      <c r="G1039" s="221" t="n"/>
    </row>
    <row r="1040" ht="15" customHeight="1" s="131">
      <c r="A1040" s="220" t="n"/>
      <c r="B1040" s="222" t="n"/>
      <c r="C1040" s="220" t="n"/>
      <c r="D1040" s="179" t="n"/>
      <c r="E1040" s="219" t="n"/>
      <c r="F1040" s="220" t="n"/>
      <c r="G1040" s="221" t="n"/>
    </row>
    <row r="1041" ht="15" customHeight="1" s="131">
      <c r="A1041" s="220" t="n"/>
      <c r="B1041" s="222" t="n"/>
      <c r="C1041" s="220" t="n"/>
      <c r="D1041" s="179" t="n"/>
      <c r="E1041" s="219" t="n"/>
      <c r="F1041" s="220" t="n"/>
      <c r="G1041" s="221" t="n"/>
    </row>
    <row r="1042" ht="15" customHeight="1" s="131">
      <c r="A1042" s="220" t="n"/>
      <c r="B1042" s="222" t="n"/>
      <c r="C1042" s="220" t="n"/>
      <c r="D1042" s="179" t="n"/>
      <c r="E1042" s="219" t="n"/>
      <c r="F1042" s="220" t="n"/>
      <c r="G1042" s="221" t="n"/>
    </row>
    <row r="1043" ht="15" customHeight="1" s="131">
      <c r="A1043" s="220" t="n"/>
      <c r="B1043" s="222" t="n"/>
      <c r="C1043" s="220" t="n"/>
      <c r="D1043" s="179" t="n"/>
      <c r="E1043" s="219" t="n"/>
      <c r="F1043" s="220" t="n"/>
      <c r="G1043" s="221" t="n"/>
    </row>
    <row r="1044" ht="15" customHeight="1" s="131">
      <c r="A1044" s="220" t="n"/>
      <c r="B1044" s="222" t="n"/>
      <c r="C1044" s="220" t="n"/>
      <c r="D1044" s="179" t="n"/>
      <c r="E1044" s="219" t="n"/>
      <c r="F1044" s="220" t="n"/>
      <c r="G1044" s="221" t="n"/>
    </row>
    <row r="1045" ht="15" customHeight="1" s="131">
      <c r="A1045" s="220" t="n"/>
      <c r="B1045" s="222" t="n"/>
      <c r="C1045" s="220" t="n"/>
      <c r="D1045" s="179" t="n"/>
      <c r="E1045" s="219" t="n"/>
      <c r="F1045" s="220" t="n"/>
      <c r="G1045" s="221" t="n"/>
    </row>
    <row r="1046" ht="15" customHeight="1" s="131">
      <c r="A1046" s="220" t="n"/>
      <c r="B1046" s="222" t="n"/>
      <c r="C1046" s="220" t="n"/>
      <c r="D1046" s="179" t="n"/>
      <c r="E1046" s="219" t="n"/>
      <c r="F1046" s="220" t="n"/>
      <c r="G1046" s="221" t="n"/>
    </row>
    <row r="1047" ht="15" customHeight="1" s="131">
      <c r="A1047" s="220" t="n"/>
      <c r="B1047" s="222" t="n"/>
      <c r="C1047" s="220" t="n"/>
      <c r="D1047" s="179" t="n"/>
      <c r="E1047" s="219" t="n"/>
      <c r="F1047" s="220" t="n"/>
      <c r="G1047" s="221" t="n"/>
    </row>
    <row r="1048" ht="15" customHeight="1" s="131">
      <c r="A1048" s="220" t="n"/>
      <c r="B1048" s="222" t="n"/>
      <c r="C1048" s="220" t="n"/>
      <c r="D1048" s="179" t="n"/>
      <c r="E1048" s="219" t="n"/>
      <c r="F1048" s="220" t="n"/>
      <c r="G1048" s="221" t="n"/>
    </row>
    <row r="1049" ht="15" customHeight="1" s="131">
      <c r="A1049" s="220" t="n"/>
      <c r="B1049" s="222" t="n"/>
      <c r="C1049" s="220" t="n"/>
      <c r="D1049" s="179" t="n"/>
      <c r="E1049" s="219" t="n"/>
      <c r="F1049" s="220" t="n"/>
      <c r="G1049" s="221" t="n"/>
    </row>
    <row r="1050" ht="15" customHeight="1" s="131">
      <c r="A1050" s="220" t="n"/>
      <c r="B1050" s="222" t="n"/>
      <c r="C1050" s="220" t="n"/>
      <c r="D1050" s="179" t="n"/>
      <c r="E1050" s="219" t="n"/>
      <c r="F1050" s="220" t="n"/>
      <c r="G1050" s="221" t="n"/>
    </row>
    <row r="1051" ht="15" customHeight="1" s="131">
      <c r="A1051" s="220" t="n"/>
      <c r="B1051" s="222" t="n"/>
      <c r="C1051" s="220" t="n"/>
      <c r="D1051" s="179" t="n"/>
      <c r="E1051" s="219" t="n"/>
      <c r="F1051" s="220" t="n"/>
      <c r="G1051" s="221" t="n"/>
    </row>
    <row r="1052" ht="15" customHeight="1" s="131">
      <c r="A1052" s="220" t="n"/>
      <c r="B1052" s="222" t="n"/>
      <c r="C1052" s="220" t="n"/>
      <c r="D1052" s="179" t="n"/>
      <c r="E1052" s="219" t="n"/>
      <c r="F1052" s="220" t="n"/>
      <c r="G1052" s="221" t="n"/>
    </row>
    <row r="1053" ht="15" customHeight="1" s="131">
      <c r="A1053" s="220" t="n"/>
      <c r="B1053" s="222" t="n"/>
      <c r="C1053" s="220" t="n"/>
      <c r="D1053" s="179" t="n"/>
      <c r="E1053" s="219" t="n"/>
      <c r="F1053" s="220" t="n"/>
      <c r="G1053" s="221" t="n"/>
    </row>
    <row r="1054" ht="15" customHeight="1" s="131">
      <c r="A1054" s="220" t="n"/>
      <c r="B1054" s="222" t="n"/>
      <c r="C1054" s="220" t="n"/>
      <c r="D1054" s="179" t="n"/>
      <c r="E1054" s="219" t="n"/>
      <c r="F1054" s="220" t="n"/>
      <c r="G1054" s="221" t="n"/>
    </row>
    <row r="1055" ht="15" customHeight="1" s="131">
      <c r="A1055" s="220" t="n"/>
      <c r="B1055" s="222" t="n"/>
      <c r="C1055" s="220" t="n"/>
      <c r="D1055" s="179" t="n"/>
      <c r="E1055" s="219" t="n"/>
      <c r="F1055" s="220" t="n"/>
      <c r="G1055" s="221" t="n"/>
    </row>
    <row r="1056" ht="15" customHeight="1" s="131">
      <c r="A1056" s="220" t="n"/>
      <c r="B1056" s="222" t="n"/>
      <c r="C1056" s="220" t="n"/>
      <c r="D1056" s="179" t="n"/>
      <c r="E1056" s="219" t="n"/>
      <c r="F1056" s="220" t="n"/>
      <c r="G1056" s="221" t="n"/>
    </row>
    <row r="1057" ht="15" customHeight="1" s="131">
      <c r="A1057" s="220" t="n"/>
      <c r="B1057" s="222" t="n"/>
      <c r="C1057" s="220" t="n"/>
      <c r="D1057" s="179" t="n"/>
      <c r="E1057" s="219" t="n"/>
      <c r="F1057" s="220" t="n"/>
      <c r="G1057" s="221" t="n"/>
    </row>
    <row r="1058" ht="15" customHeight="1" s="131">
      <c r="A1058" s="220" t="n"/>
      <c r="B1058" s="222" t="n"/>
      <c r="C1058" s="220" t="n"/>
      <c r="D1058" s="179" t="n"/>
      <c r="E1058" s="219" t="n"/>
      <c r="F1058" s="220" t="n"/>
      <c r="G1058" s="221" t="n"/>
    </row>
    <row r="1059" ht="15" customHeight="1" s="131">
      <c r="A1059" s="220" t="n"/>
      <c r="B1059" s="222" t="n"/>
      <c r="C1059" s="220" t="n"/>
      <c r="D1059" s="179" t="n"/>
      <c r="E1059" s="219" t="n"/>
      <c r="F1059" s="220" t="n"/>
      <c r="G1059" s="221" t="n"/>
    </row>
    <row r="1060" ht="15" customHeight="1" s="131">
      <c r="A1060" s="220" t="n"/>
      <c r="B1060" s="222" t="n"/>
      <c r="C1060" s="220" t="n"/>
      <c r="D1060" s="179" t="n"/>
      <c r="E1060" s="219" t="n"/>
      <c r="F1060" s="220" t="n"/>
      <c r="G1060" s="221" t="n"/>
    </row>
    <row r="1061" ht="15" customHeight="1" s="131">
      <c r="A1061" s="220" t="n"/>
      <c r="B1061" s="222" t="n"/>
      <c r="C1061" s="220" t="n"/>
      <c r="D1061" s="179" t="n"/>
      <c r="E1061" s="219" t="n"/>
      <c r="F1061" s="220" t="n"/>
      <c r="G1061" s="221" t="n"/>
    </row>
    <row r="1062" ht="15" customHeight="1" s="131">
      <c r="A1062" s="220" t="n"/>
      <c r="B1062" s="222" t="n"/>
      <c r="C1062" s="220" t="n"/>
      <c r="D1062" s="179" t="n"/>
      <c r="E1062" s="219" t="n"/>
      <c r="F1062" s="220" t="n"/>
      <c r="G1062" s="221" t="n"/>
    </row>
    <row r="1063" ht="15" customHeight="1" s="131">
      <c r="A1063" s="220" t="n"/>
      <c r="B1063" s="222" t="n"/>
      <c r="C1063" s="220" t="n"/>
      <c r="D1063" s="179" t="n"/>
      <c r="E1063" s="219" t="n"/>
      <c r="F1063" s="220" t="n"/>
      <c r="G1063" s="221" t="n"/>
    </row>
    <row r="1064" ht="15" customHeight="1" s="131">
      <c r="A1064" s="220" t="n"/>
      <c r="B1064" s="222" t="n"/>
      <c r="C1064" s="220" t="n"/>
      <c r="D1064" s="179" t="n"/>
      <c r="E1064" s="219" t="n"/>
      <c r="F1064" s="220" t="n"/>
      <c r="G1064" s="221" t="n"/>
    </row>
    <row r="1065" ht="15" customHeight="1" s="131">
      <c r="A1065" s="220" t="n"/>
      <c r="B1065" s="222" t="n"/>
      <c r="C1065" s="220" t="n"/>
      <c r="D1065" s="179" t="n"/>
      <c r="E1065" s="219" t="n"/>
      <c r="F1065" s="220" t="n"/>
      <c r="G1065" s="221" t="n"/>
    </row>
    <row r="1066" ht="15" customHeight="1" s="131">
      <c r="A1066" s="220" t="n"/>
      <c r="B1066" s="222" t="n"/>
      <c r="C1066" s="220" t="n"/>
      <c r="D1066" s="179" t="n"/>
      <c r="E1066" s="219" t="n"/>
      <c r="F1066" s="220" t="n"/>
      <c r="G1066" s="221" t="n"/>
    </row>
    <row r="1067" ht="15" customHeight="1" s="131">
      <c r="A1067" s="220" t="n"/>
      <c r="B1067" s="222" t="n"/>
      <c r="C1067" s="220" t="n"/>
      <c r="D1067" s="179" t="n"/>
      <c r="E1067" s="219" t="n"/>
      <c r="F1067" s="220" t="n"/>
      <c r="G1067" s="221" t="n"/>
    </row>
    <row r="1068" ht="15" customHeight="1" s="131">
      <c r="A1068" s="220" t="n"/>
      <c r="B1068" s="222" t="n"/>
      <c r="C1068" s="220" t="n"/>
      <c r="D1068" s="179" t="n"/>
      <c r="E1068" s="219" t="n"/>
      <c r="F1068" s="220" t="n"/>
      <c r="G1068" s="221" t="n"/>
    </row>
    <row r="1069" ht="15" customHeight="1" s="131">
      <c r="A1069" s="220" t="n"/>
      <c r="B1069" s="222" t="n"/>
      <c r="C1069" s="220" t="n"/>
      <c r="D1069" s="179" t="n"/>
      <c r="E1069" s="219" t="n"/>
      <c r="F1069" s="220" t="n"/>
      <c r="G1069" s="221" t="n"/>
    </row>
    <row r="1070" ht="15" customHeight="1" s="131">
      <c r="A1070" s="220" t="n"/>
      <c r="B1070" s="222" t="n"/>
      <c r="C1070" s="220" t="n"/>
      <c r="D1070" s="179" t="n"/>
      <c r="E1070" s="219" t="n"/>
      <c r="F1070" s="220" t="n"/>
      <c r="G1070" s="221" t="n"/>
    </row>
    <row r="1071" ht="15" customHeight="1" s="131">
      <c r="A1071" s="220" t="n"/>
      <c r="B1071" s="222" t="n"/>
      <c r="C1071" s="220" t="n"/>
      <c r="D1071" s="179" t="n"/>
      <c r="E1071" s="219" t="n"/>
      <c r="F1071" s="220" t="n"/>
      <c r="G1071" s="221" t="n"/>
    </row>
    <row r="1072" ht="15" customHeight="1" s="131">
      <c r="A1072" s="220" t="n"/>
      <c r="B1072" s="222" t="n"/>
      <c r="C1072" s="220" t="n"/>
      <c r="D1072" s="179" t="n"/>
      <c r="E1072" s="219" t="n"/>
      <c r="F1072" s="220" t="n"/>
      <c r="G1072" s="221" t="n"/>
    </row>
    <row r="1073" ht="15" customHeight="1" s="131">
      <c r="A1073" s="220" t="n"/>
      <c r="B1073" s="222" t="n"/>
      <c r="C1073" s="220" t="n"/>
      <c r="D1073" s="179" t="n"/>
      <c r="E1073" s="219" t="n"/>
      <c r="F1073" s="220" t="n"/>
      <c r="G1073" s="221" t="n"/>
    </row>
    <row r="1074" ht="15" customHeight="1" s="131">
      <c r="A1074" s="220" t="n"/>
      <c r="B1074" s="222" t="n"/>
      <c r="C1074" s="220" t="n"/>
      <c r="D1074" s="179" t="n"/>
      <c r="E1074" s="219" t="n"/>
      <c r="F1074" s="220" t="n"/>
      <c r="G1074" s="221" t="n"/>
    </row>
    <row r="1075" ht="15" customHeight="1" s="131">
      <c r="A1075" s="220" t="n"/>
      <c r="B1075" s="222" t="n"/>
      <c r="C1075" s="220" t="n"/>
      <c r="D1075" s="179" t="n"/>
      <c r="E1075" s="219" t="n"/>
      <c r="F1075" s="220" t="n"/>
      <c r="G1075" s="221" t="n"/>
    </row>
    <row r="1076" ht="15" customHeight="1" s="131">
      <c r="A1076" s="220" t="n"/>
      <c r="B1076" s="222" t="n"/>
      <c r="C1076" s="220" t="n"/>
      <c r="D1076" s="179" t="n"/>
      <c r="E1076" s="219" t="n"/>
      <c r="F1076" s="220" t="n"/>
      <c r="G1076" s="221" t="n"/>
    </row>
    <row r="1077" ht="15" customHeight="1" s="131">
      <c r="A1077" s="220" t="n"/>
      <c r="B1077" s="222" t="n"/>
      <c r="C1077" s="220" t="n"/>
      <c r="D1077" s="179" t="n"/>
      <c r="E1077" s="219" t="n"/>
      <c r="F1077" s="220" t="n"/>
      <c r="G1077" s="221" t="n"/>
    </row>
    <row r="1078" ht="15" customHeight="1" s="131">
      <c r="A1078" s="220" t="n"/>
      <c r="B1078" s="222" t="n"/>
      <c r="C1078" s="220" t="n"/>
      <c r="D1078" s="179" t="n"/>
      <c r="E1078" s="219" t="n"/>
      <c r="F1078" s="220" t="n"/>
      <c r="G1078" s="221" t="n"/>
    </row>
    <row r="1079" ht="15" customHeight="1" s="131">
      <c r="A1079" s="220" t="n"/>
      <c r="B1079" s="222" t="n"/>
      <c r="C1079" s="220" t="n"/>
      <c r="D1079" s="179" t="n"/>
      <c r="E1079" s="219" t="n"/>
      <c r="F1079" s="220" t="n"/>
      <c r="G1079" s="221" t="n"/>
    </row>
    <row r="1080" ht="15" customHeight="1" s="131">
      <c r="A1080" s="220" t="n"/>
      <c r="B1080" s="222" t="n"/>
      <c r="C1080" s="220" t="n"/>
      <c r="D1080" s="179" t="n"/>
      <c r="E1080" s="219" t="n"/>
      <c r="F1080" s="220" t="n"/>
      <c r="G1080" s="221" t="n"/>
    </row>
    <row r="1081" ht="15" customHeight="1" s="131">
      <c r="A1081" s="220" t="n"/>
      <c r="B1081" s="222" t="n"/>
      <c r="C1081" s="220" t="n"/>
      <c r="D1081" s="179" t="n"/>
      <c r="E1081" s="219" t="n"/>
      <c r="F1081" s="220" t="n"/>
      <c r="G1081" s="221" t="n"/>
    </row>
    <row r="1082" ht="15" customHeight="1" s="131">
      <c r="A1082" s="220" t="n"/>
      <c r="B1082" s="222" t="n"/>
      <c r="C1082" s="220" t="n"/>
      <c r="D1082" s="179" t="n"/>
      <c r="E1082" s="219" t="n"/>
      <c r="F1082" s="220" t="n"/>
      <c r="G1082" s="221" t="n"/>
    </row>
    <row r="1083" ht="15" customHeight="1" s="131">
      <c r="A1083" s="220" t="n"/>
      <c r="B1083" s="222" t="n"/>
      <c r="C1083" s="220" t="n"/>
      <c r="D1083" s="179" t="n"/>
      <c r="E1083" s="219" t="n"/>
      <c r="F1083" s="220" t="n"/>
      <c r="G1083" s="221" t="n"/>
    </row>
    <row r="1084" ht="15" customHeight="1" s="131">
      <c r="A1084" s="220" t="n"/>
      <c r="B1084" s="222" t="n"/>
      <c r="C1084" s="220" t="n"/>
      <c r="D1084" s="179" t="n"/>
      <c r="E1084" s="219" t="n"/>
      <c r="F1084" s="220" t="n"/>
      <c r="G1084" s="221" t="n"/>
    </row>
    <row r="1085" ht="15" customHeight="1" s="131">
      <c r="A1085" s="220" t="n"/>
      <c r="B1085" s="222" t="n"/>
      <c r="C1085" s="220" t="n"/>
      <c r="D1085" s="179" t="n"/>
      <c r="E1085" s="219" t="n"/>
      <c r="F1085" s="220" t="n"/>
      <c r="G1085" s="221" t="n"/>
    </row>
    <row r="1086" ht="15" customHeight="1" s="131">
      <c r="A1086" s="220" t="n"/>
      <c r="B1086" s="222" t="n"/>
      <c r="C1086" s="220" t="n"/>
      <c r="D1086" s="179" t="n"/>
      <c r="E1086" s="219" t="n"/>
      <c r="F1086" s="220" t="n"/>
      <c r="G1086" s="221" t="n"/>
    </row>
    <row r="1087" ht="15" customHeight="1" s="131">
      <c r="A1087" s="220" t="n"/>
      <c r="B1087" s="222" t="n"/>
      <c r="C1087" s="220" t="n"/>
      <c r="D1087" s="179" t="n"/>
      <c r="E1087" s="219" t="n"/>
      <c r="F1087" s="220" t="n"/>
      <c r="G1087" s="221" t="n"/>
    </row>
    <row r="1088" ht="15" customHeight="1" s="131">
      <c r="A1088" s="220" t="n"/>
      <c r="B1088" s="222" t="n"/>
      <c r="C1088" s="220" t="n"/>
      <c r="D1088" s="179" t="n"/>
      <c r="E1088" s="219" t="n"/>
      <c r="F1088" s="220" t="n"/>
      <c r="G1088" s="221" t="n"/>
    </row>
    <row r="1089" ht="15" customHeight="1" s="131">
      <c r="A1089" s="220" t="n"/>
      <c r="B1089" s="222" t="n"/>
      <c r="C1089" s="220" t="n"/>
      <c r="D1089" s="179" t="n"/>
      <c r="E1089" s="219" t="n"/>
      <c r="F1089" s="220" t="n"/>
      <c r="G1089" s="221" t="n"/>
    </row>
    <row r="1090" ht="15" customHeight="1" s="131">
      <c r="A1090" s="220" t="n"/>
      <c r="B1090" s="222" t="n"/>
      <c r="C1090" s="220" t="n"/>
      <c r="D1090" s="179" t="n"/>
      <c r="E1090" s="219" t="n"/>
      <c r="F1090" s="220" t="n"/>
      <c r="G1090" s="221" t="n"/>
    </row>
    <row r="1091" ht="15" customHeight="1" s="131">
      <c r="A1091" s="220" t="n"/>
      <c r="B1091" s="222" t="n"/>
      <c r="C1091" s="220" t="n"/>
      <c r="D1091" s="179" t="n"/>
      <c r="E1091" s="219" t="n"/>
      <c r="F1091" s="220" t="n"/>
      <c r="G1091" s="221" t="n"/>
    </row>
    <row r="1092" ht="15" customHeight="1" s="131">
      <c r="A1092" s="220" t="n"/>
      <c r="B1092" s="222" t="n"/>
      <c r="C1092" s="220" t="n"/>
      <c r="D1092" s="179" t="n"/>
      <c r="E1092" s="219" t="n"/>
      <c r="F1092" s="220" t="n"/>
      <c r="G1092" s="221" t="n"/>
    </row>
    <row r="1093" ht="15" customHeight="1" s="131">
      <c r="A1093" s="220" t="n"/>
      <c r="B1093" s="222" t="n"/>
      <c r="C1093" s="220" t="n"/>
      <c r="D1093" s="179" t="n"/>
      <c r="E1093" s="219" t="n"/>
      <c r="F1093" s="220" t="n"/>
      <c r="G1093" s="221" t="n"/>
    </row>
    <row r="1094" ht="15" customHeight="1" s="131">
      <c r="A1094" s="220" t="n"/>
      <c r="B1094" s="222" t="n"/>
      <c r="C1094" s="220" t="n"/>
      <c r="D1094" s="179" t="n"/>
      <c r="E1094" s="219" t="n"/>
      <c r="F1094" s="220" t="n"/>
      <c r="G1094" s="221" t="n"/>
    </row>
    <row r="1095" ht="15" customHeight="1" s="131">
      <c r="A1095" s="220" t="n"/>
      <c r="B1095" s="222" t="n"/>
      <c r="C1095" s="220" t="n"/>
      <c r="D1095" s="179" t="n"/>
      <c r="E1095" s="219" t="n"/>
      <c r="F1095" s="220" t="n"/>
      <c r="G1095" s="221" t="n"/>
    </row>
    <row r="1096" ht="15" customHeight="1" s="131">
      <c r="A1096" s="220" t="n"/>
      <c r="B1096" s="222" t="n"/>
      <c r="C1096" s="220" t="n"/>
      <c r="D1096" s="179" t="n"/>
      <c r="E1096" s="219" t="n"/>
      <c r="F1096" s="220" t="n"/>
      <c r="G1096" s="221" t="n"/>
    </row>
    <row r="1097" ht="15" customHeight="1" s="131">
      <c r="A1097" s="220" t="n"/>
      <c r="B1097" s="222" t="n"/>
      <c r="C1097" s="220" t="n"/>
      <c r="D1097" s="179" t="n"/>
      <c r="E1097" s="219" t="n"/>
      <c r="F1097" s="220" t="n"/>
      <c r="G1097" s="221" t="n"/>
    </row>
    <row r="1098" ht="15" customHeight="1" s="131">
      <c r="A1098" s="220" t="n"/>
      <c r="B1098" s="222" t="n"/>
      <c r="C1098" s="220" t="n"/>
      <c r="D1098" s="179" t="n"/>
      <c r="E1098" s="219" t="n"/>
      <c r="F1098" s="220" t="n"/>
      <c r="G1098" s="221" t="n"/>
    </row>
    <row r="1099" ht="15" customHeight="1" s="131">
      <c r="A1099" s="220" t="n"/>
      <c r="B1099" s="222" t="n"/>
      <c r="C1099" s="220" t="n"/>
      <c r="D1099" s="179" t="n"/>
      <c r="E1099" s="219" t="n"/>
      <c r="F1099" s="220" t="n"/>
      <c r="G1099" s="221" t="n"/>
    </row>
    <row r="1100" ht="15" customHeight="1" s="131">
      <c r="A1100" s="220" t="n"/>
      <c r="B1100" s="222" t="n"/>
      <c r="C1100" s="220" t="n"/>
      <c r="D1100" s="179" t="n"/>
      <c r="E1100" s="219" t="n"/>
      <c r="F1100" s="220" t="n"/>
      <c r="G1100" s="221" t="n"/>
    </row>
    <row r="1101" ht="15" customHeight="1" s="131">
      <c r="A1101" s="220" t="n"/>
      <c r="B1101" s="222" t="n"/>
      <c r="C1101" s="220" t="n"/>
      <c r="D1101" s="179" t="n"/>
      <c r="E1101" s="219" t="n"/>
      <c r="F1101" s="220" t="n"/>
      <c r="G1101" s="221" t="n"/>
    </row>
    <row r="1102" ht="15" customHeight="1" s="131">
      <c r="A1102" s="220" t="n"/>
      <c r="B1102" s="222" t="n"/>
      <c r="C1102" s="220" t="n"/>
      <c r="D1102" s="179" t="n"/>
      <c r="E1102" s="219" t="n"/>
      <c r="F1102" s="220" t="n"/>
      <c r="G1102" s="221" t="n"/>
    </row>
    <row r="1103" ht="15" customHeight="1" s="131">
      <c r="A1103" s="220" t="n"/>
      <c r="B1103" s="222" t="n"/>
      <c r="C1103" s="220" t="n"/>
      <c r="D1103" s="179" t="n"/>
      <c r="E1103" s="219" t="n"/>
      <c r="F1103" s="220" t="n"/>
      <c r="G1103" s="221" t="n"/>
    </row>
    <row r="1104" ht="15" customHeight="1" s="131">
      <c r="A1104" s="220" t="n"/>
      <c r="B1104" s="222" t="n"/>
      <c r="C1104" s="220" t="n"/>
      <c r="D1104" s="179" t="n"/>
      <c r="E1104" s="219" t="n"/>
      <c r="F1104" s="220" t="n"/>
      <c r="G1104" s="221" t="n"/>
    </row>
    <row r="1105" ht="15" customHeight="1" s="131">
      <c r="A1105" s="220" t="n"/>
      <c r="B1105" s="222" t="n"/>
      <c r="C1105" s="220" t="n"/>
      <c r="D1105" s="179" t="n"/>
      <c r="E1105" s="219" t="n"/>
      <c r="F1105" s="220" t="n"/>
      <c r="G1105" s="221" t="n"/>
    </row>
    <row r="1106" ht="15" customHeight="1" s="131">
      <c r="A1106" s="220" t="n"/>
      <c r="B1106" s="222" t="n"/>
      <c r="C1106" s="220" t="n"/>
      <c r="D1106" s="179" t="n"/>
      <c r="E1106" s="219" t="n"/>
      <c r="F1106" s="220" t="n"/>
      <c r="G1106" s="221" t="n"/>
    </row>
    <row r="1107" ht="15" customHeight="1" s="131">
      <c r="A1107" s="220" t="n"/>
      <c r="B1107" s="222" t="n"/>
      <c r="C1107" s="220" t="n"/>
      <c r="D1107" s="179" t="n"/>
      <c r="E1107" s="219" t="n"/>
      <c r="F1107" s="220" t="n"/>
      <c r="G1107" s="221" t="n"/>
    </row>
    <row r="1108" ht="15" customHeight="1" s="131">
      <c r="A1108" s="220" t="n"/>
      <c r="B1108" s="222" t="n"/>
      <c r="C1108" s="220" t="n"/>
      <c r="D1108" s="179" t="n"/>
      <c r="E1108" s="219" t="n"/>
      <c r="F1108" s="220" t="n"/>
      <c r="G1108" s="221" t="n"/>
    </row>
    <row r="1109" ht="15" customHeight="1" s="131">
      <c r="A1109" s="220" t="n"/>
      <c r="B1109" s="222" t="n"/>
      <c r="C1109" s="220" t="n"/>
      <c r="D1109" s="179" t="n"/>
      <c r="E1109" s="219" t="n"/>
      <c r="F1109" s="220" t="n"/>
      <c r="G1109" s="221" t="n"/>
    </row>
    <row r="1110" ht="15" customHeight="1" s="131">
      <c r="A1110" s="220" t="n"/>
      <c r="B1110" s="222" t="n"/>
      <c r="C1110" s="220" t="n"/>
      <c r="D1110" s="179" t="n"/>
      <c r="E1110" s="219" t="n"/>
      <c r="F1110" s="220" t="n"/>
      <c r="G1110" s="221" t="n"/>
    </row>
    <row r="1111" ht="15" customHeight="1" s="131">
      <c r="A1111" s="220" t="n"/>
      <c r="B1111" s="222" t="n"/>
      <c r="C1111" s="220" t="n"/>
      <c r="D1111" s="179" t="n"/>
      <c r="E1111" s="219" t="n"/>
      <c r="F1111" s="220" t="n"/>
      <c r="G1111" s="221" t="n"/>
    </row>
    <row r="1112" ht="15" customHeight="1" s="131">
      <c r="A1112" s="220" t="n"/>
      <c r="B1112" s="222" t="n"/>
      <c r="C1112" s="220" t="n"/>
      <c r="D1112" s="179" t="n"/>
      <c r="E1112" s="219" t="n"/>
      <c r="F1112" s="220" t="n"/>
      <c r="G1112" s="221" t="n"/>
    </row>
    <row r="1113" ht="15" customHeight="1" s="131">
      <c r="A1113" s="220" t="n"/>
      <c r="B1113" s="222" t="n"/>
      <c r="C1113" s="220" t="n"/>
      <c r="D1113" s="179" t="n"/>
      <c r="E1113" s="219" t="n"/>
      <c r="F1113" s="220" t="n"/>
      <c r="G1113" s="221" t="n"/>
    </row>
    <row r="1114" ht="15" customHeight="1" s="131">
      <c r="A1114" s="220" t="n"/>
      <c r="B1114" s="222" t="n"/>
      <c r="C1114" s="220" t="n"/>
      <c r="D1114" s="179" t="n"/>
      <c r="E1114" s="219" t="n"/>
      <c r="F1114" s="220" t="n"/>
      <c r="G1114" s="221" t="n"/>
    </row>
    <row r="1115" ht="15" customHeight="1" s="131">
      <c r="A1115" s="220" t="n"/>
      <c r="B1115" s="222" t="n"/>
      <c r="C1115" s="220" t="n"/>
      <c r="D1115" s="179" t="n"/>
      <c r="E1115" s="219" t="n"/>
      <c r="F1115" s="220" t="n"/>
      <c r="G1115" s="221" t="n"/>
    </row>
    <row r="1116" ht="15" customHeight="1" s="131">
      <c r="A1116" s="220" t="n"/>
      <c r="B1116" s="222" t="n"/>
      <c r="C1116" s="220" t="n"/>
      <c r="D1116" s="179" t="n"/>
      <c r="E1116" s="219" t="n"/>
      <c r="F1116" s="220" t="n"/>
      <c r="G1116" s="221" t="n"/>
    </row>
    <row r="1117" ht="15" customHeight="1" s="131">
      <c r="A1117" s="220" t="n"/>
      <c r="B1117" s="222" t="n"/>
      <c r="C1117" s="220" t="n"/>
      <c r="D1117" s="179" t="n"/>
      <c r="E1117" s="219" t="n"/>
      <c r="F1117" s="220" t="n"/>
      <c r="G1117" s="221" t="n"/>
    </row>
    <row r="1118" ht="15" customHeight="1" s="131">
      <c r="A1118" s="220" t="n"/>
      <c r="B1118" s="222" t="n"/>
      <c r="C1118" s="220" t="n"/>
      <c r="D1118" s="179" t="n"/>
      <c r="E1118" s="219" t="n"/>
      <c r="F1118" s="220" t="n"/>
      <c r="G1118" s="221" t="n"/>
    </row>
    <row r="1119" ht="15" customHeight="1" s="131">
      <c r="A1119" s="220" t="n"/>
      <c r="B1119" s="222" t="n"/>
      <c r="C1119" s="220" t="n"/>
      <c r="D1119" s="179" t="n"/>
      <c r="E1119" s="219" t="n"/>
      <c r="F1119" s="220" t="n"/>
      <c r="G1119" s="221" t="n"/>
    </row>
    <row r="1120" ht="15" customHeight="1" s="131">
      <c r="A1120" s="220" t="n"/>
      <c r="B1120" s="222" t="n"/>
      <c r="C1120" s="220" t="n"/>
      <c r="D1120" s="179" t="n"/>
      <c r="E1120" s="219" t="n"/>
      <c r="F1120" s="220" t="n"/>
      <c r="G1120" s="221" t="n"/>
    </row>
    <row r="1121" ht="15" customHeight="1" s="131">
      <c r="A1121" s="220" t="n"/>
      <c r="B1121" s="222" t="n"/>
      <c r="C1121" s="220" t="n"/>
      <c r="D1121" s="179" t="n"/>
      <c r="E1121" s="219" t="n"/>
      <c r="F1121" s="220" t="n"/>
      <c r="G1121" s="221" t="n"/>
    </row>
    <row r="1122" ht="15" customHeight="1" s="131">
      <c r="A1122" s="220" t="n"/>
      <c r="B1122" s="222" t="n"/>
      <c r="C1122" s="220" t="n"/>
      <c r="D1122" s="179" t="n"/>
      <c r="E1122" s="219" t="n"/>
      <c r="F1122" s="220" t="n"/>
      <c r="G1122" s="221" t="n"/>
    </row>
    <row r="1123" ht="15" customHeight="1" s="131">
      <c r="A1123" s="220" t="n"/>
      <c r="B1123" s="222" t="n"/>
      <c r="C1123" s="220" t="n"/>
      <c r="D1123" s="179" t="n"/>
      <c r="E1123" s="219" t="n"/>
      <c r="F1123" s="220" t="n"/>
      <c r="G1123" s="221" t="n"/>
    </row>
    <row r="1124" ht="15" customHeight="1" s="131">
      <c r="A1124" s="220" t="n"/>
      <c r="B1124" s="222" t="n"/>
      <c r="C1124" s="220" t="n"/>
      <c r="D1124" s="179" t="n"/>
      <c r="E1124" s="219" t="n"/>
      <c r="F1124" s="220" t="n"/>
      <c r="G1124" s="221" t="n"/>
    </row>
    <row r="1125" ht="15" customHeight="1" s="131">
      <c r="A1125" s="220" t="n"/>
      <c r="B1125" s="222" t="n"/>
      <c r="C1125" s="220" t="n"/>
      <c r="D1125" s="179" t="n"/>
      <c r="E1125" s="219" t="n"/>
      <c r="F1125" s="220" t="n"/>
      <c r="G1125" s="221" t="n"/>
    </row>
    <row r="1126" ht="15" customHeight="1" s="131">
      <c r="A1126" s="220" t="n"/>
      <c r="B1126" s="222" t="n"/>
      <c r="C1126" s="220" t="n"/>
      <c r="D1126" s="179" t="n"/>
      <c r="E1126" s="219" t="n"/>
      <c r="F1126" s="220" t="n"/>
      <c r="G1126" s="221" t="n"/>
    </row>
    <row r="1127" ht="15" customHeight="1" s="131">
      <c r="A1127" s="220" t="n"/>
      <c r="B1127" s="222" t="n"/>
      <c r="C1127" s="220" t="n"/>
      <c r="D1127" s="179" t="n"/>
      <c r="E1127" s="219" t="n"/>
      <c r="F1127" s="220" t="n"/>
      <c r="G1127" s="221" t="n"/>
    </row>
    <row r="1128" ht="15" customHeight="1" s="131">
      <c r="A1128" s="220" t="n"/>
      <c r="B1128" s="222" t="n"/>
      <c r="C1128" s="220" t="n"/>
      <c r="D1128" s="179" t="n"/>
      <c r="E1128" s="219" t="n"/>
      <c r="F1128" s="220" t="n"/>
      <c r="G1128" s="221" t="n"/>
    </row>
    <row r="1129" ht="15" customHeight="1" s="131">
      <c r="A1129" s="220" t="n"/>
      <c r="B1129" s="222" t="n"/>
      <c r="C1129" s="220" t="n"/>
      <c r="D1129" s="179" t="n"/>
      <c r="E1129" s="219" t="n"/>
      <c r="F1129" s="220" t="n"/>
      <c r="G1129" s="221" t="n"/>
    </row>
    <row r="1130" ht="15" customHeight="1" s="131">
      <c r="A1130" s="220" t="n"/>
      <c r="B1130" s="222" t="n"/>
      <c r="C1130" s="220" t="n"/>
      <c r="D1130" s="179" t="n"/>
      <c r="E1130" s="219" t="n"/>
      <c r="F1130" s="220" t="n"/>
      <c r="G1130" s="221" t="n"/>
    </row>
    <row r="1131" ht="15" customHeight="1" s="131">
      <c r="A1131" s="220" t="n"/>
      <c r="B1131" s="222" t="n"/>
      <c r="C1131" s="220" t="n"/>
      <c r="D1131" s="179" t="n"/>
      <c r="E1131" s="219" t="n"/>
      <c r="F1131" s="220" t="n"/>
      <c r="G1131" s="221" t="n"/>
    </row>
    <row r="1132" ht="15" customHeight="1" s="131">
      <c r="A1132" s="220" t="n"/>
      <c r="B1132" s="222" t="n"/>
      <c r="C1132" s="220" t="n"/>
      <c r="D1132" s="179" t="n"/>
      <c r="E1132" s="219" t="n"/>
      <c r="F1132" s="220" t="n"/>
      <c r="G1132" s="221" t="n"/>
    </row>
    <row r="1133" ht="15" customHeight="1" s="131">
      <c r="A1133" s="220" t="n"/>
      <c r="B1133" s="222" t="n"/>
      <c r="C1133" s="220" t="n"/>
      <c r="D1133" s="179" t="n"/>
      <c r="E1133" s="219" t="n"/>
      <c r="F1133" s="220" t="n"/>
      <c r="G1133" s="221" t="n"/>
    </row>
    <row r="1134" ht="15" customHeight="1" s="131">
      <c r="A1134" s="220" t="n"/>
      <c r="B1134" s="222" t="n"/>
      <c r="C1134" s="220" t="n"/>
      <c r="D1134" s="179" t="n"/>
      <c r="E1134" s="219" t="n"/>
      <c r="F1134" s="220" t="n"/>
      <c r="G1134" s="221" t="n"/>
    </row>
    <row r="1135" ht="15" customHeight="1" s="131">
      <c r="A1135" s="220" t="n"/>
      <c r="B1135" s="222" t="n"/>
      <c r="C1135" s="220" t="n"/>
      <c r="D1135" s="179" t="n"/>
      <c r="E1135" s="219" t="n"/>
      <c r="F1135" s="220" t="n"/>
      <c r="G1135" s="221" t="n"/>
    </row>
    <row r="1136" ht="15" customHeight="1" s="131">
      <c r="A1136" s="220" t="n"/>
      <c r="B1136" s="222" t="n"/>
      <c r="C1136" s="220" t="n"/>
      <c r="D1136" s="179" t="n"/>
      <c r="E1136" s="219" t="n"/>
      <c r="F1136" s="220" t="n"/>
      <c r="G1136" s="221" t="n"/>
    </row>
    <row r="1137" ht="15" customHeight="1" s="131">
      <c r="A1137" s="220" t="n"/>
      <c r="B1137" s="222" t="n"/>
      <c r="C1137" s="220" t="n"/>
      <c r="D1137" s="179" t="n"/>
      <c r="E1137" s="219" t="n"/>
      <c r="F1137" s="220" t="n"/>
      <c r="G1137" s="221" t="n"/>
    </row>
    <row r="1138" ht="15" customHeight="1" s="131">
      <c r="A1138" s="220" t="n"/>
      <c r="B1138" s="222" t="n"/>
      <c r="C1138" s="220" t="n"/>
      <c r="D1138" s="179" t="n"/>
      <c r="E1138" s="219" t="n"/>
      <c r="F1138" s="220" t="n"/>
      <c r="G1138" s="221" t="n"/>
    </row>
    <row r="1139" ht="15" customHeight="1" s="131">
      <c r="A1139" s="220" t="n"/>
      <c r="B1139" s="222" t="n"/>
      <c r="C1139" s="220" t="n"/>
      <c r="D1139" s="179" t="n"/>
      <c r="E1139" s="219" t="n"/>
      <c r="F1139" s="220" t="n"/>
      <c r="G1139" s="221" t="n"/>
    </row>
    <row r="1140" ht="15" customHeight="1" s="131">
      <c r="A1140" s="220" t="n"/>
      <c r="B1140" s="222" t="n"/>
      <c r="C1140" s="220" t="n"/>
      <c r="D1140" s="179" t="n"/>
      <c r="E1140" s="219" t="n"/>
      <c r="F1140" s="220" t="n"/>
      <c r="G1140" s="221" t="n"/>
    </row>
    <row r="1141" ht="15" customHeight="1" s="131">
      <c r="A1141" s="220" t="n"/>
      <c r="B1141" s="222" t="n"/>
      <c r="C1141" s="220" t="n"/>
      <c r="D1141" s="179" t="n"/>
      <c r="E1141" s="219" t="n"/>
      <c r="F1141" s="220" t="n"/>
      <c r="G1141" s="221" t="n"/>
    </row>
    <row r="1142" ht="15" customHeight="1" s="131">
      <c r="A1142" s="220" t="n"/>
      <c r="B1142" s="222" t="n"/>
      <c r="C1142" s="220" t="n"/>
      <c r="D1142" s="179" t="n"/>
      <c r="E1142" s="219" t="n"/>
      <c r="F1142" s="220" t="n"/>
      <c r="G1142" s="221" t="n"/>
    </row>
    <row r="1143" ht="15" customHeight="1" s="131">
      <c r="A1143" s="220" t="n"/>
      <c r="B1143" s="222" t="n"/>
      <c r="C1143" s="220" t="n"/>
      <c r="D1143" s="179" t="n"/>
      <c r="E1143" s="219" t="n"/>
      <c r="F1143" s="220" t="n"/>
      <c r="G1143" s="221" t="n"/>
    </row>
    <row r="1144" ht="15" customHeight="1" s="131">
      <c r="A1144" s="220" t="n"/>
      <c r="B1144" s="222" t="n"/>
      <c r="C1144" s="220" t="n"/>
      <c r="D1144" s="179" t="n"/>
      <c r="E1144" s="219" t="n"/>
      <c r="F1144" s="220" t="n"/>
      <c r="G1144" s="221" t="n"/>
    </row>
    <row r="1145" ht="15" customHeight="1" s="131">
      <c r="A1145" s="220" t="n"/>
      <c r="B1145" s="222" t="n"/>
      <c r="C1145" s="220" t="n"/>
      <c r="D1145" s="179" t="n"/>
      <c r="E1145" s="219" t="n"/>
      <c r="F1145" s="220" t="n"/>
      <c r="G1145" s="221" t="n"/>
    </row>
    <row r="1146" ht="15" customHeight="1" s="131">
      <c r="A1146" s="220" t="n"/>
      <c r="B1146" s="222" t="n"/>
      <c r="C1146" s="220" t="n"/>
      <c r="D1146" s="179" t="n"/>
      <c r="E1146" s="219" t="n"/>
      <c r="F1146" s="220" t="n"/>
      <c r="G1146" s="221" t="n"/>
    </row>
    <row r="1147" ht="15" customHeight="1" s="131">
      <c r="A1147" s="220" t="n"/>
      <c r="B1147" s="222" t="n"/>
      <c r="C1147" s="220" t="n"/>
      <c r="D1147" s="179" t="n"/>
      <c r="E1147" s="219" t="n"/>
      <c r="F1147" s="220" t="n"/>
      <c r="G1147" s="221" t="n"/>
    </row>
    <row r="1148" ht="15" customHeight="1" s="131">
      <c r="A1148" s="220" t="n"/>
      <c r="B1148" s="222" t="n"/>
      <c r="C1148" s="220" t="n"/>
      <c r="D1148" s="179" t="n"/>
      <c r="E1148" s="219" t="n"/>
      <c r="F1148" s="220" t="n"/>
      <c r="G1148" s="221" t="n"/>
    </row>
    <row r="1149" ht="15" customHeight="1" s="131">
      <c r="A1149" s="220" t="n"/>
      <c r="B1149" s="222" t="n"/>
      <c r="C1149" s="220" t="n"/>
      <c r="D1149" s="179" t="n"/>
      <c r="E1149" s="219" t="n"/>
      <c r="F1149" s="220" t="n"/>
      <c r="G1149" s="221" t="n"/>
    </row>
    <row r="1150" ht="15" customHeight="1" s="131">
      <c r="A1150" s="220" t="n"/>
      <c r="B1150" s="222" t="n"/>
      <c r="C1150" s="220" t="n"/>
      <c r="D1150" s="179" t="n"/>
      <c r="E1150" s="219" t="n"/>
      <c r="F1150" s="220" t="n"/>
      <c r="G1150" s="221" t="n"/>
    </row>
    <row r="1151" ht="15" customHeight="1" s="131">
      <c r="A1151" s="220" t="n"/>
      <c r="B1151" s="222" t="n"/>
      <c r="C1151" s="220" t="n"/>
      <c r="D1151" s="179" t="n"/>
      <c r="E1151" s="219" t="n"/>
      <c r="F1151" s="220" t="n"/>
      <c r="G1151" s="221" t="n"/>
    </row>
    <row r="1152" ht="15" customHeight="1" s="131">
      <c r="A1152" s="220" t="n"/>
      <c r="B1152" s="222" t="n"/>
      <c r="C1152" s="220" t="n"/>
      <c r="D1152" s="179" t="n"/>
      <c r="E1152" s="219" t="n"/>
      <c r="F1152" s="220" t="n"/>
      <c r="G1152" s="221" t="n"/>
    </row>
    <row r="1153" ht="15" customHeight="1" s="131">
      <c r="A1153" s="220" t="n"/>
      <c r="B1153" s="222" t="n"/>
      <c r="C1153" s="220" t="n"/>
      <c r="D1153" s="179" t="n"/>
      <c r="E1153" s="219" t="n"/>
      <c r="F1153" s="220" t="n"/>
      <c r="G1153" s="221" t="n"/>
    </row>
    <row r="1154" ht="15" customHeight="1" s="131">
      <c r="A1154" s="220" t="n"/>
      <c r="B1154" s="222" t="n"/>
      <c r="C1154" s="220" t="n"/>
      <c r="D1154" s="179" t="n"/>
      <c r="E1154" s="219" t="n"/>
      <c r="F1154" s="220" t="n"/>
      <c r="G1154" s="221" t="n"/>
    </row>
    <row r="1155" ht="15" customHeight="1" s="131">
      <c r="A1155" s="220" t="n"/>
      <c r="B1155" s="222" t="n"/>
      <c r="C1155" s="220" t="n"/>
      <c r="D1155" s="179" t="n"/>
      <c r="E1155" s="219" t="n"/>
      <c r="F1155" s="220" t="n"/>
      <c r="G1155" s="221" t="n"/>
    </row>
    <row r="1156" ht="15" customHeight="1" s="131">
      <c r="A1156" s="220" t="n"/>
      <c r="B1156" s="222" t="n"/>
      <c r="C1156" s="220" t="n"/>
      <c r="D1156" s="179" t="n"/>
      <c r="E1156" s="219" t="n"/>
      <c r="F1156" s="220" t="n"/>
      <c r="G1156" s="221" t="n"/>
    </row>
    <row r="1157" ht="15" customHeight="1" s="131">
      <c r="A1157" s="220" t="n"/>
      <c r="B1157" s="222" t="n"/>
      <c r="C1157" s="220" t="n"/>
      <c r="D1157" s="179" t="n"/>
      <c r="E1157" s="219" t="n"/>
      <c r="F1157" s="220" t="n"/>
      <c r="G1157" s="221" t="n"/>
    </row>
    <row r="1158" ht="15" customHeight="1" s="131">
      <c r="A1158" s="220" t="n"/>
      <c r="B1158" s="222" t="n"/>
      <c r="C1158" s="220" t="n"/>
      <c r="D1158" s="179" t="n"/>
      <c r="E1158" s="219" t="n"/>
      <c r="F1158" s="220" t="n"/>
      <c r="G1158" s="221" t="n"/>
    </row>
    <row r="1159" ht="15" customHeight="1" s="131">
      <c r="A1159" s="220" t="n"/>
      <c r="B1159" s="222" t="n"/>
      <c r="C1159" s="220" t="n"/>
      <c r="D1159" s="179" t="n"/>
      <c r="E1159" s="219" t="n"/>
      <c r="F1159" s="220" t="n"/>
      <c r="G1159" s="221" t="n"/>
    </row>
    <row r="1160" ht="15" customHeight="1" s="131">
      <c r="A1160" s="220" t="n"/>
      <c r="B1160" s="222" t="n"/>
      <c r="C1160" s="220" t="n"/>
      <c r="D1160" s="179" t="n"/>
      <c r="E1160" s="219" t="n"/>
      <c r="F1160" s="220" t="n"/>
      <c r="G1160" s="221" t="n"/>
    </row>
    <row r="1161" ht="15" customHeight="1" s="131">
      <c r="A1161" s="220" t="n"/>
      <c r="B1161" s="222" t="n"/>
      <c r="C1161" s="220" t="n"/>
      <c r="D1161" s="179" t="n"/>
      <c r="E1161" s="219" t="n"/>
      <c r="F1161" s="220" t="n"/>
      <c r="G1161" s="221" t="n"/>
    </row>
    <row r="1162" ht="15" customHeight="1" s="131">
      <c r="A1162" s="220" t="n"/>
      <c r="B1162" s="222" t="n"/>
      <c r="C1162" s="220" t="n"/>
      <c r="D1162" s="179" t="n"/>
      <c r="E1162" s="219" t="n"/>
      <c r="F1162" s="220" t="n"/>
      <c r="G1162" s="221" t="n"/>
    </row>
    <row r="1163" ht="15" customHeight="1" s="131">
      <c r="A1163" s="220" t="n"/>
      <c r="B1163" s="222" t="n"/>
      <c r="C1163" s="220" t="n"/>
      <c r="D1163" s="179" t="n"/>
      <c r="E1163" s="219" t="n"/>
      <c r="F1163" s="220" t="n"/>
      <c r="G1163" s="221" t="n"/>
    </row>
    <row r="1164" ht="15" customHeight="1" s="131">
      <c r="A1164" s="220" t="n"/>
      <c r="B1164" s="222" t="n"/>
      <c r="C1164" s="220" t="n"/>
      <c r="D1164" s="179" t="n"/>
      <c r="E1164" s="219" t="n"/>
      <c r="F1164" s="220" t="n"/>
      <c r="G1164" s="221" t="n"/>
    </row>
    <row r="1165" ht="15" customHeight="1" s="131">
      <c r="A1165" s="220" t="n"/>
      <c r="B1165" s="222" t="n"/>
      <c r="C1165" s="220" t="n"/>
      <c r="D1165" s="179" t="n"/>
      <c r="E1165" s="219" t="n"/>
      <c r="F1165" s="220" t="n"/>
      <c r="G1165" s="221" t="n"/>
    </row>
    <row r="1166" ht="15" customHeight="1" s="131">
      <c r="A1166" s="220" t="n"/>
      <c r="B1166" s="222" t="n"/>
      <c r="C1166" s="220" t="n"/>
      <c r="D1166" s="179" t="n"/>
      <c r="E1166" s="219" t="n"/>
      <c r="F1166" s="220" t="n"/>
      <c r="G1166" s="221" t="n"/>
    </row>
    <row r="1167" ht="15" customHeight="1" s="131">
      <c r="A1167" s="220" t="n"/>
      <c r="B1167" s="222" t="n"/>
      <c r="C1167" s="220" t="n"/>
      <c r="D1167" s="179" t="n"/>
      <c r="E1167" s="219" t="n"/>
      <c r="F1167" s="220" t="n"/>
      <c r="G1167" s="221" t="n"/>
    </row>
    <row r="1168" ht="15" customHeight="1" s="131">
      <c r="A1168" s="220" t="n"/>
      <c r="B1168" s="222" t="n"/>
      <c r="C1168" s="220" t="n"/>
      <c r="D1168" s="179" t="n"/>
      <c r="E1168" s="219" t="n"/>
      <c r="F1168" s="220" t="n"/>
      <c r="G1168" s="221" t="n"/>
    </row>
    <row r="1169" ht="15" customHeight="1" s="131">
      <c r="A1169" s="220" t="n"/>
      <c r="B1169" s="222" t="n"/>
      <c r="C1169" s="220" t="n"/>
      <c r="D1169" s="179" t="n"/>
      <c r="E1169" s="219" t="n"/>
      <c r="F1169" s="220" t="n"/>
      <c r="G1169" s="221" t="n"/>
    </row>
    <row r="1170" ht="15" customHeight="1" s="131">
      <c r="A1170" s="220" t="n"/>
      <c r="B1170" s="222" t="n"/>
      <c r="C1170" s="220" t="n"/>
      <c r="D1170" s="179" t="n"/>
      <c r="E1170" s="219" t="n"/>
      <c r="F1170" s="220" t="n"/>
      <c r="G1170" s="221" t="n"/>
    </row>
    <row r="1171" ht="15" customHeight="1" s="131">
      <c r="A1171" s="220" t="n"/>
      <c r="B1171" s="222" t="n"/>
      <c r="C1171" s="220" t="n"/>
      <c r="D1171" s="179" t="n"/>
      <c r="E1171" s="219" t="n"/>
      <c r="F1171" s="220" t="n"/>
      <c r="G1171" s="221" t="n"/>
    </row>
    <row r="1172" ht="15" customHeight="1" s="131">
      <c r="A1172" s="220" t="n"/>
      <c r="B1172" s="222" t="n"/>
      <c r="C1172" s="220" t="n"/>
      <c r="D1172" s="179" t="n"/>
      <c r="E1172" s="219" t="n"/>
      <c r="F1172" s="220" t="n"/>
      <c r="G1172" s="221" t="n"/>
    </row>
    <row r="1173" ht="15" customHeight="1" s="131">
      <c r="A1173" s="220" t="n"/>
      <c r="B1173" s="222" t="n"/>
      <c r="C1173" s="220" t="n"/>
      <c r="D1173" s="179" t="n"/>
      <c r="E1173" s="219" t="n"/>
      <c r="F1173" s="220" t="n"/>
      <c r="G1173" s="221" t="n"/>
    </row>
    <row r="1174" ht="15" customHeight="1" s="131">
      <c r="A1174" s="220" t="n"/>
      <c r="B1174" s="222" t="n"/>
      <c r="C1174" s="220" t="n"/>
      <c r="D1174" s="179" t="n"/>
      <c r="E1174" s="219" t="n"/>
      <c r="F1174" s="220" t="n"/>
      <c r="G1174" s="221" t="n"/>
    </row>
    <row r="1175" ht="15" customHeight="1" s="131">
      <c r="A1175" s="220" t="n"/>
      <c r="B1175" s="222" t="n"/>
      <c r="C1175" s="220" t="n"/>
      <c r="D1175" s="179" t="n"/>
      <c r="E1175" s="219" t="n"/>
      <c r="F1175" s="220" t="n"/>
      <c r="G1175" s="221" t="n"/>
    </row>
    <row r="1176" ht="15" customHeight="1" s="131">
      <c r="A1176" s="220" t="n"/>
      <c r="B1176" s="222" t="n"/>
      <c r="C1176" s="220" t="n"/>
      <c r="D1176" s="179" t="n"/>
      <c r="E1176" s="219" t="n"/>
      <c r="F1176" s="220" t="n"/>
      <c r="G1176" s="221" t="n"/>
    </row>
    <row r="1177" ht="15" customHeight="1" s="131">
      <c r="A1177" s="220" t="n"/>
      <c r="B1177" s="222" t="n"/>
      <c r="C1177" s="220" t="n"/>
      <c r="D1177" s="179" t="n"/>
      <c r="E1177" s="219" t="n"/>
      <c r="F1177" s="220" t="n"/>
      <c r="G1177" s="221" t="n"/>
    </row>
    <row r="1178" ht="15" customHeight="1" s="131">
      <c r="A1178" s="220" t="n"/>
      <c r="B1178" s="222" t="n"/>
      <c r="C1178" s="220" t="n"/>
      <c r="D1178" s="179" t="n"/>
      <c r="E1178" s="219" t="n"/>
      <c r="F1178" s="220" t="n"/>
      <c r="G1178" s="221" t="n"/>
    </row>
    <row r="1179" ht="15" customHeight="1" s="131">
      <c r="A1179" s="220" t="n"/>
      <c r="B1179" s="222" t="n"/>
      <c r="C1179" s="220" t="n"/>
      <c r="D1179" s="179" t="n"/>
      <c r="E1179" s="219" t="n"/>
      <c r="F1179" s="220" t="n"/>
      <c r="G1179" s="221" t="n"/>
    </row>
    <row r="1180" ht="15" customHeight="1" s="131">
      <c r="A1180" s="220" t="n"/>
      <c r="B1180" s="222" t="n"/>
      <c r="C1180" s="220" t="n"/>
      <c r="D1180" s="179" t="n"/>
      <c r="E1180" s="219" t="n"/>
      <c r="F1180" s="220" t="n"/>
      <c r="G1180" s="221" t="n"/>
    </row>
    <row r="1181" ht="15" customHeight="1" s="131">
      <c r="A1181" s="220" t="n"/>
      <c r="B1181" s="222" t="n"/>
      <c r="C1181" s="220" t="n"/>
      <c r="D1181" s="179" t="n"/>
      <c r="E1181" s="219" t="n"/>
      <c r="F1181" s="220" t="n"/>
      <c r="G1181" s="221" t="n"/>
    </row>
    <row r="1182" ht="15" customHeight="1" s="131">
      <c r="A1182" s="220" t="n"/>
      <c r="B1182" s="222" t="n"/>
      <c r="C1182" s="220" t="n"/>
      <c r="D1182" s="179" t="n"/>
      <c r="E1182" s="219" t="n"/>
      <c r="F1182" s="220" t="n"/>
      <c r="G1182" s="221" t="n"/>
    </row>
    <row r="1183" ht="15" customHeight="1" s="131">
      <c r="A1183" s="220" t="n"/>
      <c r="B1183" s="222" t="n"/>
      <c r="C1183" s="220" t="n"/>
      <c r="D1183" s="179" t="n"/>
      <c r="E1183" s="219" t="n"/>
      <c r="F1183" s="220" t="n"/>
      <c r="G1183" s="221" t="n"/>
    </row>
    <row r="1184" ht="15" customHeight="1" s="131">
      <c r="A1184" s="220" t="n"/>
      <c r="B1184" s="222" t="n"/>
      <c r="C1184" s="220" t="n"/>
      <c r="D1184" s="179" t="n"/>
      <c r="E1184" s="219" t="n"/>
      <c r="F1184" s="220" t="n"/>
      <c r="G1184" s="221" t="n"/>
    </row>
    <row r="1185" ht="15" customHeight="1" s="131">
      <c r="A1185" s="220" t="n"/>
      <c r="B1185" s="222" t="n"/>
      <c r="C1185" s="220" t="n"/>
      <c r="D1185" s="179" t="n"/>
      <c r="E1185" s="219" t="n"/>
      <c r="F1185" s="220" t="n"/>
      <c r="G1185" s="221" t="n"/>
    </row>
    <row r="1186" ht="15" customHeight="1" s="131">
      <c r="A1186" s="220" t="n"/>
      <c r="B1186" s="222" t="n"/>
      <c r="C1186" s="220" t="n"/>
      <c r="D1186" s="179" t="n"/>
      <c r="E1186" s="219" t="n"/>
      <c r="F1186" s="220" t="n"/>
      <c r="G1186" s="221" t="n"/>
    </row>
    <row r="1187" ht="15" customHeight="1" s="131">
      <c r="A1187" s="220" t="n"/>
      <c r="B1187" s="222" t="n"/>
      <c r="C1187" s="220" t="n"/>
      <c r="D1187" s="179" t="n"/>
      <c r="E1187" s="219" t="n"/>
      <c r="F1187" s="220" t="n"/>
      <c r="G1187" s="221" t="n"/>
    </row>
    <row r="1188" ht="15" customHeight="1" s="131">
      <c r="A1188" s="220" t="n"/>
      <c r="B1188" s="222" t="n"/>
      <c r="C1188" s="220" t="n"/>
      <c r="D1188" s="179" t="n"/>
      <c r="E1188" s="219" t="n"/>
      <c r="F1188" s="220" t="n"/>
      <c r="G1188" s="221" t="n"/>
    </row>
    <row r="1189" ht="15" customHeight="1" s="131">
      <c r="A1189" s="220" t="n"/>
      <c r="B1189" s="222" t="n"/>
      <c r="C1189" s="220" t="n"/>
      <c r="D1189" s="179" t="n"/>
      <c r="E1189" s="219" t="n"/>
      <c r="F1189" s="220" t="n"/>
      <c r="G1189" s="221" t="n"/>
    </row>
    <row r="1190" ht="15" customHeight="1" s="131">
      <c r="A1190" s="220" t="n"/>
      <c r="B1190" s="222" t="n"/>
      <c r="C1190" s="220" t="n"/>
      <c r="D1190" s="179" t="n"/>
      <c r="E1190" s="219" t="n"/>
      <c r="F1190" s="220" t="n"/>
      <c r="G1190" s="221" t="n"/>
    </row>
    <row r="1191" ht="15" customHeight="1" s="131">
      <c r="A1191" s="220" t="n"/>
      <c r="B1191" s="222" t="n"/>
      <c r="C1191" s="220" t="n"/>
      <c r="D1191" s="179" t="n"/>
      <c r="E1191" s="219" t="n"/>
      <c r="F1191" s="220" t="n"/>
      <c r="G1191" s="221" t="n"/>
    </row>
    <row r="1192" ht="15" customHeight="1" s="131">
      <c r="A1192" s="220" t="n"/>
      <c r="B1192" s="222" t="n"/>
      <c r="C1192" s="220" t="n"/>
      <c r="D1192" s="179" t="n"/>
      <c r="E1192" s="219" t="n"/>
      <c r="F1192" s="220" t="n"/>
      <c r="G1192" s="221" t="n"/>
    </row>
    <row r="1193" ht="15" customHeight="1" s="131">
      <c r="A1193" s="220" t="n"/>
      <c r="B1193" s="222" t="n"/>
      <c r="C1193" s="220" t="n"/>
      <c r="D1193" s="179" t="n"/>
      <c r="E1193" s="219" t="n"/>
      <c r="F1193" s="220" t="n"/>
      <c r="G1193" s="221" t="n"/>
    </row>
    <row r="1194" ht="15" customHeight="1" s="131">
      <c r="A1194" s="220" t="n"/>
      <c r="B1194" s="222" t="n"/>
      <c r="C1194" s="220" t="n"/>
      <c r="D1194" s="179" t="n"/>
      <c r="E1194" s="219" t="n"/>
      <c r="F1194" s="220" t="n"/>
      <c r="G1194" s="221" t="n"/>
    </row>
    <row r="1195" ht="15" customHeight="1" s="131">
      <c r="A1195" s="220" t="n"/>
      <c r="B1195" s="222" t="n"/>
      <c r="C1195" s="220" t="n"/>
      <c r="D1195" s="179" t="n"/>
      <c r="E1195" s="219" t="n"/>
      <c r="F1195" s="220" t="n"/>
      <c r="G1195" s="221" t="n"/>
    </row>
    <row r="1196" ht="15" customHeight="1" s="131">
      <c r="A1196" s="220" t="n"/>
      <c r="B1196" s="222" t="n"/>
      <c r="C1196" s="220" t="n"/>
      <c r="D1196" s="179" t="n"/>
      <c r="E1196" s="219" t="n"/>
      <c r="F1196" s="220" t="n"/>
      <c r="G1196" s="221" t="n"/>
    </row>
    <row r="1197" ht="15" customHeight="1" s="131">
      <c r="A1197" s="220" t="n"/>
      <c r="B1197" s="222" t="n"/>
      <c r="C1197" s="220" t="n"/>
      <c r="D1197" s="179" t="n"/>
      <c r="E1197" s="219" t="n"/>
      <c r="F1197" s="220" t="n"/>
      <c r="G1197" s="221" t="n"/>
    </row>
    <row r="1198" ht="15" customHeight="1" s="131">
      <c r="A1198" s="220" t="n"/>
      <c r="B1198" s="222" t="n"/>
      <c r="C1198" s="220" t="n"/>
      <c r="D1198" s="179" t="n"/>
      <c r="E1198" s="219" t="n"/>
      <c r="F1198" s="220" t="n"/>
      <c r="G1198" s="221" t="n"/>
    </row>
    <row r="1199" ht="15" customHeight="1" s="131">
      <c r="A1199" s="220" t="n"/>
      <c r="B1199" s="222" t="n"/>
      <c r="C1199" s="220" t="n"/>
      <c r="D1199" s="179" t="n"/>
      <c r="E1199" s="219" t="n"/>
      <c r="F1199" s="220" t="n"/>
      <c r="G1199" s="221" t="n"/>
    </row>
    <row r="1200" ht="15" customHeight="1" s="131">
      <c r="A1200" s="220" t="n"/>
      <c r="B1200" s="222" t="n"/>
      <c r="C1200" s="220" t="n"/>
      <c r="D1200" s="179" t="n"/>
      <c r="E1200" s="219" t="n"/>
      <c r="F1200" s="220" t="n"/>
      <c r="G1200" s="221" t="n"/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tabColor rgb="FFC6E0B4"/>
    <outlinePr summaryBelow="1" summaryRight="1"/>
    <pageSetUpPr fitToPage="0"/>
  </sheetPr>
  <dimension ref="A1:G1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ColWidth="8.6796875" defaultRowHeight="15" customHeight="1" zeroHeight="0" outlineLevelRow="0"/>
  <cols>
    <col width="14" customWidth="1" style="130" min="1" max="1"/>
    <col width="22" customWidth="1" style="130" min="2" max="2"/>
    <col width="34" customWidth="1" style="130" min="3" max="3"/>
    <col width="20" customWidth="1" style="130" min="4" max="4"/>
    <col width="18" customWidth="1" style="130" min="5" max="5"/>
    <col width="48" customWidth="1" style="130" min="6" max="6"/>
    <col width="18" customWidth="1" style="130" min="7" max="7"/>
  </cols>
  <sheetData>
    <row r="1" ht="24" customHeight="1" s="131">
      <c r="A1" s="132" t="inlineStr">
        <is>
          <t>BASE ACADÊMICA — ALUNOS ATIVOS</t>
        </is>
      </c>
    </row>
    <row r="2" ht="30" customHeight="1" s="131">
      <c r="A2" s="133" t="inlineStr">
        <is>
          <t>População consumida automaticamente pela DADM. Bases temporárias permanecem identificadas até a diretoria acadêmica responsável entrar no sistema.</t>
        </is>
      </c>
    </row>
    <row r="3"/>
    <row r="4" ht="30" customHeight="1" s="131">
      <c r="A4" s="199" t="inlineStr">
        <is>
          <t>Período</t>
        </is>
      </c>
      <c r="B4" s="199" t="inlineStr">
        <is>
          <t>Diretoria Acadêmica</t>
        </is>
      </c>
      <c r="C4" s="199" t="inlineStr">
        <is>
          <t>Curso</t>
        </is>
      </c>
      <c r="D4" s="199" t="inlineStr">
        <is>
          <t>Modalidade</t>
        </is>
      </c>
      <c r="E4" s="199" t="inlineStr">
        <is>
          <t>Alunos Ativos</t>
        </is>
      </c>
      <c r="F4" s="199" t="inlineStr">
        <is>
          <t>Origem</t>
        </is>
      </c>
      <c r="G4" s="199" t="inlineStr">
        <is>
          <t>Base Temporária</t>
        </is>
      </c>
    </row>
    <row r="5" ht="15" customHeight="1" s="131">
      <c r="A5" s="164" t="n"/>
      <c r="B5" s="218" t="n"/>
      <c r="C5" s="164" t="n"/>
      <c r="D5" s="179" t="n"/>
      <c r="E5" s="219" t="n"/>
      <c r="F5" s="220" t="n"/>
      <c r="G5" s="221" t="n"/>
    </row>
    <row r="6" ht="15" customHeight="1" s="131">
      <c r="A6" s="164" t="n"/>
      <c r="B6" s="218" t="n"/>
      <c r="C6" s="164" t="n"/>
      <c r="D6" s="179" t="n"/>
      <c r="E6" s="219" t="n"/>
      <c r="F6" s="220" t="n"/>
      <c r="G6" s="221" t="n"/>
    </row>
    <row r="7" ht="15" customHeight="1" s="131">
      <c r="A7" s="164" t="n"/>
      <c r="B7" s="218" t="n"/>
      <c r="C7" s="164" t="n"/>
      <c r="D7" s="179" t="n"/>
      <c r="E7" s="219" t="n"/>
      <c r="F7" s="220" t="n"/>
      <c r="G7" s="221" t="n"/>
    </row>
    <row r="8" ht="15" customHeight="1" s="131">
      <c r="A8" s="164" t="n"/>
      <c r="B8" s="218" t="n"/>
      <c r="C8" s="164" t="n"/>
      <c r="D8" s="179" t="n"/>
      <c r="E8" s="219" t="n"/>
      <c r="F8" s="220" t="n"/>
      <c r="G8" s="221" t="n"/>
    </row>
    <row r="9" ht="15" customHeight="1" s="131">
      <c r="A9" s="164" t="n"/>
      <c r="B9" s="218" t="n"/>
      <c r="C9" s="164" t="n"/>
      <c r="D9" s="179" t="n"/>
      <c r="E9" s="219" t="n"/>
      <c r="F9" s="220" t="n"/>
      <c r="G9" s="221" t="n"/>
    </row>
    <row r="10" ht="15" customHeight="1" s="131">
      <c r="A10" s="164" t="n"/>
      <c r="B10" s="218" t="n"/>
      <c r="C10" s="164" t="n"/>
      <c r="D10" s="179" t="n"/>
      <c r="E10" s="219" t="n"/>
      <c r="F10" s="220" t="n"/>
      <c r="G10" s="221" t="n"/>
    </row>
    <row r="11" ht="15" customHeight="1" s="131">
      <c r="A11" s="164" t="n"/>
      <c r="B11" s="218" t="n"/>
      <c r="C11" s="164" t="n"/>
      <c r="D11" s="179" t="n"/>
      <c r="E11" s="219" t="n"/>
      <c r="F11" s="220" t="n"/>
      <c r="G11" s="221" t="n"/>
    </row>
    <row r="12" ht="15" customHeight="1" s="131">
      <c r="A12" s="164" t="n"/>
      <c r="B12" s="218" t="n"/>
      <c r="C12" s="164" t="n"/>
      <c r="D12" s="179" t="n"/>
      <c r="E12" s="219" t="n"/>
      <c r="F12" s="220" t="n"/>
      <c r="G12" s="221" t="n"/>
    </row>
    <row r="13" ht="15" customHeight="1" s="131">
      <c r="A13" s="164" t="n"/>
      <c r="B13" s="218" t="n"/>
      <c r="C13" s="164" t="n"/>
      <c r="D13" s="179" t="n"/>
      <c r="E13" s="219" t="n"/>
      <c r="F13" s="220" t="n"/>
      <c r="G13" s="221" t="n"/>
    </row>
    <row r="14" ht="15" customHeight="1" s="131">
      <c r="A14" s="164" t="n"/>
      <c r="B14" s="218" t="n"/>
      <c r="C14" s="164" t="n"/>
      <c r="D14" s="179" t="n"/>
      <c r="E14" s="219" t="n"/>
      <c r="F14" s="220" t="n"/>
      <c r="G14" s="221" t="n"/>
    </row>
    <row r="15" ht="15" customHeight="1" s="131">
      <c r="A15" s="164" t="n"/>
      <c r="B15" s="218" t="n"/>
      <c r="C15" s="164" t="n"/>
      <c r="D15" s="179" t="n"/>
      <c r="E15" s="219" t="n"/>
      <c r="F15" s="220" t="n"/>
      <c r="G15" s="221" t="n"/>
    </row>
    <row r="16" ht="15" customHeight="1" s="131">
      <c r="A16" s="164" t="n"/>
      <c r="B16" s="218" t="n"/>
      <c r="C16" s="164" t="n"/>
      <c r="D16" s="179" t="n"/>
      <c r="E16" s="219" t="n"/>
      <c r="F16" s="220" t="n"/>
      <c r="G16" s="221" t="n"/>
    </row>
    <row r="17" ht="15" customHeight="1" s="131">
      <c r="A17" s="164" t="n"/>
      <c r="B17" s="218" t="n"/>
      <c r="C17" s="164" t="n"/>
      <c r="D17" s="179" t="n"/>
      <c r="E17" s="219" t="n"/>
      <c r="F17" s="220" t="n"/>
      <c r="G17" s="221" t="n"/>
    </row>
    <row r="18" ht="15" customHeight="1" s="131">
      <c r="A18" s="164" t="n"/>
      <c r="B18" s="218" t="n"/>
      <c r="C18" s="164" t="n"/>
      <c r="D18" s="179" t="n"/>
      <c r="E18" s="219" t="n"/>
      <c r="F18" s="220" t="n"/>
      <c r="G18" s="221" t="n"/>
    </row>
    <row r="19" ht="15" customHeight="1" s="131">
      <c r="A19" s="164" t="n"/>
      <c r="B19" s="218" t="n"/>
      <c r="C19" s="164" t="n"/>
      <c r="D19" s="179" t="n"/>
      <c r="E19" s="219" t="n"/>
      <c r="F19" s="220" t="n"/>
      <c r="G19" s="221" t="n"/>
    </row>
    <row r="20" ht="15" customHeight="1" s="131">
      <c r="A20" s="164" t="n"/>
      <c r="B20" s="218" t="n"/>
      <c r="C20" s="164" t="n"/>
      <c r="D20" s="179" t="n"/>
      <c r="E20" s="219" t="n"/>
      <c r="F20" s="220" t="n"/>
      <c r="G20" s="221" t="n"/>
    </row>
    <row r="21" ht="15" customHeight="1" s="131">
      <c r="A21" s="164" t="n"/>
      <c r="B21" s="218" t="n"/>
      <c r="C21" s="164" t="n"/>
      <c r="D21" s="179" t="n"/>
      <c r="E21" s="219" t="n"/>
      <c r="F21" s="220" t="n"/>
      <c r="G21" s="221" t="n"/>
    </row>
    <row r="22" ht="15" customHeight="1" s="131">
      <c r="A22" s="164" t="n"/>
      <c r="B22" s="218" t="n"/>
      <c r="C22" s="164" t="n"/>
      <c r="D22" s="179" t="n"/>
      <c r="E22" s="219" t="n"/>
      <c r="F22" s="220" t="n"/>
      <c r="G22" s="221" t="n"/>
    </row>
    <row r="23" ht="15" customHeight="1" s="131">
      <c r="A23" s="164" t="n"/>
      <c r="B23" s="218" t="n"/>
      <c r="C23" s="164" t="n"/>
      <c r="D23" s="179" t="n"/>
      <c r="E23" s="219" t="n"/>
      <c r="F23" s="220" t="n"/>
      <c r="G23" s="221" t="n"/>
    </row>
    <row r="24" ht="15" customHeight="1" s="131">
      <c r="A24" s="164" t="n"/>
      <c r="B24" s="218" t="n"/>
      <c r="C24" s="164" t="n"/>
      <c r="D24" s="179" t="n"/>
      <c r="E24" s="219" t="n"/>
      <c r="F24" s="220" t="n"/>
      <c r="G24" s="221" t="n"/>
    </row>
    <row r="25" ht="15" customHeight="1" s="131">
      <c r="A25" s="164" t="n"/>
      <c r="B25" s="218" t="n"/>
      <c r="C25" s="164" t="n"/>
      <c r="D25" s="179" t="n"/>
      <c r="E25" s="219" t="n"/>
      <c r="F25" s="220" t="n"/>
      <c r="G25" s="221" t="n"/>
    </row>
    <row r="26" ht="15" customHeight="1" s="131">
      <c r="A26" s="164" t="n"/>
      <c r="B26" s="218" t="n"/>
      <c r="C26" s="164" t="n"/>
      <c r="D26" s="179" t="n"/>
      <c r="E26" s="219" t="n"/>
      <c r="F26" s="220" t="n"/>
      <c r="G26" s="221" t="n"/>
    </row>
    <row r="27" ht="15" customHeight="1" s="131">
      <c r="A27" s="164" t="n"/>
      <c r="B27" s="218" t="n"/>
      <c r="C27" s="164" t="n"/>
      <c r="D27" s="179" t="n"/>
      <c r="E27" s="219" t="n"/>
      <c r="F27" s="220" t="n"/>
      <c r="G27" s="221" t="n"/>
    </row>
    <row r="28" ht="15" customHeight="1" s="131">
      <c r="A28" s="164" t="n"/>
      <c r="B28" s="218" t="n"/>
      <c r="C28" s="164" t="n"/>
      <c r="D28" s="179" t="n"/>
      <c r="E28" s="219" t="n"/>
      <c r="F28" s="220" t="n"/>
      <c r="G28" s="221" t="n"/>
    </row>
    <row r="29" ht="15" customHeight="1" s="131">
      <c r="A29" s="164" t="n"/>
      <c r="B29" s="218" t="n"/>
      <c r="C29" s="164" t="n"/>
      <c r="D29" s="179" t="n"/>
      <c r="E29" s="219" t="n"/>
      <c r="F29" s="220" t="n"/>
      <c r="G29" s="221" t="n"/>
    </row>
    <row r="30" ht="15" customHeight="1" s="131">
      <c r="A30" s="164" t="n"/>
      <c r="B30" s="218" t="n"/>
      <c r="C30" s="164" t="n"/>
      <c r="D30" s="179" t="n"/>
      <c r="E30" s="219" t="n"/>
      <c r="F30" s="220" t="n"/>
      <c r="G30" s="221" t="n"/>
    </row>
    <row r="31" ht="15" customHeight="1" s="131">
      <c r="A31" s="164" t="n"/>
      <c r="B31" s="218" t="n"/>
      <c r="C31" s="164" t="n"/>
      <c r="D31" s="179" t="n"/>
      <c r="E31" s="219" t="n"/>
      <c r="F31" s="220" t="n"/>
      <c r="G31" s="221" t="n"/>
    </row>
    <row r="32" ht="15" customHeight="1" s="131">
      <c r="A32" s="220" t="n"/>
      <c r="B32" s="222" t="n"/>
      <c r="C32" s="220" t="n"/>
      <c r="D32" s="179" t="n"/>
      <c r="E32" s="219" t="n"/>
      <c r="F32" s="220" t="n"/>
      <c r="G32" s="221" t="n"/>
    </row>
    <row r="33" ht="15" customHeight="1" s="131">
      <c r="A33" s="220" t="n"/>
      <c r="B33" s="222" t="n"/>
      <c r="C33" s="220" t="n"/>
      <c r="D33" s="179" t="n"/>
      <c r="E33" s="219" t="n"/>
      <c r="F33" s="220" t="n"/>
      <c r="G33" s="221" t="n"/>
    </row>
    <row r="34" ht="15" customHeight="1" s="131">
      <c r="A34" s="220" t="n"/>
      <c r="B34" s="222" t="n"/>
      <c r="C34" s="220" t="n"/>
      <c r="D34" s="179" t="n"/>
      <c r="E34" s="219" t="n"/>
      <c r="F34" s="220" t="n"/>
      <c r="G34" s="221" t="n"/>
    </row>
    <row r="35" ht="15" customHeight="1" s="131">
      <c r="A35" s="220" t="n"/>
      <c r="B35" s="222" t="n"/>
      <c r="C35" s="220" t="n"/>
      <c r="D35" s="179" t="n"/>
      <c r="E35" s="219" t="n"/>
      <c r="F35" s="220" t="n"/>
      <c r="G35" s="221" t="n"/>
    </row>
    <row r="36" ht="15" customHeight="1" s="131">
      <c r="A36" s="220" t="n"/>
      <c r="B36" s="222" t="n"/>
      <c r="C36" s="220" t="n"/>
      <c r="D36" s="179" t="n"/>
      <c r="E36" s="219" t="n"/>
      <c r="F36" s="220" t="n"/>
      <c r="G36" s="221" t="n"/>
    </row>
    <row r="37" ht="15" customHeight="1" s="131">
      <c r="A37" s="220" t="n"/>
      <c r="B37" s="222" t="n"/>
      <c r="C37" s="220" t="n"/>
      <c r="D37" s="179" t="n"/>
      <c r="E37" s="219" t="n"/>
      <c r="F37" s="220" t="n"/>
      <c r="G37" s="221" t="n"/>
    </row>
    <row r="38" ht="15" customHeight="1" s="131">
      <c r="A38" s="220" t="n"/>
      <c r="B38" s="222" t="n"/>
      <c r="C38" s="220" t="n"/>
      <c r="D38" s="179" t="n"/>
      <c r="E38" s="219" t="n"/>
      <c r="F38" s="220" t="n"/>
      <c r="G38" s="221" t="n"/>
    </row>
    <row r="39" ht="15" customHeight="1" s="131">
      <c r="A39" s="220" t="n"/>
      <c r="B39" s="222" t="n"/>
      <c r="C39" s="220" t="n"/>
      <c r="D39" s="179" t="n"/>
      <c r="E39" s="219" t="n"/>
      <c r="F39" s="220" t="n"/>
      <c r="G39" s="221" t="n"/>
    </row>
    <row r="40" ht="15" customHeight="1" s="131">
      <c r="A40" s="220" t="n"/>
      <c r="B40" s="222" t="n"/>
      <c r="C40" s="220" t="n"/>
      <c r="D40" s="179" t="n"/>
      <c r="E40" s="219" t="n"/>
      <c r="F40" s="220" t="n"/>
      <c r="G40" s="221" t="n"/>
    </row>
    <row r="41" ht="15" customHeight="1" s="131">
      <c r="A41" s="220" t="n"/>
      <c r="B41" s="222" t="n"/>
      <c r="C41" s="220" t="n"/>
      <c r="D41" s="179" t="n"/>
      <c r="E41" s="219" t="n"/>
      <c r="F41" s="220" t="n"/>
      <c r="G41" s="221" t="n"/>
    </row>
    <row r="42" ht="15" customHeight="1" s="131">
      <c r="A42" s="220" t="n"/>
      <c r="B42" s="222" t="n"/>
      <c r="C42" s="220" t="n"/>
      <c r="D42" s="179" t="n"/>
      <c r="E42" s="219" t="n"/>
      <c r="F42" s="220" t="n"/>
      <c r="G42" s="221" t="n"/>
    </row>
    <row r="43" ht="15" customHeight="1" s="131">
      <c r="A43" s="220" t="n"/>
      <c r="B43" s="222" t="n"/>
      <c r="C43" s="220" t="n"/>
      <c r="D43" s="179" t="n"/>
      <c r="E43" s="219" t="n"/>
      <c r="F43" s="220" t="n"/>
      <c r="G43" s="221" t="n"/>
    </row>
    <row r="44" ht="15" customHeight="1" s="131">
      <c r="A44" s="220" t="n"/>
      <c r="B44" s="222" t="n"/>
      <c r="C44" s="220" t="n"/>
      <c r="D44" s="179" t="n"/>
      <c r="E44" s="219" t="n"/>
      <c r="F44" s="220" t="n"/>
      <c r="G44" s="221" t="n"/>
    </row>
    <row r="45" ht="15" customHeight="1" s="131">
      <c r="A45" s="220" t="n"/>
      <c r="B45" s="222" t="n"/>
      <c r="C45" s="220" t="n"/>
      <c r="D45" s="179" t="n"/>
      <c r="E45" s="219" t="n"/>
      <c r="F45" s="220" t="n"/>
      <c r="G45" s="221" t="n"/>
    </row>
    <row r="46" ht="15" customHeight="1" s="131">
      <c r="A46" s="220" t="n"/>
      <c r="B46" s="222" t="n"/>
      <c r="C46" s="220" t="n"/>
      <c r="D46" s="179" t="n"/>
      <c r="E46" s="219" t="n"/>
      <c r="F46" s="220" t="n"/>
      <c r="G46" s="221" t="n"/>
    </row>
    <row r="47" ht="15" customHeight="1" s="131">
      <c r="A47" s="220" t="n"/>
      <c r="B47" s="222" t="n"/>
      <c r="C47" s="220" t="n"/>
      <c r="D47" s="179" t="n"/>
      <c r="E47" s="219" t="n"/>
      <c r="F47" s="220" t="n"/>
      <c r="G47" s="221" t="n"/>
    </row>
    <row r="48" ht="15" customHeight="1" s="131">
      <c r="A48" s="220" t="n"/>
      <c r="B48" s="222" t="n"/>
      <c r="C48" s="220" t="n"/>
      <c r="D48" s="179" t="n"/>
      <c r="E48" s="219" t="n"/>
      <c r="F48" s="220" t="n"/>
      <c r="G48" s="221" t="n"/>
    </row>
    <row r="49" ht="15" customHeight="1" s="131">
      <c r="A49" s="220" t="n"/>
      <c r="B49" s="222" t="n"/>
      <c r="C49" s="220" t="n"/>
      <c r="D49" s="179" t="n"/>
      <c r="E49" s="219" t="n"/>
      <c r="F49" s="220" t="n"/>
      <c r="G49" s="221" t="n"/>
    </row>
    <row r="50" ht="15" customHeight="1" s="131">
      <c r="A50" s="220" t="n"/>
      <c r="B50" s="222" t="n"/>
      <c r="C50" s="220" t="n"/>
      <c r="D50" s="179" t="n"/>
      <c r="E50" s="219" t="n"/>
      <c r="F50" s="220" t="n"/>
      <c r="G50" s="221" t="n"/>
    </row>
    <row r="51" ht="15" customHeight="1" s="131">
      <c r="A51" s="220" t="n"/>
      <c r="B51" s="222" t="n"/>
      <c r="C51" s="220" t="n"/>
      <c r="D51" s="179" t="n"/>
      <c r="E51" s="219" t="n"/>
      <c r="F51" s="220" t="n"/>
      <c r="G51" s="221" t="n"/>
    </row>
    <row r="52" ht="15" customHeight="1" s="131">
      <c r="A52" s="220" t="n"/>
      <c r="B52" s="222" t="n"/>
      <c r="C52" s="220" t="n"/>
      <c r="D52" s="179" t="n"/>
      <c r="E52" s="219" t="n"/>
      <c r="F52" s="220" t="n"/>
      <c r="G52" s="221" t="n"/>
    </row>
    <row r="53" ht="15" customHeight="1" s="131">
      <c r="A53" s="220" t="n"/>
      <c r="B53" s="222" t="n"/>
      <c r="C53" s="220" t="n"/>
      <c r="D53" s="179" t="n"/>
      <c r="E53" s="219" t="n"/>
      <c r="F53" s="220" t="n"/>
      <c r="G53" s="221" t="n"/>
    </row>
    <row r="54" ht="15" customHeight="1" s="131">
      <c r="A54" s="220" t="n"/>
      <c r="B54" s="222" t="n"/>
      <c r="C54" s="220" t="n"/>
      <c r="D54" s="179" t="n"/>
      <c r="E54" s="219" t="n"/>
      <c r="F54" s="220" t="n"/>
      <c r="G54" s="221" t="n"/>
    </row>
    <row r="55" ht="15" customHeight="1" s="131">
      <c r="A55" s="220" t="n"/>
      <c r="B55" s="222" t="n"/>
      <c r="C55" s="220" t="n"/>
      <c r="D55" s="179" t="n"/>
      <c r="E55" s="219" t="n"/>
      <c r="F55" s="220" t="n"/>
      <c r="G55" s="221" t="n"/>
    </row>
    <row r="56" ht="15" customHeight="1" s="131">
      <c r="A56" s="220" t="n"/>
      <c r="B56" s="222" t="n"/>
      <c r="C56" s="220" t="n"/>
      <c r="D56" s="179" t="n"/>
      <c r="E56" s="219" t="n"/>
      <c r="F56" s="220" t="n"/>
      <c r="G56" s="221" t="n"/>
    </row>
    <row r="57" ht="15" customHeight="1" s="131">
      <c r="A57" s="220" t="n"/>
      <c r="B57" s="222" t="n"/>
      <c r="C57" s="220" t="n"/>
      <c r="D57" s="179" t="n"/>
      <c r="E57" s="219" t="n"/>
      <c r="F57" s="220" t="n"/>
      <c r="G57" s="221" t="n"/>
    </row>
    <row r="58" ht="15" customHeight="1" s="131">
      <c r="A58" s="220" t="n"/>
      <c r="B58" s="222" t="n"/>
      <c r="C58" s="220" t="n"/>
      <c r="D58" s="179" t="n"/>
      <c r="E58" s="219" t="n"/>
      <c r="F58" s="220" t="n"/>
      <c r="G58" s="221" t="n"/>
    </row>
    <row r="59" ht="15" customHeight="1" s="131">
      <c r="A59" s="220" t="n"/>
      <c r="B59" s="222" t="n"/>
      <c r="C59" s="220" t="n"/>
      <c r="D59" s="179" t="n"/>
      <c r="E59" s="219" t="n"/>
      <c r="F59" s="220" t="n"/>
      <c r="G59" s="221" t="n"/>
    </row>
    <row r="60" ht="15" customHeight="1" s="131">
      <c r="A60" s="220" t="n"/>
      <c r="B60" s="222" t="n"/>
      <c r="C60" s="220" t="n"/>
      <c r="D60" s="179" t="n"/>
      <c r="E60" s="219" t="n"/>
      <c r="F60" s="220" t="n"/>
      <c r="G60" s="221" t="n"/>
    </row>
    <row r="61" ht="15" customHeight="1" s="131">
      <c r="A61" s="220" t="n"/>
      <c r="B61" s="222" t="n"/>
      <c r="C61" s="220" t="n"/>
      <c r="D61" s="179" t="n"/>
      <c r="E61" s="219" t="n"/>
      <c r="F61" s="220" t="n"/>
      <c r="G61" s="221" t="n"/>
    </row>
    <row r="62" ht="15" customHeight="1" s="131">
      <c r="A62" s="220" t="n"/>
      <c r="B62" s="222" t="n"/>
      <c r="C62" s="220" t="n"/>
      <c r="D62" s="179" t="n"/>
      <c r="E62" s="219" t="n"/>
      <c r="F62" s="220" t="n"/>
      <c r="G62" s="221" t="n"/>
    </row>
    <row r="63" ht="15" customHeight="1" s="131">
      <c r="A63" s="220" t="n"/>
      <c r="B63" s="222" t="n"/>
      <c r="C63" s="220" t="n"/>
      <c r="D63" s="179" t="n"/>
      <c r="E63" s="219" t="n"/>
      <c r="F63" s="220" t="n"/>
      <c r="G63" s="221" t="n"/>
    </row>
    <row r="64" ht="15" customHeight="1" s="131">
      <c r="A64" s="220" t="n"/>
      <c r="B64" s="222" t="n"/>
      <c r="C64" s="220" t="n"/>
      <c r="D64" s="179" t="n"/>
      <c r="E64" s="219" t="n"/>
      <c r="F64" s="220" t="n"/>
      <c r="G64" s="221" t="n"/>
    </row>
    <row r="65" ht="15" customHeight="1" s="131">
      <c r="A65" s="220" t="n"/>
      <c r="B65" s="222" t="n"/>
      <c r="C65" s="220" t="n"/>
      <c r="D65" s="179" t="n"/>
      <c r="E65" s="219" t="n"/>
      <c r="F65" s="220" t="n"/>
      <c r="G65" s="221" t="n"/>
    </row>
    <row r="66" ht="15" customHeight="1" s="131">
      <c r="A66" s="220" t="n"/>
      <c r="B66" s="222" t="n"/>
      <c r="C66" s="220" t="n"/>
      <c r="D66" s="179" t="n"/>
      <c r="E66" s="219" t="n"/>
      <c r="F66" s="220" t="n"/>
      <c r="G66" s="221" t="n"/>
    </row>
    <row r="67" ht="15" customHeight="1" s="131">
      <c r="A67" s="220" t="n"/>
      <c r="B67" s="222" t="n"/>
      <c r="C67" s="220" t="n"/>
      <c r="D67" s="179" t="n"/>
      <c r="E67" s="219" t="n"/>
      <c r="F67" s="220" t="n"/>
      <c r="G67" s="221" t="n"/>
    </row>
    <row r="68" ht="15" customHeight="1" s="131">
      <c r="A68" s="220" t="n"/>
      <c r="B68" s="222" t="n"/>
      <c r="C68" s="220" t="n"/>
      <c r="D68" s="179" t="n"/>
      <c r="E68" s="219" t="n"/>
      <c r="F68" s="220" t="n"/>
      <c r="G68" s="221" t="n"/>
    </row>
    <row r="69" ht="15" customHeight="1" s="131">
      <c r="A69" s="220" t="n"/>
      <c r="B69" s="222" t="n"/>
      <c r="C69" s="220" t="n"/>
      <c r="D69" s="179" t="n"/>
      <c r="E69" s="219" t="n"/>
      <c r="F69" s="220" t="n"/>
      <c r="G69" s="221" t="n"/>
    </row>
    <row r="70" ht="15" customHeight="1" s="131">
      <c r="A70" s="220" t="n"/>
      <c r="B70" s="222" t="n"/>
      <c r="C70" s="220" t="n"/>
      <c r="D70" s="179" t="n"/>
      <c r="E70" s="219" t="n"/>
      <c r="F70" s="220" t="n"/>
      <c r="G70" s="221" t="n"/>
    </row>
    <row r="71" ht="15" customHeight="1" s="131">
      <c r="A71" s="220" t="n"/>
      <c r="B71" s="222" t="n"/>
      <c r="C71" s="220" t="n"/>
      <c r="D71" s="179" t="n"/>
      <c r="E71" s="219" t="n"/>
      <c r="F71" s="220" t="n"/>
      <c r="G71" s="221" t="n"/>
    </row>
    <row r="72" ht="15" customHeight="1" s="131">
      <c r="A72" s="220" t="n"/>
      <c r="B72" s="222" t="n"/>
      <c r="C72" s="220" t="n"/>
      <c r="D72" s="179" t="n"/>
      <c r="E72" s="219" t="n"/>
      <c r="F72" s="220" t="n"/>
      <c r="G72" s="221" t="n"/>
    </row>
    <row r="73" ht="15" customHeight="1" s="131">
      <c r="A73" s="220" t="n"/>
      <c r="B73" s="222" t="n"/>
      <c r="C73" s="220" t="n"/>
      <c r="D73" s="179" t="n"/>
      <c r="E73" s="219" t="n"/>
      <c r="F73" s="220" t="n"/>
      <c r="G73" s="221" t="n"/>
    </row>
    <row r="74" ht="15" customHeight="1" s="131">
      <c r="A74" s="220" t="n"/>
      <c r="B74" s="222" t="n"/>
      <c r="C74" s="220" t="n"/>
      <c r="D74" s="179" t="n"/>
      <c r="E74" s="219" t="n"/>
      <c r="F74" s="220" t="n"/>
      <c r="G74" s="221" t="n"/>
    </row>
    <row r="75" ht="15" customHeight="1" s="131">
      <c r="A75" s="220" t="n"/>
      <c r="B75" s="222" t="n"/>
      <c r="C75" s="220" t="n"/>
      <c r="D75" s="179" t="n"/>
      <c r="E75" s="219" t="n"/>
      <c r="F75" s="220" t="n"/>
      <c r="G75" s="221" t="n"/>
    </row>
    <row r="76" ht="15" customHeight="1" s="131">
      <c r="A76" s="220" t="n"/>
      <c r="B76" s="222" t="n"/>
      <c r="C76" s="220" t="n"/>
      <c r="D76" s="179" t="n"/>
      <c r="E76" s="219" t="n"/>
      <c r="F76" s="220" t="n"/>
      <c r="G76" s="221" t="n"/>
    </row>
    <row r="77" ht="15" customHeight="1" s="131">
      <c r="A77" s="220" t="n"/>
      <c r="B77" s="222" t="n"/>
      <c r="C77" s="220" t="n"/>
      <c r="D77" s="179" t="n"/>
      <c r="E77" s="219" t="n"/>
      <c r="F77" s="220" t="n"/>
      <c r="G77" s="221" t="n"/>
    </row>
    <row r="78" ht="15" customHeight="1" s="131">
      <c r="A78" s="220" t="n"/>
      <c r="B78" s="222" t="n"/>
      <c r="C78" s="220" t="n"/>
      <c r="D78" s="179" t="n"/>
      <c r="E78" s="219" t="n"/>
      <c r="F78" s="220" t="n"/>
      <c r="G78" s="221" t="n"/>
    </row>
    <row r="79" ht="15" customHeight="1" s="131">
      <c r="A79" s="220" t="n"/>
      <c r="B79" s="222" t="n"/>
      <c r="C79" s="220" t="n"/>
      <c r="D79" s="179" t="n"/>
      <c r="E79" s="219" t="n"/>
      <c r="F79" s="220" t="n"/>
      <c r="G79" s="221" t="n"/>
    </row>
    <row r="80" ht="15" customHeight="1" s="131">
      <c r="A80" s="220" t="n"/>
      <c r="B80" s="222" t="n"/>
      <c r="C80" s="220" t="n"/>
      <c r="D80" s="179" t="n"/>
      <c r="E80" s="219" t="n"/>
      <c r="F80" s="220" t="n"/>
      <c r="G80" s="221" t="n"/>
    </row>
    <row r="81" ht="15" customHeight="1" s="131">
      <c r="A81" s="220" t="n"/>
      <c r="B81" s="222" t="n"/>
      <c r="C81" s="220" t="n"/>
      <c r="D81" s="179" t="n"/>
      <c r="E81" s="219" t="n"/>
      <c r="F81" s="220" t="n"/>
      <c r="G81" s="221" t="n"/>
    </row>
    <row r="82" ht="15" customHeight="1" s="131">
      <c r="A82" s="220" t="n"/>
      <c r="B82" s="222" t="n"/>
      <c r="C82" s="220" t="n"/>
      <c r="D82" s="179" t="n"/>
      <c r="E82" s="219" t="n"/>
      <c r="F82" s="220" t="n"/>
      <c r="G82" s="221" t="n"/>
    </row>
    <row r="83" ht="15" customHeight="1" s="131">
      <c r="A83" s="220" t="n"/>
      <c r="B83" s="222" t="n"/>
      <c r="C83" s="220" t="n"/>
      <c r="D83" s="179" t="n"/>
      <c r="E83" s="219" t="n"/>
      <c r="F83" s="220" t="n"/>
      <c r="G83" s="221" t="n"/>
    </row>
    <row r="84" ht="15" customHeight="1" s="131">
      <c r="A84" s="220" t="n"/>
      <c r="B84" s="222" t="n"/>
      <c r="C84" s="220" t="n"/>
      <c r="D84" s="179" t="n"/>
      <c r="E84" s="219" t="n"/>
      <c r="F84" s="220" t="n"/>
      <c r="G84" s="221" t="n"/>
    </row>
    <row r="85" ht="15" customHeight="1" s="131">
      <c r="A85" s="220" t="n"/>
      <c r="B85" s="222" t="n"/>
      <c r="C85" s="220" t="n"/>
      <c r="D85" s="179" t="n"/>
      <c r="E85" s="219" t="n"/>
      <c r="F85" s="220" t="n"/>
      <c r="G85" s="221" t="n"/>
    </row>
    <row r="86" ht="15" customHeight="1" s="131">
      <c r="A86" s="220" t="n"/>
      <c r="B86" s="222" t="n"/>
      <c r="C86" s="220" t="n"/>
      <c r="D86" s="179" t="n"/>
      <c r="E86" s="219" t="n"/>
      <c r="F86" s="220" t="n"/>
      <c r="G86" s="221" t="n"/>
    </row>
    <row r="87" ht="15" customHeight="1" s="131">
      <c r="A87" s="220" t="n"/>
      <c r="B87" s="222" t="n"/>
      <c r="C87" s="220" t="n"/>
      <c r="D87" s="179" t="n"/>
      <c r="E87" s="219" t="n"/>
      <c r="F87" s="220" t="n"/>
      <c r="G87" s="221" t="n"/>
    </row>
    <row r="88" ht="15" customHeight="1" s="131">
      <c r="A88" s="220" t="n"/>
      <c r="B88" s="222" t="n"/>
      <c r="C88" s="220" t="n"/>
      <c r="D88" s="179" t="n"/>
      <c r="E88" s="219" t="n"/>
      <c r="F88" s="220" t="n"/>
      <c r="G88" s="221" t="n"/>
    </row>
    <row r="89" ht="15" customHeight="1" s="131">
      <c r="A89" s="220" t="n"/>
      <c r="B89" s="222" t="n"/>
      <c r="C89" s="220" t="n"/>
      <c r="D89" s="179" t="n"/>
      <c r="E89" s="219" t="n"/>
      <c r="F89" s="220" t="n"/>
      <c r="G89" s="221" t="n"/>
    </row>
    <row r="90" ht="15" customHeight="1" s="131">
      <c r="A90" s="220" t="n"/>
      <c r="B90" s="222" t="n"/>
      <c r="C90" s="220" t="n"/>
      <c r="D90" s="179" t="n"/>
      <c r="E90" s="219" t="n"/>
      <c r="F90" s="220" t="n"/>
      <c r="G90" s="221" t="n"/>
    </row>
    <row r="91" ht="15" customHeight="1" s="131">
      <c r="A91" s="220" t="n"/>
      <c r="B91" s="222" t="n"/>
      <c r="C91" s="220" t="n"/>
      <c r="D91" s="179" t="n"/>
      <c r="E91" s="219" t="n"/>
      <c r="F91" s="220" t="n"/>
      <c r="G91" s="221" t="n"/>
    </row>
    <row r="92" ht="15" customHeight="1" s="131">
      <c r="A92" s="220" t="n"/>
      <c r="B92" s="222" t="n"/>
      <c r="C92" s="220" t="n"/>
      <c r="D92" s="179" t="n"/>
      <c r="E92" s="219" t="n"/>
      <c r="F92" s="220" t="n"/>
      <c r="G92" s="221" t="n"/>
    </row>
    <row r="93" ht="15" customHeight="1" s="131">
      <c r="A93" s="220" t="n"/>
      <c r="B93" s="222" t="n"/>
      <c r="C93" s="220" t="n"/>
      <c r="D93" s="179" t="n"/>
      <c r="E93" s="219" t="n"/>
      <c r="F93" s="220" t="n"/>
      <c r="G93" s="221" t="n"/>
    </row>
    <row r="94" ht="15" customHeight="1" s="131">
      <c r="A94" s="220" t="n"/>
      <c r="B94" s="222" t="n"/>
      <c r="C94" s="220" t="n"/>
      <c r="D94" s="179" t="n"/>
      <c r="E94" s="219" t="n"/>
      <c r="F94" s="220" t="n"/>
      <c r="G94" s="221" t="n"/>
    </row>
    <row r="95" ht="15" customHeight="1" s="131">
      <c r="A95" s="220" t="n"/>
      <c r="B95" s="222" t="n"/>
      <c r="C95" s="220" t="n"/>
      <c r="D95" s="179" t="n"/>
      <c r="E95" s="219" t="n"/>
      <c r="F95" s="220" t="n"/>
      <c r="G95" s="221" t="n"/>
    </row>
    <row r="96" ht="15" customHeight="1" s="131">
      <c r="A96" s="220" t="n"/>
      <c r="B96" s="222" t="n"/>
      <c r="C96" s="220" t="n"/>
      <c r="D96" s="179" t="n"/>
      <c r="E96" s="219" t="n"/>
      <c r="F96" s="220" t="n"/>
      <c r="G96" s="221" t="n"/>
    </row>
    <row r="97" ht="15" customHeight="1" s="131">
      <c r="A97" s="220" t="n"/>
      <c r="B97" s="222" t="n"/>
      <c r="C97" s="220" t="n"/>
      <c r="D97" s="179" t="n"/>
      <c r="E97" s="219" t="n"/>
      <c r="F97" s="220" t="n"/>
      <c r="G97" s="221" t="n"/>
    </row>
    <row r="98" ht="15" customHeight="1" s="131">
      <c r="A98" s="220" t="n"/>
      <c r="B98" s="222" t="n"/>
      <c r="C98" s="220" t="n"/>
      <c r="D98" s="179" t="n"/>
      <c r="E98" s="219" t="n"/>
      <c r="F98" s="220" t="n"/>
      <c r="G98" s="221" t="n"/>
    </row>
    <row r="99" ht="15" customHeight="1" s="131">
      <c r="A99" s="220" t="n"/>
      <c r="B99" s="222" t="n"/>
      <c r="C99" s="220" t="n"/>
      <c r="D99" s="179" t="n"/>
      <c r="E99" s="219" t="n"/>
      <c r="F99" s="220" t="n"/>
      <c r="G99" s="221" t="n"/>
    </row>
    <row r="100" ht="15" customHeight="1" s="131">
      <c r="A100" s="220" t="n"/>
      <c r="B100" s="222" t="n"/>
      <c r="C100" s="220" t="n"/>
      <c r="D100" s="179" t="n"/>
      <c r="E100" s="219" t="n"/>
      <c r="F100" s="220" t="n"/>
      <c r="G100" s="221" t="n"/>
    </row>
    <row r="101" ht="15" customHeight="1" s="131">
      <c r="A101" s="220" t="n"/>
      <c r="B101" s="222" t="n"/>
      <c r="C101" s="220" t="n"/>
      <c r="D101" s="179" t="n"/>
      <c r="E101" s="219" t="n"/>
      <c r="F101" s="220" t="n"/>
      <c r="G101" s="221" t="n"/>
    </row>
    <row r="102" ht="15" customHeight="1" s="131">
      <c r="A102" s="220" t="n"/>
      <c r="B102" s="222" t="n"/>
      <c r="C102" s="220" t="n"/>
      <c r="D102" s="179" t="n"/>
      <c r="E102" s="219" t="n"/>
      <c r="F102" s="220" t="n"/>
      <c r="G102" s="221" t="n"/>
    </row>
    <row r="103" ht="15" customHeight="1" s="131">
      <c r="A103" s="220" t="n"/>
      <c r="B103" s="222" t="n"/>
      <c r="C103" s="220" t="n"/>
      <c r="D103" s="179" t="n"/>
      <c r="E103" s="219" t="n"/>
      <c r="F103" s="220" t="n"/>
      <c r="G103" s="221" t="n"/>
    </row>
    <row r="104" ht="15" customHeight="1" s="131">
      <c r="A104" s="220" t="n"/>
      <c r="B104" s="222" t="n"/>
      <c r="C104" s="220" t="n"/>
      <c r="D104" s="179" t="n"/>
      <c r="E104" s="219" t="n"/>
      <c r="F104" s="220" t="n"/>
      <c r="G104" s="221" t="n"/>
    </row>
    <row r="105" ht="15" customHeight="1" s="131">
      <c r="A105" s="220" t="n"/>
      <c r="B105" s="222" t="n"/>
      <c r="C105" s="220" t="n"/>
      <c r="D105" s="179" t="n"/>
      <c r="E105" s="219" t="n"/>
      <c r="F105" s="220" t="n"/>
      <c r="G105" s="221" t="n"/>
    </row>
    <row r="106" ht="15" customHeight="1" s="131">
      <c r="A106" s="220" t="n"/>
      <c r="B106" s="222" t="n"/>
      <c r="C106" s="220" t="n"/>
      <c r="D106" s="179" t="n"/>
      <c r="E106" s="219" t="n"/>
      <c r="F106" s="220" t="n"/>
      <c r="G106" s="221" t="n"/>
    </row>
    <row r="107" ht="15" customHeight="1" s="131">
      <c r="A107" s="220" t="n"/>
      <c r="B107" s="222" t="n"/>
      <c r="C107" s="220" t="n"/>
      <c r="D107" s="179" t="n"/>
      <c r="E107" s="219" t="n"/>
      <c r="F107" s="220" t="n"/>
      <c r="G107" s="221" t="n"/>
    </row>
    <row r="108" ht="15" customHeight="1" s="131">
      <c r="A108" s="220" t="n"/>
      <c r="B108" s="222" t="n"/>
      <c r="C108" s="220" t="n"/>
      <c r="D108" s="179" t="n"/>
      <c r="E108" s="219" t="n"/>
      <c r="F108" s="220" t="n"/>
      <c r="G108" s="221" t="n"/>
    </row>
    <row r="109" ht="15" customHeight="1" s="131">
      <c r="A109" s="220" t="n"/>
      <c r="B109" s="222" t="n"/>
      <c r="C109" s="220" t="n"/>
      <c r="D109" s="179" t="n"/>
      <c r="E109" s="219" t="n"/>
      <c r="F109" s="220" t="n"/>
      <c r="G109" s="221" t="n"/>
    </row>
    <row r="110" ht="15" customHeight="1" s="131">
      <c r="A110" s="220" t="n"/>
      <c r="B110" s="222" t="n"/>
      <c r="C110" s="220" t="n"/>
      <c r="D110" s="179" t="n"/>
      <c r="E110" s="219" t="n"/>
      <c r="F110" s="220" t="n"/>
      <c r="G110" s="221" t="n"/>
    </row>
    <row r="111" ht="15" customHeight="1" s="131">
      <c r="A111" s="220" t="n"/>
      <c r="B111" s="222" t="n"/>
      <c r="C111" s="220" t="n"/>
      <c r="D111" s="179" t="n"/>
      <c r="E111" s="219" t="n"/>
      <c r="F111" s="220" t="n"/>
      <c r="G111" s="221" t="n"/>
    </row>
    <row r="112" ht="15" customHeight="1" s="131">
      <c r="A112" s="220" t="n"/>
      <c r="B112" s="222" t="n"/>
      <c r="C112" s="220" t="n"/>
      <c r="D112" s="179" t="n"/>
      <c r="E112" s="219" t="n"/>
      <c r="F112" s="220" t="n"/>
      <c r="G112" s="221" t="n"/>
    </row>
    <row r="113" ht="15" customHeight="1" s="131">
      <c r="A113" s="220" t="n"/>
      <c r="B113" s="222" t="n"/>
      <c r="C113" s="220" t="n"/>
      <c r="D113" s="179" t="n"/>
      <c r="E113" s="219" t="n"/>
      <c r="F113" s="220" t="n"/>
      <c r="G113" s="221" t="n"/>
    </row>
    <row r="114" ht="15" customHeight="1" s="131">
      <c r="A114" s="220" t="n"/>
      <c r="B114" s="222" t="n"/>
      <c r="C114" s="220" t="n"/>
      <c r="D114" s="179" t="n"/>
      <c r="E114" s="219" t="n"/>
      <c r="F114" s="220" t="n"/>
      <c r="G114" s="221" t="n"/>
    </row>
    <row r="115" ht="15" customHeight="1" s="131">
      <c r="A115" s="220" t="n"/>
      <c r="B115" s="222" t="n"/>
      <c r="C115" s="220" t="n"/>
      <c r="D115" s="179" t="n"/>
      <c r="E115" s="219" t="n"/>
      <c r="F115" s="220" t="n"/>
      <c r="G115" s="221" t="n"/>
    </row>
    <row r="116" ht="15" customHeight="1" s="131">
      <c r="A116" s="220" t="n"/>
      <c r="B116" s="222" t="n"/>
      <c r="C116" s="220" t="n"/>
      <c r="D116" s="179" t="n"/>
      <c r="E116" s="219" t="n"/>
      <c r="F116" s="220" t="n"/>
      <c r="G116" s="221" t="n"/>
    </row>
    <row r="117" ht="15" customHeight="1" s="131">
      <c r="A117" s="220" t="n"/>
      <c r="B117" s="222" t="n"/>
      <c r="C117" s="220" t="n"/>
      <c r="D117" s="179" t="n"/>
      <c r="E117" s="219" t="n"/>
      <c r="F117" s="220" t="n"/>
      <c r="G117" s="221" t="n"/>
    </row>
    <row r="118" ht="15" customHeight="1" s="131">
      <c r="A118" s="220" t="n"/>
      <c r="B118" s="222" t="n"/>
      <c r="C118" s="220" t="n"/>
      <c r="D118" s="179" t="n"/>
      <c r="E118" s="219" t="n"/>
      <c r="F118" s="220" t="n"/>
      <c r="G118" s="221" t="n"/>
    </row>
    <row r="119" ht="15" customHeight="1" s="131">
      <c r="A119" s="220" t="n"/>
      <c r="B119" s="222" t="n"/>
      <c r="C119" s="220" t="n"/>
      <c r="D119" s="179" t="n"/>
      <c r="E119" s="219" t="n"/>
      <c r="F119" s="220" t="n"/>
      <c r="G119" s="221" t="n"/>
    </row>
    <row r="120" ht="15" customHeight="1" s="131">
      <c r="A120" s="220" t="n"/>
      <c r="B120" s="222" t="n"/>
      <c r="C120" s="220" t="n"/>
      <c r="D120" s="179" t="n"/>
      <c r="E120" s="219" t="n"/>
      <c r="F120" s="220" t="n"/>
      <c r="G120" s="221" t="n"/>
    </row>
    <row r="121" ht="15" customHeight="1" s="131">
      <c r="A121" s="220" t="n"/>
      <c r="B121" s="222" t="n"/>
      <c r="C121" s="220" t="n"/>
      <c r="D121" s="179" t="n"/>
      <c r="E121" s="219" t="n"/>
      <c r="F121" s="220" t="n"/>
      <c r="G121" s="221" t="n"/>
    </row>
    <row r="122" ht="15" customHeight="1" s="131">
      <c r="A122" s="220" t="n"/>
      <c r="B122" s="222" t="n"/>
      <c r="C122" s="220" t="n"/>
      <c r="D122" s="179" t="n"/>
      <c r="E122" s="219" t="n"/>
      <c r="F122" s="220" t="n"/>
      <c r="G122" s="221" t="n"/>
    </row>
    <row r="123" ht="15" customHeight="1" s="131">
      <c r="A123" s="220" t="n"/>
      <c r="B123" s="222" t="n"/>
      <c r="C123" s="220" t="n"/>
      <c r="D123" s="179" t="n"/>
      <c r="E123" s="219" t="n"/>
      <c r="F123" s="220" t="n"/>
      <c r="G123" s="221" t="n"/>
    </row>
    <row r="124" ht="15" customHeight="1" s="131">
      <c r="A124" s="220" t="n"/>
      <c r="B124" s="222" t="n"/>
      <c r="C124" s="220" t="n"/>
      <c r="D124" s="179" t="n"/>
      <c r="E124" s="219" t="n"/>
      <c r="F124" s="220" t="n"/>
      <c r="G124" s="221" t="n"/>
    </row>
    <row r="125" ht="15" customHeight="1" s="131">
      <c r="A125" s="220" t="n"/>
      <c r="B125" s="222" t="n"/>
      <c r="C125" s="220" t="n"/>
      <c r="D125" s="179" t="n"/>
      <c r="E125" s="219" t="n"/>
      <c r="F125" s="220" t="n"/>
      <c r="G125" s="221" t="n"/>
    </row>
    <row r="126" ht="15" customHeight="1" s="131">
      <c r="A126" s="220" t="n"/>
      <c r="B126" s="222" t="n"/>
      <c r="C126" s="220" t="n"/>
      <c r="D126" s="179" t="n"/>
      <c r="E126" s="219" t="n"/>
      <c r="F126" s="220" t="n"/>
      <c r="G126" s="221" t="n"/>
    </row>
    <row r="127" ht="15" customHeight="1" s="131">
      <c r="A127" s="220" t="n"/>
      <c r="B127" s="222" t="n"/>
      <c r="C127" s="220" t="n"/>
      <c r="D127" s="179" t="n"/>
      <c r="E127" s="219" t="n"/>
      <c r="F127" s="220" t="n"/>
      <c r="G127" s="221" t="n"/>
    </row>
    <row r="128" ht="15" customHeight="1" s="131">
      <c r="A128" s="220" t="n"/>
      <c r="B128" s="222" t="n"/>
      <c r="C128" s="220" t="n"/>
      <c r="D128" s="179" t="n"/>
      <c r="E128" s="219" t="n"/>
      <c r="F128" s="220" t="n"/>
      <c r="G128" s="221" t="n"/>
    </row>
    <row r="129" ht="15" customHeight="1" s="131">
      <c r="A129" s="220" t="n"/>
      <c r="B129" s="222" t="n"/>
      <c r="C129" s="220" t="n"/>
      <c r="D129" s="179" t="n"/>
      <c r="E129" s="219" t="n"/>
      <c r="F129" s="220" t="n"/>
      <c r="G129" s="221" t="n"/>
    </row>
    <row r="130" ht="15" customHeight="1" s="131">
      <c r="A130" s="220" t="n"/>
      <c r="B130" s="222" t="n"/>
      <c r="C130" s="220" t="n"/>
      <c r="D130" s="179" t="n"/>
      <c r="E130" s="219" t="n"/>
      <c r="F130" s="220" t="n"/>
      <c r="G130" s="221" t="n"/>
    </row>
    <row r="131" ht="15" customHeight="1" s="131">
      <c r="A131" s="220" t="n"/>
      <c r="B131" s="222" t="n"/>
      <c r="C131" s="220" t="n"/>
      <c r="D131" s="179" t="n"/>
      <c r="E131" s="219" t="n"/>
      <c r="F131" s="220" t="n"/>
      <c r="G131" s="221" t="n"/>
    </row>
    <row r="132" ht="15" customHeight="1" s="131">
      <c r="A132" s="220" t="n"/>
      <c r="B132" s="222" t="n"/>
      <c r="C132" s="220" t="n"/>
      <c r="D132" s="179" t="n"/>
      <c r="E132" s="219" t="n"/>
      <c r="F132" s="220" t="n"/>
      <c r="G132" s="221" t="n"/>
    </row>
    <row r="133" ht="15" customHeight="1" s="131">
      <c r="A133" s="220" t="n"/>
      <c r="B133" s="222" t="n"/>
      <c r="C133" s="220" t="n"/>
      <c r="D133" s="179" t="n"/>
      <c r="E133" s="219" t="n"/>
      <c r="F133" s="220" t="n"/>
      <c r="G133" s="221" t="n"/>
    </row>
    <row r="134" ht="15" customHeight="1" s="131">
      <c r="A134" s="220" t="n"/>
      <c r="B134" s="222" t="n"/>
      <c r="C134" s="220" t="n"/>
      <c r="D134" s="179" t="n"/>
      <c r="E134" s="219" t="n"/>
      <c r="F134" s="220" t="n"/>
      <c r="G134" s="221" t="n"/>
    </row>
    <row r="135" ht="15" customHeight="1" s="131">
      <c r="A135" s="220" t="n"/>
      <c r="B135" s="222" t="n"/>
      <c r="C135" s="220" t="n"/>
      <c r="D135" s="179" t="n"/>
      <c r="E135" s="219" t="n"/>
      <c r="F135" s="220" t="n"/>
      <c r="G135" s="221" t="n"/>
    </row>
    <row r="136" ht="15" customHeight="1" s="131">
      <c r="A136" s="220" t="n"/>
      <c r="B136" s="222" t="n"/>
      <c r="C136" s="220" t="n"/>
      <c r="D136" s="179" t="n"/>
      <c r="E136" s="219" t="n"/>
      <c r="F136" s="220" t="n"/>
      <c r="G136" s="221" t="n"/>
    </row>
    <row r="137" ht="15" customHeight="1" s="131">
      <c r="A137" s="220" t="n"/>
      <c r="B137" s="222" t="n"/>
      <c r="C137" s="220" t="n"/>
      <c r="D137" s="179" t="n"/>
      <c r="E137" s="219" t="n"/>
      <c r="F137" s="220" t="n"/>
      <c r="G137" s="221" t="n"/>
    </row>
    <row r="138" ht="15" customHeight="1" s="131">
      <c r="A138" s="220" t="n"/>
      <c r="B138" s="222" t="n"/>
      <c r="C138" s="220" t="n"/>
      <c r="D138" s="179" t="n"/>
      <c r="E138" s="219" t="n"/>
      <c r="F138" s="220" t="n"/>
      <c r="G138" s="221" t="n"/>
    </row>
    <row r="139" ht="15" customHeight="1" s="131">
      <c r="A139" s="220" t="n"/>
      <c r="B139" s="222" t="n"/>
      <c r="C139" s="220" t="n"/>
      <c r="D139" s="179" t="n"/>
      <c r="E139" s="219" t="n"/>
      <c r="F139" s="220" t="n"/>
      <c r="G139" s="221" t="n"/>
    </row>
    <row r="140" ht="15" customHeight="1" s="131">
      <c r="A140" s="220" t="n"/>
      <c r="B140" s="222" t="n"/>
      <c r="C140" s="220" t="n"/>
      <c r="D140" s="179" t="n"/>
      <c r="E140" s="219" t="n"/>
      <c r="F140" s="220" t="n"/>
      <c r="G140" s="221" t="n"/>
    </row>
    <row r="141" ht="15" customHeight="1" s="131">
      <c r="A141" s="220" t="n"/>
      <c r="B141" s="222" t="n"/>
      <c r="C141" s="220" t="n"/>
      <c r="D141" s="179" t="n"/>
      <c r="E141" s="219" t="n"/>
      <c r="F141" s="220" t="n"/>
      <c r="G141" s="221" t="n"/>
    </row>
    <row r="142" ht="15" customHeight="1" s="131">
      <c r="A142" s="220" t="n"/>
      <c r="B142" s="222" t="n"/>
      <c r="C142" s="220" t="n"/>
      <c r="D142" s="179" t="n"/>
      <c r="E142" s="219" t="n"/>
      <c r="F142" s="220" t="n"/>
      <c r="G142" s="221" t="n"/>
    </row>
    <row r="143" ht="15" customHeight="1" s="131">
      <c r="A143" s="220" t="n"/>
      <c r="B143" s="222" t="n"/>
      <c r="C143" s="220" t="n"/>
      <c r="D143" s="179" t="n"/>
      <c r="E143" s="219" t="n"/>
      <c r="F143" s="220" t="n"/>
      <c r="G143" s="221" t="n"/>
    </row>
    <row r="144" ht="15" customHeight="1" s="131">
      <c r="A144" s="220" t="n"/>
      <c r="B144" s="222" t="n"/>
      <c r="C144" s="220" t="n"/>
      <c r="D144" s="179" t="n"/>
      <c r="E144" s="219" t="n"/>
      <c r="F144" s="220" t="n"/>
      <c r="G144" s="221" t="n"/>
    </row>
    <row r="145" ht="15" customHeight="1" s="131">
      <c r="A145" s="220" t="n"/>
      <c r="B145" s="222" t="n"/>
      <c r="C145" s="220" t="n"/>
      <c r="D145" s="179" t="n"/>
      <c r="E145" s="219" t="n"/>
      <c r="F145" s="220" t="n"/>
      <c r="G145" s="221" t="n"/>
    </row>
    <row r="146" ht="15" customHeight="1" s="131">
      <c r="A146" s="220" t="n"/>
      <c r="B146" s="222" t="n"/>
      <c r="C146" s="220" t="n"/>
      <c r="D146" s="179" t="n"/>
      <c r="E146" s="219" t="n"/>
      <c r="F146" s="220" t="n"/>
      <c r="G146" s="221" t="n"/>
    </row>
    <row r="147" ht="15" customHeight="1" s="131">
      <c r="A147" s="220" t="n"/>
      <c r="B147" s="222" t="n"/>
      <c r="C147" s="220" t="n"/>
      <c r="D147" s="179" t="n"/>
      <c r="E147" s="219" t="n"/>
      <c r="F147" s="220" t="n"/>
      <c r="G147" s="221" t="n"/>
    </row>
    <row r="148" ht="15" customHeight="1" s="131">
      <c r="A148" s="220" t="n"/>
      <c r="B148" s="222" t="n"/>
      <c r="C148" s="220" t="n"/>
      <c r="D148" s="179" t="n"/>
      <c r="E148" s="219" t="n"/>
      <c r="F148" s="220" t="n"/>
      <c r="G148" s="221" t="n"/>
    </row>
    <row r="149" ht="15" customHeight="1" s="131">
      <c r="A149" s="220" t="n"/>
      <c r="B149" s="222" t="n"/>
      <c r="C149" s="220" t="n"/>
      <c r="D149" s="179" t="n"/>
      <c r="E149" s="219" t="n"/>
      <c r="F149" s="220" t="n"/>
      <c r="G149" s="221" t="n"/>
    </row>
    <row r="150" ht="15" customHeight="1" s="131">
      <c r="A150" s="220" t="n"/>
      <c r="B150" s="222" t="n"/>
      <c r="C150" s="220" t="n"/>
      <c r="D150" s="179" t="n"/>
      <c r="E150" s="219" t="n"/>
      <c r="F150" s="220" t="n"/>
      <c r="G150" s="221" t="n"/>
    </row>
    <row r="151" ht="15" customHeight="1" s="131">
      <c r="A151" s="220" t="n"/>
      <c r="B151" s="222" t="n"/>
      <c r="C151" s="220" t="n"/>
      <c r="D151" s="179" t="n"/>
      <c r="E151" s="219" t="n"/>
      <c r="F151" s="220" t="n"/>
      <c r="G151" s="221" t="n"/>
    </row>
    <row r="152" ht="15" customHeight="1" s="131">
      <c r="A152" s="220" t="n"/>
      <c r="B152" s="222" t="n"/>
      <c r="C152" s="220" t="n"/>
      <c r="D152" s="179" t="n"/>
      <c r="E152" s="219" t="n"/>
      <c r="F152" s="220" t="n"/>
      <c r="G152" s="221" t="n"/>
    </row>
    <row r="153" ht="15" customHeight="1" s="131">
      <c r="A153" s="220" t="n"/>
      <c r="B153" s="222" t="n"/>
      <c r="C153" s="220" t="n"/>
      <c r="D153" s="179" t="n"/>
      <c r="E153" s="219" t="n"/>
      <c r="F153" s="220" t="n"/>
      <c r="G153" s="221" t="n"/>
    </row>
    <row r="154" ht="15" customHeight="1" s="131">
      <c r="A154" s="220" t="n"/>
      <c r="B154" s="222" t="n"/>
      <c r="C154" s="220" t="n"/>
      <c r="D154" s="179" t="n"/>
      <c r="E154" s="219" t="n"/>
      <c r="F154" s="220" t="n"/>
      <c r="G154" s="221" t="n"/>
    </row>
    <row r="155" ht="15" customHeight="1" s="131">
      <c r="A155" s="220" t="n"/>
      <c r="B155" s="222" t="n"/>
      <c r="C155" s="220" t="n"/>
      <c r="D155" s="179" t="n"/>
      <c r="E155" s="219" t="n"/>
      <c r="F155" s="220" t="n"/>
      <c r="G155" s="221" t="n"/>
    </row>
    <row r="156" ht="15" customHeight="1" s="131">
      <c r="A156" s="220" t="n"/>
      <c r="B156" s="222" t="n"/>
      <c r="C156" s="220" t="n"/>
      <c r="D156" s="179" t="n"/>
      <c r="E156" s="219" t="n"/>
      <c r="F156" s="220" t="n"/>
      <c r="G156" s="221" t="n"/>
    </row>
    <row r="157" ht="15" customHeight="1" s="131">
      <c r="A157" s="220" t="n"/>
      <c r="B157" s="222" t="n"/>
      <c r="C157" s="220" t="n"/>
      <c r="D157" s="179" t="n"/>
      <c r="E157" s="219" t="n"/>
      <c r="F157" s="220" t="n"/>
      <c r="G157" s="221" t="n"/>
    </row>
    <row r="158" ht="15" customHeight="1" s="131">
      <c r="A158" s="220" t="n"/>
      <c r="B158" s="222" t="n"/>
      <c r="C158" s="220" t="n"/>
      <c r="D158" s="179" t="n"/>
      <c r="E158" s="219" t="n"/>
      <c r="F158" s="220" t="n"/>
      <c r="G158" s="221" t="n"/>
    </row>
    <row r="159" ht="15" customHeight="1" s="131">
      <c r="A159" s="220" t="n"/>
      <c r="B159" s="222" t="n"/>
      <c r="C159" s="220" t="n"/>
      <c r="D159" s="179" t="n"/>
      <c r="E159" s="219" t="n"/>
      <c r="F159" s="220" t="n"/>
      <c r="G159" s="221" t="n"/>
    </row>
    <row r="160" ht="15" customHeight="1" s="131">
      <c r="A160" s="220" t="n"/>
      <c r="B160" s="222" t="n"/>
      <c r="C160" s="220" t="n"/>
      <c r="D160" s="179" t="n"/>
      <c r="E160" s="219" t="n"/>
      <c r="F160" s="220" t="n"/>
      <c r="G160" s="221" t="n"/>
    </row>
    <row r="161" ht="15" customHeight="1" s="131">
      <c r="A161" s="220" t="n"/>
      <c r="B161" s="222" t="n"/>
      <c r="C161" s="220" t="n"/>
      <c r="D161" s="179" t="n"/>
      <c r="E161" s="219" t="n"/>
      <c r="F161" s="220" t="n"/>
      <c r="G161" s="221" t="n"/>
    </row>
    <row r="162" ht="15" customHeight="1" s="131">
      <c r="A162" s="220" t="n"/>
      <c r="B162" s="222" t="n"/>
      <c r="C162" s="220" t="n"/>
      <c r="D162" s="179" t="n"/>
      <c r="E162" s="219" t="n"/>
      <c r="F162" s="220" t="n"/>
      <c r="G162" s="221" t="n"/>
    </row>
    <row r="163" ht="15" customHeight="1" s="131">
      <c r="A163" s="220" t="n"/>
      <c r="B163" s="222" t="n"/>
      <c r="C163" s="220" t="n"/>
      <c r="D163" s="179" t="n"/>
      <c r="E163" s="219" t="n"/>
      <c r="F163" s="220" t="n"/>
      <c r="G163" s="221" t="n"/>
    </row>
    <row r="164" ht="15" customHeight="1" s="131">
      <c r="A164" s="220" t="n"/>
      <c r="B164" s="222" t="n"/>
      <c r="C164" s="220" t="n"/>
      <c r="D164" s="179" t="n"/>
      <c r="E164" s="219" t="n"/>
      <c r="F164" s="220" t="n"/>
      <c r="G164" s="221" t="n"/>
    </row>
    <row r="165" ht="15" customHeight="1" s="131">
      <c r="A165" s="220" t="n"/>
      <c r="B165" s="222" t="n"/>
      <c r="C165" s="220" t="n"/>
      <c r="D165" s="179" t="n"/>
      <c r="E165" s="219" t="n"/>
      <c r="F165" s="220" t="n"/>
      <c r="G165" s="221" t="n"/>
    </row>
    <row r="166" ht="15" customHeight="1" s="131">
      <c r="A166" s="220" t="n"/>
      <c r="B166" s="222" t="n"/>
      <c r="C166" s="220" t="n"/>
      <c r="D166" s="179" t="n"/>
      <c r="E166" s="219" t="n"/>
      <c r="F166" s="220" t="n"/>
      <c r="G166" s="221" t="n"/>
    </row>
    <row r="167" ht="15" customHeight="1" s="131">
      <c r="A167" s="220" t="n"/>
      <c r="B167" s="222" t="n"/>
      <c r="C167" s="220" t="n"/>
      <c r="D167" s="179" t="n"/>
      <c r="E167" s="219" t="n"/>
      <c r="F167" s="220" t="n"/>
      <c r="G167" s="221" t="n"/>
    </row>
    <row r="168" ht="15" customHeight="1" s="131">
      <c r="A168" s="220" t="n"/>
      <c r="B168" s="222" t="n"/>
      <c r="C168" s="220" t="n"/>
      <c r="D168" s="179" t="n"/>
      <c r="E168" s="219" t="n"/>
      <c r="F168" s="220" t="n"/>
      <c r="G168" s="221" t="n"/>
    </row>
    <row r="169" ht="15" customHeight="1" s="131">
      <c r="A169" s="220" t="n"/>
      <c r="B169" s="222" t="n"/>
      <c r="C169" s="220" t="n"/>
      <c r="D169" s="179" t="n"/>
      <c r="E169" s="219" t="n"/>
      <c r="F169" s="220" t="n"/>
      <c r="G169" s="221" t="n"/>
    </row>
    <row r="170" ht="15" customHeight="1" s="131">
      <c r="A170" s="220" t="n"/>
      <c r="B170" s="222" t="n"/>
      <c r="C170" s="220" t="n"/>
      <c r="D170" s="179" t="n"/>
      <c r="E170" s="219" t="n"/>
      <c r="F170" s="220" t="n"/>
      <c r="G170" s="221" t="n"/>
    </row>
    <row r="171" ht="15" customHeight="1" s="131">
      <c r="A171" s="220" t="n"/>
      <c r="B171" s="222" t="n"/>
      <c r="C171" s="220" t="n"/>
      <c r="D171" s="179" t="n"/>
      <c r="E171" s="219" t="n"/>
      <c r="F171" s="220" t="n"/>
      <c r="G171" s="221" t="n"/>
    </row>
    <row r="172" ht="15" customHeight="1" s="131">
      <c r="A172" s="220" t="n"/>
      <c r="B172" s="222" t="n"/>
      <c r="C172" s="220" t="n"/>
      <c r="D172" s="179" t="n"/>
      <c r="E172" s="219" t="n"/>
      <c r="F172" s="220" t="n"/>
      <c r="G172" s="221" t="n"/>
    </row>
    <row r="173" ht="15" customHeight="1" s="131">
      <c r="A173" s="220" t="n"/>
      <c r="B173" s="222" t="n"/>
      <c r="C173" s="220" t="n"/>
      <c r="D173" s="179" t="n"/>
      <c r="E173" s="219" t="n"/>
      <c r="F173" s="220" t="n"/>
      <c r="G173" s="221" t="n"/>
    </row>
    <row r="174" ht="15" customHeight="1" s="131">
      <c r="A174" s="220" t="n"/>
      <c r="B174" s="222" t="n"/>
      <c r="C174" s="220" t="n"/>
      <c r="D174" s="179" t="n"/>
      <c r="E174" s="219" t="n"/>
      <c r="F174" s="220" t="n"/>
      <c r="G174" s="221" t="n"/>
    </row>
    <row r="175" ht="15" customHeight="1" s="131">
      <c r="A175" s="220" t="n"/>
      <c r="B175" s="222" t="n"/>
      <c r="C175" s="220" t="n"/>
      <c r="D175" s="179" t="n"/>
      <c r="E175" s="219" t="n"/>
      <c r="F175" s="220" t="n"/>
      <c r="G175" s="221" t="n"/>
    </row>
    <row r="176" ht="15" customHeight="1" s="131">
      <c r="A176" s="220" t="n"/>
      <c r="B176" s="222" t="n"/>
      <c r="C176" s="220" t="n"/>
      <c r="D176" s="179" t="n"/>
      <c r="E176" s="219" t="n"/>
      <c r="F176" s="220" t="n"/>
      <c r="G176" s="221" t="n"/>
    </row>
    <row r="177" ht="15" customHeight="1" s="131">
      <c r="A177" s="220" t="n"/>
      <c r="B177" s="222" t="n"/>
      <c r="C177" s="220" t="n"/>
      <c r="D177" s="179" t="n"/>
      <c r="E177" s="219" t="n"/>
      <c r="F177" s="220" t="n"/>
      <c r="G177" s="221" t="n"/>
    </row>
    <row r="178" ht="15" customHeight="1" s="131">
      <c r="A178" s="220" t="n"/>
      <c r="B178" s="222" t="n"/>
      <c r="C178" s="220" t="n"/>
      <c r="D178" s="179" t="n"/>
      <c r="E178" s="219" t="n"/>
      <c r="F178" s="220" t="n"/>
      <c r="G178" s="221" t="n"/>
    </row>
    <row r="179" ht="15" customHeight="1" s="131">
      <c r="A179" s="220" t="n"/>
      <c r="B179" s="222" t="n"/>
      <c r="C179" s="220" t="n"/>
      <c r="D179" s="179" t="n"/>
      <c r="E179" s="219" t="n"/>
      <c r="F179" s="220" t="n"/>
      <c r="G179" s="221" t="n"/>
    </row>
    <row r="180" ht="15" customHeight="1" s="131">
      <c r="A180" s="220" t="n"/>
      <c r="B180" s="222" t="n"/>
      <c r="C180" s="220" t="n"/>
      <c r="D180" s="179" t="n"/>
      <c r="E180" s="219" t="n"/>
      <c r="F180" s="220" t="n"/>
      <c r="G180" s="221" t="n"/>
    </row>
    <row r="181" ht="15" customHeight="1" s="131">
      <c r="A181" s="220" t="n"/>
      <c r="B181" s="222" t="n"/>
      <c r="C181" s="220" t="n"/>
      <c r="D181" s="179" t="n"/>
      <c r="E181" s="219" t="n"/>
      <c r="F181" s="220" t="n"/>
      <c r="G181" s="221" t="n"/>
    </row>
    <row r="182" ht="15" customHeight="1" s="131">
      <c r="A182" s="220" t="n"/>
      <c r="B182" s="222" t="n"/>
      <c r="C182" s="220" t="n"/>
      <c r="D182" s="179" t="n"/>
      <c r="E182" s="219" t="n"/>
      <c r="F182" s="220" t="n"/>
      <c r="G182" s="221" t="n"/>
    </row>
    <row r="183" ht="15" customHeight="1" s="131">
      <c r="A183" s="220" t="n"/>
      <c r="B183" s="222" t="n"/>
      <c r="C183" s="220" t="n"/>
      <c r="D183" s="179" t="n"/>
      <c r="E183" s="219" t="n"/>
      <c r="F183" s="220" t="n"/>
      <c r="G183" s="221" t="n"/>
    </row>
    <row r="184" ht="15" customHeight="1" s="131">
      <c r="A184" s="220" t="n"/>
      <c r="B184" s="222" t="n"/>
      <c r="C184" s="220" t="n"/>
      <c r="D184" s="179" t="n"/>
      <c r="E184" s="219" t="n"/>
      <c r="F184" s="220" t="n"/>
      <c r="G184" s="221" t="n"/>
    </row>
    <row r="185" ht="15" customHeight="1" s="131">
      <c r="A185" s="220" t="n"/>
      <c r="B185" s="222" t="n"/>
      <c r="C185" s="220" t="n"/>
      <c r="D185" s="179" t="n"/>
      <c r="E185" s="219" t="n"/>
      <c r="F185" s="220" t="n"/>
      <c r="G185" s="221" t="n"/>
    </row>
    <row r="186" ht="15" customHeight="1" s="131">
      <c r="A186" s="220" t="n"/>
      <c r="B186" s="222" t="n"/>
      <c r="C186" s="220" t="n"/>
      <c r="D186" s="179" t="n"/>
      <c r="E186" s="219" t="n"/>
      <c r="F186" s="220" t="n"/>
      <c r="G186" s="221" t="n"/>
    </row>
    <row r="187" ht="15" customHeight="1" s="131">
      <c r="A187" s="220" t="n"/>
      <c r="B187" s="222" t="n"/>
      <c r="C187" s="220" t="n"/>
      <c r="D187" s="179" t="n"/>
      <c r="E187" s="219" t="n"/>
      <c r="F187" s="220" t="n"/>
      <c r="G187" s="221" t="n"/>
    </row>
    <row r="188" ht="15" customHeight="1" s="131">
      <c r="A188" s="220" t="n"/>
      <c r="B188" s="222" t="n"/>
      <c r="C188" s="220" t="n"/>
      <c r="D188" s="179" t="n"/>
      <c r="E188" s="219" t="n"/>
      <c r="F188" s="220" t="n"/>
      <c r="G188" s="221" t="n"/>
    </row>
    <row r="189" ht="15" customHeight="1" s="131">
      <c r="A189" s="220" t="n"/>
      <c r="B189" s="222" t="n"/>
      <c r="C189" s="220" t="n"/>
      <c r="D189" s="179" t="n"/>
      <c r="E189" s="219" t="n"/>
      <c r="F189" s="220" t="n"/>
      <c r="G189" s="221" t="n"/>
    </row>
    <row r="190" ht="15" customHeight="1" s="131">
      <c r="A190" s="220" t="n"/>
      <c r="B190" s="222" t="n"/>
      <c r="C190" s="220" t="n"/>
      <c r="D190" s="179" t="n"/>
      <c r="E190" s="219" t="n"/>
      <c r="F190" s="220" t="n"/>
      <c r="G190" s="221" t="n"/>
    </row>
    <row r="191" ht="15" customHeight="1" s="131">
      <c r="A191" s="220" t="n"/>
      <c r="B191" s="222" t="n"/>
      <c r="C191" s="220" t="n"/>
      <c r="D191" s="179" t="n"/>
      <c r="E191" s="219" t="n"/>
      <c r="F191" s="220" t="n"/>
      <c r="G191" s="221" t="n"/>
    </row>
    <row r="192" ht="15" customHeight="1" s="131">
      <c r="A192" s="220" t="n"/>
      <c r="B192" s="222" t="n"/>
      <c r="C192" s="220" t="n"/>
      <c r="D192" s="179" t="n"/>
      <c r="E192" s="219" t="n"/>
      <c r="F192" s="220" t="n"/>
      <c r="G192" s="221" t="n"/>
    </row>
    <row r="193" ht="15" customHeight="1" s="131">
      <c r="A193" s="220" t="n"/>
      <c r="B193" s="222" t="n"/>
      <c r="C193" s="220" t="n"/>
      <c r="D193" s="179" t="n"/>
      <c r="E193" s="219" t="n"/>
      <c r="F193" s="220" t="n"/>
      <c r="G193" s="221" t="n"/>
    </row>
    <row r="194" ht="15" customHeight="1" s="131">
      <c r="A194" s="220" t="n"/>
      <c r="B194" s="222" t="n"/>
      <c r="C194" s="220" t="n"/>
      <c r="D194" s="179" t="n"/>
      <c r="E194" s="219" t="n"/>
      <c r="F194" s="220" t="n"/>
      <c r="G194" s="221" t="n"/>
    </row>
    <row r="195" ht="15" customHeight="1" s="131">
      <c r="A195" s="220" t="n"/>
      <c r="B195" s="222" t="n"/>
      <c r="C195" s="220" t="n"/>
      <c r="D195" s="179" t="n"/>
      <c r="E195" s="219" t="n"/>
      <c r="F195" s="220" t="n"/>
      <c r="G195" s="221" t="n"/>
    </row>
    <row r="196" ht="15" customHeight="1" s="131">
      <c r="A196" s="220" t="n"/>
      <c r="B196" s="222" t="n"/>
      <c r="C196" s="220" t="n"/>
      <c r="D196" s="179" t="n"/>
      <c r="E196" s="219" t="n"/>
      <c r="F196" s="220" t="n"/>
      <c r="G196" s="221" t="n"/>
    </row>
    <row r="197" ht="15" customHeight="1" s="131">
      <c r="A197" s="220" t="n"/>
      <c r="B197" s="222" t="n"/>
      <c r="C197" s="220" t="n"/>
      <c r="D197" s="179" t="n"/>
      <c r="E197" s="219" t="n"/>
      <c r="F197" s="220" t="n"/>
      <c r="G197" s="221" t="n"/>
    </row>
    <row r="198" ht="15" customHeight="1" s="131">
      <c r="A198" s="220" t="n"/>
      <c r="B198" s="222" t="n"/>
      <c r="C198" s="220" t="n"/>
      <c r="D198" s="179" t="n"/>
      <c r="E198" s="219" t="n"/>
      <c r="F198" s="220" t="n"/>
      <c r="G198" s="221" t="n"/>
    </row>
    <row r="199" ht="15" customHeight="1" s="131">
      <c r="A199" s="220" t="n"/>
      <c r="B199" s="222" t="n"/>
      <c r="C199" s="220" t="n"/>
      <c r="D199" s="179" t="n"/>
      <c r="E199" s="219" t="n"/>
      <c r="F199" s="220" t="n"/>
      <c r="G199" s="221" t="n"/>
    </row>
    <row r="200" ht="15" customHeight="1" s="131">
      <c r="A200" s="220" t="n"/>
      <c r="B200" s="222" t="n"/>
      <c r="C200" s="220" t="n"/>
      <c r="D200" s="179" t="n"/>
      <c r="E200" s="219" t="n"/>
      <c r="F200" s="220" t="n"/>
      <c r="G200" s="221" t="n"/>
    </row>
    <row r="201" ht="15" customHeight="1" s="131">
      <c r="A201" s="220" t="n"/>
      <c r="B201" s="222" t="n"/>
      <c r="C201" s="220" t="n"/>
      <c r="D201" s="179" t="n"/>
      <c r="E201" s="219" t="n"/>
      <c r="F201" s="220" t="n"/>
      <c r="G201" s="221" t="n"/>
    </row>
    <row r="202" ht="15" customHeight="1" s="131">
      <c r="A202" s="220" t="n"/>
      <c r="B202" s="222" t="n"/>
      <c r="C202" s="220" t="n"/>
      <c r="D202" s="179" t="n"/>
      <c r="E202" s="219" t="n"/>
      <c r="F202" s="220" t="n"/>
      <c r="G202" s="221" t="n"/>
    </row>
    <row r="203" ht="15" customHeight="1" s="131">
      <c r="A203" s="220" t="n"/>
      <c r="B203" s="222" t="n"/>
      <c r="C203" s="220" t="n"/>
      <c r="D203" s="179" t="n"/>
      <c r="E203" s="219" t="n"/>
      <c r="F203" s="220" t="n"/>
      <c r="G203" s="221" t="n"/>
    </row>
    <row r="204" ht="15" customHeight="1" s="131">
      <c r="A204" s="220" t="n"/>
      <c r="B204" s="222" t="n"/>
      <c r="C204" s="220" t="n"/>
      <c r="D204" s="179" t="n"/>
      <c r="E204" s="219" t="n"/>
      <c r="F204" s="220" t="n"/>
      <c r="G204" s="221" t="n"/>
    </row>
    <row r="205" ht="15" customHeight="1" s="131">
      <c r="A205" s="220" t="n"/>
      <c r="B205" s="222" t="n"/>
      <c r="C205" s="220" t="n"/>
      <c r="D205" s="179" t="n"/>
      <c r="E205" s="219" t="n"/>
      <c r="F205" s="220" t="n"/>
      <c r="G205" s="221" t="n"/>
    </row>
    <row r="206" ht="15" customHeight="1" s="131">
      <c r="A206" s="220" t="n"/>
      <c r="B206" s="222" t="n"/>
      <c r="C206" s="220" t="n"/>
      <c r="D206" s="179" t="n"/>
      <c r="E206" s="219" t="n"/>
      <c r="F206" s="220" t="n"/>
      <c r="G206" s="221" t="n"/>
    </row>
    <row r="207" ht="15" customHeight="1" s="131">
      <c r="A207" s="220" t="n"/>
      <c r="B207" s="222" t="n"/>
      <c r="C207" s="220" t="n"/>
      <c r="D207" s="179" t="n"/>
      <c r="E207" s="219" t="n"/>
      <c r="F207" s="220" t="n"/>
      <c r="G207" s="221" t="n"/>
    </row>
    <row r="208" ht="15" customHeight="1" s="131">
      <c r="A208" s="220" t="n"/>
      <c r="B208" s="222" t="n"/>
      <c r="C208" s="220" t="n"/>
      <c r="D208" s="179" t="n"/>
      <c r="E208" s="219" t="n"/>
      <c r="F208" s="220" t="n"/>
      <c r="G208" s="221" t="n"/>
    </row>
    <row r="209" ht="15" customHeight="1" s="131">
      <c r="A209" s="220" t="n"/>
      <c r="B209" s="222" t="n"/>
      <c r="C209" s="220" t="n"/>
      <c r="D209" s="179" t="n"/>
      <c r="E209" s="219" t="n"/>
      <c r="F209" s="220" t="n"/>
      <c r="G209" s="221" t="n"/>
    </row>
    <row r="210" ht="15" customHeight="1" s="131">
      <c r="A210" s="220" t="n"/>
      <c r="B210" s="222" t="n"/>
      <c r="C210" s="220" t="n"/>
      <c r="D210" s="179" t="n"/>
      <c r="E210" s="219" t="n"/>
      <c r="F210" s="220" t="n"/>
      <c r="G210" s="221" t="n"/>
    </row>
    <row r="211" ht="15" customHeight="1" s="131">
      <c r="A211" s="220" t="n"/>
      <c r="B211" s="222" t="n"/>
      <c r="C211" s="220" t="n"/>
      <c r="D211" s="179" t="n"/>
      <c r="E211" s="219" t="n"/>
      <c r="F211" s="220" t="n"/>
      <c r="G211" s="221" t="n"/>
    </row>
    <row r="212" ht="15" customHeight="1" s="131">
      <c r="A212" s="220" t="n"/>
      <c r="B212" s="222" t="n"/>
      <c r="C212" s="220" t="n"/>
      <c r="D212" s="179" t="n"/>
      <c r="E212" s="219" t="n"/>
      <c r="F212" s="220" t="n"/>
      <c r="G212" s="221" t="n"/>
    </row>
    <row r="213" ht="15" customHeight="1" s="131">
      <c r="A213" s="220" t="n"/>
      <c r="B213" s="222" t="n"/>
      <c r="C213" s="220" t="n"/>
      <c r="D213" s="179" t="n"/>
      <c r="E213" s="219" t="n"/>
      <c r="F213" s="220" t="n"/>
      <c r="G213" s="221" t="n"/>
    </row>
    <row r="214" ht="15" customHeight="1" s="131">
      <c r="A214" s="220" t="n"/>
      <c r="B214" s="222" t="n"/>
      <c r="C214" s="220" t="n"/>
      <c r="D214" s="179" t="n"/>
      <c r="E214" s="219" t="n"/>
      <c r="F214" s="220" t="n"/>
      <c r="G214" s="221" t="n"/>
    </row>
    <row r="215" ht="15" customHeight="1" s="131">
      <c r="A215" s="220" t="n"/>
      <c r="B215" s="222" t="n"/>
      <c r="C215" s="220" t="n"/>
      <c r="D215" s="179" t="n"/>
      <c r="E215" s="219" t="n"/>
      <c r="F215" s="220" t="n"/>
      <c r="G215" s="221" t="n"/>
    </row>
    <row r="216" ht="15" customHeight="1" s="131">
      <c r="A216" s="220" t="n"/>
      <c r="B216" s="222" t="n"/>
      <c r="C216" s="220" t="n"/>
      <c r="D216" s="179" t="n"/>
      <c r="E216" s="219" t="n"/>
      <c r="F216" s="220" t="n"/>
      <c r="G216" s="221" t="n"/>
    </row>
    <row r="217" ht="15" customHeight="1" s="131">
      <c r="A217" s="220" t="n"/>
      <c r="B217" s="222" t="n"/>
      <c r="C217" s="220" t="n"/>
      <c r="D217" s="179" t="n"/>
      <c r="E217" s="219" t="n"/>
      <c r="F217" s="220" t="n"/>
      <c r="G217" s="221" t="n"/>
    </row>
    <row r="218" ht="15" customHeight="1" s="131">
      <c r="A218" s="220" t="n"/>
      <c r="B218" s="222" t="n"/>
      <c r="C218" s="220" t="n"/>
      <c r="D218" s="179" t="n"/>
      <c r="E218" s="219" t="n"/>
      <c r="F218" s="220" t="n"/>
      <c r="G218" s="221" t="n"/>
    </row>
    <row r="219" ht="15" customHeight="1" s="131">
      <c r="A219" s="220" t="n"/>
      <c r="B219" s="222" t="n"/>
      <c r="C219" s="220" t="n"/>
      <c r="D219" s="179" t="n"/>
      <c r="E219" s="219" t="n"/>
      <c r="F219" s="220" t="n"/>
      <c r="G219" s="221" t="n"/>
    </row>
    <row r="220" ht="15" customHeight="1" s="131">
      <c r="A220" s="220" t="n"/>
      <c r="B220" s="222" t="n"/>
      <c r="C220" s="220" t="n"/>
      <c r="D220" s="179" t="n"/>
      <c r="E220" s="219" t="n"/>
      <c r="F220" s="220" t="n"/>
      <c r="G220" s="221" t="n"/>
    </row>
    <row r="221" ht="15" customHeight="1" s="131">
      <c r="A221" s="220" t="n"/>
      <c r="B221" s="222" t="n"/>
      <c r="C221" s="220" t="n"/>
      <c r="D221" s="179" t="n"/>
      <c r="E221" s="219" t="n"/>
      <c r="F221" s="220" t="n"/>
      <c r="G221" s="221" t="n"/>
    </row>
    <row r="222" ht="15" customHeight="1" s="131">
      <c r="A222" s="220" t="n"/>
      <c r="B222" s="222" t="n"/>
      <c r="C222" s="220" t="n"/>
      <c r="D222" s="179" t="n"/>
      <c r="E222" s="219" t="n"/>
      <c r="F222" s="220" t="n"/>
      <c r="G222" s="221" t="n"/>
    </row>
    <row r="223" ht="15" customHeight="1" s="131">
      <c r="A223" s="220" t="n"/>
      <c r="B223" s="222" t="n"/>
      <c r="C223" s="220" t="n"/>
      <c r="D223" s="179" t="n"/>
      <c r="E223" s="219" t="n"/>
      <c r="F223" s="220" t="n"/>
      <c r="G223" s="221" t="n"/>
    </row>
    <row r="224" ht="15" customHeight="1" s="131">
      <c r="A224" s="220" t="n"/>
      <c r="B224" s="222" t="n"/>
      <c r="C224" s="220" t="n"/>
      <c r="D224" s="179" t="n"/>
      <c r="E224" s="219" t="n"/>
      <c r="F224" s="220" t="n"/>
      <c r="G224" s="221" t="n"/>
    </row>
    <row r="225" ht="15" customHeight="1" s="131">
      <c r="A225" s="220" t="n"/>
      <c r="B225" s="222" t="n"/>
      <c r="C225" s="220" t="n"/>
      <c r="D225" s="179" t="n"/>
      <c r="E225" s="219" t="n"/>
      <c r="F225" s="220" t="n"/>
      <c r="G225" s="221" t="n"/>
    </row>
    <row r="226" ht="15" customHeight="1" s="131">
      <c r="A226" s="220" t="n"/>
      <c r="B226" s="222" t="n"/>
      <c r="C226" s="220" t="n"/>
      <c r="D226" s="179" t="n"/>
      <c r="E226" s="219" t="n"/>
      <c r="F226" s="220" t="n"/>
      <c r="G226" s="221" t="n"/>
    </row>
    <row r="227" ht="15" customHeight="1" s="131">
      <c r="A227" s="220" t="n"/>
      <c r="B227" s="222" t="n"/>
      <c r="C227" s="220" t="n"/>
      <c r="D227" s="179" t="n"/>
      <c r="E227" s="219" t="n"/>
      <c r="F227" s="220" t="n"/>
      <c r="G227" s="221" t="n"/>
    </row>
    <row r="228" ht="15" customHeight="1" s="131">
      <c r="A228" s="220" t="n"/>
      <c r="B228" s="222" t="n"/>
      <c r="C228" s="220" t="n"/>
      <c r="D228" s="179" t="n"/>
      <c r="E228" s="219" t="n"/>
      <c r="F228" s="220" t="n"/>
      <c r="G228" s="221" t="n"/>
    </row>
    <row r="229" ht="15" customHeight="1" s="131">
      <c r="A229" s="220" t="n"/>
      <c r="B229" s="222" t="n"/>
      <c r="C229" s="220" t="n"/>
      <c r="D229" s="179" t="n"/>
      <c r="E229" s="219" t="n"/>
      <c r="F229" s="220" t="n"/>
      <c r="G229" s="221" t="n"/>
    </row>
    <row r="230" ht="15" customHeight="1" s="131">
      <c r="A230" s="220" t="n"/>
      <c r="B230" s="222" t="n"/>
      <c r="C230" s="220" t="n"/>
      <c r="D230" s="179" t="n"/>
      <c r="E230" s="219" t="n"/>
      <c r="F230" s="220" t="n"/>
      <c r="G230" s="221" t="n"/>
    </row>
    <row r="231" ht="15" customHeight="1" s="131">
      <c r="A231" s="220" t="n"/>
      <c r="B231" s="222" t="n"/>
      <c r="C231" s="220" t="n"/>
      <c r="D231" s="179" t="n"/>
      <c r="E231" s="219" t="n"/>
      <c r="F231" s="220" t="n"/>
      <c r="G231" s="221" t="n"/>
    </row>
    <row r="232" ht="15" customHeight="1" s="131">
      <c r="A232" s="220" t="n"/>
      <c r="B232" s="222" t="n"/>
      <c r="C232" s="220" t="n"/>
      <c r="D232" s="179" t="n"/>
      <c r="E232" s="219" t="n"/>
      <c r="F232" s="220" t="n"/>
      <c r="G232" s="221" t="n"/>
    </row>
    <row r="233" ht="15" customHeight="1" s="131">
      <c r="A233" s="220" t="n"/>
      <c r="B233" s="222" t="n"/>
      <c r="C233" s="220" t="n"/>
      <c r="D233" s="179" t="n"/>
      <c r="E233" s="219" t="n"/>
      <c r="F233" s="220" t="n"/>
      <c r="G233" s="221" t="n"/>
    </row>
    <row r="234" ht="15" customHeight="1" s="131">
      <c r="A234" s="220" t="n"/>
      <c r="B234" s="222" t="n"/>
      <c r="C234" s="220" t="n"/>
      <c r="D234" s="179" t="n"/>
      <c r="E234" s="219" t="n"/>
      <c r="F234" s="220" t="n"/>
      <c r="G234" s="221" t="n"/>
    </row>
    <row r="235" ht="15" customHeight="1" s="131">
      <c r="A235" s="220" t="n"/>
      <c r="B235" s="222" t="n"/>
      <c r="C235" s="220" t="n"/>
      <c r="D235" s="179" t="n"/>
      <c r="E235" s="219" t="n"/>
      <c r="F235" s="220" t="n"/>
      <c r="G235" s="221" t="n"/>
    </row>
    <row r="236" ht="15" customHeight="1" s="131">
      <c r="A236" s="220" t="n"/>
      <c r="B236" s="222" t="n"/>
      <c r="C236" s="220" t="n"/>
      <c r="D236" s="179" t="n"/>
      <c r="E236" s="219" t="n"/>
      <c r="F236" s="220" t="n"/>
      <c r="G236" s="221" t="n"/>
    </row>
    <row r="237" ht="15" customHeight="1" s="131">
      <c r="A237" s="220" t="n"/>
      <c r="B237" s="222" t="n"/>
      <c r="C237" s="220" t="n"/>
      <c r="D237" s="179" t="n"/>
      <c r="E237" s="219" t="n"/>
      <c r="F237" s="220" t="n"/>
      <c r="G237" s="221" t="n"/>
    </row>
    <row r="238" ht="15" customHeight="1" s="131">
      <c r="A238" s="220" t="n"/>
      <c r="B238" s="222" t="n"/>
      <c r="C238" s="220" t="n"/>
      <c r="D238" s="179" t="n"/>
      <c r="E238" s="219" t="n"/>
      <c r="F238" s="220" t="n"/>
      <c r="G238" s="221" t="n"/>
    </row>
    <row r="239" ht="15" customHeight="1" s="131">
      <c r="A239" s="220" t="n"/>
      <c r="B239" s="222" t="n"/>
      <c r="C239" s="220" t="n"/>
      <c r="D239" s="179" t="n"/>
      <c r="E239" s="219" t="n"/>
      <c r="F239" s="220" t="n"/>
      <c r="G239" s="221" t="n"/>
    </row>
    <row r="240" ht="15" customHeight="1" s="131">
      <c r="A240" s="220" t="n"/>
      <c r="B240" s="222" t="n"/>
      <c r="C240" s="220" t="n"/>
      <c r="D240" s="179" t="n"/>
      <c r="E240" s="219" t="n"/>
      <c r="F240" s="220" t="n"/>
      <c r="G240" s="221" t="n"/>
    </row>
    <row r="241" ht="15" customHeight="1" s="131">
      <c r="A241" s="220" t="n"/>
      <c r="B241" s="222" t="n"/>
      <c r="C241" s="220" t="n"/>
      <c r="D241" s="179" t="n"/>
      <c r="E241" s="219" t="n"/>
      <c r="F241" s="220" t="n"/>
      <c r="G241" s="221" t="n"/>
    </row>
    <row r="242" ht="15" customHeight="1" s="131">
      <c r="A242" s="220" t="n"/>
      <c r="B242" s="222" t="n"/>
      <c r="C242" s="220" t="n"/>
      <c r="D242" s="179" t="n"/>
      <c r="E242" s="219" t="n"/>
      <c r="F242" s="220" t="n"/>
      <c r="G242" s="221" t="n"/>
    </row>
    <row r="243" ht="15" customHeight="1" s="131">
      <c r="A243" s="220" t="n"/>
      <c r="B243" s="222" t="n"/>
      <c r="C243" s="220" t="n"/>
      <c r="D243" s="179" t="n"/>
      <c r="E243" s="219" t="n"/>
      <c r="F243" s="220" t="n"/>
      <c r="G243" s="221" t="n"/>
    </row>
    <row r="244" ht="15" customHeight="1" s="131">
      <c r="A244" s="220" t="n"/>
      <c r="B244" s="222" t="n"/>
      <c r="C244" s="220" t="n"/>
      <c r="D244" s="179" t="n"/>
      <c r="E244" s="219" t="n"/>
      <c r="F244" s="220" t="n"/>
      <c r="G244" s="221" t="n"/>
    </row>
    <row r="245" ht="15" customHeight="1" s="131">
      <c r="A245" s="220" t="n"/>
      <c r="B245" s="222" t="n"/>
      <c r="C245" s="220" t="n"/>
      <c r="D245" s="179" t="n"/>
      <c r="E245" s="219" t="n"/>
      <c r="F245" s="220" t="n"/>
      <c r="G245" s="221" t="n"/>
    </row>
    <row r="246" ht="15" customHeight="1" s="131">
      <c r="A246" s="220" t="n"/>
      <c r="B246" s="222" t="n"/>
      <c r="C246" s="220" t="n"/>
      <c r="D246" s="179" t="n"/>
      <c r="E246" s="219" t="n"/>
      <c r="F246" s="220" t="n"/>
      <c r="G246" s="221" t="n"/>
    </row>
    <row r="247" ht="15" customHeight="1" s="131">
      <c r="A247" s="220" t="n"/>
      <c r="B247" s="222" t="n"/>
      <c r="C247" s="220" t="n"/>
      <c r="D247" s="179" t="n"/>
      <c r="E247" s="219" t="n"/>
      <c r="F247" s="220" t="n"/>
      <c r="G247" s="221" t="n"/>
    </row>
    <row r="248" ht="15" customHeight="1" s="131">
      <c r="A248" s="220" t="n"/>
      <c r="B248" s="222" t="n"/>
      <c r="C248" s="220" t="n"/>
      <c r="D248" s="179" t="n"/>
      <c r="E248" s="219" t="n"/>
      <c r="F248" s="220" t="n"/>
      <c r="G248" s="221" t="n"/>
    </row>
    <row r="249" ht="15" customHeight="1" s="131">
      <c r="A249" s="220" t="n"/>
      <c r="B249" s="222" t="n"/>
      <c r="C249" s="220" t="n"/>
      <c r="D249" s="179" t="n"/>
      <c r="E249" s="219" t="n"/>
      <c r="F249" s="220" t="n"/>
      <c r="G249" s="221" t="n"/>
    </row>
    <row r="250" ht="15" customHeight="1" s="131">
      <c r="A250" s="220" t="n"/>
      <c r="B250" s="222" t="n"/>
      <c r="C250" s="220" t="n"/>
      <c r="D250" s="179" t="n"/>
      <c r="E250" s="219" t="n"/>
      <c r="F250" s="220" t="n"/>
      <c r="G250" s="221" t="n"/>
    </row>
    <row r="251" ht="15" customHeight="1" s="131">
      <c r="A251" s="220" t="n"/>
      <c r="B251" s="222" t="n"/>
      <c r="C251" s="220" t="n"/>
      <c r="D251" s="179" t="n"/>
      <c r="E251" s="219" t="n"/>
      <c r="F251" s="220" t="n"/>
      <c r="G251" s="221" t="n"/>
    </row>
    <row r="252" ht="15" customHeight="1" s="131">
      <c r="A252" s="220" t="n"/>
      <c r="B252" s="222" t="n"/>
      <c r="C252" s="220" t="n"/>
      <c r="D252" s="179" t="n"/>
      <c r="E252" s="219" t="n"/>
      <c r="F252" s="220" t="n"/>
      <c r="G252" s="221" t="n"/>
    </row>
    <row r="253" ht="15" customHeight="1" s="131">
      <c r="A253" s="220" t="n"/>
      <c r="B253" s="222" t="n"/>
      <c r="C253" s="220" t="n"/>
      <c r="D253" s="179" t="n"/>
      <c r="E253" s="219" t="n"/>
      <c r="F253" s="220" t="n"/>
      <c r="G253" s="221" t="n"/>
    </row>
    <row r="254" ht="15" customHeight="1" s="131">
      <c r="A254" s="220" t="n"/>
      <c r="B254" s="222" t="n"/>
      <c r="C254" s="220" t="n"/>
      <c r="D254" s="179" t="n"/>
      <c r="E254" s="219" t="n"/>
      <c r="F254" s="220" t="n"/>
      <c r="G254" s="221" t="n"/>
    </row>
    <row r="255" ht="15" customHeight="1" s="131">
      <c r="A255" s="220" t="n"/>
      <c r="B255" s="222" t="n"/>
      <c r="C255" s="220" t="n"/>
      <c r="D255" s="179" t="n"/>
      <c r="E255" s="219" t="n"/>
      <c r="F255" s="220" t="n"/>
      <c r="G255" s="221" t="n"/>
    </row>
    <row r="256" ht="15" customHeight="1" s="131">
      <c r="A256" s="220" t="n"/>
      <c r="B256" s="222" t="n"/>
      <c r="C256" s="220" t="n"/>
      <c r="D256" s="179" t="n"/>
      <c r="E256" s="219" t="n"/>
      <c r="F256" s="220" t="n"/>
      <c r="G256" s="221" t="n"/>
    </row>
    <row r="257" ht="15" customHeight="1" s="131">
      <c r="A257" s="220" t="n"/>
      <c r="B257" s="222" t="n"/>
      <c r="C257" s="220" t="n"/>
      <c r="D257" s="179" t="n"/>
      <c r="E257" s="219" t="n"/>
      <c r="F257" s="220" t="n"/>
      <c r="G257" s="221" t="n"/>
    </row>
    <row r="258" ht="15" customHeight="1" s="131">
      <c r="A258" s="220" t="n"/>
      <c r="B258" s="222" t="n"/>
      <c r="C258" s="220" t="n"/>
      <c r="D258" s="179" t="n"/>
      <c r="E258" s="219" t="n"/>
      <c r="F258" s="220" t="n"/>
      <c r="G258" s="221" t="n"/>
    </row>
    <row r="259" ht="15" customHeight="1" s="131">
      <c r="A259" s="220" t="n"/>
      <c r="B259" s="222" t="n"/>
      <c r="C259" s="220" t="n"/>
      <c r="D259" s="179" t="n"/>
      <c r="E259" s="219" t="n"/>
      <c r="F259" s="220" t="n"/>
      <c r="G259" s="221" t="n"/>
    </row>
    <row r="260" ht="15" customHeight="1" s="131">
      <c r="A260" s="220" t="n"/>
      <c r="B260" s="222" t="n"/>
      <c r="C260" s="220" t="n"/>
      <c r="D260" s="179" t="n"/>
      <c r="E260" s="219" t="n"/>
      <c r="F260" s="220" t="n"/>
      <c r="G260" s="221" t="n"/>
    </row>
    <row r="261" ht="15" customHeight="1" s="131">
      <c r="A261" s="220" t="n"/>
      <c r="B261" s="222" t="n"/>
      <c r="C261" s="220" t="n"/>
      <c r="D261" s="179" t="n"/>
      <c r="E261" s="219" t="n"/>
      <c r="F261" s="220" t="n"/>
      <c r="G261" s="221" t="n"/>
    </row>
    <row r="262" ht="15" customHeight="1" s="131">
      <c r="A262" s="220" t="n"/>
      <c r="B262" s="222" t="n"/>
      <c r="C262" s="220" t="n"/>
      <c r="D262" s="179" t="n"/>
      <c r="E262" s="219" t="n"/>
      <c r="F262" s="220" t="n"/>
      <c r="G262" s="221" t="n"/>
    </row>
    <row r="263" ht="15" customHeight="1" s="131">
      <c r="A263" s="220" t="n"/>
      <c r="B263" s="222" t="n"/>
      <c r="C263" s="220" t="n"/>
      <c r="D263" s="179" t="n"/>
      <c r="E263" s="219" t="n"/>
      <c r="F263" s="220" t="n"/>
      <c r="G263" s="221" t="n"/>
    </row>
    <row r="264" ht="15" customHeight="1" s="131">
      <c r="A264" s="220" t="n"/>
      <c r="B264" s="222" t="n"/>
      <c r="C264" s="220" t="n"/>
      <c r="D264" s="179" t="n"/>
      <c r="E264" s="219" t="n"/>
      <c r="F264" s="220" t="n"/>
      <c r="G264" s="221" t="n"/>
    </row>
    <row r="265" ht="15" customHeight="1" s="131">
      <c r="A265" s="220" t="n"/>
      <c r="B265" s="222" t="n"/>
      <c r="C265" s="220" t="n"/>
      <c r="D265" s="179" t="n"/>
      <c r="E265" s="219" t="n"/>
      <c r="F265" s="220" t="n"/>
      <c r="G265" s="221" t="n"/>
    </row>
    <row r="266" ht="15" customHeight="1" s="131">
      <c r="A266" s="220" t="n"/>
      <c r="B266" s="222" t="n"/>
      <c r="C266" s="220" t="n"/>
      <c r="D266" s="179" t="n"/>
      <c r="E266" s="219" t="n"/>
      <c r="F266" s="220" t="n"/>
      <c r="G266" s="221" t="n"/>
    </row>
    <row r="267" ht="15" customHeight="1" s="131">
      <c r="A267" s="220" t="n"/>
      <c r="B267" s="222" t="n"/>
      <c r="C267" s="220" t="n"/>
      <c r="D267" s="179" t="n"/>
      <c r="E267" s="219" t="n"/>
      <c r="F267" s="220" t="n"/>
      <c r="G267" s="221" t="n"/>
    </row>
    <row r="268" ht="15" customHeight="1" s="131">
      <c r="A268" s="220" t="n"/>
      <c r="B268" s="222" t="n"/>
      <c r="C268" s="220" t="n"/>
      <c r="D268" s="179" t="n"/>
      <c r="E268" s="219" t="n"/>
      <c r="F268" s="220" t="n"/>
      <c r="G268" s="221" t="n"/>
    </row>
    <row r="269" ht="15" customHeight="1" s="131">
      <c r="A269" s="220" t="n"/>
      <c r="B269" s="222" t="n"/>
      <c r="C269" s="220" t="n"/>
      <c r="D269" s="179" t="n"/>
      <c r="E269" s="219" t="n"/>
      <c r="F269" s="220" t="n"/>
      <c r="G269" s="221" t="n"/>
    </row>
    <row r="270" ht="15" customHeight="1" s="131">
      <c r="A270" s="220" t="n"/>
      <c r="B270" s="222" t="n"/>
      <c r="C270" s="220" t="n"/>
      <c r="D270" s="179" t="n"/>
      <c r="E270" s="219" t="n"/>
      <c r="F270" s="220" t="n"/>
      <c r="G270" s="221" t="n"/>
    </row>
    <row r="271" ht="15" customHeight="1" s="131">
      <c r="A271" s="220" t="n"/>
      <c r="B271" s="222" t="n"/>
      <c r="C271" s="220" t="n"/>
      <c r="D271" s="179" t="n"/>
      <c r="E271" s="219" t="n"/>
      <c r="F271" s="220" t="n"/>
      <c r="G271" s="221" t="n"/>
    </row>
    <row r="272" ht="15" customHeight="1" s="131">
      <c r="A272" s="220" t="n"/>
      <c r="B272" s="222" t="n"/>
      <c r="C272" s="220" t="n"/>
      <c r="D272" s="179" t="n"/>
      <c r="E272" s="219" t="n"/>
      <c r="F272" s="220" t="n"/>
      <c r="G272" s="221" t="n"/>
    </row>
    <row r="273" ht="15" customHeight="1" s="131">
      <c r="A273" s="220" t="n"/>
      <c r="B273" s="222" t="n"/>
      <c r="C273" s="220" t="n"/>
      <c r="D273" s="179" t="n"/>
      <c r="E273" s="219" t="n"/>
      <c r="F273" s="220" t="n"/>
      <c r="G273" s="221" t="n"/>
    </row>
    <row r="274" ht="15" customHeight="1" s="131">
      <c r="A274" s="220" t="n"/>
      <c r="B274" s="222" t="n"/>
      <c r="C274" s="220" t="n"/>
      <c r="D274" s="179" t="n"/>
      <c r="E274" s="219" t="n"/>
      <c r="F274" s="220" t="n"/>
      <c r="G274" s="221" t="n"/>
    </row>
    <row r="275" ht="15" customHeight="1" s="131">
      <c r="A275" s="220" t="n"/>
      <c r="B275" s="222" t="n"/>
      <c r="C275" s="220" t="n"/>
      <c r="D275" s="179" t="n"/>
      <c r="E275" s="219" t="n"/>
      <c r="F275" s="220" t="n"/>
      <c r="G275" s="221" t="n"/>
    </row>
    <row r="276" ht="15" customHeight="1" s="131">
      <c r="A276" s="220" t="n"/>
      <c r="B276" s="222" t="n"/>
      <c r="C276" s="220" t="n"/>
      <c r="D276" s="179" t="n"/>
      <c r="E276" s="219" t="n"/>
      <c r="F276" s="220" t="n"/>
      <c r="G276" s="221" t="n"/>
    </row>
    <row r="277" ht="15" customHeight="1" s="131">
      <c r="A277" s="220" t="n"/>
      <c r="B277" s="222" t="n"/>
      <c r="C277" s="220" t="n"/>
      <c r="D277" s="179" t="n"/>
      <c r="E277" s="219" t="n"/>
      <c r="F277" s="220" t="n"/>
      <c r="G277" s="221" t="n"/>
    </row>
    <row r="278" ht="15" customHeight="1" s="131">
      <c r="A278" s="220" t="n"/>
      <c r="B278" s="222" t="n"/>
      <c r="C278" s="220" t="n"/>
      <c r="D278" s="179" t="n"/>
      <c r="E278" s="219" t="n"/>
      <c r="F278" s="220" t="n"/>
      <c r="G278" s="221" t="n"/>
    </row>
    <row r="279" ht="15" customHeight="1" s="131">
      <c r="A279" s="220" t="n"/>
      <c r="B279" s="222" t="n"/>
      <c r="C279" s="220" t="n"/>
      <c r="D279" s="179" t="n"/>
      <c r="E279" s="219" t="n"/>
      <c r="F279" s="220" t="n"/>
      <c r="G279" s="221" t="n"/>
    </row>
    <row r="280" ht="15" customHeight="1" s="131">
      <c r="A280" s="220" t="n"/>
      <c r="B280" s="222" t="n"/>
      <c r="C280" s="220" t="n"/>
      <c r="D280" s="179" t="n"/>
      <c r="E280" s="219" t="n"/>
      <c r="F280" s="220" t="n"/>
      <c r="G280" s="221" t="n"/>
    </row>
    <row r="281" ht="15" customHeight="1" s="131">
      <c r="A281" s="220" t="n"/>
      <c r="B281" s="222" t="n"/>
      <c r="C281" s="220" t="n"/>
      <c r="D281" s="179" t="n"/>
      <c r="E281" s="219" t="n"/>
      <c r="F281" s="220" t="n"/>
      <c r="G281" s="221" t="n"/>
    </row>
    <row r="282" ht="15" customHeight="1" s="131">
      <c r="A282" s="220" t="n"/>
      <c r="B282" s="222" t="n"/>
      <c r="C282" s="220" t="n"/>
      <c r="D282" s="179" t="n"/>
      <c r="E282" s="219" t="n"/>
      <c r="F282" s="220" t="n"/>
      <c r="G282" s="221" t="n"/>
    </row>
    <row r="283" ht="15" customHeight="1" s="131">
      <c r="A283" s="220" t="n"/>
      <c r="B283" s="222" t="n"/>
      <c r="C283" s="220" t="n"/>
      <c r="D283" s="179" t="n"/>
      <c r="E283" s="219" t="n"/>
      <c r="F283" s="220" t="n"/>
      <c r="G283" s="221" t="n"/>
    </row>
    <row r="284" ht="15" customHeight="1" s="131">
      <c r="A284" s="220" t="n"/>
      <c r="B284" s="222" t="n"/>
      <c r="C284" s="220" t="n"/>
      <c r="D284" s="179" t="n"/>
      <c r="E284" s="219" t="n"/>
      <c r="F284" s="220" t="n"/>
      <c r="G284" s="221" t="n"/>
    </row>
    <row r="285" ht="15" customHeight="1" s="131">
      <c r="A285" s="220" t="n"/>
      <c r="B285" s="222" t="n"/>
      <c r="C285" s="220" t="n"/>
      <c r="D285" s="179" t="n"/>
      <c r="E285" s="219" t="n"/>
      <c r="F285" s="220" t="n"/>
      <c r="G285" s="221" t="n"/>
    </row>
    <row r="286" ht="15" customHeight="1" s="131">
      <c r="A286" s="220" t="n"/>
      <c r="B286" s="222" t="n"/>
      <c r="C286" s="220" t="n"/>
      <c r="D286" s="179" t="n"/>
      <c r="E286" s="219" t="n"/>
      <c r="F286" s="220" t="n"/>
      <c r="G286" s="221" t="n"/>
    </row>
    <row r="287" ht="15" customHeight="1" s="131">
      <c r="A287" s="220" t="n"/>
      <c r="B287" s="222" t="n"/>
      <c r="C287" s="220" t="n"/>
      <c r="D287" s="179" t="n"/>
      <c r="E287" s="219" t="n"/>
      <c r="F287" s="220" t="n"/>
      <c r="G287" s="221" t="n"/>
    </row>
    <row r="288" ht="15" customHeight="1" s="131">
      <c r="A288" s="220" t="n"/>
      <c r="B288" s="222" t="n"/>
      <c r="C288" s="220" t="n"/>
      <c r="D288" s="179" t="n"/>
      <c r="E288" s="219" t="n"/>
      <c r="F288" s="220" t="n"/>
      <c r="G288" s="221" t="n"/>
    </row>
    <row r="289" ht="15" customHeight="1" s="131">
      <c r="A289" s="220" t="n"/>
      <c r="B289" s="222" t="n"/>
      <c r="C289" s="220" t="n"/>
      <c r="D289" s="179" t="n"/>
      <c r="E289" s="219" t="n"/>
      <c r="F289" s="220" t="n"/>
      <c r="G289" s="221" t="n"/>
    </row>
    <row r="290" ht="15" customHeight="1" s="131">
      <c r="A290" s="220" t="n"/>
      <c r="B290" s="222" t="n"/>
      <c r="C290" s="220" t="n"/>
      <c r="D290" s="179" t="n"/>
      <c r="E290" s="219" t="n"/>
      <c r="F290" s="220" t="n"/>
      <c r="G290" s="221" t="n"/>
    </row>
    <row r="291" ht="15" customHeight="1" s="131">
      <c r="A291" s="220" t="n"/>
      <c r="B291" s="222" t="n"/>
      <c r="C291" s="220" t="n"/>
      <c r="D291" s="179" t="n"/>
      <c r="E291" s="219" t="n"/>
      <c r="F291" s="220" t="n"/>
      <c r="G291" s="221" t="n"/>
    </row>
    <row r="292" ht="15" customHeight="1" s="131">
      <c r="A292" s="220" t="n"/>
      <c r="B292" s="222" t="n"/>
      <c r="C292" s="220" t="n"/>
      <c r="D292" s="179" t="n"/>
      <c r="E292" s="219" t="n"/>
      <c r="F292" s="220" t="n"/>
      <c r="G292" s="221" t="n"/>
    </row>
    <row r="293" ht="15" customHeight="1" s="131">
      <c r="A293" s="220" t="n"/>
      <c r="B293" s="222" t="n"/>
      <c r="C293" s="220" t="n"/>
      <c r="D293" s="179" t="n"/>
      <c r="E293" s="219" t="n"/>
      <c r="F293" s="220" t="n"/>
      <c r="G293" s="221" t="n"/>
    </row>
    <row r="294" ht="15" customHeight="1" s="131">
      <c r="A294" s="220" t="n"/>
      <c r="B294" s="222" t="n"/>
      <c r="C294" s="220" t="n"/>
      <c r="D294" s="179" t="n"/>
      <c r="E294" s="219" t="n"/>
      <c r="F294" s="220" t="n"/>
      <c r="G294" s="221" t="n"/>
    </row>
    <row r="295" ht="15" customHeight="1" s="131">
      <c r="A295" s="220" t="n"/>
      <c r="B295" s="222" t="n"/>
      <c r="C295" s="220" t="n"/>
      <c r="D295" s="179" t="n"/>
      <c r="E295" s="219" t="n"/>
      <c r="F295" s="220" t="n"/>
      <c r="G295" s="221" t="n"/>
    </row>
    <row r="296" ht="15" customHeight="1" s="131">
      <c r="A296" s="220" t="n"/>
      <c r="B296" s="222" t="n"/>
      <c r="C296" s="220" t="n"/>
      <c r="D296" s="179" t="n"/>
      <c r="E296" s="219" t="n"/>
      <c r="F296" s="220" t="n"/>
      <c r="G296" s="221" t="n"/>
    </row>
    <row r="297" ht="15" customHeight="1" s="131">
      <c r="A297" s="220" t="n"/>
      <c r="B297" s="222" t="n"/>
      <c r="C297" s="220" t="n"/>
      <c r="D297" s="179" t="n"/>
      <c r="E297" s="219" t="n"/>
      <c r="F297" s="220" t="n"/>
      <c r="G297" s="221" t="n"/>
    </row>
    <row r="298" ht="15" customHeight="1" s="131">
      <c r="A298" s="220" t="n"/>
      <c r="B298" s="222" t="n"/>
      <c r="C298" s="220" t="n"/>
      <c r="D298" s="179" t="n"/>
      <c r="E298" s="219" t="n"/>
      <c r="F298" s="220" t="n"/>
      <c r="G298" s="221" t="n"/>
    </row>
    <row r="299" ht="15" customHeight="1" s="131">
      <c r="A299" s="220" t="n"/>
      <c r="B299" s="222" t="n"/>
      <c r="C299" s="220" t="n"/>
      <c r="D299" s="179" t="n"/>
      <c r="E299" s="219" t="n"/>
      <c r="F299" s="220" t="n"/>
      <c r="G299" s="221" t="n"/>
    </row>
    <row r="300" ht="15" customHeight="1" s="131">
      <c r="A300" s="220" t="n"/>
      <c r="B300" s="222" t="n"/>
      <c r="C300" s="220" t="n"/>
      <c r="D300" s="179" t="n"/>
      <c r="E300" s="219" t="n"/>
      <c r="F300" s="220" t="n"/>
      <c r="G300" s="221" t="n"/>
    </row>
    <row r="301" ht="15" customHeight="1" s="131">
      <c r="A301" s="220" t="n"/>
      <c r="B301" s="222" t="n"/>
      <c r="C301" s="220" t="n"/>
      <c r="D301" s="179" t="n"/>
      <c r="E301" s="219" t="n"/>
      <c r="F301" s="220" t="n"/>
      <c r="G301" s="221" t="n"/>
    </row>
    <row r="302" ht="15" customHeight="1" s="131">
      <c r="A302" s="220" t="n"/>
      <c r="B302" s="222" t="n"/>
      <c r="C302" s="220" t="n"/>
      <c r="D302" s="179" t="n"/>
      <c r="E302" s="219" t="n"/>
      <c r="F302" s="220" t="n"/>
      <c r="G302" s="221" t="n"/>
    </row>
    <row r="303" ht="15" customHeight="1" s="131">
      <c r="A303" s="220" t="n"/>
      <c r="B303" s="222" t="n"/>
      <c r="C303" s="220" t="n"/>
      <c r="D303" s="179" t="n"/>
      <c r="E303" s="219" t="n"/>
      <c r="F303" s="220" t="n"/>
      <c r="G303" s="221" t="n"/>
    </row>
    <row r="304" ht="15" customHeight="1" s="131">
      <c r="A304" s="220" t="n"/>
      <c r="B304" s="222" t="n"/>
      <c r="C304" s="220" t="n"/>
      <c r="D304" s="179" t="n"/>
      <c r="E304" s="219" t="n"/>
      <c r="F304" s="220" t="n"/>
      <c r="G304" s="221" t="n"/>
    </row>
    <row r="305" ht="15" customHeight="1" s="131">
      <c r="A305" s="220" t="n"/>
      <c r="B305" s="222" t="n"/>
      <c r="C305" s="220" t="n"/>
      <c r="D305" s="179" t="n"/>
      <c r="E305" s="219" t="n"/>
      <c r="F305" s="220" t="n"/>
      <c r="G305" s="221" t="n"/>
    </row>
    <row r="306" ht="15" customHeight="1" s="131">
      <c r="A306" s="220" t="n"/>
      <c r="B306" s="222" t="n"/>
      <c r="C306" s="220" t="n"/>
      <c r="D306" s="179" t="n"/>
      <c r="E306" s="219" t="n"/>
      <c r="F306" s="220" t="n"/>
      <c r="G306" s="221" t="n"/>
    </row>
    <row r="307" ht="15" customHeight="1" s="131">
      <c r="A307" s="220" t="n"/>
      <c r="B307" s="222" t="n"/>
      <c r="C307" s="220" t="n"/>
      <c r="D307" s="179" t="n"/>
      <c r="E307" s="219" t="n"/>
      <c r="F307" s="220" t="n"/>
      <c r="G307" s="221" t="n"/>
    </row>
    <row r="308" ht="15" customHeight="1" s="131">
      <c r="A308" s="220" t="n"/>
      <c r="B308" s="222" t="n"/>
      <c r="C308" s="220" t="n"/>
      <c r="D308" s="179" t="n"/>
      <c r="E308" s="219" t="n"/>
      <c r="F308" s="220" t="n"/>
      <c r="G308" s="221" t="n"/>
    </row>
    <row r="309" ht="15" customHeight="1" s="131">
      <c r="A309" s="220" t="n"/>
      <c r="B309" s="222" t="n"/>
      <c r="C309" s="220" t="n"/>
      <c r="D309" s="179" t="n"/>
      <c r="E309" s="219" t="n"/>
      <c r="F309" s="220" t="n"/>
      <c r="G309" s="221" t="n"/>
    </row>
    <row r="310" ht="15" customHeight="1" s="131">
      <c r="A310" s="220" t="n"/>
      <c r="B310" s="222" t="n"/>
      <c r="C310" s="220" t="n"/>
      <c r="D310" s="179" t="n"/>
      <c r="E310" s="219" t="n"/>
      <c r="F310" s="220" t="n"/>
      <c r="G310" s="221" t="n"/>
    </row>
    <row r="311" ht="15" customHeight="1" s="131">
      <c r="A311" s="220" t="n"/>
      <c r="B311" s="222" t="n"/>
      <c r="C311" s="220" t="n"/>
      <c r="D311" s="179" t="n"/>
      <c r="E311" s="219" t="n"/>
      <c r="F311" s="220" t="n"/>
      <c r="G311" s="221" t="n"/>
    </row>
    <row r="312" ht="15" customHeight="1" s="131">
      <c r="A312" s="220" t="n"/>
      <c r="B312" s="222" t="n"/>
      <c r="C312" s="220" t="n"/>
      <c r="D312" s="179" t="n"/>
      <c r="E312" s="219" t="n"/>
      <c r="F312" s="220" t="n"/>
      <c r="G312" s="221" t="n"/>
    </row>
    <row r="313" ht="15" customHeight="1" s="131">
      <c r="A313" s="220" t="n"/>
      <c r="B313" s="222" t="n"/>
      <c r="C313" s="220" t="n"/>
      <c r="D313" s="179" t="n"/>
      <c r="E313" s="219" t="n"/>
      <c r="F313" s="220" t="n"/>
      <c r="G313" s="221" t="n"/>
    </row>
    <row r="314" ht="15" customHeight="1" s="131">
      <c r="A314" s="220" t="n"/>
      <c r="B314" s="222" t="n"/>
      <c r="C314" s="220" t="n"/>
      <c r="D314" s="179" t="n"/>
      <c r="E314" s="219" t="n"/>
      <c r="F314" s="220" t="n"/>
      <c r="G314" s="221" t="n"/>
    </row>
    <row r="315" ht="15" customHeight="1" s="131">
      <c r="A315" s="220" t="n"/>
      <c r="B315" s="222" t="n"/>
      <c r="C315" s="220" t="n"/>
      <c r="D315" s="179" t="n"/>
      <c r="E315" s="219" t="n"/>
      <c r="F315" s="220" t="n"/>
      <c r="G315" s="221" t="n"/>
    </row>
    <row r="316" ht="15" customHeight="1" s="131">
      <c r="A316" s="220" t="n"/>
      <c r="B316" s="222" t="n"/>
      <c r="C316" s="220" t="n"/>
      <c r="D316" s="179" t="n"/>
      <c r="E316" s="219" t="n"/>
      <c r="F316" s="220" t="n"/>
      <c r="G316" s="221" t="n"/>
    </row>
    <row r="317" ht="15" customHeight="1" s="131">
      <c r="A317" s="220" t="n"/>
      <c r="B317" s="222" t="n"/>
      <c r="C317" s="220" t="n"/>
      <c r="D317" s="179" t="n"/>
      <c r="E317" s="219" t="n"/>
      <c r="F317" s="220" t="n"/>
      <c r="G317" s="221" t="n"/>
    </row>
    <row r="318" ht="15" customHeight="1" s="131">
      <c r="A318" s="220" t="n"/>
      <c r="B318" s="222" t="n"/>
      <c r="C318" s="220" t="n"/>
      <c r="D318" s="179" t="n"/>
      <c r="E318" s="219" t="n"/>
      <c r="F318" s="220" t="n"/>
      <c r="G318" s="221" t="n"/>
    </row>
    <row r="319" ht="15" customHeight="1" s="131">
      <c r="A319" s="220" t="n"/>
      <c r="B319" s="222" t="n"/>
      <c r="C319" s="220" t="n"/>
      <c r="D319" s="179" t="n"/>
      <c r="E319" s="219" t="n"/>
      <c r="F319" s="220" t="n"/>
      <c r="G319" s="221" t="n"/>
    </row>
    <row r="320" ht="15" customHeight="1" s="131">
      <c r="A320" s="220" t="n"/>
      <c r="B320" s="222" t="n"/>
      <c r="C320" s="220" t="n"/>
      <c r="D320" s="179" t="n"/>
      <c r="E320" s="219" t="n"/>
      <c r="F320" s="220" t="n"/>
      <c r="G320" s="221" t="n"/>
    </row>
    <row r="321" ht="15" customHeight="1" s="131">
      <c r="A321" s="220" t="n"/>
      <c r="B321" s="222" t="n"/>
      <c r="C321" s="220" t="n"/>
      <c r="D321" s="179" t="n"/>
      <c r="E321" s="219" t="n"/>
      <c r="F321" s="220" t="n"/>
      <c r="G321" s="221" t="n"/>
    </row>
    <row r="322" ht="15" customHeight="1" s="131">
      <c r="A322" s="220" t="n"/>
      <c r="B322" s="222" t="n"/>
      <c r="C322" s="220" t="n"/>
      <c r="D322" s="179" t="n"/>
      <c r="E322" s="219" t="n"/>
      <c r="F322" s="220" t="n"/>
      <c r="G322" s="221" t="n"/>
    </row>
    <row r="323" ht="15" customHeight="1" s="131">
      <c r="A323" s="220" t="n"/>
      <c r="B323" s="222" t="n"/>
      <c r="C323" s="220" t="n"/>
      <c r="D323" s="179" t="n"/>
      <c r="E323" s="219" t="n"/>
      <c r="F323" s="220" t="n"/>
      <c r="G323" s="221" t="n"/>
    </row>
    <row r="324" ht="15" customHeight="1" s="131">
      <c r="A324" s="220" t="n"/>
      <c r="B324" s="222" t="n"/>
      <c r="C324" s="220" t="n"/>
      <c r="D324" s="179" t="n"/>
      <c r="E324" s="219" t="n"/>
      <c r="F324" s="220" t="n"/>
      <c r="G324" s="221" t="n"/>
    </row>
    <row r="325" ht="15" customHeight="1" s="131">
      <c r="A325" s="220" t="n"/>
      <c r="B325" s="222" t="n"/>
      <c r="C325" s="220" t="n"/>
      <c r="D325" s="179" t="n"/>
      <c r="E325" s="219" t="n"/>
      <c r="F325" s="220" t="n"/>
      <c r="G325" s="221" t="n"/>
    </row>
    <row r="326" ht="15" customHeight="1" s="131">
      <c r="A326" s="220" t="n"/>
      <c r="B326" s="222" t="n"/>
      <c r="C326" s="220" t="n"/>
      <c r="D326" s="179" t="n"/>
      <c r="E326" s="219" t="n"/>
      <c r="F326" s="220" t="n"/>
      <c r="G326" s="221" t="n"/>
    </row>
    <row r="327" ht="15" customHeight="1" s="131">
      <c r="A327" s="220" t="n"/>
      <c r="B327" s="222" t="n"/>
      <c r="C327" s="220" t="n"/>
      <c r="D327" s="179" t="n"/>
      <c r="E327" s="219" t="n"/>
      <c r="F327" s="220" t="n"/>
      <c r="G327" s="221" t="n"/>
    </row>
    <row r="328" ht="15" customHeight="1" s="131">
      <c r="A328" s="220" t="n"/>
      <c r="B328" s="222" t="n"/>
      <c r="C328" s="220" t="n"/>
      <c r="D328" s="179" t="n"/>
      <c r="E328" s="219" t="n"/>
      <c r="F328" s="220" t="n"/>
      <c r="G328" s="221" t="n"/>
    </row>
    <row r="329" ht="15" customHeight="1" s="131">
      <c r="A329" s="220" t="n"/>
      <c r="B329" s="222" t="n"/>
      <c r="C329" s="220" t="n"/>
      <c r="D329" s="179" t="n"/>
      <c r="E329" s="219" t="n"/>
      <c r="F329" s="220" t="n"/>
      <c r="G329" s="221" t="n"/>
    </row>
    <row r="330" ht="15" customHeight="1" s="131">
      <c r="A330" s="220" t="n"/>
      <c r="B330" s="222" t="n"/>
      <c r="C330" s="220" t="n"/>
      <c r="D330" s="179" t="n"/>
      <c r="E330" s="219" t="n"/>
      <c r="F330" s="220" t="n"/>
      <c r="G330" s="221" t="n"/>
    </row>
    <row r="331" ht="15" customHeight="1" s="131">
      <c r="A331" s="220" t="n"/>
      <c r="B331" s="222" t="n"/>
      <c r="C331" s="220" t="n"/>
      <c r="D331" s="179" t="n"/>
      <c r="E331" s="219" t="n"/>
      <c r="F331" s="220" t="n"/>
      <c r="G331" s="221" t="n"/>
    </row>
    <row r="332" ht="15" customHeight="1" s="131">
      <c r="A332" s="220" t="n"/>
      <c r="B332" s="222" t="n"/>
      <c r="C332" s="220" t="n"/>
      <c r="D332" s="179" t="n"/>
      <c r="E332" s="219" t="n"/>
      <c r="F332" s="220" t="n"/>
      <c r="G332" s="221" t="n"/>
    </row>
    <row r="333" ht="15" customHeight="1" s="131">
      <c r="A333" s="220" t="n"/>
      <c r="B333" s="222" t="n"/>
      <c r="C333" s="220" t="n"/>
      <c r="D333" s="179" t="n"/>
      <c r="E333" s="219" t="n"/>
      <c r="F333" s="220" t="n"/>
      <c r="G333" s="221" t="n"/>
    </row>
    <row r="334" ht="15" customHeight="1" s="131">
      <c r="A334" s="220" t="n"/>
      <c r="B334" s="222" t="n"/>
      <c r="C334" s="220" t="n"/>
      <c r="D334" s="179" t="n"/>
      <c r="E334" s="219" t="n"/>
      <c r="F334" s="220" t="n"/>
      <c r="G334" s="221" t="n"/>
    </row>
    <row r="335" ht="15" customHeight="1" s="131">
      <c r="A335" s="220" t="n"/>
      <c r="B335" s="222" t="n"/>
      <c r="C335" s="220" t="n"/>
      <c r="D335" s="179" t="n"/>
      <c r="E335" s="219" t="n"/>
      <c r="F335" s="220" t="n"/>
      <c r="G335" s="221" t="n"/>
    </row>
    <row r="336" ht="15" customHeight="1" s="131">
      <c r="A336" s="220" t="n"/>
      <c r="B336" s="222" t="n"/>
      <c r="C336" s="220" t="n"/>
      <c r="D336" s="179" t="n"/>
      <c r="E336" s="219" t="n"/>
      <c r="F336" s="220" t="n"/>
      <c r="G336" s="221" t="n"/>
    </row>
    <row r="337" ht="15" customHeight="1" s="131">
      <c r="A337" s="220" t="n"/>
      <c r="B337" s="222" t="n"/>
      <c r="C337" s="220" t="n"/>
      <c r="D337" s="179" t="n"/>
      <c r="E337" s="219" t="n"/>
      <c r="F337" s="220" t="n"/>
      <c r="G337" s="221" t="n"/>
    </row>
    <row r="338" ht="15" customHeight="1" s="131">
      <c r="A338" s="220" t="n"/>
      <c r="B338" s="222" t="n"/>
      <c r="C338" s="220" t="n"/>
      <c r="D338" s="179" t="n"/>
      <c r="E338" s="219" t="n"/>
      <c r="F338" s="220" t="n"/>
      <c r="G338" s="221" t="n"/>
    </row>
    <row r="339" ht="15" customHeight="1" s="131">
      <c r="A339" s="220" t="n"/>
      <c r="B339" s="222" t="n"/>
      <c r="C339" s="220" t="n"/>
      <c r="D339" s="179" t="n"/>
      <c r="E339" s="219" t="n"/>
      <c r="F339" s="220" t="n"/>
      <c r="G339" s="221" t="n"/>
    </row>
    <row r="340" ht="15" customHeight="1" s="131">
      <c r="A340" s="220" t="n"/>
      <c r="B340" s="222" t="n"/>
      <c r="C340" s="220" t="n"/>
      <c r="D340" s="179" t="n"/>
      <c r="E340" s="219" t="n"/>
      <c r="F340" s="220" t="n"/>
      <c r="G340" s="221" t="n"/>
    </row>
    <row r="341" ht="15" customHeight="1" s="131">
      <c r="A341" s="220" t="n"/>
      <c r="B341" s="222" t="n"/>
      <c r="C341" s="220" t="n"/>
      <c r="D341" s="179" t="n"/>
      <c r="E341" s="219" t="n"/>
      <c r="F341" s="220" t="n"/>
      <c r="G341" s="221" t="n"/>
    </row>
    <row r="342" ht="15" customHeight="1" s="131">
      <c r="A342" s="220" t="n"/>
      <c r="B342" s="222" t="n"/>
      <c r="C342" s="220" t="n"/>
      <c r="D342" s="179" t="n"/>
      <c r="E342" s="219" t="n"/>
      <c r="F342" s="220" t="n"/>
      <c r="G342" s="221" t="n"/>
    </row>
    <row r="343" ht="15" customHeight="1" s="131">
      <c r="A343" s="220" t="n"/>
      <c r="B343" s="222" t="n"/>
      <c r="C343" s="220" t="n"/>
      <c r="D343" s="179" t="n"/>
      <c r="E343" s="219" t="n"/>
      <c r="F343" s="220" t="n"/>
      <c r="G343" s="221" t="n"/>
    </row>
    <row r="344" ht="15" customHeight="1" s="131">
      <c r="A344" s="220" t="n"/>
      <c r="B344" s="222" t="n"/>
      <c r="C344" s="220" t="n"/>
      <c r="D344" s="179" t="n"/>
      <c r="E344" s="219" t="n"/>
      <c r="F344" s="220" t="n"/>
      <c r="G344" s="221" t="n"/>
    </row>
    <row r="345" ht="15" customHeight="1" s="131">
      <c r="A345" s="220" t="n"/>
      <c r="B345" s="222" t="n"/>
      <c r="C345" s="220" t="n"/>
      <c r="D345" s="179" t="n"/>
      <c r="E345" s="219" t="n"/>
      <c r="F345" s="220" t="n"/>
      <c r="G345" s="221" t="n"/>
    </row>
    <row r="346" ht="15" customHeight="1" s="131">
      <c r="A346" s="220" t="n"/>
      <c r="B346" s="222" t="n"/>
      <c r="C346" s="220" t="n"/>
      <c r="D346" s="179" t="n"/>
      <c r="E346" s="219" t="n"/>
      <c r="F346" s="220" t="n"/>
      <c r="G346" s="221" t="n"/>
    </row>
    <row r="347" ht="15" customHeight="1" s="131">
      <c r="A347" s="220" t="n"/>
      <c r="B347" s="222" t="n"/>
      <c r="C347" s="220" t="n"/>
      <c r="D347" s="179" t="n"/>
      <c r="E347" s="219" t="n"/>
      <c r="F347" s="220" t="n"/>
      <c r="G347" s="221" t="n"/>
    </row>
    <row r="348" ht="15" customHeight="1" s="131">
      <c r="A348" s="220" t="n"/>
      <c r="B348" s="222" t="n"/>
      <c r="C348" s="220" t="n"/>
      <c r="D348" s="179" t="n"/>
      <c r="E348" s="219" t="n"/>
      <c r="F348" s="220" t="n"/>
      <c r="G348" s="221" t="n"/>
    </row>
    <row r="349" ht="15" customHeight="1" s="131">
      <c r="A349" s="220" t="n"/>
      <c r="B349" s="222" t="n"/>
      <c r="C349" s="220" t="n"/>
      <c r="D349" s="179" t="n"/>
      <c r="E349" s="219" t="n"/>
      <c r="F349" s="220" t="n"/>
      <c r="G349" s="221" t="n"/>
    </row>
    <row r="350" ht="15" customHeight="1" s="131">
      <c r="A350" s="220" t="n"/>
      <c r="B350" s="222" t="n"/>
      <c r="C350" s="220" t="n"/>
      <c r="D350" s="179" t="n"/>
      <c r="E350" s="219" t="n"/>
      <c r="F350" s="220" t="n"/>
      <c r="G350" s="221" t="n"/>
    </row>
    <row r="351" ht="15" customHeight="1" s="131">
      <c r="A351" s="220" t="n"/>
      <c r="B351" s="222" t="n"/>
      <c r="C351" s="220" t="n"/>
      <c r="D351" s="179" t="n"/>
      <c r="E351" s="219" t="n"/>
      <c r="F351" s="220" t="n"/>
      <c r="G351" s="221" t="n"/>
    </row>
    <row r="352" ht="15" customHeight="1" s="131">
      <c r="A352" s="220" t="n"/>
      <c r="B352" s="222" t="n"/>
      <c r="C352" s="220" t="n"/>
      <c r="D352" s="179" t="n"/>
      <c r="E352" s="219" t="n"/>
      <c r="F352" s="220" t="n"/>
      <c r="G352" s="221" t="n"/>
    </row>
    <row r="353" ht="15" customHeight="1" s="131">
      <c r="A353" s="220" t="n"/>
      <c r="B353" s="222" t="n"/>
      <c r="C353" s="220" t="n"/>
      <c r="D353" s="179" t="n"/>
      <c r="E353" s="219" t="n"/>
      <c r="F353" s="220" t="n"/>
      <c r="G353" s="221" t="n"/>
    </row>
    <row r="354" ht="15" customHeight="1" s="131">
      <c r="A354" s="220" t="n"/>
      <c r="B354" s="222" t="n"/>
      <c r="C354" s="220" t="n"/>
      <c r="D354" s="179" t="n"/>
      <c r="E354" s="219" t="n"/>
      <c r="F354" s="220" t="n"/>
      <c r="G354" s="221" t="n"/>
    </row>
    <row r="355" ht="15" customHeight="1" s="131">
      <c r="A355" s="220" t="n"/>
      <c r="B355" s="222" t="n"/>
      <c r="C355" s="220" t="n"/>
      <c r="D355" s="179" t="n"/>
      <c r="E355" s="219" t="n"/>
      <c r="F355" s="220" t="n"/>
      <c r="G355" s="221" t="n"/>
    </row>
    <row r="356" ht="15" customHeight="1" s="131">
      <c r="A356" s="220" t="n"/>
      <c r="B356" s="222" t="n"/>
      <c r="C356" s="220" t="n"/>
      <c r="D356" s="179" t="n"/>
      <c r="E356" s="219" t="n"/>
      <c r="F356" s="220" t="n"/>
      <c r="G356" s="221" t="n"/>
    </row>
    <row r="357" ht="15" customHeight="1" s="131">
      <c r="A357" s="220" t="n"/>
      <c r="B357" s="222" t="n"/>
      <c r="C357" s="220" t="n"/>
      <c r="D357" s="179" t="n"/>
      <c r="E357" s="219" t="n"/>
      <c r="F357" s="220" t="n"/>
      <c r="G357" s="221" t="n"/>
    </row>
    <row r="358" ht="15" customHeight="1" s="131">
      <c r="A358" s="220" t="n"/>
      <c r="B358" s="222" t="n"/>
      <c r="C358" s="220" t="n"/>
      <c r="D358" s="179" t="n"/>
      <c r="E358" s="219" t="n"/>
      <c r="F358" s="220" t="n"/>
      <c r="G358" s="221" t="n"/>
    </row>
    <row r="359" ht="15" customHeight="1" s="131">
      <c r="A359" s="220" t="n"/>
      <c r="B359" s="222" t="n"/>
      <c r="C359" s="220" t="n"/>
      <c r="D359" s="179" t="n"/>
      <c r="E359" s="219" t="n"/>
      <c r="F359" s="220" t="n"/>
      <c r="G359" s="221" t="n"/>
    </row>
    <row r="360" ht="15" customHeight="1" s="131">
      <c r="A360" s="220" t="n"/>
      <c r="B360" s="222" t="n"/>
      <c r="C360" s="220" t="n"/>
      <c r="D360" s="179" t="n"/>
      <c r="E360" s="219" t="n"/>
      <c r="F360" s="220" t="n"/>
      <c r="G360" s="221" t="n"/>
    </row>
    <row r="361" ht="15" customHeight="1" s="131">
      <c r="A361" s="220" t="n"/>
      <c r="B361" s="222" t="n"/>
      <c r="C361" s="220" t="n"/>
      <c r="D361" s="179" t="n"/>
      <c r="E361" s="219" t="n"/>
      <c r="F361" s="220" t="n"/>
      <c r="G361" s="221" t="n"/>
    </row>
    <row r="362" ht="15" customHeight="1" s="131">
      <c r="A362" s="220" t="n"/>
      <c r="B362" s="222" t="n"/>
      <c r="C362" s="220" t="n"/>
      <c r="D362" s="179" t="n"/>
      <c r="E362" s="219" t="n"/>
      <c r="F362" s="220" t="n"/>
      <c r="G362" s="221" t="n"/>
    </row>
    <row r="363" ht="15" customHeight="1" s="131">
      <c r="A363" s="220" t="n"/>
      <c r="B363" s="222" t="n"/>
      <c r="C363" s="220" t="n"/>
      <c r="D363" s="179" t="n"/>
      <c r="E363" s="219" t="n"/>
      <c r="F363" s="220" t="n"/>
      <c r="G363" s="221" t="n"/>
    </row>
    <row r="364" ht="15" customHeight="1" s="131">
      <c r="A364" s="220" t="n"/>
      <c r="B364" s="222" t="n"/>
      <c r="C364" s="220" t="n"/>
      <c r="D364" s="179" t="n"/>
      <c r="E364" s="219" t="n"/>
      <c r="F364" s="220" t="n"/>
      <c r="G364" s="221" t="n"/>
    </row>
    <row r="365" ht="15" customHeight="1" s="131">
      <c r="A365" s="220" t="n"/>
      <c r="B365" s="222" t="n"/>
      <c r="C365" s="220" t="n"/>
      <c r="D365" s="179" t="n"/>
      <c r="E365" s="219" t="n"/>
      <c r="F365" s="220" t="n"/>
      <c r="G365" s="221" t="n"/>
    </row>
    <row r="366" ht="15" customHeight="1" s="131">
      <c r="A366" s="220" t="n"/>
      <c r="B366" s="222" t="n"/>
      <c r="C366" s="220" t="n"/>
      <c r="D366" s="179" t="n"/>
      <c r="E366" s="219" t="n"/>
      <c r="F366" s="220" t="n"/>
      <c r="G366" s="221" t="n"/>
    </row>
    <row r="367" ht="15" customHeight="1" s="131">
      <c r="A367" s="220" t="n"/>
      <c r="B367" s="222" t="n"/>
      <c r="C367" s="220" t="n"/>
      <c r="D367" s="179" t="n"/>
      <c r="E367" s="219" t="n"/>
      <c r="F367" s="220" t="n"/>
      <c r="G367" s="221" t="n"/>
    </row>
    <row r="368" ht="15" customHeight="1" s="131">
      <c r="A368" s="220" t="n"/>
      <c r="B368" s="222" t="n"/>
      <c r="C368" s="220" t="n"/>
      <c r="D368" s="179" t="n"/>
      <c r="E368" s="219" t="n"/>
      <c r="F368" s="220" t="n"/>
      <c r="G368" s="221" t="n"/>
    </row>
    <row r="369" ht="15" customHeight="1" s="131">
      <c r="A369" s="220" t="n"/>
      <c r="B369" s="222" t="n"/>
      <c r="C369" s="220" t="n"/>
      <c r="D369" s="179" t="n"/>
      <c r="E369" s="219" t="n"/>
      <c r="F369" s="220" t="n"/>
      <c r="G369" s="221" t="n"/>
    </row>
    <row r="370" ht="15" customHeight="1" s="131">
      <c r="A370" s="220" t="n"/>
      <c r="B370" s="222" t="n"/>
      <c r="C370" s="220" t="n"/>
      <c r="D370" s="179" t="n"/>
      <c r="E370" s="219" t="n"/>
      <c r="F370" s="220" t="n"/>
      <c r="G370" s="221" t="n"/>
    </row>
    <row r="371" ht="15" customHeight="1" s="131">
      <c r="A371" s="220" t="n"/>
      <c r="B371" s="222" t="n"/>
      <c r="C371" s="220" t="n"/>
      <c r="D371" s="179" t="n"/>
      <c r="E371" s="219" t="n"/>
      <c r="F371" s="220" t="n"/>
      <c r="G371" s="221" t="n"/>
    </row>
    <row r="372" ht="15" customHeight="1" s="131">
      <c r="A372" s="220" t="n"/>
      <c r="B372" s="222" t="n"/>
      <c r="C372" s="220" t="n"/>
      <c r="D372" s="179" t="n"/>
      <c r="E372" s="219" t="n"/>
      <c r="F372" s="220" t="n"/>
      <c r="G372" s="221" t="n"/>
    </row>
    <row r="373" ht="15" customHeight="1" s="131">
      <c r="A373" s="220" t="n"/>
      <c r="B373" s="222" t="n"/>
      <c r="C373" s="220" t="n"/>
      <c r="D373" s="179" t="n"/>
      <c r="E373" s="219" t="n"/>
      <c r="F373" s="220" t="n"/>
      <c r="G373" s="221" t="n"/>
    </row>
    <row r="374" ht="15" customHeight="1" s="131">
      <c r="A374" s="220" t="n"/>
      <c r="B374" s="222" t="n"/>
      <c r="C374" s="220" t="n"/>
      <c r="D374" s="179" t="n"/>
      <c r="E374" s="219" t="n"/>
      <c r="F374" s="220" t="n"/>
      <c r="G374" s="221" t="n"/>
    </row>
    <row r="375" ht="15" customHeight="1" s="131">
      <c r="A375" s="220" t="n"/>
      <c r="B375" s="222" t="n"/>
      <c r="C375" s="220" t="n"/>
      <c r="D375" s="179" t="n"/>
      <c r="E375" s="219" t="n"/>
      <c r="F375" s="220" t="n"/>
      <c r="G375" s="221" t="n"/>
    </row>
    <row r="376" ht="15" customHeight="1" s="131">
      <c r="A376" s="220" t="n"/>
      <c r="B376" s="222" t="n"/>
      <c r="C376" s="220" t="n"/>
      <c r="D376" s="179" t="n"/>
      <c r="E376" s="219" t="n"/>
      <c r="F376" s="220" t="n"/>
      <c r="G376" s="221" t="n"/>
    </row>
    <row r="377" ht="15" customHeight="1" s="131">
      <c r="A377" s="220" t="n"/>
      <c r="B377" s="222" t="n"/>
      <c r="C377" s="220" t="n"/>
      <c r="D377" s="179" t="n"/>
      <c r="E377" s="219" t="n"/>
      <c r="F377" s="220" t="n"/>
      <c r="G377" s="221" t="n"/>
    </row>
    <row r="378" ht="15" customHeight="1" s="131">
      <c r="A378" s="220" t="n"/>
      <c r="B378" s="222" t="n"/>
      <c r="C378" s="220" t="n"/>
      <c r="D378" s="179" t="n"/>
      <c r="E378" s="219" t="n"/>
      <c r="F378" s="220" t="n"/>
      <c r="G378" s="221" t="n"/>
    </row>
    <row r="379" ht="15" customHeight="1" s="131">
      <c r="A379" s="220" t="n"/>
      <c r="B379" s="222" t="n"/>
      <c r="C379" s="220" t="n"/>
      <c r="D379" s="179" t="n"/>
      <c r="E379" s="219" t="n"/>
      <c r="F379" s="220" t="n"/>
      <c r="G379" s="221" t="n"/>
    </row>
    <row r="380" ht="15" customHeight="1" s="131">
      <c r="A380" s="220" t="n"/>
      <c r="B380" s="222" t="n"/>
      <c r="C380" s="220" t="n"/>
      <c r="D380" s="179" t="n"/>
      <c r="E380" s="219" t="n"/>
      <c r="F380" s="220" t="n"/>
      <c r="G380" s="221" t="n"/>
    </row>
    <row r="381" ht="15" customHeight="1" s="131">
      <c r="A381" s="220" t="n"/>
      <c r="B381" s="222" t="n"/>
      <c r="C381" s="220" t="n"/>
      <c r="D381" s="179" t="n"/>
      <c r="E381" s="219" t="n"/>
      <c r="F381" s="220" t="n"/>
      <c r="G381" s="221" t="n"/>
    </row>
    <row r="382" ht="15" customHeight="1" s="131">
      <c r="A382" s="220" t="n"/>
      <c r="B382" s="222" t="n"/>
      <c r="C382" s="220" t="n"/>
      <c r="D382" s="179" t="n"/>
      <c r="E382" s="219" t="n"/>
      <c r="F382" s="220" t="n"/>
      <c r="G382" s="221" t="n"/>
    </row>
    <row r="383" ht="15" customHeight="1" s="131">
      <c r="A383" s="220" t="n"/>
      <c r="B383" s="222" t="n"/>
      <c r="C383" s="220" t="n"/>
      <c r="D383" s="179" t="n"/>
      <c r="E383" s="219" t="n"/>
      <c r="F383" s="220" t="n"/>
      <c r="G383" s="221" t="n"/>
    </row>
    <row r="384" ht="15" customHeight="1" s="131">
      <c r="A384" s="220" t="n"/>
      <c r="B384" s="222" t="n"/>
      <c r="C384" s="220" t="n"/>
      <c r="D384" s="179" t="n"/>
      <c r="E384" s="219" t="n"/>
      <c r="F384" s="220" t="n"/>
      <c r="G384" s="221" t="n"/>
    </row>
    <row r="385" ht="15" customHeight="1" s="131">
      <c r="A385" s="220" t="n"/>
      <c r="B385" s="222" t="n"/>
      <c r="C385" s="220" t="n"/>
      <c r="D385" s="179" t="n"/>
      <c r="E385" s="219" t="n"/>
      <c r="F385" s="220" t="n"/>
      <c r="G385" s="221" t="n"/>
    </row>
    <row r="386" ht="15" customHeight="1" s="131">
      <c r="A386" s="220" t="n"/>
      <c r="B386" s="222" t="n"/>
      <c r="C386" s="220" t="n"/>
      <c r="D386" s="179" t="n"/>
      <c r="E386" s="219" t="n"/>
      <c r="F386" s="220" t="n"/>
      <c r="G386" s="221" t="n"/>
    </row>
    <row r="387" ht="15" customHeight="1" s="131">
      <c r="A387" s="220" t="n"/>
      <c r="B387" s="222" t="n"/>
      <c r="C387" s="220" t="n"/>
      <c r="D387" s="179" t="n"/>
      <c r="E387" s="219" t="n"/>
      <c r="F387" s="220" t="n"/>
      <c r="G387" s="221" t="n"/>
    </row>
    <row r="388" ht="15" customHeight="1" s="131">
      <c r="A388" s="220" t="n"/>
      <c r="B388" s="222" t="n"/>
      <c r="C388" s="220" t="n"/>
      <c r="D388" s="179" t="n"/>
      <c r="E388" s="219" t="n"/>
      <c r="F388" s="220" t="n"/>
      <c r="G388" s="221" t="n"/>
    </row>
    <row r="389" ht="15" customHeight="1" s="131">
      <c r="A389" s="220" t="n"/>
      <c r="B389" s="222" t="n"/>
      <c r="C389" s="220" t="n"/>
      <c r="D389" s="179" t="n"/>
      <c r="E389" s="219" t="n"/>
      <c r="F389" s="220" t="n"/>
      <c r="G389" s="221" t="n"/>
    </row>
    <row r="390" ht="15" customHeight="1" s="131">
      <c r="A390" s="220" t="n"/>
      <c r="B390" s="222" t="n"/>
      <c r="C390" s="220" t="n"/>
      <c r="D390" s="179" t="n"/>
      <c r="E390" s="219" t="n"/>
      <c r="F390" s="220" t="n"/>
      <c r="G390" s="221" t="n"/>
    </row>
    <row r="391" ht="15" customHeight="1" s="131">
      <c r="A391" s="220" t="n"/>
      <c r="B391" s="222" t="n"/>
      <c r="C391" s="220" t="n"/>
      <c r="D391" s="179" t="n"/>
      <c r="E391" s="219" t="n"/>
      <c r="F391" s="220" t="n"/>
      <c r="G391" s="221" t="n"/>
    </row>
    <row r="392" ht="15" customHeight="1" s="131">
      <c r="A392" s="220" t="n"/>
      <c r="B392" s="222" t="n"/>
      <c r="C392" s="220" t="n"/>
      <c r="D392" s="179" t="n"/>
      <c r="E392" s="219" t="n"/>
      <c r="F392" s="220" t="n"/>
      <c r="G392" s="221" t="n"/>
    </row>
    <row r="393" ht="15" customHeight="1" s="131">
      <c r="A393" s="220" t="n"/>
      <c r="B393" s="222" t="n"/>
      <c r="C393" s="220" t="n"/>
      <c r="D393" s="179" t="n"/>
      <c r="E393" s="219" t="n"/>
      <c r="F393" s="220" t="n"/>
      <c r="G393" s="221" t="n"/>
    </row>
    <row r="394" ht="15" customHeight="1" s="131">
      <c r="A394" s="220" t="n"/>
      <c r="B394" s="222" t="n"/>
      <c r="C394" s="220" t="n"/>
      <c r="D394" s="179" t="n"/>
      <c r="E394" s="219" t="n"/>
      <c r="F394" s="220" t="n"/>
      <c r="G394" s="221" t="n"/>
    </row>
    <row r="395" ht="15" customHeight="1" s="131">
      <c r="A395" s="220" t="n"/>
      <c r="B395" s="222" t="n"/>
      <c r="C395" s="220" t="n"/>
      <c r="D395" s="179" t="n"/>
      <c r="E395" s="219" t="n"/>
      <c r="F395" s="220" t="n"/>
      <c r="G395" s="221" t="n"/>
    </row>
    <row r="396" ht="15" customHeight="1" s="131">
      <c r="A396" s="220" t="n"/>
      <c r="B396" s="222" t="n"/>
      <c r="C396" s="220" t="n"/>
      <c r="D396" s="179" t="n"/>
      <c r="E396" s="219" t="n"/>
      <c r="F396" s="220" t="n"/>
      <c r="G396" s="221" t="n"/>
    </row>
    <row r="397" ht="15" customHeight="1" s="131">
      <c r="A397" s="220" t="n"/>
      <c r="B397" s="222" t="n"/>
      <c r="C397" s="220" t="n"/>
      <c r="D397" s="179" t="n"/>
      <c r="E397" s="219" t="n"/>
      <c r="F397" s="220" t="n"/>
      <c r="G397" s="221" t="n"/>
    </row>
    <row r="398" ht="15" customHeight="1" s="131">
      <c r="A398" s="220" t="n"/>
      <c r="B398" s="222" t="n"/>
      <c r="C398" s="220" t="n"/>
      <c r="D398" s="179" t="n"/>
      <c r="E398" s="219" t="n"/>
      <c r="F398" s="220" t="n"/>
      <c r="G398" s="221" t="n"/>
    </row>
    <row r="399" ht="15" customHeight="1" s="131">
      <c r="A399" s="220" t="n"/>
      <c r="B399" s="222" t="n"/>
      <c r="C399" s="220" t="n"/>
      <c r="D399" s="179" t="n"/>
      <c r="E399" s="219" t="n"/>
      <c r="F399" s="220" t="n"/>
      <c r="G399" s="221" t="n"/>
    </row>
    <row r="400" ht="15" customHeight="1" s="131">
      <c r="A400" s="220" t="n"/>
      <c r="B400" s="222" t="n"/>
      <c r="C400" s="220" t="n"/>
      <c r="D400" s="179" t="n"/>
      <c r="E400" s="219" t="n"/>
      <c r="F400" s="220" t="n"/>
      <c r="G400" s="221" t="n"/>
    </row>
    <row r="401" ht="15" customHeight="1" s="131">
      <c r="A401" s="220" t="n"/>
      <c r="B401" s="222" t="n"/>
      <c r="C401" s="220" t="n"/>
      <c r="D401" s="179" t="n"/>
      <c r="E401" s="219" t="n"/>
      <c r="F401" s="220" t="n"/>
      <c r="G401" s="221" t="n"/>
    </row>
    <row r="402" ht="15" customHeight="1" s="131">
      <c r="A402" s="220" t="n"/>
      <c r="B402" s="222" t="n"/>
      <c r="C402" s="220" t="n"/>
      <c r="D402" s="179" t="n"/>
      <c r="E402" s="219" t="n"/>
      <c r="F402" s="220" t="n"/>
      <c r="G402" s="221" t="n"/>
    </row>
    <row r="403" ht="15" customHeight="1" s="131">
      <c r="A403" s="220" t="n"/>
      <c r="B403" s="222" t="n"/>
      <c r="C403" s="220" t="n"/>
      <c r="D403" s="179" t="n"/>
      <c r="E403" s="219" t="n"/>
      <c r="F403" s="220" t="n"/>
      <c r="G403" s="221" t="n"/>
    </row>
    <row r="404" ht="15" customHeight="1" s="131">
      <c r="A404" s="220" t="n"/>
      <c r="B404" s="222" t="n"/>
      <c r="C404" s="220" t="n"/>
      <c r="D404" s="179" t="n"/>
      <c r="E404" s="219" t="n"/>
      <c r="F404" s="220" t="n"/>
      <c r="G404" s="221" t="n"/>
    </row>
    <row r="405" ht="15" customHeight="1" s="131">
      <c r="A405" s="220" t="n"/>
      <c r="B405" s="222" t="n"/>
      <c r="C405" s="220" t="n"/>
      <c r="D405" s="179" t="n"/>
      <c r="E405" s="219" t="n"/>
      <c r="F405" s="220" t="n"/>
      <c r="G405" s="221" t="n"/>
    </row>
    <row r="406" ht="15" customHeight="1" s="131">
      <c r="A406" s="220" t="n"/>
      <c r="B406" s="222" t="n"/>
      <c r="C406" s="220" t="n"/>
      <c r="D406" s="179" t="n"/>
      <c r="E406" s="219" t="n"/>
      <c r="F406" s="220" t="n"/>
      <c r="G406" s="221" t="n"/>
    </row>
    <row r="407" ht="15" customHeight="1" s="131">
      <c r="A407" s="220" t="n"/>
      <c r="B407" s="222" t="n"/>
      <c r="C407" s="220" t="n"/>
      <c r="D407" s="179" t="n"/>
      <c r="E407" s="219" t="n"/>
      <c r="F407" s="220" t="n"/>
      <c r="G407" s="221" t="n"/>
    </row>
    <row r="408" ht="15" customHeight="1" s="131">
      <c r="A408" s="220" t="n"/>
      <c r="B408" s="222" t="n"/>
      <c r="C408" s="220" t="n"/>
      <c r="D408" s="179" t="n"/>
      <c r="E408" s="219" t="n"/>
      <c r="F408" s="220" t="n"/>
      <c r="G408" s="221" t="n"/>
    </row>
    <row r="409" ht="15" customHeight="1" s="131">
      <c r="A409" s="220" t="n"/>
      <c r="B409" s="222" t="n"/>
      <c r="C409" s="220" t="n"/>
      <c r="D409" s="179" t="n"/>
      <c r="E409" s="219" t="n"/>
      <c r="F409" s="220" t="n"/>
      <c r="G409" s="221" t="n"/>
    </row>
    <row r="410" ht="15" customHeight="1" s="131">
      <c r="A410" s="220" t="n"/>
      <c r="B410" s="222" t="n"/>
      <c r="C410" s="220" t="n"/>
      <c r="D410" s="179" t="n"/>
      <c r="E410" s="219" t="n"/>
      <c r="F410" s="220" t="n"/>
      <c r="G410" s="221" t="n"/>
    </row>
    <row r="411" ht="15" customHeight="1" s="131">
      <c r="A411" s="220" t="n"/>
      <c r="B411" s="222" t="n"/>
      <c r="C411" s="220" t="n"/>
      <c r="D411" s="179" t="n"/>
      <c r="E411" s="219" t="n"/>
      <c r="F411" s="220" t="n"/>
      <c r="G411" s="221" t="n"/>
    </row>
    <row r="412" ht="15" customHeight="1" s="131">
      <c r="A412" s="220" t="n"/>
      <c r="B412" s="222" t="n"/>
      <c r="C412" s="220" t="n"/>
      <c r="D412" s="179" t="n"/>
      <c r="E412" s="219" t="n"/>
      <c r="F412" s="220" t="n"/>
      <c r="G412" s="221" t="n"/>
    </row>
    <row r="413" ht="15" customHeight="1" s="131">
      <c r="A413" s="220" t="n"/>
      <c r="B413" s="222" t="n"/>
      <c r="C413" s="220" t="n"/>
      <c r="D413" s="179" t="n"/>
      <c r="E413" s="219" t="n"/>
      <c r="F413" s="220" t="n"/>
      <c r="G413" s="221" t="n"/>
    </row>
    <row r="414" ht="15" customHeight="1" s="131">
      <c r="A414" s="220" t="n"/>
      <c r="B414" s="222" t="n"/>
      <c r="C414" s="220" t="n"/>
      <c r="D414" s="179" t="n"/>
      <c r="E414" s="219" t="n"/>
      <c r="F414" s="220" t="n"/>
      <c r="G414" s="221" t="n"/>
    </row>
    <row r="415" ht="15" customHeight="1" s="131">
      <c r="A415" s="220" t="n"/>
      <c r="B415" s="222" t="n"/>
      <c r="C415" s="220" t="n"/>
      <c r="D415" s="179" t="n"/>
      <c r="E415" s="219" t="n"/>
      <c r="F415" s="220" t="n"/>
      <c r="G415" s="221" t="n"/>
    </row>
    <row r="416" ht="15" customHeight="1" s="131">
      <c r="A416" s="220" t="n"/>
      <c r="B416" s="222" t="n"/>
      <c r="C416" s="220" t="n"/>
      <c r="D416" s="179" t="n"/>
      <c r="E416" s="219" t="n"/>
      <c r="F416" s="220" t="n"/>
      <c r="G416" s="221" t="n"/>
    </row>
    <row r="417" ht="15" customHeight="1" s="131">
      <c r="A417" s="220" t="n"/>
      <c r="B417" s="222" t="n"/>
      <c r="C417" s="220" t="n"/>
      <c r="D417" s="179" t="n"/>
      <c r="E417" s="219" t="n"/>
      <c r="F417" s="220" t="n"/>
      <c r="G417" s="221" t="n"/>
    </row>
    <row r="418" ht="15" customHeight="1" s="131">
      <c r="A418" s="220" t="n"/>
      <c r="B418" s="222" t="n"/>
      <c r="C418" s="220" t="n"/>
      <c r="D418" s="179" t="n"/>
      <c r="E418" s="219" t="n"/>
      <c r="F418" s="220" t="n"/>
      <c r="G418" s="221" t="n"/>
    </row>
    <row r="419" ht="15" customHeight="1" s="131">
      <c r="A419" s="220" t="n"/>
      <c r="B419" s="222" t="n"/>
      <c r="C419" s="220" t="n"/>
      <c r="D419" s="179" t="n"/>
      <c r="E419" s="219" t="n"/>
      <c r="F419" s="220" t="n"/>
      <c r="G419" s="221" t="n"/>
    </row>
    <row r="420" ht="15" customHeight="1" s="131">
      <c r="A420" s="220" t="n"/>
      <c r="B420" s="222" t="n"/>
      <c r="C420" s="220" t="n"/>
      <c r="D420" s="179" t="n"/>
      <c r="E420" s="219" t="n"/>
      <c r="F420" s="220" t="n"/>
      <c r="G420" s="221" t="n"/>
    </row>
    <row r="421" ht="15" customHeight="1" s="131">
      <c r="A421" s="220" t="n"/>
      <c r="B421" s="222" t="n"/>
      <c r="C421" s="220" t="n"/>
      <c r="D421" s="179" t="n"/>
      <c r="E421" s="219" t="n"/>
      <c r="F421" s="220" t="n"/>
      <c r="G421" s="221" t="n"/>
    </row>
    <row r="422" ht="15" customHeight="1" s="131">
      <c r="A422" s="220" t="n"/>
      <c r="B422" s="222" t="n"/>
      <c r="C422" s="220" t="n"/>
      <c r="D422" s="179" t="n"/>
      <c r="E422" s="219" t="n"/>
      <c r="F422" s="220" t="n"/>
      <c r="G422" s="221" t="n"/>
    </row>
    <row r="423" ht="15" customHeight="1" s="131">
      <c r="A423" s="220" t="n"/>
      <c r="B423" s="222" t="n"/>
      <c r="C423" s="220" t="n"/>
      <c r="D423" s="179" t="n"/>
      <c r="E423" s="219" t="n"/>
      <c r="F423" s="220" t="n"/>
      <c r="G423" s="221" t="n"/>
    </row>
    <row r="424" ht="15" customHeight="1" s="131">
      <c r="A424" s="220" t="n"/>
      <c r="B424" s="222" t="n"/>
      <c r="C424" s="220" t="n"/>
      <c r="D424" s="179" t="n"/>
      <c r="E424" s="219" t="n"/>
      <c r="F424" s="220" t="n"/>
      <c r="G424" s="221" t="n"/>
    </row>
    <row r="425" ht="15" customHeight="1" s="131">
      <c r="A425" s="220" t="n"/>
      <c r="B425" s="222" t="n"/>
      <c r="C425" s="220" t="n"/>
      <c r="D425" s="179" t="n"/>
      <c r="E425" s="219" t="n"/>
      <c r="F425" s="220" t="n"/>
      <c r="G425" s="221" t="n"/>
    </row>
    <row r="426" ht="15" customHeight="1" s="131">
      <c r="A426" s="220" t="n"/>
      <c r="B426" s="222" t="n"/>
      <c r="C426" s="220" t="n"/>
      <c r="D426" s="179" t="n"/>
      <c r="E426" s="219" t="n"/>
      <c r="F426" s="220" t="n"/>
      <c r="G426" s="221" t="n"/>
    </row>
    <row r="427" ht="15" customHeight="1" s="131">
      <c r="A427" s="220" t="n"/>
      <c r="B427" s="222" t="n"/>
      <c r="C427" s="220" t="n"/>
      <c r="D427" s="179" t="n"/>
      <c r="E427" s="219" t="n"/>
      <c r="F427" s="220" t="n"/>
      <c r="G427" s="221" t="n"/>
    </row>
    <row r="428" ht="15" customHeight="1" s="131">
      <c r="A428" s="220" t="n"/>
      <c r="B428" s="222" t="n"/>
      <c r="C428" s="220" t="n"/>
      <c r="D428" s="179" t="n"/>
      <c r="E428" s="219" t="n"/>
      <c r="F428" s="220" t="n"/>
      <c r="G428" s="221" t="n"/>
    </row>
    <row r="429" ht="15" customHeight="1" s="131">
      <c r="A429" s="220" t="n"/>
      <c r="B429" s="222" t="n"/>
      <c r="C429" s="220" t="n"/>
      <c r="D429" s="179" t="n"/>
      <c r="E429" s="219" t="n"/>
      <c r="F429" s="220" t="n"/>
      <c r="G429" s="221" t="n"/>
    </row>
    <row r="430" ht="15" customHeight="1" s="131">
      <c r="A430" s="220" t="n"/>
      <c r="B430" s="222" t="n"/>
      <c r="C430" s="220" t="n"/>
      <c r="D430" s="179" t="n"/>
      <c r="E430" s="219" t="n"/>
      <c r="F430" s="220" t="n"/>
      <c r="G430" s="221" t="n"/>
    </row>
    <row r="431" ht="15" customHeight="1" s="131">
      <c r="A431" s="220" t="n"/>
      <c r="B431" s="222" t="n"/>
      <c r="C431" s="220" t="n"/>
      <c r="D431" s="179" t="n"/>
      <c r="E431" s="219" t="n"/>
      <c r="F431" s="220" t="n"/>
      <c r="G431" s="221" t="n"/>
    </row>
    <row r="432" ht="15" customHeight="1" s="131">
      <c r="A432" s="220" t="n"/>
      <c r="B432" s="222" t="n"/>
      <c r="C432" s="220" t="n"/>
      <c r="D432" s="179" t="n"/>
      <c r="E432" s="219" t="n"/>
      <c r="F432" s="220" t="n"/>
      <c r="G432" s="221" t="n"/>
    </row>
    <row r="433" ht="15" customHeight="1" s="131">
      <c r="A433" s="220" t="n"/>
      <c r="B433" s="222" t="n"/>
      <c r="C433" s="220" t="n"/>
      <c r="D433" s="179" t="n"/>
      <c r="E433" s="219" t="n"/>
      <c r="F433" s="220" t="n"/>
      <c r="G433" s="221" t="n"/>
    </row>
    <row r="434" ht="15" customHeight="1" s="131">
      <c r="A434" s="220" t="n"/>
      <c r="B434" s="222" t="n"/>
      <c r="C434" s="220" t="n"/>
      <c r="D434" s="179" t="n"/>
      <c r="E434" s="219" t="n"/>
      <c r="F434" s="220" t="n"/>
      <c r="G434" s="221" t="n"/>
    </row>
    <row r="435" ht="15" customHeight="1" s="131">
      <c r="A435" s="220" t="n"/>
      <c r="B435" s="222" t="n"/>
      <c r="C435" s="220" t="n"/>
      <c r="D435" s="179" t="n"/>
      <c r="E435" s="219" t="n"/>
      <c r="F435" s="220" t="n"/>
      <c r="G435" s="221" t="n"/>
    </row>
    <row r="436" ht="15" customHeight="1" s="131">
      <c r="A436" s="220" t="n"/>
      <c r="B436" s="222" t="n"/>
      <c r="C436" s="220" t="n"/>
      <c r="D436" s="179" t="n"/>
      <c r="E436" s="219" t="n"/>
      <c r="F436" s="220" t="n"/>
      <c r="G436" s="221" t="n"/>
    </row>
    <row r="437" ht="15" customHeight="1" s="131">
      <c r="A437" s="220" t="n"/>
      <c r="B437" s="222" t="n"/>
      <c r="C437" s="220" t="n"/>
      <c r="D437" s="179" t="n"/>
      <c r="E437" s="219" t="n"/>
      <c r="F437" s="220" t="n"/>
      <c r="G437" s="221" t="n"/>
    </row>
    <row r="438" ht="15" customHeight="1" s="131">
      <c r="A438" s="220" t="n"/>
      <c r="B438" s="222" t="n"/>
      <c r="C438" s="220" t="n"/>
      <c r="D438" s="179" t="n"/>
      <c r="E438" s="219" t="n"/>
      <c r="F438" s="220" t="n"/>
      <c r="G438" s="221" t="n"/>
    </row>
    <row r="439" ht="15" customHeight="1" s="131">
      <c r="A439" s="220" t="n"/>
      <c r="B439" s="222" t="n"/>
      <c r="C439" s="220" t="n"/>
      <c r="D439" s="179" t="n"/>
      <c r="E439" s="219" t="n"/>
      <c r="F439" s="220" t="n"/>
      <c r="G439" s="221" t="n"/>
    </row>
    <row r="440" ht="15" customHeight="1" s="131">
      <c r="A440" s="220" t="n"/>
      <c r="B440" s="222" t="n"/>
      <c r="C440" s="220" t="n"/>
      <c r="D440" s="179" t="n"/>
      <c r="E440" s="219" t="n"/>
      <c r="F440" s="220" t="n"/>
      <c r="G440" s="221" t="n"/>
    </row>
    <row r="441" ht="15" customHeight="1" s="131">
      <c r="A441" s="220" t="n"/>
      <c r="B441" s="222" t="n"/>
      <c r="C441" s="220" t="n"/>
      <c r="D441" s="179" t="n"/>
      <c r="E441" s="219" t="n"/>
      <c r="F441" s="220" t="n"/>
      <c r="G441" s="221" t="n"/>
    </row>
    <row r="442" ht="15" customHeight="1" s="131">
      <c r="A442" s="220" t="n"/>
      <c r="B442" s="222" t="n"/>
      <c r="C442" s="220" t="n"/>
      <c r="D442" s="179" t="n"/>
      <c r="E442" s="219" t="n"/>
      <c r="F442" s="220" t="n"/>
      <c r="G442" s="221" t="n"/>
    </row>
    <row r="443" ht="15" customHeight="1" s="131">
      <c r="A443" s="220" t="n"/>
      <c r="B443" s="222" t="n"/>
      <c r="C443" s="220" t="n"/>
      <c r="D443" s="179" t="n"/>
      <c r="E443" s="219" t="n"/>
      <c r="F443" s="220" t="n"/>
      <c r="G443" s="221" t="n"/>
    </row>
    <row r="444" ht="15" customHeight="1" s="131">
      <c r="A444" s="220" t="n"/>
      <c r="B444" s="222" t="n"/>
      <c r="C444" s="220" t="n"/>
      <c r="D444" s="179" t="n"/>
      <c r="E444" s="219" t="n"/>
      <c r="F444" s="220" t="n"/>
      <c r="G444" s="221" t="n"/>
    </row>
    <row r="445" ht="15" customHeight="1" s="131">
      <c r="A445" s="220" t="n"/>
      <c r="B445" s="222" t="n"/>
      <c r="C445" s="220" t="n"/>
      <c r="D445" s="179" t="n"/>
      <c r="E445" s="219" t="n"/>
      <c r="F445" s="220" t="n"/>
      <c r="G445" s="221" t="n"/>
    </row>
    <row r="446" ht="15" customHeight="1" s="131">
      <c r="A446" s="220" t="n"/>
      <c r="B446" s="222" t="n"/>
      <c r="C446" s="220" t="n"/>
      <c r="D446" s="179" t="n"/>
      <c r="E446" s="219" t="n"/>
      <c r="F446" s="220" t="n"/>
      <c r="G446" s="221" t="n"/>
    </row>
    <row r="447" ht="15" customHeight="1" s="131">
      <c r="A447" s="220" t="n"/>
      <c r="B447" s="222" t="n"/>
      <c r="C447" s="220" t="n"/>
      <c r="D447" s="179" t="n"/>
      <c r="E447" s="219" t="n"/>
      <c r="F447" s="220" t="n"/>
      <c r="G447" s="221" t="n"/>
    </row>
    <row r="448" ht="15" customHeight="1" s="131">
      <c r="A448" s="220" t="n"/>
      <c r="B448" s="222" t="n"/>
      <c r="C448" s="220" t="n"/>
      <c r="D448" s="179" t="n"/>
      <c r="E448" s="219" t="n"/>
      <c r="F448" s="220" t="n"/>
      <c r="G448" s="221" t="n"/>
    </row>
    <row r="449" ht="15" customHeight="1" s="131">
      <c r="A449" s="220" t="n"/>
      <c r="B449" s="222" t="n"/>
      <c r="C449" s="220" t="n"/>
      <c r="D449" s="179" t="n"/>
      <c r="E449" s="219" t="n"/>
      <c r="F449" s="220" t="n"/>
      <c r="G449" s="221" t="n"/>
    </row>
    <row r="450" ht="15" customHeight="1" s="131">
      <c r="A450" s="220" t="n"/>
      <c r="B450" s="222" t="n"/>
      <c r="C450" s="220" t="n"/>
      <c r="D450" s="179" t="n"/>
      <c r="E450" s="219" t="n"/>
      <c r="F450" s="220" t="n"/>
      <c r="G450" s="221" t="n"/>
    </row>
    <row r="451" ht="15" customHeight="1" s="131">
      <c r="A451" s="220" t="n"/>
      <c r="B451" s="222" t="n"/>
      <c r="C451" s="220" t="n"/>
      <c r="D451" s="179" t="n"/>
      <c r="E451" s="219" t="n"/>
      <c r="F451" s="220" t="n"/>
      <c r="G451" s="221" t="n"/>
    </row>
    <row r="452" ht="15" customHeight="1" s="131">
      <c r="A452" s="220" t="n"/>
      <c r="B452" s="222" t="n"/>
      <c r="C452" s="220" t="n"/>
      <c r="D452" s="179" t="n"/>
      <c r="E452" s="219" t="n"/>
      <c r="F452" s="220" t="n"/>
      <c r="G452" s="221" t="n"/>
    </row>
    <row r="453" ht="15" customHeight="1" s="131">
      <c r="A453" s="220" t="n"/>
      <c r="B453" s="222" t="n"/>
      <c r="C453" s="220" t="n"/>
      <c r="D453" s="179" t="n"/>
      <c r="E453" s="219" t="n"/>
      <c r="F453" s="220" t="n"/>
      <c r="G453" s="221" t="n"/>
    </row>
    <row r="454" ht="15" customHeight="1" s="131">
      <c r="A454" s="220" t="n"/>
      <c r="B454" s="222" t="n"/>
      <c r="C454" s="220" t="n"/>
      <c r="D454" s="179" t="n"/>
      <c r="E454" s="219" t="n"/>
      <c r="F454" s="220" t="n"/>
      <c r="G454" s="221" t="n"/>
    </row>
    <row r="455" ht="15" customHeight="1" s="131">
      <c r="A455" s="220" t="n"/>
      <c r="B455" s="222" t="n"/>
      <c r="C455" s="220" t="n"/>
      <c r="D455" s="179" t="n"/>
      <c r="E455" s="219" t="n"/>
      <c r="F455" s="220" t="n"/>
      <c r="G455" s="221" t="n"/>
    </row>
    <row r="456" ht="15" customHeight="1" s="131">
      <c r="A456" s="220" t="n"/>
      <c r="B456" s="222" t="n"/>
      <c r="C456" s="220" t="n"/>
      <c r="D456" s="179" t="n"/>
      <c r="E456" s="219" t="n"/>
      <c r="F456" s="220" t="n"/>
      <c r="G456" s="221" t="n"/>
    </row>
    <row r="457" ht="15" customHeight="1" s="131">
      <c r="A457" s="220" t="n"/>
      <c r="B457" s="222" t="n"/>
      <c r="C457" s="220" t="n"/>
      <c r="D457" s="179" t="n"/>
      <c r="E457" s="219" t="n"/>
      <c r="F457" s="220" t="n"/>
      <c r="G457" s="221" t="n"/>
    </row>
    <row r="458" ht="15" customHeight="1" s="131">
      <c r="A458" s="220" t="n"/>
      <c r="B458" s="222" t="n"/>
      <c r="C458" s="220" t="n"/>
      <c r="D458" s="179" t="n"/>
      <c r="E458" s="219" t="n"/>
      <c r="F458" s="220" t="n"/>
      <c r="G458" s="221" t="n"/>
    </row>
    <row r="459" ht="15" customHeight="1" s="131">
      <c r="A459" s="220" t="n"/>
      <c r="B459" s="222" t="n"/>
      <c r="C459" s="220" t="n"/>
      <c r="D459" s="179" t="n"/>
      <c r="E459" s="219" t="n"/>
      <c r="F459" s="220" t="n"/>
      <c r="G459" s="221" t="n"/>
    </row>
    <row r="460" ht="15" customHeight="1" s="131">
      <c r="A460" s="220" t="n"/>
      <c r="B460" s="222" t="n"/>
      <c r="C460" s="220" t="n"/>
      <c r="D460" s="179" t="n"/>
      <c r="E460" s="219" t="n"/>
      <c r="F460" s="220" t="n"/>
      <c r="G460" s="221" t="n"/>
    </row>
    <row r="461" ht="15" customHeight="1" s="131">
      <c r="A461" s="220" t="n"/>
      <c r="B461" s="222" t="n"/>
      <c r="C461" s="220" t="n"/>
      <c r="D461" s="179" t="n"/>
      <c r="E461" s="219" t="n"/>
      <c r="F461" s="220" t="n"/>
      <c r="G461" s="221" t="n"/>
    </row>
    <row r="462" ht="15" customHeight="1" s="131">
      <c r="A462" s="220" t="n"/>
      <c r="B462" s="222" t="n"/>
      <c r="C462" s="220" t="n"/>
      <c r="D462" s="179" t="n"/>
      <c r="E462" s="219" t="n"/>
      <c r="F462" s="220" t="n"/>
      <c r="G462" s="221" t="n"/>
    </row>
    <row r="463" ht="15" customHeight="1" s="131">
      <c r="A463" s="220" t="n"/>
      <c r="B463" s="222" t="n"/>
      <c r="C463" s="220" t="n"/>
      <c r="D463" s="179" t="n"/>
      <c r="E463" s="219" t="n"/>
      <c r="F463" s="220" t="n"/>
      <c r="G463" s="221" t="n"/>
    </row>
    <row r="464" ht="15" customHeight="1" s="131">
      <c r="A464" s="220" t="n"/>
      <c r="B464" s="222" t="n"/>
      <c r="C464" s="220" t="n"/>
      <c r="D464" s="179" t="n"/>
      <c r="E464" s="219" t="n"/>
      <c r="F464" s="220" t="n"/>
      <c r="G464" s="221" t="n"/>
    </row>
    <row r="465" ht="15" customHeight="1" s="131">
      <c r="A465" s="220" t="n"/>
      <c r="B465" s="222" t="n"/>
      <c r="C465" s="220" t="n"/>
      <c r="D465" s="179" t="n"/>
      <c r="E465" s="219" t="n"/>
      <c r="F465" s="220" t="n"/>
      <c r="G465" s="221" t="n"/>
    </row>
    <row r="466" ht="15" customHeight="1" s="131">
      <c r="A466" s="220" t="n"/>
      <c r="B466" s="222" t="n"/>
      <c r="C466" s="220" t="n"/>
      <c r="D466" s="179" t="n"/>
      <c r="E466" s="219" t="n"/>
      <c r="F466" s="220" t="n"/>
      <c r="G466" s="221" t="n"/>
    </row>
    <row r="467" ht="15" customHeight="1" s="131">
      <c r="A467" s="220" t="n"/>
      <c r="B467" s="222" t="n"/>
      <c r="C467" s="220" t="n"/>
      <c r="D467" s="179" t="n"/>
      <c r="E467" s="219" t="n"/>
      <c r="F467" s="220" t="n"/>
      <c r="G467" s="221" t="n"/>
    </row>
    <row r="468" ht="15" customHeight="1" s="131">
      <c r="A468" s="220" t="n"/>
      <c r="B468" s="222" t="n"/>
      <c r="C468" s="220" t="n"/>
      <c r="D468" s="179" t="n"/>
      <c r="E468" s="219" t="n"/>
      <c r="F468" s="220" t="n"/>
      <c r="G468" s="221" t="n"/>
    </row>
    <row r="469" ht="15" customHeight="1" s="131">
      <c r="A469" s="220" t="n"/>
      <c r="B469" s="222" t="n"/>
      <c r="C469" s="220" t="n"/>
      <c r="D469" s="179" t="n"/>
      <c r="E469" s="219" t="n"/>
      <c r="F469" s="220" t="n"/>
      <c r="G469" s="221" t="n"/>
    </row>
    <row r="470" ht="15" customHeight="1" s="131">
      <c r="A470" s="220" t="n"/>
      <c r="B470" s="222" t="n"/>
      <c r="C470" s="220" t="n"/>
      <c r="D470" s="179" t="n"/>
      <c r="E470" s="219" t="n"/>
      <c r="F470" s="220" t="n"/>
      <c r="G470" s="221" t="n"/>
    </row>
    <row r="471" ht="15" customHeight="1" s="131">
      <c r="A471" s="220" t="n"/>
      <c r="B471" s="222" t="n"/>
      <c r="C471" s="220" t="n"/>
      <c r="D471" s="179" t="n"/>
      <c r="E471" s="219" t="n"/>
      <c r="F471" s="220" t="n"/>
      <c r="G471" s="221" t="n"/>
    </row>
    <row r="472" ht="15" customHeight="1" s="131">
      <c r="A472" s="220" t="n"/>
      <c r="B472" s="222" t="n"/>
      <c r="C472" s="220" t="n"/>
      <c r="D472" s="179" t="n"/>
      <c r="E472" s="219" t="n"/>
      <c r="F472" s="220" t="n"/>
      <c r="G472" s="221" t="n"/>
    </row>
    <row r="473" ht="15" customHeight="1" s="131">
      <c r="A473" s="220" t="n"/>
      <c r="B473" s="222" t="n"/>
      <c r="C473" s="220" t="n"/>
      <c r="D473" s="179" t="n"/>
      <c r="E473" s="219" t="n"/>
      <c r="F473" s="220" t="n"/>
      <c r="G473" s="221" t="n"/>
    </row>
    <row r="474" ht="15" customHeight="1" s="131">
      <c r="A474" s="220" t="n"/>
      <c r="B474" s="222" t="n"/>
      <c r="C474" s="220" t="n"/>
      <c r="D474" s="179" t="n"/>
      <c r="E474" s="219" t="n"/>
      <c r="F474" s="220" t="n"/>
      <c r="G474" s="221" t="n"/>
    </row>
    <row r="475" ht="15" customHeight="1" s="131">
      <c r="A475" s="220" t="n"/>
      <c r="B475" s="222" t="n"/>
      <c r="C475" s="220" t="n"/>
      <c r="D475" s="179" t="n"/>
      <c r="E475" s="219" t="n"/>
      <c r="F475" s="220" t="n"/>
      <c r="G475" s="221" t="n"/>
    </row>
    <row r="476" ht="15" customHeight="1" s="131">
      <c r="A476" s="220" t="n"/>
      <c r="B476" s="222" t="n"/>
      <c r="C476" s="220" t="n"/>
      <c r="D476" s="179" t="n"/>
      <c r="E476" s="219" t="n"/>
      <c r="F476" s="220" t="n"/>
      <c r="G476" s="221" t="n"/>
    </row>
    <row r="477" ht="15" customHeight="1" s="131">
      <c r="A477" s="220" t="n"/>
      <c r="B477" s="222" t="n"/>
      <c r="C477" s="220" t="n"/>
      <c r="D477" s="179" t="n"/>
      <c r="E477" s="219" t="n"/>
      <c r="F477" s="220" t="n"/>
      <c r="G477" s="221" t="n"/>
    </row>
    <row r="478" ht="15" customHeight="1" s="131">
      <c r="A478" s="220" t="n"/>
      <c r="B478" s="222" t="n"/>
      <c r="C478" s="220" t="n"/>
      <c r="D478" s="179" t="n"/>
      <c r="E478" s="219" t="n"/>
      <c r="F478" s="220" t="n"/>
      <c r="G478" s="221" t="n"/>
    </row>
    <row r="479" ht="15" customHeight="1" s="131">
      <c r="A479" s="220" t="n"/>
      <c r="B479" s="222" t="n"/>
      <c r="C479" s="220" t="n"/>
      <c r="D479" s="179" t="n"/>
      <c r="E479" s="219" t="n"/>
      <c r="F479" s="220" t="n"/>
      <c r="G479" s="221" t="n"/>
    </row>
    <row r="480" ht="15" customHeight="1" s="131">
      <c r="A480" s="220" t="n"/>
      <c r="B480" s="222" t="n"/>
      <c r="C480" s="220" t="n"/>
      <c r="D480" s="179" t="n"/>
      <c r="E480" s="219" t="n"/>
      <c r="F480" s="220" t="n"/>
      <c r="G480" s="221" t="n"/>
    </row>
    <row r="481" ht="15" customHeight="1" s="131">
      <c r="A481" s="220" t="n"/>
      <c r="B481" s="222" t="n"/>
      <c r="C481" s="220" t="n"/>
      <c r="D481" s="179" t="n"/>
      <c r="E481" s="219" t="n"/>
      <c r="F481" s="220" t="n"/>
      <c r="G481" s="221" t="n"/>
    </row>
    <row r="482" ht="15" customHeight="1" s="131">
      <c r="A482" s="220" t="n"/>
      <c r="B482" s="222" t="n"/>
      <c r="C482" s="220" t="n"/>
      <c r="D482" s="179" t="n"/>
      <c r="E482" s="219" t="n"/>
      <c r="F482" s="220" t="n"/>
      <c r="G482" s="221" t="n"/>
    </row>
    <row r="483" ht="15" customHeight="1" s="131">
      <c r="A483" s="220" t="n"/>
      <c r="B483" s="222" t="n"/>
      <c r="C483" s="220" t="n"/>
      <c r="D483" s="179" t="n"/>
      <c r="E483" s="219" t="n"/>
      <c r="F483" s="220" t="n"/>
      <c r="G483" s="221" t="n"/>
    </row>
    <row r="484" ht="15" customHeight="1" s="131">
      <c r="A484" s="220" t="n"/>
      <c r="B484" s="222" t="n"/>
      <c r="C484" s="220" t="n"/>
      <c r="D484" s="179" t="n"/>
      <c r="E484" s="219" t="n"/>
      <c r="F484" s="220" t="n"/>
      <c r="G484" s="221" t="n"/>
    </row>
    <row r="485" ht="15" customHeight="1" s="131">
      <c r="A485" s="220" t="n"/>
      <c r="B485" s="222" t="n"/>
      <c r="C485" s="220" t="n"/>
      <c r="D485" s="179" t="n"/>
      <c r="E485" s="219" t="n"/>
      <c r="F485" s="220" t="n"/>
      <c r="G485" s="221" t="n"/>
    </row>
    <row r="486" ht="15" customHeight="1" s="131">
      <c r="A486" s="220" t="n"/>
      <c r="B486" s="222" t="n"/>
      <c r="C486" s="220" t="n"/>
      <c r="D486" s="179" t="n"/>
      <c r="E486" s="219" t="n"/>
      <c r="F486" s="220" t="n"/>
      <c r="G486" s="221" t="n"/>
    </row>
    <row r="487" ht="15" customHeight="1" s="131">
      <c r="A487" s="220" t="n"/>
      <c r="B487" s="222" t="n"/>
      <c r="C487" s="220" t="n"/>
      <c r="D487" s="179" t="n"/>
      <c r="E487" s="219" t="n"/>
      <c r="F487" s="220" t="n"/>
      <c r="G487" s="221" t="n"/>
    </row>
    <row r="488" ht="15" customHeight="1" s="131">
      <c r="A488" s="220" t="n"/>
      <c r="B488" s="222" t="n"/>
      <c r="C488" s="220" t="n"/>
      <c r="D488" s="179" t="n"/>
      <c r="E488" s="219" t="n"/>
      <c r="F488" s="220" t="n"/>
      <c r="G488" s="221" t="n"/>
    </row>
    <row r="489" ht="15" customHeight="1" s="131">
      <c r="A489" s="220" t="n"/>
      <c r="B489" s="222" t="n"/>
      <c r="C489" s="220" t="n"/>
      <c r="D489" s="179" t="n"/>
      <c r="E489" s="219" t="n"/>
      <c r="F489" s="220" t="n"/>
      <c r="G489" s="221" t="n"/>
    </row>
    <row r="490" ht="15" customHeight="1" s="131">
      <c r="A490" s="220" t="n"/>
      <c r="B490" s="222" t="n"/>
      <c r="C490" s="220" t="n"/>
      <c r="D490" s="179" t="n"/>
      <c r="E490" s="219" t="n"/>
      <c r="F490" s="220" t="n"/>
      <c r="G490" s="221" t="n"/>
    </row>
    <row r="491" ht="15" customHeight="1" s="131">
      <c r="A491" s="220" t="n"/>
      <c r="B491" s="222" t="n"/>
      <c r="C491" s="220" t="n"/>
      <c r="D491" s="179" t="n"/>
      <c r="E491" s="219" t="n"/>
      <c r="F491" s="220" t="n"/>
      <c r="G491" s="221" t="n"/>
    </row>
    <row r="492" ht="15" customHeight="1" s="131">
      <c r="A492" s="220" t="n"/>
      <c r="B492" s="222" t="n"/>
      <c r="C492" s="220" t="n"/>
      <c r="D492" s="179" t="n"/>
      <c r="E492" s="219" t="n"/>
      <c r="F492" s="220" t="n"/>
      <c r="G492" s="221" t="n"/>
    </row>
    <row r="493" ht="15" customHeight="1" s="131">
      <c r="A493" s="220" t="n"/>
      <c r="B493" s="222" t="n"/>
      <c r="C493" s="220" t="n"/>
      <c r="D493" s="179" t="n"/>
      <c r="E493" s="219" t="n"/>
      <c r="F493" s="220" t="n"/>
      <c r="G493" s="221" t="n"/>
    </row>
    <row r="494" ht="15" customHeight="1" s="131">
      <c r="A494" s="220" t="n"/>
      <c r="B494" s="222" t="n"/>
      <c r="C494" s="220" t="n"/>
      <c r="D494" s="179" t="n"/>
      <c r="E494" s="219" t="n"/>
      <c r="F494" s="220" t="n"/>
      <c r="G494" s="221" t="n"/>
    </row>
    <row r="495" ht="15" customHeight="1" s="131">
      <c r="A495" s="220" t="n"/>
      <c r="B495" s="222" t="n"/>
      <c r="C495" s="220" t="n"/>
      <c r="D495" s="179" t="n"/>
      <c r="E495" s="219" t="n"/>
      <c r="F495" s="220" t="n"/>
      <c r="G495" s="221" t="n"/>
    </row>
    <row r="496" ht="15" customHeight="1" s="131">
      <c r="A496" s="220" t="n"/>
      <c r="B496" s="222" t="n"/>
      <c r="C496" s="220" t="n"/>
      <c r="D496" s="179" t="n"/>
      <c r="E496" s="219" t="n"/>
      <c r="F496" s="220" t="n"/>
      <c r="G496" s="221" t="n"/>
    </row>
    <row r="497" ht="15" customHeight="1" s="131">
      <c r="A497" s="220" t="n"/>
      <c r="B497" s="222" t="n"/>
      <c r="C497" s="220" t="n"/>
      <c r="D497" s="179" t="n"/>
      <c r="E497" s="219" t="n"/>
      <c r="F497" s="220" t="n"/>
      <c r="G497" s="221" t="n"/>
    </row>
    <row r="498" ht="15" customHeight="1" s="131">
      <c r="A498" s="220" t="n"/>
      <c r="B498" s="222" t="n"/>
      <c r="C498" s="220" t="n"/>
      <c r="D498" s="179" t="n"/>
      <c r="E498" s="219" t="n"/>
      <c r="F498" s="220" t="n"/>
      <c r="G498" s="221" t="n"/>
    </row>
    <row r="499" ht="15" customHeight="1" s="131">
      <c r="A499" s="220" t="n"/>
      <c r="B499" s="222" t="n"/>
      <c r="C499" s="220" t="n"/>
      <c r="D499" s="179" t="n"/>
      <c r="E499" s="219" t="n"/>
      <c r="F499" s="220" t="n"/>
      <c r="G499" s="221" t="n"/>
    </row>
    <row r="500" ht="15" customHeight="1" s="131">
      <c r="A500" s="220" t="n"/>
      <c r="B500" s="222" t="n"/>
      <c r="C500" s="220" t="n"/>
      <c r="D500" s="179" t="n"/>
      <c r="E500" s="219" t="n"/>
      <c r="F500" s="220" t="n"/>
      <c r="G500" s="221" t="n"/>
    </row>
    <row r="501" ht="15" customHeight="1" s="131">
      <c r="A501" s="220" t="n"/>
      <c r="B501" s="222" t="n"/>
      <c r="C501" s="220" t="n"/>
      <c r="D501" s="179" t="n"/>
      <c r="E501" s="219" t="n"/>
      <c r="F501" s="220" t="n"/>
      <c r="G501" s="221" t="n"/>
    </row>
    <row r="502" ht="15" customHeight="1" s="131">
      <c r="A502" s="220" t="n"/>
      <c r="B502" s="222" t="n"/>
      <c r="C502" s="220" t="n"/>
      <c r="D502" s="179" t="n"/>
      <c r="E502" s="219" t="n"/>
      <c r="F502" s="220" t="n"/>
      <c r="G502" s="221" t="n"/>
    </row>
    <row r="503" ht="15" customHeight="1" s="131">
      <c r="A503" s="220" t="n"/>
      <c r="B503" s="222" t="n"/>
      <c r="C503" s="220" t="n"/>
      <c r="D503" s="179" t="n"/>
      <c r="E503" s="219" t="n"/>
      <c r="F503" s="220" t="n"/>
      <c r="G503" s="221" t="n"/>
    </row>
    <row r="504" ht="15" customHeight="1" s="131">
      <c r="A504" s="220" t="n"/>
      <c r="B504" s="222" t="n"/>
      <c r="C504" s="220" t="n"/>
      <c r="D504" s="179" t="n"/>
      <c r="E504" s="219" t="n"/>
      <c r="F504" s="220" t="n"/>
      <c r="G504" s="221" t="n"/>
    </row>
    <row r="505" ht="15" customHeight="1" s="131">
      <c r="A505" s="220" t="n"/>
      <c r="B505" s="222" t="n"/>
      <c r="C505" s="220" t="n"/>
      <c r="D505" s="179" t="n"/>
      <c r="E505" s="219" t="n"/>
      <c r="F505" s="220" t="n"/>
      <c r="G505" s="221" t="n"/>
    </row>
    <row r="506" ht="15" customHeight="1" s="131">
      <c r="A506" s="220" t="n"/>
      <c r="B506" s="222" t="n"/>
      <c r="C506" s="220" t="n"/>
      <c r="D506" s="179" t="n"/>
      <c r="E506" s="219" t="n"/>
      <c r="F506" s="220" t="n"/>
      <c r="G506" s="221" t="n"/>
    </row>
    <row r="507" ht="15" customHeight="1" s="131">
      <c r="A507" s="220" t="n"/>
      <c r="B507" s="222" t="n"/>
      <c r="C507" s="220" t="n"/>
      <c r="D507" s="179" t="n"/>
      <c r="E507" s="219" t="n"/>
      <c r="F507" s="220" t="n"/>
      <c r="G507" s="221" t="n"/>
    </row>
    <row r="508" ht="15" customHeight="1" s="131">
      <c r="A508" s="220" t="n"/>
      <c r="B508" s="222" t="n"/>
      <c r="C508" s="220" t="n"/>
      <c r="D508" s="179" t="n"/>
      <c r="E508" s="219" t="n"/>
      <c r="F508" s="220" t="n"/>
      <c r="G508" s="221" t="n"/>
    </row>
    <row r="509" ht="15" customHeight="1" s="131">
      <c r="A509" s="220" t="n"/>
      <c r="B509" s="222" t="n"/>
      <c r="C509" s="220" t="n"/>
      <c r="D509" s="179" t="n"/>
      <c r="E509" s="219" t="n"/>
      <c r="F509" s="220" t="n"/>
      <c r="G509" s="221" t="n"/>
    </row>
    <row r="510" ht="15" customHeight="1" s="131">
      <c r="A510" s="220" t="n"/>
      <c r="B510" s="222" t="n"/>
      <c r="C510" s="220" t="n"/>
      <c r="D510" s="179" t="n"/>
      <c r="E510" s="219" t="n"/>
      <c r="F510" s="220" t="n"/>
      <c r="G510" s="221" t="n"/>
    </row>
    <row r="511" ht="15" customHeight="1" s="131">
      <c r="A511" s="220" t="n"/>
      <c r="B511" s="222" t="n"/>
      <c r="C511" s="220" t="n"/>
      <c r="D511" s="179" t="n"/>
      <c r="E511" s="219" t="n"/>
      <c r="F511" s="220" t="n"/>
      <c r="G511" s="221" t="n"/>
    </row>
    <row r="512" ht="15" customHeight="1" s="131">
      <c r="A512" s="220" t="n"/>
      <c r="B512" s="222" t="n"/>
      <c r="C512" s="220" t="n"/>
      <c r="D512" s="179" t="n"/>
      <c r="E512" s="219" t="n"/>
      <c r="F512" s="220" t="n"/>
      <c r="G512" s="221" t="n"/>
    </row>
    <row r="513" ht="15" customHeight="1" s="131">
      <c r="A513" s="220" t="n"/>
      <c r="B513" s="222" t="n"/>
      <c r="C513" s="220" t="n"/>
      <c r="D513" s="179" t="n"/>
      <c r="E513" s="219" t="n"/>
      <c r="F513" s="220" t="n"/>
      <c r="G513" s="221" t="n"/>
    </row>
    <row r="514" ht="15" customHeight="1" s="131">
      <c r="A514" s="220" t="n"/>
      <c r="B514" s="222" t="n"/>
      <c r="C514" s="220" t="n"/>
      <c r="D514" s="179" t="n"/>
      <c r="E514" s="219" t="n"/>
      <c r="F514" s="220" t="n"/>
      <c r="G514" s="221" t="n"/>
    </row>
    <row r="515" ht="15" customHeight="1" s="131">
      <c r="A515" s="220" t="n"/>
      <c r="B515" s="222" t="n"/>
      <c r="C515" s="220" t="n"/>
      <c r="D515" s="179" t="n"/>
      <c r="E515" s="219" t="n"/>
      <c r="F515" s="220" t="n"/>
      <c r="G515" s="221" t="n"/>
    </row>
    <row r="516" ht="15" customHeight="1" s="131">
      <c r="A516" s="220" t="n"/>
      <c r="B516" s="222" t="n"/>
      <c r="C516" s="220" t="n"/>
      <c r="D516" s="179" t="n"/>
      <c r="E516" s="219" t="n"/>
      <c r="F516" s="220" t="n"/>
      <c r="G516" s="221" t="n"/>
    </row>
    <row r="517" ht="15" customHeight="1" s="131">
      <c r="A517" s="220" t="n"/>
      <c r="B517" s="222" t="n"/>
      <c r="C517" s="220" t="n"/>
      <c r="D517" s="179" t="n"/>
      <c r="E517" s="219" t="n"/>
      <c r="F517" s="220" t="n"/>
      <c r="G517" s="221" t="n"/>
    </row>
    <row r="518" ht="15" customHeight="1" s="131">
      <c r="A518" s="220" t="n"/>
      <c r="B518" s="222" t="n"/>
      <c r="C518" s="220" t="n"/>
      <c r="D518" s="179" t="n"/>
      <c r="E518" s="219" t="n"/>
      <c r="F518" s="220" t="n"/>
      <c r="G518" s="221" t="n"/>
    </row>
    <row r="519" ht="15" customHeight="1" s="131">
      <c r="A519" s="220" t="n"/>
      <c r="B519" s="222" t="n"/>
      <c r="C519" s="220" t="n"/>
      <c r="D519" s="179" t="n"/>
      <c r="E519" s="219" t="n"/>
      <c r="F519" s="220" t="n"/>
      <c r="G519" s="221" t="n"/>
    </row>
    <row r="520" ht="15" customHeight="1" s="131">
      <c r="A520" s="220" t="n"/>
      <c r="B520" s="222" t="n"/>
      <c r="C520" s="220" t="n"/>
      <c r="D520" s="179" t="n"/>
      <c r="E520" s="219" t="n"/>
      <c r="F520" s="220" t="n"/>
      <c r="G520" s="221" t="n"/>
    </row>
    <row r="521" ht="15" customHeight="1" s="131">
      <c r="A521" s="220" t="n"/>
      <c r="B521" s="222" t="n"/>
      <c r="C521" s="220" t="n"/>
      <c r="D521" s="179" t="n"/>
      <c r="E521" s="219" t="n"/>
      <c r="F521" s="220" t="n"/>
      <c r="G521" s="221" t="n"/>
    </row>
    <row r="522" ht="15" customHeight="1" s="131">
      <c r="A522" s="220" t="n"/>
      <c r="B522" s="222" t="n"/>
      <c r="C522" s="220" t="n"/>
      <c r="D522" s="179" t="n"/>
      <c r="E522" s="219" t="n"/>
      <c r="F522" s="220" t="n"/>
      <c r="G522" s="221" t="n"/>
    </row>
    <row r="523" ht="15" customHeight="1" s="131">
      <c r="A523" s="220" t="n"/>
      <c r="B523" s="222" t="n"/>
      <c r="C523" s="220" t="n"/>
      <c r="D523" s="179" t="n"/>
      <c r="E523" s="219" t="n"/>
      <c r="F523" s="220" t="n"/>
      <c r="G523" s="221" t="n"/>
    </row>
    <row r="524" ht="15" customHeight="1" s="131">
      <c r="A524" s="220" t="n"/>
      <c r="B524" s="222" t="n"/>
      <c r="C524" s="220" t="n"/>
      <c r="D524" s="179" t="n"/>
      <c r="E524" s="219" t="n"/>
      <c r="F524" s="220" t="n"/>
      <c r="G524" s="221" t="n"/>
    </row>
    <row r="525" ht="15" customHeight="1" s="131">
      <c r="A525" s="220" t="n"/>
      <c r="B525" s="222" t="n"/>
      <c r="C525" s="220" t="n"/>
      <c r="D525" s="179" t="n"/>
      <c r="E525" s="219" t="n"/>
      <c r="F525" s="220" t="n"/>
      <c r="G525" s="221" t="n"/>
    </row>
    <row r="526" ht="15" customHeight="1" s="131">
      <c r="A526" s="220" t="n"/>
      <c r="B526" s="222" t="n"/>
      <c r="C526" s="220" t="n"/>
      <c r="D526" s="179" t="n"/>
      <c r="E526" s="219" t="n"/>
      <c r="F526" s="220" t="n"/>
      <c r="G526" s="221" t="n"/>
    </row>
    <row r="527" ht="15" customHeight="1" s="131">
      <c r="A527" s="220" t="n"/>
      <c r="B527" s="222" t="n"/>
      <c r="C527" s="220" t="n"/>
      <c r="D527" s="179" t="n"/>
      <c r="E527" s="219" t="n"/>
      <c r="F527" s="220" t="n"/>
      <c r="G527" s="221" t="n"/>
    </row>
    <row r="528" ht="15" customHeight="1" s="131">
      <c r="A528" s="220" t="n"/>
      <c r="B528" s="222" t="n"/>
      <c r="C528" s="220" t="n"/>
      <c r="D528" s="179" t="n"/>
      <c r="E528" s="219" t="n"/>
      <c r="F528" s="220" t="n"/>
      <c r="G528" s="221" t="n"/>
    </row>
    <row r="529" ht="15" customHeight="1" s="131">
      <c r="A529" s="220" t="n"/>
      <c r="B529" s="222" t="n"/>
      <c r="C529" s="220" t="n"/>
      <c r="D529" s="179" t="n"/>
      <c r="E529" s="219" t="n"/>
      <c r="F529" s="220" t="n"/>
      <c r="G529" s="221" t="n"/>
    </row>
    <row r="530" ht="15" customHeight="1" s="131">
      <c r="A530" s="220" t="n"/>
      <c r="B530" s="222" t="n"/>
      <c r="C530" s="220" t="n"/>
      <c r="D530" s="179" t="n"/>
      <c r="E530" s="219" t="n"/>
      <c r="F530" s="220" t="n"/>
      <c r="G530" s="221" t="n"/>
    </row>
    <row r="531" ht="15" customHeight="1" s="131">
      <c r="A531" s="220" t="n"/>
      <c r="B531" s="222" t="n"/>
      <c r="C531" s="220" t="n"/>
      <c r="D531" s="179" t="n"/>
      <c r="E531" s="219" t="n"/>
      <c r="F531" s="220" t="n"/>
      <c r="G531" s="221" t="n"/>
    </row>
    <row r="532" ht="15" customHeight="1" s="131">
      <c r="A532" s="220" t="n"/>
      <c r="B532" s="222" t="n"/>
      <c r="C532" s="220" t="n"/>
      <c r="D532" s="179" t="n"/>
      <c r="E532" s="219" t="n"/>
      <c r="F532" s="220" t="n"/>
      <c r="G532" s="221" t="n"/>
    </row>
    <row r="533" ht="15" customHeight="1" s="131">
      <c r="A533" s="220" t="n"/>
      <c r="B533" s="222" t="n"/>
      <c r="C533" s="220" t="n"/>
      <c r="D533" s="179" t="n"/>
      <c r="E533" s="219" t="n"/>
      <c r="F533" s="220" t="n"/>
      <c r="G533" s="221" t="n"/>
    </row>
    <row r="534" ht="15" customHeight="1" s="131">
      <c r="A534" s="220" t="n"/>
      <c r="B534" s="222" t="n"/>
      <c r="C534" s="220" t="n"/>
      <c r="D534" s="179" t="n"/>
      <c r="E534" s="219" t="n"/>
      <c r="F534" s="220" t="n"/>
      <c r="G534" s="221" t="n"/>
    </row>
    <row r="535" ht="15" customHeight="1" s="131">
      <c r="A535" s="220" t="n"/>
      <c r="B535" s="222" t="n"/>
      <c r="C535" s="220" t="n"/>
      <c r="D535" s="179" t="n"/>
      <c r="E535" s="219" t="n"/>
      <c r="F535" s="220" t="n"/>
      <c r="G535" s="221" t="n"/>
    </row>
    <row r="536" ht="15" customHeight="1" s="131">
      <c r="A536" s="220" t="n"/>
      <c r="B536" s="222" t="n"/>
      <c r="C536" s="220" t="n"/>
      <c r="D536" s="179" t="n"/>
      <c r="E536" s="219" t="n"/>
      <c r="F536" s="220" t="n"/>
      <c r="G536" s="221" t="n"/>
    </row>
    <row r="537" ht="15" customHeight="1" s="131">
      <c r="A537" s="220" t="n"/>
      <c r="B537" s="222" t="n"/>
      <c r="C537" s="220" t="n"/>
      <c r="D537" s="179" t="n"/>
      <c r="E537" s="219" t="n"/>
      <c r="F537" s="220" t="n"/>
      <c r="G537" s="221" t="n"/>
    </row>
    <row r="538" ht="15" customHeight="1" s="131">
      <c r="A538" s="220" t="n"/>
      <c r="B538" s="222" t="n"/>
      <c r="C538" s="220" t="n"/>
      <c r="D538" s="179" t="n"/>
      <c r="E538" s="219" t="n"/>
      <c r="F538" s="220" t="n"/>
      <c r="G538" s="221" t="n"/>
    </row>
    <row r="539" ht="15" customHeight="1" s="131">
      <c r="A539" s="220" t="n"/>
      <c r="B539" s="222" t="n"/>
      <c r="C539" s="220" t="n"/>
      <c r="D539" s="179" t="n"/>
      <c r="E539" s="219" t="n"/>
      <c r="F539" s="220" t="n"/>
      <c r="G539" s="221" t="n"/>
    </row>
    <row r="540" ht="15" customHeight="1" s="131">
      <c r="A540" s="220" t="n"/>
      <c r="B540" s="222" t="n"/>
      <c r="C540" s="220" t="n"/>
      <c r="D540" s="179" t="n"/>
      <c r="E540" s="219" t="n"/>
      <c r="F540" s="220" t="n"/>
      <c r="G540" s="221" t="n"/>
    </row>
    <row r="541" ht="15" customHeight="1" s="131">
      <c r="A541" s="220" t="n"/>
      <c r="B541" s="222" t="n"/>
      <c r="C541" s="220" t="n"/>
      <c r="D541" s="179" t="n"/>
      <c r="E541" s="219" t="n"/>
      <c r="F541" s="220" t="n"/>
      <c r="G541" s="221" t="n"/>
    </row>
    <row r="542" ht="15" customHeight="1" s="131">
      <c r="A542" s="220" t="n"/>
      <c r="B542" s="222" t="n"/>
      <c r="C542" s="220" t="n"/>
      <c r="D542" s="179" t="n"/>
      <c r="E542" s="219" t="n"/>
      <c r="F542" s="220" t="n"/>
      <c r="G542" s="221" t="n"/>
    </row>
    <row r="543" ht="15" customHeight="1" s="131">
      <c r="A543" s="220" t="n"/>
      <c r="B543" s="222" t="n"/>
      <c r="C543" s="220" t="n"/>
      <c r="D543" s="179" t="n"/>
      <c r="E543" s="219" t="n"/>
      <c r="F543" s="220" t="n"/>
      <c r="G543" s="221" t="n"/>
    </row>
    <row r="544" ht="15" customHeight="1" s="131">
      <c r="A544" s="220" t="n"/>
      <c r="B544" s="222" t="n"/>
      <c r="C544" s="220" t="n"/>
      <c r="D544" s="179" t="n"/>
      <c r="E544" s="219" t="n"/>
      <c r="F544" s="220" t="n"/>
      <c r="G544" s="221" t="n"/>
    </row>
    <row r="545" ht="15" customHeight="1" s="131">
      <c r="A545" s="220" t="n"/>
      <c r="B545" s="222" t="n"/>
      <c r="C545" s="220" t="n"/>
      <c r="D545" s="179" t="n"/>
      <c r="E545" s="219" t="n"/>
      <c r="F545" s="220" t="n"/>
      <c r="G545" s="221" t="n"/>
    </row>
    <row r="546" ht="15" customHeight="1" s="131">
      <c r="A546" s="220" t="n"/>
      <c r="B546" s="222" t="n"/>
      <c r="C546" s="220" t="n"/>
      <c r="D546" s="179" t="n"/>
      <c r="E546" s="219" t="n"/>
      <c r="F546" s="220" t="n"/>
      <c r="G546" s="221" t="n"/>
    </row>
    <row r="547" ht="15" customHeight="1" s="131">
      <c r="A547" s="220" t="n"/>
      <c r="B547" s="222" t="n"/>
      <c r="C547" s="220" t="n"/>
      <c r="D547" s="179" t="n"/>
      <c r="E547" s="219" t="n"/>
      <c r="F547" s="220" t="n"/>
      <c r="G547" s="221" t="n"/>
    </row>
    <row r="548" ht="15" customHeight="1" s="131">
      <c r="A548" s="220" t="n"/>
      <c r="B548" s="222" t="n"/>
      <c r="C548" s="220" t="n"/>
      <c r="D548" s="179" t="n"/>
      <c r="E548" s="219" t="n"/>
      <c r="F548" s="220" t="n"/>
      <c r="G548" s="221" t="n"/>
    </row>
    <row r="549" ht="15" customHeight="1" s="131">
      <c r="A549" s="220" t="n"/>
      <c r="B549" s="222" t="n"/>
      <c r="C549" s="220" t="n"/>
      <c r="D549" s="179" t="n"/>
      <c r="E549" s="219" t="n"/>
      <c r="F549" s="220" t="n"/>
      <c r="G549" s="221" t="n"/>
    </row>
    <row r="550" ht="15" customHeight="1" s="131">
      <c r="A550" s="220" t="n"/>
      <c r="B550" s="222" t="n"/>
      <c r="C550" s="220" t="n"/>
      <c r="D550" s="179" t="n"/>
      <c r="E550" s="219" t="n"/>
      <c r="F550" s="220" t="n"/>
      <c r="G550" s="221" t="n"/>
    </row>
    <row r="551" ht="15" customHeight="1" s="131">
      <c r="A551" s="220" t="n"/>
      <c r="B551" s="222" t="n"/>
      <c r="C551" s="220" t="n"/>
      <c r="D551" s="179" t="n"/>
      <c r="E551" s="219" t="n"/>
      <c r="F551" s="220" t="n"/>
      <c r="G551" s="221" t="n"/>
    </row>
    <row r="552" ht="15" customHeight="1" s="131">
      <c r="A552" s="220" t="n"/>
      <c r="B552" s="222" t="n"/>
      <c r="C552" s="220" t="n"/>
      <c r="D552" s="179" t="n"/>
      <c r="E552" s="219" t="n"/>
      <c r="F552" s="220" t="n"/>
      <c r="G552" s="221" t="n"/>
    </row>
    <row r="553" ht="15" customHeight="1" s="131">
      <c r="A553" s="220" t="n"/>
      <c r="B553" s="222" t="n"/>
      <c r="C553" s="220" t="n"/>
      <c r="D553" s="179" t="n"/>
      <c r="E553" s="219" t="n"/>
      <c r="F553" s="220" t="n"/>
      <c r="G553" s="221" t="n"/>
    </row>
    <row r="554" ht="15" customHeight="1" s="131">
      <c r="A554" s="220" t="n"/>
      <c r="B554" s="222" t="n"/>
      <c r="C554" s="220" t="n"/>
      <c r="D554" s="179" t="n"/>
      <c r="E554" s="219" t="n"/>
      <c r="F554" s="220" t="n"/>
      <c r="G554" s="221" t="n"/>
    </row>
    <row r="555" ht="15" customHeight="1" s="131">
      <c r="A555" s="220" t="n"/>
      <c r="B555" s="222" t="n"/>
      <c r="C555" s="220" t="n"/>
      <c r="D555" s="179" t="n"/>
      <c r="E555" s="219" t="n"/>
      <c r="F555" s="220" t="n"/>
      <c r="G555" s="221" t="n"/>
    </row>
    <row r="556" ht="15" customHeight="1" s="131">
      <c r="A556" s="220" t="n"/>
      <c r="B556" s="222" t="n"/>
      <c r="C556" s="220" t="n"/>
      <c r="D556" s="179" t="n"/>
      <c r="E556" s="219" t="n"/>
      <c r="F556" s="220" t="n"/>
      <c r="G556" s="221" t="n"/>
    </row>
    <row r="557" ht="15" customHeight="1" s="131">
      <c r="A557" s="220" t="n"/>
      <c r="B557" s="222" t="n"/>
      <c r="C557" s="220" t="n"/>
      <c r="D557" s="179" t="n"/>
      <c r="E557" s="219" t="n"/>
      <c r="F557" s="220" t="n"/>
      <c r="G557" s="221" t="n"/>
    </row>
    <row r="558" ht="15" customHeight="1" s="131">
      <c r="A558" s="220" t="n"/>
      <c r="B558" s="222" t="n"/>
      <c r="C558" s="220" t="n"/>
      <c r="D558" s="179" t="n"/>
      <c r="E558" s="219" t="n"/>
      <c r="F558" s="220" t="n"/>
      <c r="G558" s="221" t="n"/>
    </row>
    <row r="559" ht="15" customHeight="1" s="131">
      <c r="A559" s="220" t="n"/>
      <c r="B559" s="222" t="n"/>
      <c r="C559" s="220" t="n"/>
      <c r="D559" s="179" t="n"/>
      <c r="E559" s="219" t="n"/>
      <c r="F559" s="220" t="n"/>
      <c r="G559" s="221" t="n"/>
    </row>
    <row r="560" ht="15" customHeight="1" s="131">
      <c r="A560" s="220" t="n"/>
      <c r="B560" s="222" t="n"/>
      <c r="C560" s="220" t="n"/>
      <c r="D560" s="179" t="n"/>
      <c r="E560" s="219" t="n"/>
      <c r="F560" s="220" t="n"/>
      <c r="G560" s="221" t="n"/>
    </row>
    <row r="561" ht="15" customHeight="1" s="131">
      <c r="A561" s="220" t="n"/>
      <c r="B561" s="222" t="n"/>
      <c r="C561" s="220" t="n"/>
      <c r="D561" s="179" t="n"/>
      <c r="E561" s="219" t="n"/>
      <c r="F561" s="220" t="n"/>
      <c r="G561" s="221" t="n"/>
    </row>
    <row r="562" ht="15" customHeight="1" s="131">
      <c r="A562" s="220" t="n"/>
      <c r="B562" s="222" t="n"/>
      <c r="C562" s="220" t="n"/>
      <c r="D562" s="179" t="n"/>
      <c r="E562" s="219" t="n"/>
      <c r="F562" s="220" t="n"/>
      <c r="G562" s="221" t="n"/>
    </row>
    <row r="563" ht="15" customHeight="1" s="131">
      <c r="A563" s="220" t="n"/>
      <c r="B563" s="222" t="n"/>
      <c r="C563" s="220" t="n"/>
      <c r="D563" s="179" t="n"/>
      <c r="E563" s="219" t="n"/>
      <c r="F563" s="220" t="n"/>
      <c r="G563" s="221" t="n"/>
    </row>
    <row r="564" ht="15" customHeight="1" s="131">
      <c r="A564" s="220" t="n"/>
      <c r="B564" s="222" t="n"/>
      <c r="C564" s="220" t="n"/>
      <c r="D564" s="179" t="n"/>
      <c r="E564" s="219" t="n"/>
      <c r="F564" s="220" t="n"/>
      <c r="G564" s="221" t="n"/>
    </row>
    <row r="565" ht="15" customHeight="1" s="131">
      <c r="A565" s="220" t="n"/>
      <c r="B565" s="222" t="n"/>
      <c r="C565" s="220" t="n"/>
      <c r="D565" s="179" t="n"/>
      <c r="E565" s="219" t="n"/>
      <c r="F565" s="220" t="n"/>
      <c r="G565" s="221" t="n"/>
    </row>
    <row r="566" ht="15" customHeight="1" s="131">
      <c r="A566" s="220" t="n"/>
      <c r="B566" s="222" t="n"/>
      <c r="C566" s="220" t="n"/>
      <c r="D566" s="179" t="n"/>
      <c r="E566" s="219" t="n"/>
      <c r="F566" s="220" t="n"/>
      <c r="G566" s="221" t="n"/>
    </row>
    <row r="567" ht="15" customHeight="1" s="131">
      <c r="A567" s="220" t="n"/>
      <c r="B567" s="222" t="n"/>
      <c r="C567" s="220" t="n"/>
      <c r="D567" s="179" t="n"/>
      <c r="E567" s="219" t="n"/>
      <c r="F567" s="220" t="n"/>
      <c r="G567" s="221" t="n"/>
    </row>
    <row r="568" ht="15" customHeight="1" s="131">
      <c r="A568" s="220" t="n"/>
      <c r="B568" s="222" t="n"/>
      <c r="C568" s="220" t="n"/>
      <c r="D568" s="179" t="n"/>
      <c r="E568" s="219" t="n"/>
      <c r="F568" s="220" t="n"/>
      <c r="G568" s="221" t="n"/>
    </row>
    <row r="569" ht="15" customHeight="1" s="131">
      <c r="A569" s="220" t="n"/>
      <c r="B569" s="222" t="n"/>
      <c r="C569" s="220" t="n"/>
      <c r="D569" s="179" t="n"/>
      <c r="E569" s="219" t="n"/>
      <c r="F569" s="220" t="n"/>
      <c r="G569" s="221" t="n"/>
    </row>
    <row r="570" ht="15" customHeight="1" s="131">
      <c r="A570" s="220" t="n"/>
      <c r="B570" s="222" t="n"/>
      <c r="C570" s="220" t="n"/>
      <c r="D570" s="179" t="n"/>
      <c r="E570" s="219" t="n"/>
      <c r="F570" s="220" t="n"/>
      <c r="G570" s="221" t="n"/>
    </row>
    <row r="571" ht="15" customHeight="1" s="131">
      <c r="A571" s="220" t="n"/>
      <c r="B571" s="222" t="n"/>
      <c r="C571" s="220" t="n"/>
      <c r="D571" s="179" t="n"/>
      <c r="E571" s="219" t="n"/>
      <c r="F571" s="220" t="n"/>
      <c r="G571" s="221" t="n"/>
    </row>
    <row r="572" ht="15" customHeight="1" s="131">
      <c r="A572" s="220" t="n"/>
      <c r="B572" s="222" t="n"/>
      <c r="C572" s="220" t="n"/>
      <c r="D572" s="179" t="n"/>
      <c r="E572" s="219" t="n"/>
      <c r="F572" s="220" t="n"/>
      <c r="G572" s="221" t="n"/>
    </row>
    <row r="573" ht="15" customHeight="1" s="131">
      <c r="A573" s="220" t="n"/>
      <c r="B573" s="222" t="n"/>
      <c r="C573" s="220" t="n"/>
      <c r="D573" s="179" t="n"/>
      <c r="E573" s="219" t="n"/>
      <c r="F573" s="220" t="n"/>
      <c r="G573" s="221" t="n"/>
    </row>
    <row r="574" ht="15" customHeight="1" s="131">
      <c r="A574" s="220" t="n"/>
      <c r="B574" s="222" t="n"/>
      <c r="C574" s="220" t="n"/>
      <c r="D574" s="179" t="n"/>
      <c r="E574" s="219" t="n"/>
      <c r="F574" s="220" t="n"/>
      <c r="G574" s="221" t="n"/>
    </row>
    <row r="575" ht="15" customHeight="1" s="131">
      <c r="A575" s="220" t="n"/>
      <c r="B575" s="222" t="n"/>
      <c r="C575" s="220" t="n"/>
      <c r="D575" s="179" t="n"/>
      <c r="E575" s="219" t="n"/>
      <c r="F575" s="220" t="n"/>
      <c r="G575" s="221" t="n"/>
    </row>
    <row r="576" ht="15" customHeight="1" s="131">
      <c r="A576" s="220" t="n"/>
      <c r="B576" s="222" t="n"/>
      <c r="C576" s="220" t="n"/>
      <c r="D576" s="179" t="n"/>
      <c r="E576" s="219" t="n"/>
      <c r="F576" s="220" t="n"/>
      <c r="G576" s="221" t="n"/>
    </row>
    <row r="577" ht="15" customHeight="1" s="131">
      <c r="A577" s="220" t="n"/>
      <c r="B577" s="222" t="n"/>
      <c r="C577" s="220" t="n"/>
      <c r="D577" s="179" t="n"/>
      <c r="E577" s="219" t="n"/>
      <c r="F577" s="220" t="n"/>
      <c r="G577" s="221" t="n"/>
    </row>
    <row r="578" ht="15" customHeight="1" s="131">
      <c r="A578" s="220" t="n"/>
      <c r="B578" s="222" t="n"/>
      <c r="C578" s="220" t="n"/>
      <c r="D578" s="179" t="n"/>
      <c r="E578" s="219" t="n"/>
      <c r="F578" s="220" t="n"/>
      <c r="G578" s="221" t="n"/>
    </row>
    <row r="579" ht="15" customHeight="1" s="131">
      <c r="A579" s="220" t="n"/>
      <c r="B579" s="222" t="n"/>
      <c r="C579" s="220" t="n"/>
      <c r="D579" s="179" t="n"/>
      <c r="E579" s="219" t="n"/>
      <c r="F579" s="220" t="n"/>
      <c r="G579" s="221" t="n"/>
    </row>
    <row r="580" ht="15" customHeight="1" s="131">
      <c r="A580" s="220" t="n"/>
      <c r="B580" s="222" t="n"/>
      <c r="C580" s="220" t="n"/>
      <c r="D580" s="179" t="n"/>
      <c r="E580" s="219" t="n"/>
      <c r="F580" s="220" t="n"/>
      <c r="G580" s="221" t="n"/>
    </row>
    <row r="581" ht="15" customHeight="1" s="131">
      <c r="A581" s="220" t="n"/>
      <c r="B581" s="222" t="n"/>
      <c r="C581" s="220" t="n"/>
      <c r="D581" s="179" t="n"/>
      <c r="E581" s="219" t="n"/>
      <c r="F581" s="220" t="n"/>
      <c r="G581" s="221" t="n"/>
    </row>
    <row r="582" ht="15" customHeight="1" s="131">
      <c r="A582" s="220" t="n"/>
      <c r="B582" s="222" t="n"/>
      <c r="C582" s="220" t="n"/>
      <c r="D582" s="179" t="n"/>
      <c r="E582" s="219" t="n"/>
      <c r="F582" s="220" t="n"/>
      <c r="G582" s="221" t="n"/>
    </row>
    <row r="583" ht="15" customHeight="1" s="131">
      <c r="A583" s="220" t="n"/>
      <c r="B583" s="222" t="n"/>
      <c r="C583" s="220" t="n"/>
      <c r="D583" s="179" t="n"/>
      <c r="E583" s="219" t="n"/>
      <c r="F583" s="220" t="n"/>
      <c r="G583" s="221" t="n"/>
    </row>
    <row r="584" ht="15" customHeight="1" s="131">
      <c r="A584" s="220" t="n"/>
      <c r="B584" s="222" t="n"/>
      <c r="C584" s="220" t="n"/>
      <c r="D584" s="179" t="n"/>
      <c r="E584" s="219" t="n"/>
      <c r="F584" s="220" t="n"/>
      <c r="G584" s="221" t="n"/>
    </row>
    <row r="585" ht="15" customHeight="1" s="131">
      <c r="A585" s="220" t="n"/>
      <c r="B585" s="222" t="n"/>
      <c r="C585" s="220" t="n"/>
      <c r="D585" s="179" t="n"/>
      <c r="E585" s="219" t="n"/>
      <c r="F585" s="220" t="n"/>
      <c r="G585" s="221" t="n"/>
    </row>
    <row r="586" ht="15" customHeight="1" s="131">
      <c r="A586" s="220" t="n"/>
      <c r="B586" s="222" t="n"/>
      <c r="C586" s="220" t="n"/>
      <c r="D586" s="179" t="n"/>
      <c r="E586" s="219" t="n"/>
      <c r="F586" s="220" t="n"/>
      <c r="G586" s="221" t="n"/>
    </row>
    <row r="587" ht="15" customHeight="1" s="131">
      <c r="A587" s="220" t="n"/>
      <c r="B587" s="222" t="n"/>
      <c r="C587" s="220" t="n"/>
      <c r="D587" s="179" t="n"/>
      <c r="E587" s="219" t="n"/>
      <c r="F587" s="220" t="n"/>
      <c r="G587" s="221" t="n"/>
    </row>
    <row r="588" ht="15" customHeight="1" s="131">
      <c r="A588" s="220" t="n"/>
      <c r="B588" s="222" t="n"/>
      <c r="C588" s="220" t="n"/>
      <c r="D588" s="179" t="n"/>
      <c r="E588" s="219" t="n"/>
      <c r="F588" s="220" t="n"/>
      <c r="G588" s="221" t="n"/>
    </row>
    <row r="589" ht="15" customHeight="1" s="131">
      <c r="A589" s="220" t="n"/>
      <c r="B589" s="222" t="n"/>
      <c r="C589" s="220" t="n"/>
      <c r="D589" s="179" t="n"/>
      <c r="E589" s="219" t="n"/>
      <c r="F589" s="220" t="n"/>
      <c r="G589" s="221" t="n"/>
    </row>
    <row r="590" ht="15" customHeight="1" s="131">
      <c r="A590" s="220" t="n"/>
      <c r="B590" s="222" t="n"/>
      <c r="C590" s="220" t="n"/>
      <c r="D590" s="179" t="n"/>
      <c r="E590" s="219" t="n"/>
      <c r="F590" s="220" t="n"/>
      <c r="G590" s="221" t="n"/>
    </row>
    <row r="591" ht="15" customHeight="1" s="131">
      <c r="A591" s="220" t="n"/>
      <c r="B591" s="222" t="n"/>
      <c r="C591" s="220" t="n"/>
      <c r="D591" s="179" t="n"/>
      <c r="E591" s="219" t="n"/>
      <c r="F591" s="220" t="n"/>
      <c r="G591" s="221" t="n"/>
    </row>
    <row r="592" ht="15" customHeight="1" s="131">
      <c r="A592" s="220" t="n"/>
      <c r="B592" s="222" t="n"/>
      <c r="C592" s="220" t="n"/>
      <c r="D592" s="179" t="n"/>
      <c r="E592" s="219" t="n"/>
      <c r="F592" s="220" t="n"/>
      <c r="G592" s="221" t="n"/>
    </row>
    <row r="593" ht="15" customHeight="1" s="131">
      <c r="A593" s="220" t="n"/>
      <c r="B593" s="222" t="n"/>
      <c r="C593" s="220" t="n"/>
      <c r="D593" s="179" t="n"/>
      <c r="E593" s="219" t="n"/>
      <c r="F593" s="220" t="n"/>
      <c r="G593" s="221" t="n"/>
    </row>
    <row r="594" ht="15" customHeight="1" s="131">
      <c r="A594" s="220" t="n"/>
      <c r="B594" s="222" t="n"/>
      <c r="C594" s="220" t="n"/>
      <c r="D594" s="179" t="n"/>
      <c r="E594" s="219" t="n"/>
      <c r="F594" s="220" t="n"/>
      <c r="G594" s="221" t="n"/>
    </row>
    <row r="595" ht="15" customHeight="1" s="131">
      <c r="A595" s="220" t="n"/>
      <c r="B595" s="222" t="n"/>
      <c r="C595" s="220" t="n"/>
      <c r="D595" s="179" t="n"/>
      <c r="E595" s="219" t="n"/>
      <c r="F595" s="220" t="n"/>
      <c r="G595" s="221" t="n"/>
    </row>
    <row r="596" ht="15" customHeight="1" s="131">
      <c r="A596" s="220" t="n"/>
      <c r="B596" s="222" t="n"/>
      <c r="C596" s="220" t="n"/>
      <c r="D596" s="179" t="n"/>
      <c r="E596" s="219" t="n"/>
      <c r="F596" s="220" t="n"/>
      <c r="G596" s="221" t="n"/>
    </row>
    <row r="597" ht="15" customHeight="1" s="131">
      <c r="A597" s="220" t="n"/>
      <c r="B597" s="222" t="n"/>
      <c r="C597" s="220" t="n"/>
      <c r="D597" s="179" t="n"/>
      <c r="E597" s="219" t="n"/>
      <c r="F597" s="220" t="n"/>
      <c r="G597" s="221" t="n"/>
    </row>
    <row r="598" ht="15" customHeight="1" s="131">
      <c r="A598" s="220" t="n"/>
      <c r="B598" s="222" t="n"/>
      <c r="C598" s="220" t="n"/>
      <c r="D598" s="179" t="n"/>
      <c r="E598" s="219" t="n"/>
      <c r="F598" s="220" t="n"/>
      <c r="G598" s="221" t="n"/>
    </row>
    <row r="599" ht="15" customHeight="1" s="131">
      <c r="A599" s="220" t="n"/>
      <c r="B599" s="222" t="n"/>
      <c r="C599" s="220" t="n"/>
      <c r="D599" s="179" t="n"/>
      <c r="E599" s="219" t="n"/>
      <c r="F599" s="220" t="n"/>
      <c r="G599" s="221" t="n"/>
    </row>
    <row r="600" ht="15" customHeight="1" s="131">
      <c r="A600" s="220" t="n"/>
      <c r="B600" s="222" t="n"/>
      <c r="C600" s="220" t="n"/>
      <c r="D600" s="179" t="n"/>
      <c r="E600" s="219" t="n"/>
      <c r="F600" s="220" t="n"/>
      <c r="G600" s="221" t="n"/>
    </row>
    <row r="601" ht="15" customHeight="1" s="131">
      <c r="A601" s="220" t="n"/>
      <c r="B601" s="222" t="n"/>
      <c r="C601" s="220" t="n"/>
      <c r="D601" s="179" t="n"/>
      <c r="E601" s="219" t="n"/>
      <c r="F601" s="220" t="n"/>
      <c r="G601" s="221" t="n"/>
    </row>
    <row r="602" ht="15" customHeight="1" s="131">
      <c r="A602" s="220" t="n"/>
      <c r="B602" s="222" t="n"/>
      <c r="C602" s="220" t="n"/>
      <c r="D602" s="179" t="n"/>
      <c r="E602" s="219" t="n"/>
      <c r="F602" s="220" t="n"/>
      <c r="G602" s="221" t="n"/>
    </row>
    <row r="603" ht="15" customHeight="1" s="131">
      <c r="A603" s="220" t="n"/>
      <c r="B603" s="222" t="n"/>
      <c r="C603" s="220" t="n"/>
      <c r="D603" s="179" t="n"/>
      <c r="E603" s="219" t="n"/>
      <c r="F603" s="220" t="n"/>
      <c r="G603" s="221" t="n"/>
    </row>
    <row r="604" ht="15" customHeight="1" s="131">
      <c r="A604" s="220" t="n"/>
      <c r="B604" s="222" t="n"/>
      <c r="C604" s="220" t="n"/>
      <c r="D604" s="179" t="n"/>
      <c r="E604" s="219" t="n"/>
      <c r="F604" s="220" t="n"/>
      <c r="G604" s="221" t="n"/>
    </row>
    <row r="605" ht="15" customHeight="1" s="131">
      <c r="A605" s="220" t="n"/>
      <c r="B605" s="222" t="n"/>
      <c r="C605" s="220" t="n"/>
      <c r="D605" s="179" t="n"/>
      <c r="E605" s="219" t="n"/>
      <c r="F605" s="220" t="n"/>
      <c r="G605" s="221" t="n"/>
    </row>
    <row r="606" ht="15" customHeight="1" s="131">
      <c r="A606" s="220" t="n"/>
      <c r="B606" s="222" t="n"/>
      <c r="C606" s="220" t="n"/>
      <c r="D606" s="179" t="n"/>
      <c r="E606" s="219" t="n"/>
      <c r="F606" s="220" t="n"/>
      <c r="G606" s="221" t="n"/>
    </row>
    <row r="607" ht="15" customHeight="1" s="131">
      <c r="A607" s="220" t="n"/>
      <c r="B607" s="222" t="n"/>
      <c r="C607" s="220" t="n"/>
      <c r="D607" s="179" t="n"/>
      <c r="E607" s="219" t="n"/>
      <c r="F607" s="220" t="n"/>
      <c r="G607" s="221" t="n"/>
    </row>
    <row r="608" ht="15" customHeight="1" s="131">
      <c r="A608" s="220" t="n"/>
      <c r="B608" s="222" t="n"/>
      <c r="C608" s="220" t="n"/>
      <c r="D608" s="179" t="n"/>
      <c r="E608" s="219" t="n"/>
      <c r="F608" s="220" t="n"/>
      <c r="G608" s="221" t="n"/>
    </row>
    <row r="609" ht="15" customHeight="1" s="131">
      <c r="A609" s="220" t="n"/>
      <c r="B609" s="222" t="n"/>
      <c r="C609" s="220" t="n"/>
      <c r="D609" s="179" t="n"/>
      <c r="E609" s="219" t="n"/>
      <c r="F609" s="220" t="n"/>
      <c r="G609" s="221" t="n"/>
    </row>
    <row r="610" ht="15" customHeight="1" s="131">
      <c r="A610" s="220" t="n"/>
      <c r="B610" s="222" t="n"/>
      <c r="C610" s="220" t="n"/>
      <c r="D610" s="179" t="n"/>
      <c r="E610" s="219" t="n"/>
      <c r="F610" s="220" t="n"/>
      <c r="G610" s="221" t="n"/>
    </row>
    <row r="611" ht="15" customHeight="1" s="131">
      <c r="A611" s="220" t="n"/>
      <c r="B611" s="222" t="n"/>
      <c r="C611" s="220" t="n"/>
      <c r="D611" s="179" t="n"/>
      <c r="E611" s="219" t="n"/>
      <c r="F611" s="220" t="n"/>
      <c r="G611" s="221" t="n"/>
    </row>
    <row r="612" ht="15" customHeight="1" s="131">
      <c r="A612" s="220" t="n"/>
      <c r="B612" s="222" t="n"/>
      <c r="C612" s="220" t="n"/>
      <c r="D612" s="179" t="n"/>
      <c r="E612" s="219" t="n"/>
      <c r="F612" s="220" t="n"/>
      <c r="G612" s="221" t="n"/>
    </row>
    <row r="613" ht="15" customHeight="1" s="131">
      <c r="A613" s="220" t="n"/>
      <c r="B613" s="222" t="n"/>
      <c r="C613" s="220" t="n"/>
      <c r="D613" s="179" t="n"/>
      <c r="E613" s="219" t="n"/>
      <c r="F613" s="220" t="n"/>
      <c r="G613" s="221" t="n"/>
    </row>
    <row r="614" ht="15" customHeight="1" s="131">
      <c r="A614" s="220" t="n"/>
      <c r="B614" s="222" t="n"/>
      <c r="C614" s="220" t="n"/>
      <c r="D614" s="179" t="n"/>
      <c r="E614" s="219" t="n"/>
      <c r="F614" s="220" t="n"/>
      <c r="G614" s="221" t="n"/>
    </row>
    <row r="615" ht="15" customHeight="1" s="131">
      <c r="A615" s="220" t="n"/>
      <c r="B615" s="222" t="n"/>
      <c r="C615" s="220" t="n"/>
      <c r="D615" s="179" t="n"/>
      <c r="E615" s="219" t="n"/>
      <c r="F615" s="220" t="n"/>
      <c r="G615" s="221" t="n"/>
    </row>
    <row r="616" ht="15" customHeight="1" s="131">
      <c r="A616" s="220" t="n"/>
      <c r="B616" s="222" t="n"/>
      <c r="C616" s="220" t="n"/>
      <c r="D616" s="179" t="n"/>
      <c r="E616" s="219" t="n"/>
      <c r="F616" s="220" t="n"/>
      <c r="G616" s="221" t="n"/>
    </row>
    <row r="617" ht="15" customHeight="1" s="131">
      <c r="A617" s="220" t="n"/>
      <c r="B617" s="222" t="n"/>
      <c r="C617" s="220" t="n"/>
      <c r="D617" s="179" t="n"/>
      <c r="E617" s="219" t="n"/>
      <c r="F617" s="220" t="n"/>
      <c r="G617" s="221" t="n"/>
    </row>
    <row r="618" ht="15" customHeight="1" s="131">
      <c r="A618" s="220" t="n"/>
      <c r="B618" s="222" t="n"/>
      <c r="C618" s="220" t="n"/>
      <c r="D618" s="179" t="n"/>
      <c r="E618" s="219" t="n"/>
      <c r="F618" s="220" t="n"/>
      <c r="G618" s="221" t="n"/>
    </row>
    <row r="619" ht="15" customHeight="1" s="131">
      <c r="A619" s="220" t="n"/>
      <c r="B619" s="222" t="n"/>
      <c r="C619" s="220" t="n"/>
      <c r="D619" s="179" t="n"/>
      <c r="E619" s="219" t="n"/>
      <c r="F619" s="220" t="n"/>
      <c r="G619" s="221" t="n"/>
    </row>
    <row r="620" ht="15" customHeight="1" s="131">
      <c r="A620" s="220" t="n"/>
      <c r="B620" s="222" t="n"/>
      <c r="C620" s="220" t="n"/>
      <c r="D620" s="179" t="n"/>
      <c r="E620" s="219" t="n"/>
      <c r="F620" s="220" t="n"/>
      <c r="G620" s="221" t="n"/>
    </row>
    <row r="621" ht="15" customHeight="1" s="131">
      <c r="A621" s="220" t="n"/>
      <c r="B621" s="222" t="n"/>
      <c r="C621" s="220" t="n"/>
      <c r="D621" s="179" t="n"/>
      <c r="E621" s="219" t="n"/>
      <c r="F621" s="220" t="n"/>
      <c r="G621" s="221" t="n"/>
    </row>
    <row r="622" ht="15" customHeight="1" s="131">
      <c r="A622" s="220" t="n"/>
      <c r="B622" s="222" t="n"/>
      <c r="C622" s="220" t="n"/>
      <c r="D622" s="179" t="n"/>
      <c r="E622" s="219" t="n"/>
      <c r="F622" s="220" t="n"/>
      <c r="G622" s="221" t="n"/>
    </row>
    <row r="623" ht="15" customHeight="1" s="131">
      <c r="A623" s="220" t="n"/>
      <c r="B623" s="222" t="n"/>
      <c r="C623" s="220" t="n"/>
      <c r="D623" s="179" t="n"/>
      <c r="E623" s="219" t="n"/>
      <c r="F623" s="220" t="n"/>
      <c r="G623" s="221" t="n"/>
    </row>
    <row r="624" ht="15" customHeight="1" s="131">
      <c r="A624" s="220" t="n"/>
      <c r="B624" s="222" t="n"/>
      <c r="C624" s="220" t="n"/>
      <c r="D624" s="179" t="n"/>
      <c r="E624" s="219" t="n"/>
      <c r="F624" s="220" t="n"/>
      <c r="G624" s="221" t="n"/>
    </row>
    <row r="625" ht="15" customHeight="1" s="131">
      <c r="A625" s="220" t="n"/>
      <c r="B625" s="222" t="n"/>
      <c r="C625" s="220" t="n"/>
      <c r="D625" s="179" t="n"/>
      <c r="E625" s="219" t="n"/>
      <c r="F625" s="220" t="n"/>
      <c r="G625" s="221" t="n"/>
    </row>
    <row r="626" ht="15" customHeight="1" s="131">
      <c r="A626" s="220" t="n"/>
      <c r="B626" s="222" t="n"/>
      <c r="C626" s="220" t="n"/>
      <c r="D626" s="179" t="n"/>
      <c r="E626" s="219" t="n"/>
      <c r="F626" s="220" t="n"/>
      <c r="G626" s="221" t="n"/>
    </row>
    <row r="627" ht="15" customHeight="1" s="131">
      <c r="A627" s="220" t="n"/>
      <c r="B627" s="222" t="n"/>
      <c r="C627" s="220" t="n"/>
      <c r="D627" s="179" t="n"/>
      <c r="E627" s="219" t="n"/>
      <c r="F627" s="220" t="n"/>
      <c r="G627" s="221" t="n"/>
    </row>
    <row r="628" ht="15" customHeight="1" s="131">
      <c r="A628" s="220" t="n"/>
      <c r="B628" s="222" t="n"/>
      <c r="C628" s="220" t="n"/>
      <c r="D628" s="179" t="n"/>
      <c r="E628" s="219" t="n"/>
      <c r="F628" s="220" t="n"/>
      <c r="G628" s="221" t="n"/>
    </row>
    <row r="629" ht="15" customHeight="1" s="131">
      <c r="A629" s="220" t="n"/>
      <c r="B629" s="222" t="n"/>
      <c r="C629" s="220" t="n"/>
      <c r="D629" s="179" t="n"/>
      <c r="E629" s="219" t="n"/>
      <c r="F629" s="220" t="n"/>
      <c r="G629" s="221" t="n"/>
    </row>
    <row r="630" ht="15" customHeight="1" s="131">
      <c r="A630" s="220" t="n"/>
      <c r="B630" s="222" t="n"/>
      <c r="C630" s="220" t="n"/>
      <c r="D630" s="179" t="n"/>
      <c r="E630" s="219" t="n"/>
      <c r="F630" s="220" t="n"/>
      <c r="G630" s="221" t="n"/>
    </row>
    <row r="631" ht="15" customHeight="1" s="131">
      <c r="A631" s="220" t="n"/>
      <c r="B631" s="222" t="n"/>
      <c r="C631" s="220" t="n"/>
      <c r="D631" s="179" t="n"/>
      <c r="E631" s="219" t="n"/>
      <c r="F631" s="220" t="n"/>
      <c r="G631" s="221" t="n"/>
    </row>
    <row r="632" ht="15" customHeight="1" s="131">
      <c r="A632" s="220" t="n"/>
      <c r="B632" s="222" t="n"/>
      <c r="C632" s="220" t="n"/>
      <c r="D632" s="179" t="n"/>
      <c r="E632" s="219" t="n"/>
      <c r="F632" s="220" t="n"/>
      <c r="G632" s="221" t="n"/>
    </row>
    <row r="633" ht="15" customHeight="1" s="131">
      <c r="A633" s="220" t="n"/>
      <c r="B633" s="222" t="n"/>
      <c r="C633" s="220" t="n"/>
      <c r="D633" s="179" t="n"/>
      <c r="E633" s="219" t="n"/>
      <c r="F633" s="220" t="n"/>
      <c r="G633" s="221" t="n"/>
    </row>
    <row r="634" ht="15" customHeight="1" s="131">
      <c r="A634" s="220" t="n"/>
      <c r="B634" s="222" t="n"/>
      <c r="C634" s="220" t="n"/>
      <c r="D634" s="179" t="n"/>
      <c r="E634" s="219" t="n"/>
      <c r="F634" s="220" t="n"/>
      <c r="G634" s="221" t="n"/>
    </row>
    <row r="635" ht="15" customHeight="1" s="131">
      <c r="A635" s="220" t="n"/>
      <c r="B635" s="222" t="n"/>
      <c r="C635" s="220" t="n"/>
      <c r="D635" s="179" t="n"/>
      <c r="E635" s="219" t="n"/>
      <c r="F635" s="220" t="n"/>
      <c r="G635" s="221" t="n"/>
    </row>
    <row r="636" ht="15" customHeight="1" s="131">
      <c r="A636" s="220" t="n"/>
      <c r="B636" s="222" t="n"/>
      <c r="C636" s="220" t="n"/>
      <c r="D636" s="179" t="n"/>
      <c r="E636" s="219" t="n"/>
      <c r="F636" s="220" t="n"/>
      <c r="G636" s="221" t="n"/>
    </row>
    <row r="637" ht="15" customHeight="1" s="131">
      <c r="A637" s="220" t="n"/>
      <c r="B637" s="222" t="n"/>
      <c r="C637" s="220" t="n"/>
      <c r="D637" s="179" t="n"/>
      <c r="E637" s="219" t="n"/>
      <c r="F637" s="220" t="n"/>
      <c r="G637" s="221" t="n"/>
    </row>
    <row r="638" ht="15" customHeight="1" s="131">
      <c r="A638" s="220" t="n"/>
      <c r="B638" s="222" t="n"/>
      <c r="C638" s="220" t="n"/>
      <c r="D638" s="179" t="n"/>
      <c r="E638" s="219" t="n"/>
      <c r="F638" s="220" t="n"/>
      <c r="G638" s="221" t="n"/>
    </row>
    <row r="639" ht="15" customHeight="1" s="131">
      <c r="A639" s="220" t="n"/>
      <c r="B639" s="222" t="n"/>
      <c r="C639" s="220" t="n"/>
      <c r="D639" s="179" t="n"/>
      <c r="E639" s="219" t="n"/>
      <c r="F639" s="220" t="n"/>
      <c r="G639" s="221" t="n"/>
    </row>
    <row r="640" ht="15" customHeight="1" s="131">
      <c r="A640" s="220" t="n"/>
      <c r="B640" s="222" t="n"/>
      <c r="C640" s="220" t="n"/>
      <c r="D640" s="179" t="n"/>
      <c r="E640" s="219" t="n"/>
      <c r="F640" s="220" t="n"/>
      <c r="G640" s="221" t="n"/>
    </row>
    <row r="641" ht="15" customHeight="1" s="131">
      <c r="A641" s="220" t="n"/>
      <c r="B641" s="222" t="n"/>
      <c r="C641" s="220" t="n"/>
      <c r="D641" s="179" t="n"/>
      <c r="E641" s="219" t="n"/>
      <c r="F641" s="220" t="n"/>
      <c r="G641" s="221" t="n"/>
    </row>
    <row r="642" ht="15" customHeight="1" s="131">
      <c r="A642" s="220" t="n"/>
      <c r="B642" s="222" t="n"/>
      <c r="C642" s="220" t="n"/>
      <c r="D642" s="179" t="n"/>
      <c r="E642" s="219" t="n"/>
      <c r="F642" s="220" t="n"/>
      <c r="G642" s="221" t="n"/>
    </row>
    <row r="643" ht="15" customHeight="1" s="131">
      <c r="A643" s="220" t="n"/>
      <c r="B643" s="222" t="n"/>
      <c r="C643" s="220" t="n"/>
      <c r="D643" s="179" t="n"/>
      <c r="E643" s="219" t="n"/>
      <c r="F643" s="220" t="n"/>
      <c r="G643" s="221" t="n"/>
    </row>
    <row r="644" ht="15" customHeight="1" s="131">
      <c r="A644" s="220" t="n"/>
      <c r="B644" s="222" t="n"/>
      <c r="C644" s="220" t="n"/>
      <c r="D644" s="179" t="n"/>
      <c r="E644" s="219" t="n"/>
      <c r="F644" s="220" t="n"/>
      <c r="G644" s="221" t="n"/>
    </row>
    <row r="645" ht="15" customHeight="1" s="131">
      <c r="A645" s="220" t="n"/>
      <c r="B645" s="222" t="n"/>
      <c r="C645" s="220" t="n"/>
      <c r="D645" s="179" t="n"/>
      <c r="E645" s="219" t="n"/>
      <c r="F645" s="220" t="n"/>
      <c r="G645" s="221" t="n"/>
    </row>
    <row r="646" ht="15" customHeight="1" s="131">
      <c r="A646" s="220" t="n"/>
      <c r="B646" s="222" t="n"/>
      <c r="C646" s="220" t="n"/>
      <c r="D646" s="179" t="n"/>
      <c r="E646" s="219" t="n"/>
      <c r="F646" s="220" t="n"/>
      <c r="G646" s="221" t="n"/>
    </row>
    <row r="647" ht="15" customHeight="1" s="131">
      <c r="A647" s="220" t="n"/>
      <c r="B647" s="222" t="n"/>
      <c r="C647" s="220" t="n"/>
      <c r="D647" s="179" t="n"/>
      <c r="E647" s="219" t="n"/>
      <c r="F647" s="220" t="n"/>
      <c r="G647" s="221" t="n"/>
    </row>
    <row r="648" ht="15" customHeight="1" s="131">
      <c r="A648" s="220" t="n"/>
      <c r="B648" s="222" t="n"/>
      <c r="C648" s="220" t="n"/>
      <c r="D648" s="179" t="n"/>
      <c r="E648" s="219" t="n"/>
      <c r="F648" s="220" t="n"/>
      <c r="G648" s="221" t="n"/>
    </row>
    <row r="649" ht="15" customHeight="1" s="131">
      <c r="A649" s="220" t="n"/>
      <c r="B649" s="222" t="n"/>
      <c r="C649" s="220" t="n"/>
      <c r="D649" s="179" t="n"/>
      <c r="E649" s="219" t="n"/>
      <c r="F649" s="220" t="n"/>
      <c r="G649" s="221" t="n"/>
    </row>
    <row r="650" ht="15" customHeight="1" s="131">
      <c r="A650" s="220" t="n"/>
      <c r="B650" s="222" t="n"/>
      <c r="C650" s="220" t="n"/>
      <c r="D650" s="179" t="n"/>
      <c r="E650" s="219" t="n"/>
      <c r="F650" s="220" t="n"/>
      <c r="G650" s="221" t="n"/>
    </row>
    <row r="651" ht="15" customHeight="1" s="131">
      <c r="A651" s="220" t="n"/>
      <c r="B651" s="222" t="n"/>
      <c r="C651" s="220" t="n"/>
      <c r="D651" s="179" t="n"/>
      <c r="E651" s="219" t="n"/>
      <c r="F651" s="220" t="n"/>
      <c r="G651" s="221" t="n"/>
    </row>
    <row r="652" ht="15" customHeight="1" s="131">
      <c r="A652" s="220" t="n"/>
      <c r="B652" s="222" t="n"/>
      <c r="C652" s="220" t="n"/>
      <c r="D652" s="179" t="n"/>
      <c r="E652" s="219" t="n"/>
      <c r="F652" s="220" t="n"/>
      <c r="G652" s="221" t="n"/>
    </row>
    <row r="653" ht="15" customHeight="1" s="131">
      <c r="A653" s="220" t="n"/>
      <c r="B653" s="222" t="n"/>
      <c r="C653" s="220" t="n"/>
      <c r="D653" s="179" t="n"/>
      <c r="E653" s="219" t="n"/>
      <c r="F653" s="220" t="n"/>
      <c r="G653" s="221" t="n"/>
    </row>
    <row r="654" ht="15" customHeight="1" s="131">
      <c r="A654" s="220" t="n"/>
      <c r="B654" s="222" t="n"/>
      <c r="C654" s="220" t="n"/>
      <c r="D654" s="179" t="n"/>
      <c r="E654" s="219" t="n"/>
      <c r="F654" s="220" t="n"/>
      <c r="G654" s="221" t="n"/>
    </row>
    <row r="655" ht="15" customHeight="1" s="131">
      <c r="A655" s="220" t="n"/>
      <c r="B655" s="222" t="n"/>
      <c r="C655" s="220" t="n"/>
      <c r="D655" s="179" t="n"/>
      <c r="E655" s="219" t="n"/>
      <c r="F655" s="220" t="n"/>
      <c r="G655" s="221" t="n"/>
    </row>
    <row r="656" ht="15" customHeight="1" s="131">
      <c r="A656" s="220" t="n"/>
      <c r="B656" s="222" t="n"/>
      <c r="C656" s="220" t="n"/>
      <c r="D656" s="179" t="n"/>
      <c r="E656" s="219" t="n"/>
      <c r="F656" s="220" t="n"/>
      <c r="G656" s="221" t="n"/>
    </row>
    <row r="657" ht="15" customHeight="1" s="131">
      <c r="A657" s="220" t="n"/>
      <c r="B657" s="222" t="n"/>
      <c r="C657" s="220" t="n"/>
      <c r="D657" s="179" t="n"/>
      <c r="E657" s="219" t="n"/>
      <c r="F657" s="220" t="n"/>
      <c r="G657" s="221" t="n"/>
    </row>
    <row r="658" ht="15" customHeight="1" s="131">
      <c r="A658" s="220" t="n"/>
      <c r="B658" s="222" t="n"/>
      <c r="C658" s="220" t="n"/>
      <c r="D658" s="179" t="n"/>
      <c r="E658" s="219" t="n"/>
      <c r="F658" s="220" t="n"/>
      <c r="G658" s="221" t="n"/>
    </row>
    <row r="659" ht="15" customHeight="1" s="131">
      <c r="A659" s="220" t="n"/>
      <c r="B659" s="222" t="n"/>
      <c r="C659" s="220" t="n"/>
      <c r="D659" s="179" t="n"/>
      <c r="E659" s="219" t="n"/>
      <c r="F659" s="220" t="n"/>
      <c r="G659" s="221" t="n"/>
    </row>
    <row r="660" ht="15" customHeight="1" s="131">
      <c r="A660" s="220" t="n"/>
      <c r="B660" s="222" t="n"/>
      <c r="C660" s="220" t="n"/>
      <c r="D660" s="179" t="n"/>
      <c r="E660" s="219" t="n"/>
      <c r="F660" s="220" t="n"/>
      <c r="G660" s="221" t="n"/>
    </row>
    <row r="661" ht="15" customHeight="1" s="131">
      <c r="A661" s="220" t="n"/>
      <c r="B661" s="222" t="n"/>
      <c r="C661" s="220" t="n"/>
      <c r="D661" s="179" t="n"/>
      <c r="E661" s="219" t="n"/>
      <c r="F661" s="220" t="n"/>
      <c r="G661" s="221" t="n"/>
    </row>
    <row r="662" ht="15" customHeight="1" s="131">
      <c r="A662" s="220" t="n"/>
      <c r="B662" s="222" t="n"/>
      <c r="C662" s="220" t="n"/>
      <c r="D662" s="179" t="n"/>
      <c r="E662" s="219" t="n"/>
      <c r="F662" s="220" t="n"/>
      <c r="G662" s="221" t="n"/>
    </row>
    <row r="663" ht="15" customHeight="1" s="131">
      <c r="A663" s="220" t="n"/>
      <c r="B663" s="222" t="n"/>
      <c r="C663" s="220" t="n"/>
      <c r="D663" s="179" t="n"/>
      <c r="E663" s="219" t="n"/>
      <c r="F663" s="220" t="n"/>
      <c r="G663" s="221" t="n"/>
    </row>
    <row r="664" ht="15" customHeight="1" s="131">
      <c r="A664" s="220" t="n"/>
      <c r="B664" s="222" t="n"/>
      <c r="C664" s="220" t="n"/>
      <c r="D664" s="179" t="n"/>
      <c r="E664" s="219" t="n"/>
      <c r="F664" s="220" t="n"/>
      <c r="G664" s="221" t="n"/>
    </row>
    <row r="665" ht="15" customHeight="1" s="131">
      <c r="A665" s="220" t="n"/>
      <c r="B665" s="222" t="n"/>
      <c r="C665" s="220" t="n"/>
      <c r="D665" s="179" t="n"/>
      <c r="E665" s="219" t="n"/>
      <c r="F665" s="220" t="n"/>
      <c r="G665" s="221" t="n"/>
    </row>
    <row r="666" ht="15" customHeight="1" s="131">
      <c r="A666" s="220" t="n"/>
      <c r="B666" s="222" t="n"/>
      <c r="C666" s="220" t="n"/>
      <c r="D666" s="179" t="n"/>
      <c r="E666" s="219" t="n"/>
      <c r="F666" s="220" t="n"/>
      <c r="G666" s="221" t="n"/>
    </row>
    <row r="667" ht="15" customHeight="1" s="131">
      <c r="A667" s="220" t="n"/>
      <c r="B667" s="222" t="n"/>
      <c r="C667" s="220" t="n"/>
      <c r="D667" s="179" t="n"/>
      <c r="E667" s="219" t="n"/>
      <c r="F667" s="220" t="n"/>
      <c r="G667" s="221" t="n"/>
    </row>
    <row r="668" ht="15" customHeight="1" s="131">
      <c r="A668" s="220" t="n"/>
      <c r="B668" s="222" t="n"/>
      <c r="C668" s="220" t="n"/>
      <c r="D668" s="179" t="n"/>
      <c r="E668" s="219" t="n"/>
      <c r="F668" s="220" t="n"/>
      <c r="G668" s="221" t="n"/>
    </row>
    <row r="669" ht="15" customHeight="1" s="131">
      <c r="A669" s="220" t="n"/>
      <c r="B669" s="222" t="n"/>
      <c r="C669" s="220" t="n"/>
      <c r="D669" s="179" t="n"/>
      <c r="E669" s="219" t="n"/>
      <c r="F669" s="220" t="n"/>
      <c r="G669" s="221" t="n"/>
    </row>
    <row r="670" ht="15" customHeight="1" s="131">
      <c r="A670" s="220" t="n"/>
      <c r="B670" s="222" t="n"/>
      <c r="C670" s="220" t="n"/>
      <c r="D670" s="179" t="n"/>
      <c r="E670" s="219" t="n"/>
      <c r="F670" s="220" t="n"/>
      <c r="G670" s="221" t="n"/>
    </row>
    <row r="671" ht="15" customHeight="1" s="131">
      <c r="A671" s="220" t="n"/>
      <c r="B671" s="222" t="n"/>
      <c r="C671" s="220" t="n"/>
      <c r="D671" s="179" t="n"/>
      <c r="E671" s="219" t="n"/>
      <c r="F671" s="220" t="n"/>
      <c r="G671" s="221" t="n"/>
    </row>
    <row r="672" ht="15" customHeight="1" s="131">
      <c r="A672" s="220" t="n"/>
      <c r="B672" s="222" t="n"/>
      <c r="C672" s="220" t="n"/>
      <c r="D672" s="179" t="n"/>
      <c r="E672" s="219" t="n"/>
      <c r="F672" s="220" t="n"/>
      <c r="G672" s="221" t="n"/>
    </row>
    <row r="673" ht="15" customHeight="1" s="131">
      <c r="A673" s="220" t="n"/>
      <c r="B673" s="222" t="n"/>
      <c r="C673" s="220" t="n"/>
      <c r="D673" s="179" t="n"/>
      <c r="E673" s="219" t="n"/>
      <c r="F673" s="220" t="n"/>
      <c r="G673" s="221" t="n"/>
    </row>
    <row r="674" ht="15" customHeight="1" s="131">
      <c r="A674" s="220" t="n"/>
      <c r="B674" s="222" t="n"/>
      <c r="C674" s="220" t="n"/>
      <c r="D674" s="179" t="n"/>
      <c r="E674" s="219" t="n"/>
      <c r="F674" s="220" t="n"/>
      <c r="G674" s="221" t="n"/>
    </row>
    <row r="675" ht="15" customHeight="1" s="131">
      <c r="A675" s="220" t="n"/>
      <c r="B675" s="222" t="n"/>
      <c r="C675" s="220" t="n"/>
      <c r="D675" s="179" t="n"/>
      <c r="E675" s="219" t="n"/>
      <c r="F675" s="220" t="n"/>
      <c r="G675" s="221" t="n"/>
    </row>
    <row r="676" ht="15" customHeight="1" s="131">
      <c r="A676" s="220" t="n"/>
      <c r="B676" s="222" t="n"/>
      <c r="C676" s="220" t="n"/>
      <c r="D676" s="179" t="n"/>
      <c r="E676" s="219" t="n"/>
      <c r="F676" s="220" t="n"/>
      <c r="G676" s="221" t="n"/>
    </row>
    <row r="677" ht="15" customHeight="1" s="131">
      <c r="A677" s="220" t="n"/>
      <c r="B677" s="222" t="n"/>
      <c r="C677" s="220" t="n"/>
      <c r="D677" s="179" t="n"/>
      <c r="E677" s="219" t="n"/>
      <c r="F677" s="220" t="n"/>
      <c r="G677" s="221" t="n"/>
    </row>
    <row r="678" ht="15" customHeight="1" s="131">
      <c r="A678" s="220" t="n"/>
      <c r="B678" s="222" t="n"/>
      <c r="C678" s="220" t="n"/>
      <c r="D678" s="179" t="n"/>
      <c r="E678" s="219" t="n"/>
      <c r="F678" s="220" t="n"/>
      <c r="G678" s="221" t="n"/>
    </row>
    <row r="679" ht="15" customHeight="1" s="131">
      <c r="A679" s="220" t="n"/>
      <c r="B679" s="222" t="n"/>
      <c r="C679" s="220" t="n"/>
      <c r="D679" s="179" t="n"/>
      <c r="E679" s="219" t="n"/>
      <c r="F679" s="220" t="n"/>
      <c r="G679" s="221" t="n"/>
    </row>
    <row r="680" ht="15" customHeight="1" s="131">
      <c r="A680" s="220" t="n"/>
      <c r="B680" s="222" t="n"/>
      <c r="C680" s="220" t="n"/>
      <c r="D680" s="179" t="n"/>
      <c r="E680" s="219" t="n"/>
      <c r="F680" s="220" t="n"/>
      <c r="G680" s="221" t="n"/>
    </row>
    <row r="681" ht="15" customHeight="1" s="131">
      <c r="A681" s="220" t="n"/>
      <c r="B681" s="222" t="n"/>
      <c r="C681" s="220" t="n"/>
      <c r="D681" s="179" t="n"/>
      <c r="E681" s="219" t="n"/>
      <c r="F681" s="220" t="n"/>
      <c r="G681" s="221" t="n"/>
    </row>
    <row r="682" ht="15" customHeight="1" s="131">
      <c r="A682" s="220" t="n"/>
      <c r="B682" s="222" t="n"/>
      <c r="C682" s="220" t="n"/>
      <c r="D682" s="179" t="n"/>
      <c r="E682" s="219" t="n"/>
      <c r="F682" s="220" t="n"/>
      <c r="G682" s="221" t="n"/>
    </row>
    <row r="683" ht="15" customHeight="1" s="131">
      <c r="A683" s="220" t="n"/>
      <c r="B683" s="222" t="n"/>
      <c r="C683" s="220" t="n"/>
      <c r="D683" s="179" t="n"/>
      <c r="E683" s="219" t="n"/>
      <c r="F683" s="220" t="n"/>
      <c r="G683" s="221" t="n"/>
    </row>
    <row r="684" ht="15" customHeight="1" s="131">
      <c r="A684" s="220" t="n"/>
      <c r="B684" s="222" t="n"/>
      <c r="C684" s="220" t="n"/>
      <c r="D684" s="179" t="n"/>
      <c r="E684" s="219" t="n"/>
      <c r="F684" s="220" t="n"/>
      <c r="G684" s="221" t="n"/>
    </row>
    <row r="685" ht="15" customHeight="1" s="131">
      <c r="A685" s="220" t="n"/>
      <c r="B685" s="222" t="n"/>
      <c r="C685" s="220" t="n"/>
      <c r="D685" s="179" t="n"/>
      <c r="E685" s="219" t="n"/>
      <c r="F685" s="220" t="n"/>
      <c r="G685" s="221" t="n"/>
    </row>
    <row r="686" ht="15" customHeight="1" s="131">
      <c r="A686" s="220" t="n"/>
      <c r="B686" s="222" t="n"/>
      <c r="C686" s="220" t="n"/>
      <c r="D686" s="179" t="n"/>
      <c r="E686" s="219" t="n"/>
      <c r="F686" s="220" t="n"/>
      <c r="G686" s="221" t="n"/>
    </row>
    <row r="687" ht="15" customHeight="1" s="131">
      <c r="A687" s="220" t="n"/>
      <c r="B687" s="222" t="n"/>
      <c r="C687" s="220" t="n"/>
      <c r="D687" s="179" t="n"/>
      <c r="E687" s="219" t="n"/>
      <c r="F687" s="220" t="n"/>
      <c r="G687" s="221" t="n"/>
    </row>
    <row r="688" ht="15" customHeight="1" s="131">
      <c r="A688" s="220" t="n"/>
      <c r="B688" s="222" t="n"/>
      <c r="C688" s="220" t="n"/>
      <c r="D688" s="179" t="n"/>
      <c r="E688" s="219" t="n"/>
      <c r="F688" s="220" t="n"/>
      <c r="G688" s="221" t="n"/>
    </row>
    <row r="689" ht="15" customHeight="1" s="131">
      <c r="A689" s="220" t="n"/>
      <c r="B689" s="222" t="n"/>
      <c r="C689" s="220" t="n"/>
      <c r="D689" s="179" t="n"/>
      <c r="E689" s="219" t="n"/>
      <c r="F689" s="220" t="n"/>
      <c r="G689" s="221" t="n"/>
    </row>
    <row r="690" ht="15" customHeight="1" s="131">
      <c r="A690" s="220" t="n"/>
      <c r="B690" s="222" t="n"/>
      <c r="C690" s="220" t="n"/>
      <c r="D690" s="179" t="n"/>
      <c r="E690" s="219" t="n"/>
      <c r="F690" s="220" t="n"/>
      <c r="G690" s="221" t="n"/>
    </row>
    <row r="691" ht="15" customHeight="1" s="131">
      <c r="A691" s="220" t="n"/>
      <c r="B691" s="222" t="n"/>
      <c r="C691" s="220" t="n"/>
      <c r="D691" s="179" t="n"/>
      <c r="E691" s="219" t="n"/>
      <c r="F691" s="220" t="n"/>
      <c r="G691" s="221" t="n"/>
    </row>
    <row r="692" ht="15" customHeight="1" s="131">
      <c r="A692" s="220" t="n"/>
      <c r="B692" s="222" t="n"/>
      <c r="C692" s="220" t="n"/>
      <c r="D692" s="179" t="n"/>
      <c r="E692" s="219" t="n"/>
      <c r="F692" s="220" t="n"/>
      <c r="G692" s="221" t="n"/>
    </row>
    <row r="693" ht="15" customHeight="1" s="131">
      <c r="A693" s="220" t="n"/>
      <c r="B693" s="222" t="n"/>
      <c r="C693" s="220" t="n"/>
      <c r="D693" s="179" t="n"/>
      <c r="E693" s="219" t="n"/>
      <c r="F693" s="220" t="n"/>
      <c r="G693" s="221" t="n"/>
    </row>
    <row r="694" ht="15" customHeight="1" s="131">
      <c r="A694" s="220" t="n"/>
      <c r="B694" s="222" t="n"/>
      <c r="C694" s="220" t="n"/>
      <c r="D694" s="179" t="n"/>
      <c r="E694" s="219" t="n"/>
      <c r="F694" s="220" t="n"/>
      <c r="G694" s="221" t="n"/>
    </row>
    <row r="695" ht="15" customHeight="1" s="131">
      <c r="A695" s="220" t="n"/>
      <c r="B695" s="222" t="n"/>
      <c r="C695" s="220" t="n"/>
      <c r="D695" s="179" t="n"/>
      <c r="E695" s="219" t="n"/>
      <c r="F695" s="220" t="n"/>
      <c r="G695" s="221" t="n"/>
    </row>
    <row r="696" ht="15" customHeight="1" s="131">
      <c r="A696" s="220" t="n"/>
      <c r="B696" s="222" t="n"/>
      <c r="C696" s="220" t="n"/>
      <c r="D696" s="179" t="n"/>
      <c r="E696" s="219" t="n"/>
      <c r="F696" s="220" t="n"/>
      <c r="G696" s="221" t="n"/>
    </row>
    <row r="697" ht="15" customHeight="1" s="131">
      <c r="A697" s="220" t="n"/>
      <c r="B697" s="222" t="n"/>
      <c r="C697" s="220" t="n"/>
      <c r="D697" s="179" t="n"/>
      <c r="E697" s="219" t="n"/>
      <c r="F697" s="220" t="n"/>
      <c r="G697" s="221" t="n"/>
    </row>
    <row r="698" ht="15" customHeight="1" s="131">
      <c r="A698" s="220" t="n"/>
      <c r="B698" s="222" t="n"/>
      <c r="C698" s="220" t="n"/>
      <c r="D698" s="179" t="n"/>
      <c r="E698" s="219" t="n"/>
      <c r="F698" s="220" t="n"/>
      <c r="G698" s="221" t="n"/>
    </row>
    <row r="699" ht="15" customHeight="1" s="131">
      <c r="A699" s="220" t="n"/>
      <c r="B699" s="222" t="n"/>
      <c r="C699" s="220" t="n"/>
      <c r="D699" s="179" t="n"/>
      <c r="E699" s="219" t="n"/>
      <c r="F699" s="220" t="n"/>
      <c r="G699" s="221" t="n"/>
    </row>
    <row r="700" ht="15" customHeight="1" s="131">
      <c r="A700" s="220" t="n"/>
      <c r="B700" s="222" t="n"/>
      <c r="C700" s="220" t="n"/>
      <c r="D700" s="179" t="n"/>
      <c r="E700" s="219" t="n"/>
      <c r="F700" s="220" t="n"/>
      <c r="G700" s="221" t="n"/>
    </row>
    <row r="701" ht="15" customHeight="1" s="131">
      <c r="A701" s="220" t="n"/>
      <c r="B701" s="222" t="n"/>
      <c r="C701" s="220" t="n"/>
      <c r="D701" s="179" t="n"/>
      <c r="E701" s="219" t="n"/>
      <c r="F701" s="220" t="n"/>
      <c r="G701" s="221" t="n"/>
    </row>
    <row r="702" ht="15" customHeight="1" s="131">
      <c r="A702" s="220" t="n"/>
      <c r="B702" s="222" t="n"/>
      <c r="C702" s="220" t="n"/>
      <c r="D702" s="179" t="n"/>
      <c r="E702" s="219" t="n"/>
      <c r="F702" s="220" t="n"/>
      <c r="G702" s="221" t="n"/>
    </row>
    <row r="703" ht="15" customHeight="1" s="131">
      <c r="A703" s="220" t="n"/>
      <c r="B703" s="222" t="n"/>
      <c r="C703" s="220" t="n"/>
      <c r="D703" s="179" t="n"/>
      <c r="E703" s="219" t="n"/>
      <c r="F703" s="220" t="n"/>
      <c r="G703" s="221" t="n"/>
    </row>
    <row r="704" ht="15" customHeight="1" s="131">
      <c r="A704" s="220" t="n"/>
      <c r="B704" s="222" t="n"/>
      <c r="C704" s="220" t="n"/>
      <c r="D704" s="179" t="n"/>
      <c r="E704" s="219" t="n"/>
      <c r="F704" s="220" t="n"/>
      <c r="G704" s="221" t="n"/>
    </row>
    <row r="705" ht="15" customHeight="1" s="131">
      <c r="A705" s="220" t="n"/>
      <c r="B705" s="222" t="n"/>
      <c r="C705" s="220" t="n"/>
      <c r="D705" s="179" t="n"/>
      <c r="E705" s="219" t="n"/>
      <c r="F705" s="220" t="n"/>
      <c r="G705" s="221" t="n"/>
    </row>
    <row r="706" ht="15" customHeight="1" s="131">
      <c r="A706" s="220" t="n"/>
      <c r="B706" s="222" t="n"/>
      <c r="C706" s="220" t="n"/>
      <c r="D706" s="179" t="n"/>
      <c r="E706" s="219" t="n"/>
      <c r="F706" s="220" t="n"/>
      <c r="G706" s="221" t="n"/>
    </row>
    <row r="707" ht="15" customHeight="1" s="131">
      <c r="A707" s="220" t="n"/>
      <c r="B707" s="222" t="n"/>
      <c r="C707" s="220" t="n"/>
      <c r="D707" s="179" t="n"/>
      <c r="E707" s="219" t="n"/>
      <c r="F707" s="220" t="n"/>
      <c r="G707" s="221" t="n"/>
    </row>
    <row r="708" ht="15" customHeight="1" s="131">
      <c r="A708" s="220" t="n"/>
      <c r="B708" s="222" t="n"/>
      <c r="C708" s="220" t="n"/>
      <c r="D708" s="179" t="n"/>
      <c r="E708" s="219" t="n"/>
      <c r="F708" s="220" t="n"/>
      <c r="G708" s="221" t="n"/>
    </row>
    <row r="709" ht="15" customHeight="1" s="131">
      <c r="A709" s="220" t="n"/>
      <c r="B709" s="222" t="n"/>
      <c r="C709" s="220" t="n"/>
      <c r="D709" s="179" t="n"/>
      <c r="E709" s="219" t="n"/>
      <c r="F709" s="220" t="n"/>
      <c r="G709" s="221" t="n"/>
    </row>
    <row r="710" ht="15" customHeight="1" s="131">
      <c r="A710" s="220" t="n"/>
      <c r="B710" s="222" t="n"/>
      <c r="C710" s="220" t="n"/>
      <c r="D710" s="179" t="n"/>
      <c r="E710" s="219" t="n"/>
      <c r="F710" s="220" t="n"/>
      <c r="G710" s="221" t="n"/>
    </row>
    <row r="711" ht="15" customHeight="1" s="131">
      <c r="A711" s="220" t="n"/>
      <c r="B711" s="222" t="n"/>
      <c r="C711" s="220" t="n"/>
      <c r="D711" s="179" t="n"/>
      <c r="E711" s="219" t="n"/>
      <c r="F711" s="220" t="n"/>
      <c r="G711" s="221" t="n"/>
    </row>
    <row r="712" ht="15" customHeight="1" s="131">
      <c r="A712" s="220" t="n"/>
      <c r="B712" s="222" t="n"/>
      <c r="C712" s="220" t="n"/>
      <c r="D712" s="179" t="n"/>
      <c r="E712" s="219" t="n"/>
      <c r="F712" s="220" t="n"/>
      <c r="G712" s="221" t="n"/>
    </row>
    <row r="713" ht="15" customHeight="1" s="131">
      <c r="A713" s="220" t="n"/>
      <c r="B713" s="222" t="n"/>
      <c r="C713" s="220" t="n"/>
      <c r="D713" s="179" t="n"/>
      <c r="E713" s="219" t="n"/>
      <c r="F713" s="220" t="n"/>
      <c r="G713" s="221" t="n"/>
    </row>
    <row r="714" ht="15" customHeight="1" s="131">
      <c r="A714" s="220" t="n"/>
      <c r="B714" s="222" t="n"/>
      <c r="C714" s="220" t="n"/>
      <c r="D714" s="179" t="n"/>
      <c r="E714" s="219" t="n"/>
      <c r="F714" s="220" t="n"/>
      <c r="G714" s="221" t="n"/>
    </row>
    <row r="715" ht="15" customHeight="1" s="131">
      <c r="A715" s="220" t="n"/>
      <c r="B715" s="222" t="n"/>
      <c r="C715" s="220" t="n"/>
      <c r="D715" s="179" t="n"/>
      <c r="E715" s="219" t="n"/>
      <c r="F715" s="220" t="n"/>
      <c r="G715" s="221" t="n"/>
    </row>
    <row r="716" ht="15" customHeight="1" s="131">
      <c r="A716" s="220" t="n"/>
      <c r="B716" s="222" t="n"/>
      <c r="C716" s="220" t="n"/>
      <c r="D716" s="179" t="n"/>
      <c r="E716" s="219" t="n"/>
      <c r="F716" s="220" t="n"/>
      <c r="G716" s="221" t="n"/>
    </row>
    <row r="717" ht="15" customHeight="1" s="131">
      <c r="A717" s="220" t="n"/>
      <c r="B717" s="222" t="n"/>
      <c r="C717" s="220" t="n"/>
      <c r="D717" s="179" t="n"/>
      <c r="E717" s="219" t="n"/>
      <c r="F717" s="220" t="n"/>
      <c r="G717" s="221" t="n"/>
    </row>
    <row r="718" ht="15" customHeight="1" s="131">
      <c r="A718" s="220" t="n"/>
      <c r="B718" s="222" t="n"/>
      <c r="C718" s="220" t="n"/>
      <c r="D718" s="179" t="n"/>
      <c r="E718" s="219" t="n"/>
      <c r="F718" s="220" t="n"/>
      <c r="G718" s="221" t="n"/>
    </row>
    <row r="719" ht="15" customHeight="1" s="131">
      <c r="A719" s="220" t="n"/>
      <c r="B719" s="222" t="n"/>
      <c r="C719" s="220" t="n"/>
      <c r="D719" s="179" t="n"/>
      <c r="E719" s="219" t="n"/>
      <c r="F719" s="220" t="n"/>
      <c r="G719" s="221" t="n"/>
    </row>
    <row r="720" ht="15" customHeight="1" s="131">
      <c r="A720" s="220" t="n"/>
      <c r="B720" s="222" t="n"/>
      <c r="C720" s="220" t="n"/>
      <c r="D720" s="179" t="n"/>
      <c r="E720" s="219" t="n"/>
      <c r="F720" s="220" t="n"/>
      <c r="G720" s="221" t="n"/>
    </row>
    <row r="721" ht="15" customHeight="1" s="131">
      <c r="A721" s="220" t="n"/>
      <c r="B721" s="222" t="n"/>
      <c r="C721" s="220" t="n"/>
      <c r="D721" s="179" t="n"/>
      <c r="E721" s="219" t="n"/>
      <c r="F721" s="220" t="n"/>
      <c r="G721" s="221" t="n"/>
    </row>
    <row r="722" ht="15" customHeight="1" s="131">
      <c r="A722" s="220" t="n"/>
      <c r="B722" s="222" t="n"/>
      <c r="C722" s="220" t="n"/>
      <c r="D722" s="179" t="n"/>
      <c r="E722" s="219" t="n"/>
      <c r="F722" s="220" t="n"/>
      <c r="G722" s="221" t="n"/>
    </row>
    <row r="723" ht="15" customHeight="1" s="131">
      <c r="A723" s="220" t="n"/>
      <c r="B723" s="222" t="n"/>
      <c r="C723" s="220" t="n"/>
      <c r="D723" s="179" t="n"/>
      <c r="E723" s="219" t="n"/>
      <c r="F723" s="220" t="n"/>
      <c r="G723" s="221" t="n"/>
    </row>
    <row r="724" ht="15" customHeight="1" s="131">
      <c r="A724" s="220" t="n"/>
      <c r="B724" s="222" t="n"/>
      <c r="C724" s="220" t="n"/>
      <c r="D724" s="179" t="n"/>
      <c r="E724" s="219" t="n"/>
      <c r="F724" s="220" t="n"/>
      <c r="G724" s="221" t="n"/>
    </row>
    <row r="725" ht="15" customHeight="1" s="131">
      <c r="A725" s="220" t="n"/>
      <c r="B725" s="222" t="n"/>
      <c r="C725" s="220" t="n"/>
      <c r="D725" s="179" t="n"/>
      <c r="E725" s="219" t="n"/>
      <c r="F725" s="220" t="n"/>
      <c r="G725" s="221" t="n"/>
    </row>
    <row r="726" ht="15" customHeight="1" s="131">
      <c r="A726" s="220" t="n"/>
      <c r="B726" s="222" t="n"/>
      <c r="C726" s="220" t="n"/>
      <c r="D726" s="179" t="n"/>
      <c r="E726" s="219" t="n"/>
      <c r="F726" s="220" t="n"/>
      <c r="G726" s="221" t="n"/>
    </row>
    <row r="727" ht="15" customHeight="1" s="131">
      <c r="A727" s="220" t="n"/>
      <c r="B727" s="222" t="n"/>
      <c r="C727" s="220" t="n"/>
      <c r="D727" s="179" t="n"/>
      <c r="E727" s="219" t="n"/>
      <c r="F727" s="220" t="n"/>
      <c r="G727" s="221" t="n"/>
    </row>
    <row r="728" ht="15" customHeight="1" s="131">
      <c r="A728" s="220" t="n"/>
      <c r="B728" s="222" t="n"/>
      <c r="C728" s="220" t="n"/>
      <c r="D728" s="179" t="n"/>
      <c r="E728" s="219" t="n"/>
      <c r="F728" s="220" t="n"/>
      <c r="G728" s="221" t="n"/>
    </row>
    <row r="729" ht="15" customHeight="1" s="131">
      <c r="A729" s="220" t="n"/>
      <c r="B729" s="222" t="n"/>
      <c r="C729" s="220" t="n"/>
      <c r="D729" s="179" t="n"/>
      <c r="E729" s="219" t="n"/>
      <c r="F729" s="220" t="n"/>
      <c r="G729" s="221" t="n"/>
    </row>
    <row r="730" ht="15" customHeight="1" s="131">
      <c r="A730" s="220" t="n"/>
      <c r="B730" s="222" t="n"/>
      <c r="C730" s="220" t="n"/>
      <c r="D730" s="179" t="n"/>
      <c r="E730" s="219" t="n"/>
      <c r="F730" s="220" t="n"/>
      <c r="G730" s="221" t="n"/>
    </row>
    <row r="731" ht="15" customHeight="1" s="131">
      <c r="A731" s="220" t="n"/>
      <c r="B731" s="222" t="n"/>
      <c r="C731" s="220" t="n"/>
      <c r="D731" s="179" t="n"/>
      <c r="E731" s="219" t="n"/>
      <c r="F731" s="220" t="n"/>
      <c r="G731" s="221" t="n"/>
    </row>
    <row r="732" ht="15" customHeight="1" s="131">
      <c r="A732" s="220" t="n"/>
      <c r="B732" s="222" t="n"/>
      <c r="C732" s="220" t="n"/>
      <c r="D732" s="179" t="n"/>
      <c r="E732" s="219" t="n"/>
      <c r="F732" s="220" t="n"/>
      <c r="G732" s="221" t="n"/>
    </row>
    <row r="733" ht="15" customHeight="1" s="131">
      <c r="A733" s="220" t="n"/>
      <c r="B733" s="222" t="n"/>
      <c r="C733" s="220" t="n"/>
      <c r="D733" s="179" t="n"/>
      <c r="E733" s="219" t="n"/>
      <c r="F733" s="220" t="n"/>
      <c r="G733" s="221" t="n"/>
    </row>
    <row r="734" ht="15" customHeight="1" s="131">
      <c r="A734" s="220" t="n"/>
      <c r="B734" s="222" t="n"/>
      <c r="C734" s="220" t="n"/>
      <c r="D734" s="179" t="n"/>
      <c r="E734" s="219" t="n"/>
      <c r="F734" s="220" t="n"/>
      <c r="G734" s="221" t="n"/>
    </row>
    <row r="735" ht="15" customHeight="1" s="131">
      <c r="A735" s="220" t="n"/>
      <c r="B735" s="222" t="n"/>
      <c r="C735" s="220" t="n"/>
      <c r="D735" s="179" t="n"/>
      <c r="E735" s="219" t="n"/>
      <c r="F735" s="220" t="n"/>
      <c r="G735" s="221" t="n"/>
    </row>
    <row r="736" ht="15" customHeight="1" s="131">
      <c r="A736" s="220" t="n"/>
      <c r="B736" s="222" t="n"/>
      <c r="C736" s="220" t="n"/>
      <c r="D736" s="179" t="n"/>
      <c r="E736" s="219" t="n"/>
      <c r="F736" s="220" t="n"/>
      <c r="G736" s="221" t="n"/>
    </row>
    <row r="737" ht="15" customHeight="1" s="131">
      <c r="A737" s="220" t="n"/>
      <c r="B737" s="222" t="n"/>
      <c r="C737" s="220" t="n"/>
      <c r="D737" s="179" t="n"/>
      <c r="E737" s="219" t="n"/>
      <c r="F737" s="220" t="n"/>
      <c r="G737" s="221" t="n"/>
    </row>
    <row r="738" ht="15" customHeight="1" s="131">
      <c r="A738" s="220" t="n"/>
      <c r="B738" s="222" t="n"/>
      <c r="C738" s="220" t="n"/>
      <c r="D738" s="179" t="n"/>
      <c r="E738" s="219" t="n"/>
      <c r="F738" s="220" t="n"/>
      <c r="G738" s="221" t="n"/>
    </row>
    <row r="739" ht="15" customHeight="1" s="131">
      <c r="A739" s="220" t="n"/>
      <c r="B739" s="222" t="n"/>
      <c r="C739" s="220" t="n"/>
      <c r="D739" s="179" t="n"/>
      <c r="E739" s="219" t="n"/>
      <c r="F739" s="220" t="n"/>
      <c r="G739" s="221" t="n"/>
    </row>
    <row r="740" ht="15" customHeight="1" s="131">
      <c r="A740" s="220" t="n"/>
      <c r="B740" s="222" t="n"/>
      <c r="C740" s="220" t="n"/>
      <c r="D740" s="179" t="n"/>
      <c r="E740" s="219" t="n"/>
      <c r="F740" s="220" t="n"/>
      <c r="G740" s="221" t="n"/>
    </row>
    <row r="741" ht="15" customHeight="1" s="131">
      <c r="A741" s="220" t="n"/>
      <c r="B741" s="222" t="n"/>
      <c r="C741" s="220" t="n"/>
      <c r="D741" s="179" t="n"/>
      <c r="E741" s="219" t="n"/>
      <c r="F741" s="220" t="n"/>
      <c r="G741" s="221" t="n"/>
    </row>
    <row r="742" ht="15" customHeight="1" s="131">
      <c r="A742" s="220" t="n"/>
      <c r="B742" s="222" t="n"/>
      <c r="C742" s="220" t="n"/>
      <c r="D742" s="179" t="n"/>
      <c r="E742" s="219" t="n"/>
      <c r="F742" s="220" t="n"/>
      <c r="G742" s="221" t="n"/>
    </row>
    <row r="743" ht="15" customHeight="1" s="131">
      <c r="A743" s="220" t="n"/>
      <c r="B743" s="222" t="n"/>
      <c r="C743" s="220" t="n"/>
      <c r="D743" s="179" t="n"/>
      <c r="E743" s="219" t="n"/>
      <c r="F743" s="220" t="n"/>
      <c r="G743" s="221" t="n"/>
    </row>
    <row r="744" ht="15" customHeight="1" s="131">
      <c r="A744" s="220" t="n"/>
      <c r="B744" s="222" t="n"/>
      <c r="C744" s="220" t="n"/>
      <c r="D744" s="179" t="n"/>
      <c r="E744" s="219" t="n"/>
      <c r="F744" s="220" t="n"/>
      <c r="G744" s="221" t="n"/>
    </row>
    <row r="745" ht="15" customHeight="1" s="131">
      <c r="A745" s="220" t="n"/>
      <c r="B745" s="222" t="n"/>
      <c r="C745" s="220" t="n"/>
      <c r="D745" s="179" t="n"/>
      <c r="E745" s="219" t="n"/>
      <c r="F745" s="220" t="n"/>
      <c r="G745" s="221" t="n"/>
    </row>
    <row r="746" ht="15" customHeight="1" s="131">
      <c r="A746" s="220" t="n"/>
      <c r="B746" s="222" t="n"/>
      <c r="C746" s="220" t="n"/>
      <c r="D746" s="179" t="n"/>
      <c r="E746" s="219" t="n"/>
      <c r="F746" s="220" t="n"/>
      <c r="G746" s="221" t="n"/>
    </row>
    <row r="747" ht="15" customHeight="1" s="131">
      <c r="A747" s="220" t="n"/>
      <c r="B747" s="222" t="n"/>
      <c r="C747" s="220" t="n"/>
      <c r="D747" s="179" t="n"/>
      <c r="E747" s="219" t="n"/>
      <c r="F747" s="220" t="n"/>
      <c r="G747" s="221" t="n"/>
    </row>
    <row r="748" ht="15" customHeight="1" s="131">
      <c r="A748" s="220" t="n"/>
      <c r="B748" s="222" t="n"/>
      <c r="C748" s="220" t="n"/>
      <c r="D748" s="179" t="n"/>
      <c r="E748" s="219" t="n"/>
      <c r="F748" s="220" t="n"/>
      <c r="G748" s="221" t="n"/>
    </row>
    <row r="749" ht="15" customHeight="1" s="131">
      <c r="A749" s="220" t="n"/>
      <c r="B749" s="222" t="n"/>
      <c r="C749" s="220" t="n"/>
      <c r="D749" s="179" t="n"/>
      <c r="E749" s="219" t="n"/>
      <c r="F749" s="220" t="n"/>
      <c r="G749" s="221" t="n"/>
    </row>
    <row r="750" ht="15" customHeight="1" s="131">
      <c r="A750" s="220" t="n"/>
      <c r="B750" s="222" t="n"/>
      <c r="C750" s="220" t="n"/>
      <c r="D750" s="179" t="n"/>
      <c r="E750" s="219" t="n"/>
      <c r="F750" s="220" t="n"/>
      <c r="G750" s="221" t="n"/>
    </row>
    <row r="751" ht="15" customHeight="1" s="131">
      <c r="A751" s="220" t="n"/>
      <c r="B751" s="222" t="n"/>
      <c r="C751" s="220" t="n"/>
      <c r="D751" s="179" t="n"/>
      <c r="E751" s="219" t="n"/>
      <c r="F751" s="220" t="n"/>
      <c r="G751" s="221" t="n"/>
    </row>
    <row r="752" ht="15" customHeight="1" s="131">
      <c r="A752" s="220" t="n"/>
      <c r="B752" s="222" t="n"/>
      <c r="C752" s="220" t="n"/>
      <c r="D752" s="179" t="n"/>
      <c r="E752" s="219" t="n"/>
      <c r="F752" s="220" t="n"/>
      <c r="G752" s="221" t="n"/>
    </row>
    <row r="753" ht="15" customHeight="1" s="131">
      <c r="A753" s="220" t="n"/>
      <c r="B753" s="222" t="n"/>
      <c r="C753" s="220" t="n"/>
      <c r="D753" s="179" t="n"/>
      <c r="E753" s="219" t="n"/>
      <c r="F753" s="220" t="n"/>
      <c r="G753" s="221" t="n"/>
    </row>
    <row r="754" ht="15" customHeight="1" s="131">
      <c r="A754" s="220" t="n"/>
      <c r="B754" s="222" t="n"/>
      <c r="C754" s="220" t="n"/>
      <c r="D754" s="179" t="n"/>
      <c r="E754" s="219" t="n"/>
      <c r="F754" s="220" t="n"/>
      <c r="G754" s="221" t="n"/>
    </row>
    <row r="755" ht="15" customHeight="1" s="131">
      <c r="A755" s="220" t="n"/>
      <c r="B755" s="222" t="n"/>
      <c r="C755" s="220" t="n"/>
      <c r="D755" s="179" t="n"/>
      <c r="E755" s="219" t="n"/>
      <c r="F755" s="220" t="n"/>
      <c r="G755" s="221" t="n"/>
    </row>
    <row r="756" ht="15" customHeight="1" s="131">
      <c r="A756" s="220" t="n"/>
      <c r="B756" s="222" t="n"/>
      <c r="C756" s="220" t="n"/>
      <c r="D756" s="179" t="n"/>
      <c r="E756" s="219" t="n"/>
      <c r="F756" s="220" t="n"/>
      <c r="G756" s="221" t="n"/>
    </row>
    <row r="757" ht="15" customHeight="1" s="131">
      <c r="A757" s="220" t="n"/>
      <c r="B757" s="222" t="n"/>
      <c r="C757" s="220" t="n"/>
      <c r="D757" s="179" t="n"/>
      <c r="E757" s="219" t="n"/>
      <c r="F757" s="220" t="n"/>
      <c r="G757" s="221" t="n"/>
    </row>
    <row r="758" ht="15" customHeight="1" s="131">
      <c r="A758" s="220" t="n"/>
      <c r="B758" s="222" t="n"/>
      <c r="C758" s="220" t="n"/>
      <c r="D758" s="179" t="n"/>
      <c r="E758" s="219" t="n"/>
      <c r="F758" s="220" t="n"/>
      <c r="G758" s="221" t="n"/>
    </row>
    <row r="759" ht="15" customHeight="1" s="131">
      <c r="A759" s="220" t="n"/>
      <c r="B759" s="222" t="n"/>
      <c r="C759" s="220" t="n"/>
      <c r="D759" s="179" t="n"/>
      <c r="E759" s="219" t="n"/>
      <c r="F759" s="220" t="n"/>
      <c r="G759" s="221" t="n"/>
    </row>
    <row r="760" ht="15" customHeight="1" s="131">
      <c r="A760" s="220" t="n"/>
      <c r="B760" s="222" t="n"/>
      <c r="C760" s="220" t="n"/>
      <c r="D760" s="179" t="n"/>
      <c r="E760" s="219" t="n"/>
      <c r="F760" s="220" t="n"/>
      <c r="G760" s="221" t="n"/>
    </row>
    <row r="761" ht="15" customHeight="1" s="131">
      <c r="A761" s="220" t="n"/>
      <c r="B761" s="222" t="n"/>
      <c r="C761" s="220" t="n"/>
      <c r="D761" s="179" t="n"/>
      <c r="E761" s="219" t="n"/>
      <c r="F761" s="220" t="n"/>
      <c r="G761" s="221" t="n"/>
    </row>
    <row r="762" ht="15" customHeight="1" s="131">
      <c r="A762" s="220" t="n"/>
      <c r="B762" s="222" t="n"/>
      <c r="C762" s="220" t="n"/>
      <c r="D762" s="179" t="n"/>
      <c r="E762" s="219" t="n"/>
      <c r="F762" s="220" t="n"/>
      <c r="G762" s="221" t="n"/>
    </row>
    <row r="763" ht="15" customHeight="1" s="131">
      <c r="A763" s="220" t="n"/>
      <c r="B763" s="222" t="n"/>
      <c r="C763" s="220" t="n"/>
      <c r="D763" s="179" t="n"/>
      <c r="E763" s="219" t="n"/>
      <c r="F763" s="220" t="n"/>
      <c r="G763" s="221" t="n"/>
    </row>
    <row r="764" ht="15" customHeight="1" s="131">
      <c r="A764" s="220" t="n"/>
      <c r="B764" s="222" t="n"/>
      <c r="C764" s="220" t="n"/>
      <c r="D764" s="179" t="n"/>
      <c r="E764" s="219" t="n"/>
      <c r="F764" s="220" t="n"/>
      <c r="G764" s="221" t="n"/>
    </row>
    <row r="765" ht="15" customHeight="1" s="131">
      <c r="A765" s="220" t="n"/>
      <c r="B765" s="222" t="n"/>
      <c r="C765" s="220" t="n"/>
      <c r="D765" s="179" t="n"/>
      <c r="E765" s="219" t="n"/>
      <c r="F765" s="220" t="n"/>
      <c r="G765" s="221" t="n"/>
    </row>
    <row r="766" ht="15" customHeight="1" s="131">
      <c r="A766" s="220" t="n"/>
      <c r="B766" s="222" t="n"/>
      <c r="C766" s="220" t="n"/>
      <c r="D766" s="179" t="n"/>
      <c r="E766" s="219" t="n"/>
      <c r="F766" s="220" t="n"/>
      <c r="G766" s="221" t="n"/>
    </row>
    <row r="767" ht="15" customHeight="1" s="131">
      <c r="A767" s="220" t="n"/>
      <c r="B767" s="222" t="n"/>
      <c r="C767" s="220" t="n"/>
      <c r="D767" s="179" t="n"/>
      <c r="E767" s="219" t="n"/>
      <c r="F767" s="220" t="n"/>
      <c r="G767" s="221" t="n"/>
    </row>
    <row r="768" ht="15" customHeight="1" s="131">
      <c r="A768" s="220" t="n"/>
      <c r="B768" s="222" t="n"/>
      <c r="C768" s="220" t="n"/>
      <c r="D768" s="179" t="n"/>
      <c r="E768" s="219" t="n"/>
      <c r="F768" s="220" t="n"/>
      <c r="G768" s="221" t="n"/>
    </row>
    <row r="769" ht="15" customHeight="1" s="131">
      <c r="A769" s="220" t="n"/>
      <c r="B769" s="222" t="n"/>
      <c r="C769" s="220" t="n"/>
      <c r="D769" s="179" t="n"/>
      <c r="E769" s="219" t="n"/>
      <c r="F769" s="220" t="n"/>
      <c r="G769" s="221" t="n"/>
    </row>
    <row r="770" ht="15" customHeight="1" s="131">
      <c r="A770" s="220" t="n"/>
      <c r="B770" s="222" t="n"/>
      <c r="C770" s="220" t="n"/>
      <c r="D770" s="179" t="n"/>
      <c r="E770" s="219" t="n"/>
      <c r="F770" s="220" t="n"/>
      <c r="G770" s="221" t="n"/>
    </row>
    <row r="771" ht="15" customHeight="1" s="131">
      <c r="A771" s="220" t="n"/>
      <c r="B771" s="222" t="n"/>
      <c r="C771" s="220" t="n"/>
      <c r="D771" s="179" t="n"/>
      <c r="E771" s="219" t="n"/>
      <c r="F771" s="220" t="n"/>
      <c r="G771" s="221" t="n"/>
    </row>
    <row r="772" ht="15" customHeight="1" s="131">
      <c r="A772" s="220" t="n"/>
      <c r="B772" s="222" t="n"/>
      <c r="C772" s="220" t="n"/>
      <c r="D772" s="179" t="n"/>
      <c r="E772" s="219" t="n"/>
      <c r="F772" s="220" t="n"/>
      <c r="G772" s="221" t="n"/>
    </row>
    <row r="773" ht="15" customHeight="1" s="131">
      <c r="A773" s="220" t="n"/>
      <c r="B773" s="222" t="n"/>
      <c r="C773" s="220" t="n"/>
      <c r="D773" s="179" t="n"/>
      <c r="E773" s="219" t="n"/>
      <c r="F773" s="220" t="n"/>
      <c r="G773" s="221" t="n"/>
    </row>
    <row r="774" ht="15" customHeight="1" s="131">
      <c r="A774" s="220" t="n"/>
      <c r="B774" s="222" t="n"/>
      <c r="C774" s="220" t="n"/>
      <c r="D774" s="179" t="n"/>
      <c r="E774" s="219" t="n"/>
      <c r="F774" s="220" t="n"/>
      <c r="G774" s="221" t="n"/>
    </row>
    <row r="775" ht="15" customHeight="1" s="131">
      <c r="A775" s="220" t="n"/>
      <c r="B775" s="222" t="n"/>
      <c r="C775" s="220" t="n"/>
      <c r="D775" s="179" t="n"/>
      <c r="E775" s="219" t="n"/>
      <c r="F775" s="220" t="n"/>
      <c r="G775" s="221" t="n"/>
    </row>
    <row r="776" ht="15" customHeight="1" s="131">
      <c r="A776" s="220" t="n"/>
      <c r="B776" s="222" t="n"/>
      <c r="C776" s="220" t="n"/>
      <c r="D776" s="179" t="n"/>
      <c r="E776" s="219" t="n"/>
      <c r="F776" s="220" t="n"/>
      <c r="G776" s="221" t="n"/>
    </row>
    <row r="777" ht="15" customHeight="1" s="131">
      <c r="A777" s="220" t="n"/>
      <c r="B777" s="222" t="n"/>
      <c r="C777" s="220" t="n"/>
      <c r="D777" s="179" t="n"/>
      <c r="E777" s="219" t="n"/>
      <c r="F777" s="220" t="n"/>
      <c r="G777" s="221" t="n"/>
    </row>
    <row r="778" ht="15" customHeight="1" s="131">
      <c r="A778" s="220" t="n"/>
      <c r="B778" s="222" t="n"/>
      <c r="C778" s="220" t="n"/>
      <c r="D778" s="179" t="n"/>
      <c r="E778" s="219" t="n"/>
      <c r="F778" s="220" t="n"/>
      <c r="G778" s="221" t="n"/>
    </row>
    <row r="779" ht="15" customHeight="1" s="131">
      <c r="A779" s="220" t="n"/>
      <c r="B779" s="222" t="n"/>
      <c r="C779" s="220" t="n"/>
      <c r="D779" s="179" t="n"/>
      <c r="E779" s="219" t="n"/>
      <c r="F779" s="220" t="n"/>
      <c r="G779" s="221" t="n"/>
    </row>
    <row r="780" ht="15" customHeight="1" s="131">
      <c r="A780" s="220" t="n"/>
      <c r="B780" s="222" t="n"/>
      <c r="C780" s="220" t="n"/>
      <c r="D780" s="179" t="n"/>
      <c r="E780" s="219" t="n"/>
      <c r="F780" s="220" t="n"/>
      <c r="G780" s="221" t="n"/>
    </row>
    <row r="781" ht="15" customHeight="1" s="131">
      <c r="A781" s="220" t="n"/>
      <c r="B781" s="222" t="n"/>
      <c r="C781" s="220" t="n"/>
      <c r="D781" s="179" t="n"/>
      <c r="E781" s="219" t="n"/>
      <c r="F781" s="220" t="n"/>
      <c r="G781" s="221" t="n"/>
    </row>
    <row r="782" ht="15" customHeight="1" s="131">
      <c r="A782" s="220" t="n"/>
      <c r="B782" s="222" t="n"/>
      <c r="C782" s="220" t="n"/>
      <c r="D782" s="179" t="n"/>
      <c r="E782" s="219" t="n"/>
      <c r="F782" s="220" t="n"/>
      <c r="G782" s="221" t="n"/>
    </row>
    <row r="783" ht="15" customHeight="1" s="131">
      <c r="A783" s="220" t="n"/>
      <c r="B783" s="222" t="n"/>
      <c r="C783" s="220" t="n"/>
      <c r="D783" s="179" t="n"/>
      <c r="E783" s="219" t="n"/>
      <c r="F783" s="220" t="n"/>
      <c r="G783" s="221" t="n"/>
    </row>
    <row r="784" ht="15" customHeight="1" s="131">
      <c r="A784" s="220" t="n"/>
      <c r="B784" s="222" t="n"/>
      <c r="C784" s="220" t="n"/>
      <c r="D784" s="179" t="n"/>
      <c r="E784" s="219" t="n"/>
      <c r="F784" s="220" t="n"/>
      <c r="G784" s="221" t="n"/>
    </row>
    <row r="785" ht="15" customHeight="1" s="131">
      <c r="A785" s="220" t="n"/>
      <c r="B785" s="222" t="n"/>
      <c r="C785" s="220" t="n"/>
      <c r="D785" s="179" t="n"/>
      <c r="E785" s="219" t="n"/>
      <c r="F785" s="220" t="n"/>
      <c r="G785" s="221" t="n"/>
    </row>
    <row r="786" ht="15" customHeight="1" s="131">
      <c r="A786" s="220" t="n"/>
      <c r="B786" s="222" t="n"/>
      <c r="C786" s="220" t="n"/>
      <c r="D786" s="179" t="n"/>
      <c r="E786" s="219" t="n"/>
      <c r="F786" s="220" t="n"/>
      <c r="G786" s="221" t="n"/>
    </row>
    <row r="787" ht="15" customHeight="1" s="131">
      <c r="A787" s="220" t="n"/>
      <c r="B787" s="222" t="n"/>
      <c r="C787" s="220" t="n"/>
      <c r="D787" s="179" t="n"/>
      <c r="E787" s="219" t="n"/>
      <c r="F787" s="220" t="n"/>
      <c r="G787" s="221" t="n"/>
    </row>
    <row r="788" ht="15" customHeight="1" s="131">
      <c r="A788" s="220" t="n"/>
      <c r="B788" s="222" t="n"/>
      <c r="C788" s="220" t="n"/>
      <c r="D788" s="179" t="n"/>
      <c r="E788" s="219" t="n"/>
      <c r="F788" s="220" t="n"/>
      <c r="G788" s="221" t="n"/>
    </row>
    <row r="789" ht="15" customHeight="1" s="131">
      <c r="A789" s="220" t="n"/>
      <c r="B789" s="222" t="n"/>
      <c r="C789" s="220" t="n"/>
      <c r="D789" s="179" t="n"/>
      <c r="E789" s="219" t="n"/>
      <c r="F789" s="220" t="n"/>
      <c r="G789" s="221" t="n"/>
    </row>
    <row r="790" ht="15" customHeight="1" s="131">
      <c r="A790" s="220" t="n"/>
      <c r="B790" s="222" t="n"/>
      <c r="C790" s="220" t="n"/>
      <c r="D790" s="179" t="n"/>
      <c r="E790" s="219" t="n"/>
      <c r="F790" s="220" t="n"/>
      <c r="G790" s="221" t="n"/>
    </row>
    <row r="791" ht="15" customHeight="1" s="131">
      <c r="A791" s="220" t="n"/>
      <c r="B791" s="222" t="n"/>
      <c r="C791" s="220" t="n"/>
      <c r="D791" s="179" t="n"/>
      <c r="E791" s="219" t="n"/>
      <c r="F791" s="220" t="n"/>
      <c r="G791" s="221" t="n"/>
    </row>
    <row r="792" ht="15" customHeight="1" s="131">
      <c r="A792" s="220" t="n"/>
      <c r="B792" s="222" t="n"/>
      <c r="C792" s="220" t="n"/>
      <c r="D792" s="179" t="n"/>
      <c r="E792" s="219" t="n"/>
      <c r="F792" s="220" t="n"/>
      <c r="G792" s="221" t="n"/>
    </row>
    <row r="793" ht="15" customHeight="1" s="131">
      <c r="A793" s="220" t="n"/>
      <c r="B793" s="222" t="n"/>
      <c r="C793" s="220" t="n"/>
      <c r="D793" s="179" t="n"/>
      <c r="E793" s="219" t="n"/>
      <c r="F793" s="220" t="n"/>
      <c r="G793" s="221" t="n"/>
    </row>
    <row r="794" ht="15" customHeight="1" s="131">
      <c r="A794" s="220" t="n"/>
      <c r="B794" s="222" t="n"/>
      <c r="C794" s="220" t="n"/>
      <c r="D794" s="179" t="n"/>
      <c r="E794" s="219" t="n"/>
      <c r="F794" s="220" t="n"/>
      <c r="G794" s="221" t="n"/>
    </row>
    <row r="795" ht="15" customHeight="1" s="131">
      <c r="A795" s="220" t="n"/>
      <c r="B795" s="222" t="n"/>
      <c r="C795" s="220" t="n"/>
      <c r="D795" s="179" t="n"/>
      <c r="E795" s="219" t="n"/>
      <c r="F795" s="220" t="n"/>
      <c r="G795" s="221" t="n"/>
    </row>
    <row r="796" ht="15" customHeight="1" s="131">
      <c r="A796" s="220" t="n"/>
      <c r="B796" s="222" t="n"/>
      <c r="C796" s="220" t="n"/>
      <c r="D796" s="179" t="n"/>
      <c r="E796" s="219" t="n"/>
      <c r="F796" s="220" t="n"/>
      <c r="G796" s="221" t="n"/>
    </row>
    <row r="797" ht="15" customHeight="1" s="131">
      <c r="A797" s="220" t="n"/>
      <c r="B797" s="222" t="n"/>
      <c r="C797" s="220" t="n"/>
      <c r="D797" s="179" t="n"/>
      <c r="E797" s="219" t="n"/>
      <c r="F797" s="220" t="n"/>
      <c r="G797" s="221" t="n"/>
    </row>
    <row r="798" ht="15" customHeight="1" s="131">
      <c r="A798" s="220" t="n"/>
      <c r="B798" s="222" t="n"/>
      <c r="C798" s="220" t="n"/>
      <c r="D798" s="179" t="n"/>
      <c r="E798" s="219" t="n"/>
      <c r="F798" s="220" t="n"/>
      <c r="G798" s="221" t="n"/>
    </row>
    <row r="799" ht="15" customHeight="1" s="131">
      <c r="A799" s="220" t="n"/>
      <c r="B799" s="222" t="n"/>
      <c r="C799" s="220" t="n"/>
      <c r="D799" s="179" t="n"/>
      <c r="E799" s="219" t="n"/>
      <c r="F799" s="220" t="n"/>
      <c r="G799" s="221" t="n"/>
    </row>
    <row r="800" ht="15" customHeight="1" s="131">
      <c r="A800" s="220" t="n"/>
      <c r="B800" s="222" t="n"/>
      <c r="C800" s="220" t="n"/>
      <c r="D800" s="179" t="n"/>
      <c r="E800" s="219" t="n"/>
      <c r="F800" s="220" t="n"/>
      <c r="G800" s="221" t="n"/>
    </row>
    <row r="801" ht="15" customHeight="1" s="131">
      <c r="A801" s="220" t="n"/>
      <c r="B801" s="222" t="n"/>
      <c r="C801" s="220" t="n"/>
      <c r="D801" s="179" t="n"/>
      <c r="E801" s="219" t="n"/>
      <c r="F801" s="220" t="n"/>
      <c r="G801" s="221" t="n"/>
    </row>
    <row r="802" ht="15" customHeight="1" s="131">
      <c r="A802" s="220" t="n"/>
      <c r="B802" s="222" t="n"/>
      <c r="C802" s="220" t="n"/>
      <c r="D802" s="179" t="n"/>
      <c r="E802" s="219" t="n"/>
      <c r="F802" s="220" t="n"/>
      <c r="G802" s="221" t="n"/>
    </row>
    <row r="803" ht="15" customHeight="1" s="131">
      <c r="A803" s="220" t="n"/>
      <c r="B803" s="222" t="n"/>
      <c r="C803" s="220" t="n"/>
      <c r="D803" s="179" t="n"/>
      <c r="E803" s="219" t="n"/>
      <c r="F803" s="220" t="n"/>
      <c r="G803" s="221" t="n"/>
    </row>
    <row r="804" ht="15" customHeight="1" s="131">
      <c r="A804" s="220" t="n"/>
      <c r="B804" s="222" t="n"/>
      <c r="C804" s="220" t="n"/>
      <c r="D804" s="179" t="n"/>
      <c r="E804" s="219" t="n"/>
      <c r="F804" s="220" t="n"/>
      <c r="G804" s="221" t="n"/>
    </row>
    <row r="805" ht="15" customHeight="1" s="131">
      <c r="A805" s="220" t="n"/>
      <c r="B805" s="222" t="n"/>
      <c r="C805" s="220" t="n"/>
      <c r="D805" s="179" t="n"/>
      <c r="E805" s="219" t="n"/>
      <c r="F805" s="220" t="n"/>
      <c r="G805" s="221" t="n"/>
    </row>
    <row r="806" ht="15" customHeight="1" s="131">
      <c r="A806" s="220" t="n"/>
      <c r="B806" s="222" t="n"/>
      <c r="C806" s="220" t="n"/>
      <c r="D806" s="179" t="n"/>
      <c r="E806" s="219" t="n"/>
      <c r="F806" s="220" t="n"/>
      <c r="G806" s="221" t="n"/>
    </row>
    <row r="807" ht="15" customHeight="1" s="131">
      <c r="A807" s="220" t="n"/>
      <c r="B807" s="222" t="n"/>
      <c r="C807" s="220" t="n"/>
      <c r="D807" s="179" t="n"/>
      <c r="E807" s="219" t="n"/>
      <c r="F807" s="220" t="n"/>
      <c r="G807" s="221" t="n"/>
    </row>
    <row r="808" ht="15" customHeight="1" s="131">
      <c r="A808" s="220" t="n"/>
      <c r="B808" s="222" t="n"/>
      <c r="C808" s="220" t="n"/>
      <c r="D808" s="179" t="n"/>
      <c r="E808" s="219" t="n"/>
      <c r="F808" s="220" t="n"/>
      <c r="G808" s="221" t="n"/>
    </row>
    <row r="809" ht="15" customHeight="1" s="131">
      <c r="A809" s="220" t="n"/>
      <c r="B809" s="222" t="n"/>
      <c r="C809" s="220" t="n"/>
      <c r="D809" s="179" t="n"/>
      <c r="E809" s="219" t="n"/>
      <c r="F809" s="220" t="n"/>
      <c r="G809" s="221" t="n"/>
    </row>
    <row r="810" ht="15" customHeight="1" s="131">
      <c r="A810" s="220" t="n"/>
      <c r="B810" s="222" t="n"/>
      <c r="C810" s="220" t="n"/>
      <c r="D810" s="179" t="n"/>
      <c r="E810" s="219" t="n"/>
      <c r="F810" s="220" t="n"/>
      <c r="G810" s="221" t="n"/>
    </row>
    <row r="811" ht="15" customHeight="1" s="131">
      <c r="A811" s="220" t="n"/>
      <c r="B811" s="222" t="n"/>
      <c r="C811" s="220" t="n"/>
      <c r="D811" s="179" t="n"/>
      <c r="E811" s="219" t="n"/>
      <c r="F811" s="220" t="n"/>
      <c r="G811" s="221" t="n"/>
    </row>
    <row r="812" ht="15" customHeight="1" s="131">
      <c r="A812" s="220" t="n"/>
      <c r="B812" s="222" t="n"/>
      <c r="C812" s="220" t="n"/>
      <c r="D812" s="179" t="n"/>
      <c r="E812" s="219" t="n"/>
      <c r="F812" s="220" t="n"/>
      <c r="G812" s="221" t="n"/>
    </row>
    <row r="813" ht="15" customHeight="1" s="131">
      <c r="A813" s="220" t="n"/>
      <c r="B813" s="222" t="n"/>
      <c r="C813" s="220" t="n"/>
      <c r="D813" s="179" t="n"/>
      <c r="E813" s="219" t="n"/>
      <c r="F813" s="220" t="n"/>
      <c r="G813" s="221" t="n"/>
    </row>
    <row r="814" ht="15" customHeight="1" s="131">
      <c r="A814" s="220" t="n"/>
      <c r="B814" s="222" t="n"/>
      <c r="C814" s="220" t="n"/>
      <c r="D814" s="179" t="n"/>
      <c r="E814" s="219" t="n"/>
      <c r="F814" s="220" t="n"/>
      <c r="G814" s="221" t="n"/>
    </row>
    <row r="815" ht="15" customHeight="1" s="131">
      <c r="A815" s="220" t="n"/>
      <c r="B815" s="222" t="n"/>
      <c r="C815" s="220" t="n"/>
      <c r="D815" s="179" t="n"/>
      <c r="E815" s="219" t="n"/>
      <c r="F815" s="220" t="n"/>
      <c r="G815" s="221" t="n"/>
    </row>
    <row r="816" ht="15" customHeight="1" s="131">
      <c r="A816" s="220" t="n"/>
      <c r="B816" s="222" t="n"/>
      <c r="C816" s="220" t="n"/>
      <c r="D816" s="179" t="n"/>
      <c r="E816" s="219" t="n"/>
      <c r="F816" s="220" t="n"/>
      <c r="G816" s="221" t="n"/>
    </row>
    <row r="817" ht="15" customHeight="1" s="131">
      <c r="A817" s="220" t="n"/>
      <c r="B817" s="222" t="n"/>
      <c r="C817" s="220" t="n"/>
      <c r="D817" s="179" t="n"/>
      <c r="E817" s="219" t="n"/>
      <c r="F817" s="220" t="n"/>
      <c r="G817" s="221" t="n"/>
    </row>
    <row r="818" ht="15" customHeight="1" s="131">
      <c r="A818" s="220" t="n"/>
      <c r="B818" s="222" t="n"/>
      <c r="C818" s="220" t="n"/>
      <c r="D818" s="179" t="n"/>
      <c r="E818" s="219" t="n"/>
      <c r="F818" s="220" t="n"/>
      <c r="G818" s="221" t="n"/>
    </row>
    <row r="819" ht="15" customHeight="1" s="131">
      <c r="A819" s="220" t="n"/>
      <c r="B819" s="222" t="n"/>
      <c r="C819" s="220" t="n"/>
      <c r="D819" s="179" t="n"/>
      <c r="E819" s="219" t="n"/>
      <c r="F819" s="220" t="n"/>
      <c r="G819" s="221" t="n"/>
    </row>
    <row r="820" ht="15" customHeight="1" s="131">
      <c r="A820" s="220" t="n"/>
      <c r="B820" s="222" t="n"/>
      <c r="C820" s="220" t="n"/>
      <c r="D820" s="179" t="n"/>
      <c r="E820" s="219" t="n"/>
      <c r="F820" s="220" t="n"/>
      <c r="G820" s="221" t="n"/>
    </row>
    <row r="821" ht="15" customHeight="1" s="131">
      <c r="A821" s="220" t="n"/>
      <c r="B821" s="222" t="n"/>
      <c r="C821" s="220" t="n"/>
      <c r="D821" s="179" t="n"/>
      <c r="E821" s="219" t="n"/>
      <c r="F821" s="220" t="n"/>
      <c r="G821" s="221" t="n"/>
    </row>
    <row r="822" ht="15" customHeight="1" s="131">
      <c r="A822" s="220" t="n"/>
      <c r="B822" s="222" t="n"/>
      <c r="C822" s="220" t="n"/>
      <c r="D822" s="179" t="n"/>
      <c r="E822" s="219" t="n"/>
      <c r="F822" s="220" t="n"/>
      <c r="G822" s="221" t="n"/>
    </row>
    <row r="823" ht="15" customHeight="1" s="131">
      <c r="A823" s="220" t="n"/>
      <c r="B823" s="222" t="n"/>
      <c r="C823" s="220" t="n"/>
      <c r="D823" s="179" t="n"/>
      <c r="E823" s="219" t="n"/>
      <c r="F823" s="220" t="n"/>
      <c r="G823" s="221" t="n"/>
    </row>
    <row r="824" ht="15" customHeight="1" s="131">
      <c r="A824" s="220" t="n"/>
      <c r="B824" s="222" t="n"/>
      <c r="C824" s="220" t="n"/>
      <c r="D824" s="179" t="n"/>
      <c r="E824" s="219" t="n"/>
      <c r="F824" s="220" t="n"/>
      <c r="G824" s="221" t="n"/>
    </row>
    <row r="825" ht="15" customHeight="1" s="131">
      <c r="A825" s="220" t="n"/>
      <c r="B825" s="222" t="n"/>
      <c r="C825" s="220" t="n"/>
      <c r="D825" s="179" t="n"/>
      <c r="E825" s="219" t="n"/>
      <c r="F825" s="220" t="n"/>
      <c r="G825" s="221" t="n"/>
    </row>
    <row r="826" ht="15" customHeight="1" s="131">
      <c r="A826" s="220" t="n"/>
      <c r="B826" s="222" t="n"/>
      <c r="C826" s="220" t="n"/>
      <c r="D826" s="179" t="n"/>
      <c r="E826" s="219" t="n"/>
      <c r="F826" s="220" t="n"/>
      <c r="G826" s="221" t="n"/>
    </row>
    <row r="827" ht="15" customHeight="1" s="131">
      <c r="A827" s="220" t="n"/>
      <c r="B827" s="222" t="n"/>
      <c r="C827" s="220" t="n"/>
      <c r="D827" s="179" t="n"/>
      <c r="E827" s="219" t="n"/>
      <c r="F827" s="220" t="n"/>
      <c r="G827" s="221" t="n"/>
    </row>
    <row r="828" ht="15" customHeight="1" s="131">
      <c r="A828" s="220" t="n"/>
      <c r="B828" s="222" t="n"/>
      <c r="C828" s="220" t="n"/>
      <c r="D828" s="179" t="n"/>
      <c r="E828" s="219" t="n"/>
      <c r="F828" s="220" t="n"/>
      <c r="G828" s="221" t="n"/>
    </row>
    <row r="829" ht="15" customHeight="1" s="131">
      <c r="A829" s="220" t="n"/>
      <c r="B829" s="222" t="n"/>
      <c r="C829" s="220" t="n"/>
      <c r="D829" s="179" t="n"/>
      <c r="E829" s="219" t="n"/>
      <c r="F829" s="220" t="n"/>
      <c r="G829" s="221" t="n"/>
    </row>
    <row r="830" ht="15" customHeight="1" s="131">
      <c r="A830" s="220" t="n"/>
      <c r="B830" s="222" t="n"/>
      <c r="C830" s="220" t="n"/>
      <c r="D830" s="179" t="n"/>
      <c r="E830" s="219" t="n"/>
      <c r="F830" s="220" t="n"/>
      <c r="G830" s="221" t="n"/>
    </row>
    <row r="831" ht="15" customHeight="1" s="131">
      <c r="A831" s="220" t="n"/>
      <c r="B831" s="222" t="n"/>
      <c r="C831" s="220" t="n"/>
      <c r="D831" s="179" t="n"/>
      <c r="E831" s="219" t="n"/>
      <c r="F831" s="220" t="n"/>
      <c r="G831" s="221" t="n"/>
    </row>
    <row r="832" ht="15" customHeight="1" s="131">
      <c r="A832" s="220" t="n"/>
      <c r="B832" s="222" t="n"/>
      <c r="C832" s="220" t="n"/>
      <c r="D832" s="179" t="n"/>
      <c r="E832" s="219" t="n"/>
      <c r="F832" s="220" t="n"/>
      <c r="G832" s="221" t="n"/>
    </row>
    <row r="833" ht="15" customHeight="1" s="131">
      <c r="A833" s="220" t="n"/>
      <c r="B833" s="222" t="n"/>
      <c r="C833" s="220" t="n"/>
      <c r="D833" s="179" t="n"/>
      <c r="E833" s="219" t="n"/>
      <c r="F833" s="220" t="n"/>
      <c r="G833" s="221" t="n"/>
    </row>
    <row r="834" ht="15" customHeight="1" s="131">
      <c r="A834" s="220" t="n"/>
      <c r="B834" s="222" t="n"/>
      <c r="C834" s="220" t="n"/>
      <c r="D834" s="179" t="n"/>
      <c r="E834" s="219" t="n"/>
      <c r="F834" s="220" t="n"/>
      <c r="G834" s="221" t="n"/>
    </row>
    <row r="835" ht="15" customHeight="1" s="131">
      <c r="A835" s="220" t="n"/>
      <c r="B835" s="222" t="n"/>
      <c r="C835" s="220" t="n"/>
      <c r="D835" s="179" t="n"/>
      <c r="E835" s="219" t="n"/>
      <c r="F835" s="220" t="n"/>
      <c r="G835" s="221" t="n"/>
    </row>
    <row r="836" ht="15" customHeight="1" s="131">
      <c r="A836" s="220" t="n"/>
      <c r="B836" s="222" t="n"/>
      <c r="C836" s="220" t="n"/>
      <c r="D836" s="179" t="n"/>
      <c r="E836" s="219" t="n"/>
      <c r="F836" s="220" t="n"/>
      <c r="G836" s="221" t="n"/>
    </row>
    <row r="837" ht="15" customHeight="1" s="131">
      <c r="A837" s="220" t="n"/>
      <c r="B837" s="222" t="n"/>
      <c r="C837" s="220" t="n"/>
      <c r="D837" s="179" t="n"/>
      <c r="E837" s="219" t="n"/>
      <c r="F837" s="220" t="n"/>
      <c r="G837" s="221" t="n"/>
    </row>
    <row r="838" ht="15" customHeight="1" s="131">
      <c r="A838" s="220" t="n"/>
      <c r="B838" s="222" t="n"/>
      <c r="C838" s="220" t="n"/>
      <c r="D838" s="179" t="n"/>
      <c r="E838" s="219" t="n"/>
      <c r="F838" s="220" t="n"/>
      <c r="G838" s="221" t="n"/>
    </row>
    <row r="839" ht="15" customHeight="1" s="131">
      <c r="A839" s="220" t="n"/>
      <c r="B839" s="222" t="n"/>
      <c r="C839" s="220" t="n"/>
      <c r="D839" s="179" t="n"/>
      <c r="E839" s="219" t="n"/>
      <c r="F839" s="220" t="n"/>
      <c r="G839" s="221" t="n"/>
    </row>
    <row r="840" ht="15" customHeight="1" s="131">
      <c r="A840" s="220" t="n"/>
      <c r="B840" s="222" t="n"/>
      <c r="C840" s="220" t="n"/>
      <c r="D840" s="179" t="n"/>
      <c r="E840" s="219" t="n"/>
      <c r="F840" s="220" t="n"/>
      <c r="G840" s="221" t="n"/>
    </row>
    <row r="841" ht="15" customHeight="1" s="131">
      <c r="A841" s="220" t="n"/>
      <c r="B841" s="222" t="n"/>
      <c r="C841" s="220" t="n"/>
      <c r="D841" s="179" t="n"/>
      <c r="E841" s="219" t="n"/>
      <c r="F841" s="220" t="n"/>
      <c r="G841" s="221" t="n"/>
    </row>
    <row r="842" ht="15" customHeight="1" s="131">
      <c r="A842" s="220" t="n"/>
      <c r="B842" s="222" t="n"/>
      <c r="C842" s="220" t="n"/>
      <c r="D842" s="179" t="n"/>
      <c r="E842" s="219" t="n"/>
      <c r="F842" s="220" t="n"/>
      <c r="G842" s="221" t="n"/>
    </row>
    <row r="843" ht="15" customHeight="1" s="131">
      <c r="A843" s="220" t="n"/>
      <c r="B843" s="222" t="n"/>
      <c r="C843" s="220" t="n"/>
      <c r="D843" s="179" t="n"/>
      <c r="E843" s="219" t="n"/>
      <c r="F843" s="220" t="n"/>
      <c r="G843" s="221" t="n"/>
    </row>
    <row r="844" ht="15" customHeight="1" s="131">
      <c r="A844" s="220" t="n"/>
      <c r="B844" s="222" t="n"/>
      <c r="C844" s="220" t="n"/>
      <c r="D844" s="179" t="n"/>
      <c r="E844" s="219" t="n"/>
      <c r="F844" s="220" t="n"/>
      <c r="G844" s="221" t="n"/>
    </row>
    <row r="845" ht="15" customHeight="1" s="131">
      <c r="A845" s="220" t="n"/>
      <c r="B845" s="222" t="n"/>
      <c r="C845" s="220" t="n"/>
      <c r="D845" s="179" t="n"/>
      <c r="E845" s="219" t="n"/>
      <c r="F845" s="220" t="n"/>
      <c r="G845" s="221" t="n"/>
    </row>
    <row r="846" ht="15" customHeight="1" s="131">
      <c r="A846" s="220" t="n"/>
      <c r="B846" s="222" t="n"/>
      <c r="C846" s="220" t="n"/>
      <c r="D846" s="179" t="n"/>
      <c r="E846" s="219" t="n"/>
      <c r="F846" s="220" t="n"/>
      <c r="G846" s="221" t="n"/>
    </row>
    <row r="847" ht="15" customHeight="1" s="131">
      <c r="A847" s="220" t="n"/>
      <c r="B847" s="222" t="n"/>
      <c r="C847" s="220" t="n"/>
      <c r="D847" s="179" t="n"/>
      <c r="E847" s="219" t="n"/>
      <c r="F847" s="220" t="n"/>
      <c r="G847" s="221" t="n"/>
    </row>
    <row r="848" ht="15" customHeight="1" s="131">
      <c r="A848" s="220" t="n"/>
      <c r="B848" s="222" t="n"/>
      <c r="C848" s="220" t="n"/>
      <c r="D848" s="179" t="n"/>
      <c r="E848" s="219" t="n"/>
      <c r="F848" s="220" t="n"/>
      <c r="G848" s="221" t="n"/>
    </row>
    <row r="849" ht="15" customHeight="1" s="131">
      <c r="A849" s="220" t="n"/>
      <c r="B849" s="222" t="n"/>
      <c r="C849" s="220" t="n"/>
      <c r="D849" s="179" t="n"/>
      <c r="E849" s="219" t="n"/>
      <c r="F849" s="220" t="n"/>
      <c r="G849" s="221" t="n"/>
    </row>
    <row r="850" ht="15" customHeight="1" s="131">
      <c r="A850" s="220" t="n"/>
      <c r="B850" s="222" t="n"/>
      <c r="C850" s="220" t="n"/>
      <c r="D850" s="179" t="n"/>
      <c r="E850" s="219" t="n"/>
      <c r="F850" s="220" t="n"/>
      <c r="G850" s="221" t="n"/>
    </row>
    <row r="851" ht="15" customHeight="1" s="131">
      <c r="A851" s="220" t="n"/>
      <c r="B851" s="222" t="n"/>
      <c r="C851" s="220" t="n"/>
      <c r="D851" s="179" t="n"/>
      <c r="E851" s="219" t="n"/>
      <c r="F851" s="220" t="n"/>
      <c r="G851" s="221" t="n"/>
    </row>
    <row r="852" ht="15" customHeight="1" s="131">
      <c r="A852" s="220" t="n"/>
      <c r="B852" s="222" t="n"/>
      <c r="C852" s="220" t="n"/>
      <c r="D852" s="179" t="n"/>
      <c r="E852" s="219" t="n"/>
      <c r="F852" s="220" t="n"/>
      <c r="G852" s="221" t="n"/>
    </row>
    <row r="853" ht="15" customHeight="1" s="131">
      <c r="A853" s="220" t="n"/>
      <c r="B853" s="222" t="n"/>
      <c r="C853" s="220" t="n"/>
      <c r="D853" s="179" t="n"/>
      <c r="E853" s="219" t="n"/>
      <c r="F853" s="220" t="n"/>
      <c r="G853" s="221" t="n"/>
    </row>
    <row r="854" ht="15" customHeight="1" s="131">
      <c r="A854" s="220" t="n"/>
      <c r="B854" s="222" t="n"/>
      <c r="C854" s="220" t="n"/>
      <c r="D854" s="179" t="n"/>
      <c r="E854" s="219" t="n"/>
      <c r="F854" s="220" t="n"/>
      <c r="G854" s="221" t="n"/>
    </row>
    <row r="855" ht="15" customHeight="1" s="131">
      <c r="A855" s="220" t="n"/>
      <c r="B855" s="222" t="n"/>
      <c r="C855" s="220" t="n"/>
      <c r="D855" s="179" t="n"/>
      <c r="E855" s="219" t="n"/>
      <c r="F855" s="220" t="n"/>
      <c r="G855" s="221" t="n"/>
    </row>
    <row r="856" ht="15" customHeight="1" s="131">
      <c r="A856" s="220" t="n"/>
      <c r="B856" s="222" t="n"/>
      <c r="C856" s="220" t="n"/>
      <c r="D856" s="179" t="n"/>
      <c r="E856" s="219" t="n"/>
      <c r="F856" s="220" t="n"/>
      <c r="G856" s="221" t="n"/>
    </row>
    <row r="857" ht="15" customHeight="1" s="131">
      <c r="A857" s="220" t="n"/>
      <c r="B857" s="222" t="n"/>
      <c r="C857" s="220" t="n"/>
      <c r="D857" s="179" t="n"/>
      <c r="E857" s="219" t="n"/>
      <c r="F857" s="220" t="n"/>
      <c r="G857" s="221" t="n"/>
    </row>
    <row r="858" ht="15" customHeight="1" s="131">
      <c r="A858" s="220" t="n"/>
      <c r="B858" s="222" t="n"/>
      <c r="C858" s="220" t="n"/>
      <c r="D858" s="179" t="n"/>
      <c r="E858" s="219" t="n"/>
      <c r="F858" s="220" t="n"/>
      <c r="G858" s="221" t="n"/>
    </row>
    <row r="859" ht="15" customHeight="1" s="131">
      <c r="A859" s="220" t="n"/>
      <c r="B859" s="222" t="n"/>
      <c r="C859" s="220" t="n"/>
      <c r="D859" s="179" t="n"/>
      <c r="E859" s="219" t="n"/>
      <c r="F859" s="220" t="n"/>
      <c r="G859" s="221" t="n"/>
    </row>
    <row r="860" ht="15" customHeight="1" s="131">
      <c r="A860" s="220" t="n"/>
      <c r="B860" s="222" t="n"/>
      <c r="C860" s="220" t="n"/>
      <c r="D860" s="179" t="n"/>
      <c r="E860" s="219" t="n"/>
      <c r="F860" s="220" t="n"/>
      <c r="G860" s="221" t="n"/>
    </row>
    <row r="861" ht="15" customHeight="1" s="131">
      <c r="A861" s="220" t="n"/>
      <c r="B861" s="222" t="n"/>
      <c r="C861" s="220" t="n"/>
      <c r="D861" s="179" t="n"/>
      <c r="E861" s="219" t="n"/>
      <c r="F861" s="220" t="n"/>
      <c r="G861" s="221" t="n"/>
    </row>
    <row r="862" ht="15" customHeight="1" s="131">
      <c r="A862" s="220" t="n"/>
      <c r="B862" s="222" t="n"/>
      <c r="C862" s="220" t="n"/>
      <c r="D862" s="179" t="n"/>
      <c r="E862" s="219" t="n"/>
      <c r="F862" s="220" t="n"/>
      <c r="G862" s="221" t="n"/>
    </row>
    <row r="863" ht="15" customHeight="1" s="131">
      <c r="A863" s="220" t="n"/>
      <c r="B863" s="222" t="n"/>
      <c r="C863" s="220" t="n"/>
      <c r="D863" s="179" t="n"/>
      <c r="E863" s="219" t="n"/>
      <c r="F863" s="220" t="n"/>
      <c r="G863" s="221" t="n"/>
    </row>
    <row r="864" ht="15" customHeight="1" s="131">
      <c r="A864" s="220" t="n"/>
      <c r="B864" s="222" t="n"/>
      <c r="C864" s="220" t="n"/>
      <c r="D864" s="179" t="n"/>
      <c r="E864" s="219" t="n"/>
      <c r="F864" s="220" t="n"/>
      <c r="G864" s="221" t="n"/>
    </row>
    <row r="865" ht="15" customHeight="1" s="131">
      <c r="A865" s="220" t="n"/>
      <c r="B865" s="222" t="n"/>
      <c r="C865" s="220" t="n"/>
      <c r="D865" s="179" t="n"/>
      <c r="E865" s="219" t="n"/>
      <c r="F865" s="220" t="n"/>
      <c r="G865" s="221" t="n"/>
    </row>
    <row r="866" ht="15" customHeight="1" s="131">
      <c r="A866" s="220" t="n"/>
      <c r="B866" s="222" t="n"/>
      <c r="C866" s="220" t="n"/>
      <c r="D866" s="179" t="n"/>
      <c r="E866" s="219" t="n"/>
      <c r="F866" s="220" t="n"/>
      <c r="G866" s="221" t="n"/>
    </row>
    <row r="867" ht="15" customHeight="1" s="131">
      <c r="A867" s="220" t="n"/>
      <c r="B867" s="222" t="n"/>
      <c r="C867" s="220" t="n"/>
      <c r="D867" s="179" t="n"/>
      <c r="E867" s="219" t="n"/>
      <c r="F867" s="220" t="n"/>
      <c r="G867" s="221" t="n"/>
    </row>
    <row r="868" ht="15" customHeight="1" s="131">
      <c r="A868" s="220" t="n"/>
      <c r="B868" s="222" t="n"/>
      <c r="C868" s="220" t="n"/>
      <c r="D868" s="179" t="n"/>
      <c r="E868" s="219" t="n"/>
      <c r="F868" s="220" t="n"/>
      <c r="G868" s="221" t="n"/>
    </row>
    <row r="869" ht="15" customHeight="1" s="131">
      <c r="A869" s="220" t="n"/>
      <c r="B869" s="222" t="n"/>
      <c r="C869" s="220" t="n"/>
      <c r="D869" s="179" t="n"/>
      <c r="E869" s="219" t="n"/>
      <c r="F869" s="220" t="n"/>
      <c r="G869" s="221" t="n"/>
    </row>
    <row r="870" ht="15" customHeight="1" s="131">
      <c r="A870" s="220" t="n"/>
      <c r="B870" s="222" t="n"/>
      <c r="C870" s="220" t="n"/>
      <c r="D870" s="179" t="n"/>
      <c r="E870" s="219" t="n"/>
      <c r="F870" s="220" t="n"/>
      <c r="G870" s="221" t="n"/>
    </row>
    <row r="871" ht="15" customHeight="1" s="131">
      <c r="A871" s="220" t="n"/>
      <c r="B871" s="222" t="n"/>
      <c r="C871" s="220" t="n"/>
      <c r="D871" s="179" t="n"/>
      <c r="E871" s="219" t="n"/>
      <c r="F871" s="220" t="n"/>
      <c r="G871" s="221" t="n"/>
    </row>
    <row r="872" ht="15" customHeight="1" s="131">
      <c r="A872" s="220" t="n"/>
      <c r="B872" s="222" t="n"/>
      <c r="C872" s="220" t="n"/>
      <c r="D872" s="179" t="n"/>
      <c r="E872" s="219" t="n"/>
      <c r="F872" s="220" t="n"/>
      <c r="G872" s="221" t="n"/>
    </row>
    <row r="873" ht="15" customHeight="1" s="131">
      <c r="A873" s="220" t="n"/>
      <c r="B873" s="222" t="n"/>
      <c r="C873" s="220" t="n"/>
      <c r="D873" s="179" t="n"/>
      <c r="E873" s="219" t="n"/>
      <c r="F873" s="220" t="n"/>
      <c r="G873" s="221" t="n"/>
    </row>
    <row r="874" ht="15" customHeight="1" s="131">
      <c r="A874" s="220" t="n"/>
      <c r="B874" s="222" t="n"/>
      <c r="C874" s="220" t="n"/>
      <c r="D874" s="179" t="n"/>
      <c r="E874" s="219" t="n"/>
      <c r="F874" s="220" t="n"/>
      <c r="G874" s="221" t="n"/>
    </row>
    <row r="875" ht="15" customHeight="1" s="131">
      <c r="A875" s="220" t="n"/>
      <c r="B875" s="222" t="n"/>
      <c r="C875" s="220" t="n"/>
      <c r="D875" s="179" t="n"/>
      <c r="E875" s="219" t="n"/>
      <c r="F875" s="220" t="n"/>
      <c r="G875" s="221" t="n"/>
    </row>
    <row r="876" ht="15" customHeight="1" s="131">
      <c r="A876" s="220" t="n"/>
      <c r="B876" s="222" t="n"/>
      <c r="C876" s="220" t="n"/>
      <c r="D876" s="179" t="n"/>
      <c r="E876" s="219" t="n"/>
      <c r="F876" s="220" t="n"/>
      <c r="G876" s="221" t="n"/>
    </row>
    <row r="877" ht="15" customHeight="1" s="131">
      <c r="A877" s="220" t="n"/>
      <c r="B877" s="222" t="n"/>
      <c r="C877" s="220" t="n"/>
      <c r="D877" s="179" t="n"/>
      <c r="E877" s="219" t="n"/>
      <c r="F877" s="220" t="n"/>
      <c r="G877" s="221" t="n"/>
    </row>
    <row r="878" ht="15" customHeight="1" s="131">
      <c r="A878" s="220" t="n"/>
      <c r="B878" s="222" t="n"/>
      <c r="C878" s="220" t="n"/>
      <c r="D878" s="179" t="n"/>
      <c r="E878" s="219" t="n"/>
      <c r="F878" s="220" t="n"/>
      <c r="G878" s="221" t="n"/>
    </row>
    <row r="879" ht="15" customHeight="1" s="131">
      <c r="A879" s="220" t="n"/>
      <c r="B879" s="222" t="n"/>
      <c r="C879" s="220" t="n"/>
      <c r="D879" s="179" t="n"/>
      <c r="E879" s="219" t="n"/>
      <c r="F879" s="220" t="n"/>
      <c r="G879" s="221" t="n"/>
    </row>
    <row r="880" ht="15" customHeight="1" s="131">
      <c r="A880" s="220" t="n"/>
      <c r="B880" s="222" t="n"/>
      <c r="C880" s="220" t="n"/>
      <c r="D880" s="179" t="n"/>
      <c r="E880" s="219" t="n"/>
      <c r="F880" s="220" t="n"/>
      <c r="G880" s="221" t="n"/>
    </row>
    <row r="881" ht="15" customHeight="1" s="131">
      <c r="A881" s="220" t="n"/>
      <c r="B881" s="222" t="n"/>
      <c r="C881" s="220" t="n"/>
      <c r="D881" s="179" t="n"/>
      <c r="E881" s="219" t="n"/>
      <c r="F881" s="220" t="n"/>
      <c r="G881" s="221" t="n"/>
    </row>
    <row r="882" ht="15" customHeight="1" s="131">
      <c r="A882" s="220" t="n"/>
      <c r="B882" s="222" t="n"/>
      <c r="C882" s="220" t="n"/>
      <c r="D882" s="179" t="n"/>
      <c r="E882" s="219" t="n"/>
      <c r="F882" s="220" t="n"/>
      <c r="G882" s="221" t="n"/>
    </row>
    <row r="883" ht="15" customHeight="1" s="131">
      <c r="A883" s="220" t="n"/>
      <c r="B883" s="222" t="n"/>
      <c r="C883" s="220" t="n"/>
      <c r="D883" s="179" t="n"/>
      <c r="E883" s="219" t="n"/>
      <c r="F883" s="220" t="n"/>
      <c r="G883" s="221" t="n"/>
    </row>
    <row r="884" ht="15" customHeight="1" s="131">
      <c r="A884" s="220" t="n"/>
      <c r="B884" s="222" t="n"/>
      <c r="C884" s="220" t="n"/>
      <c r="D884" s="179" t="n"/>
      <c r="E884" s="219" t="n"/>
      <c r="F884" s="220" t="n"/>
      <c r="G884" s="221" t="n"/>
    </row>
    <row r="885" ht="15" customHeight="1" s="131">
      <c r="A885" s="220" t="n"/>
      <c r="B885" s="222" t="n"/>
      <c r="C885" s="220" t="n"/>
      <c r="D885" s="179" t="n"/>
      <c r="E885" s="219" t="n"/>
      <c r="F885" s="220" t="n"/>
      <c r="G885" s="221" t="n"/>
    </row>
    <row r="886" ht="15" customHeight="1" s="131">
      <c r="A886" s="220" t="n"/>
      <c r="B886" s="222" t="n"/>
      <c r="C886" s="220" t="n"/>
      <c r="D886" s="179" t="n"/>
      <c r="E886" s="219" t="n"/>
      <c r="F886" s="220" t="n"/>
      <c r="G886" s="221" t="n"/>
    </row>
    <row r="887" ht="15" customHeight="1" s="131">
      <c r="A887" s="220" t="n"/>
      <c r="B887" s="222" t="n"/>
      <c r="C887" s="220" t="n"/>
      <c r="D887" s="179" t="n"/>
      <c r="E887" s="219" t="n"/>
      <c r="F887" s="220" t="n"/>
      <c r="G887" s="221" t="n"/>
    </row>
    <row r="888" ht="15" customHeight="1" s="131">
      <c r="A888" s="220" t="n"/>
      <c r="B888" s="222" t="n"/>
      <c r="C888" s="220" t="n"/>
      <c r="D888" s="179" t="n"/>
      <c r="E888" s="219" t="n"/>
      <c r="F888" s="220" t="n"/>
      <c r="G888" s="221" t="n"/>
    </row>
    <row r="889" ht="15" customHeight="1" s="131">
      <c r="A889" s="220" t="n"/>
      <c r="B889" s="222" t="n"/>
      <c r="C889" s="220" t="n"/>
      <c r="D889" s="179" t="n"/>
      <c r="E889" s="219" t="n"/>
      <c r="F889" s="220" t="n"/>
      <c r="G889" s="221" t="n"/>
    </row>
    <row r="890" ht="15" customHeight="1" s="131">
      <c r="A890" s="220" t="n"/>
      <c r="B890" s="222" t="n"/>
      <c r="C890" s="220" t="n"/>
      <c r="D890" s="179" t="n"/>
      <c r="E890" s="219" t="n"/>
      <c r="F890" s="220" t="n"/>
      <c r="G890" s="221" t="n"/>
    </row>
    <row r="891" ht="15" customHeight="1" s="131">
      <c r="A891" s="220" t="n"/>
      <c r="B891" s="222" t="n"/>
      <c r="C891" s="220" t="n"/>
      <c r="D891" s="179" t="n"/>
      <c r="E891" s="219" t="n"/>
      <c r="F891" s="220" t="n"/>
      <c r="G891" s="221" t="n"/>
    </row>
    <row r="892" ht="15" customHeight="1" s="131">
      <c r="A892" s="220" t="n"/>
      <c r="B892" s="222" t="n"/>
      <c r="C892" s="220" t="n"/>
      <c r="D892" s="179" t="n"/>
      <c r="E892" s="219" t="n"/>
      <c r="F892" s="220" t="n"/>
      <c r="G892" s="221" t="n"/>
    </row>
    <row r="893" ht="15" customHeight="1" s="131">
      <c r="A893" s="220" t="n"/>
      <c r="B893" s="222" t="n"/>
      <c r="C893" s="220" t="n"/>
      <c r="D893" s="179" t="n"/>
      <c r="E893" s="219" t="n"/>
      <c r="F893" s="220" t="n"/>
      <c r="G893" s="221" t="n"/>
    </row>
    <row r="894" ht="15" customHeight="1" s="131">
      <c r="A894" s="220" t="n"/>
      <c r="B894" s="222" t="n"/>
      <c r="C894" s="220" t="n"/>
      <c r="D894" s="179" t="n"/>
      <c r="E894" s="219" t="n"/>
      <c r="F894" s="220" t="n"/>
      <c r="G894" s="221" t="n"/>
    </row>
    <row r="895" ht="15" customHeight="1" s="131">
      <c r="A895" s="220" t="n"/>
      <c r="B895" s="222" t="n"/>
      <c r="C895" s="220" t="n"/>
      <c r="D895" s="179" t="n"/>
      <c r="E895" s="219" t="n"/>
      <c r="F895" s="220" t="n"/>
      <c r="G895" s="221" t="n"/>
    </row>
    <row r="896" ht="15" customHeight="1" s="131">
      <c r="A896" s="220" t="n"/>
      <c r="B896" s="222" t="n"/>
      <c r="C896" s="220" t="n"/>
      <c r="D896" s="179" t="n"/>
      <c r="E896" s="219" t="n"/>
      <c r="F896" s="220" t="n"/>
      <c r="G896" s="221" t="n"/>
    </row>
    <row r="897" ht="15" customHeight="1" s="131">
      <c r="A897" s="220" t="n"/>
      <c r="B897" s="222" t="n"/>
      <c r="C897" s="220" t="n"/>
      <c r="D897" s="179" t="n"/>
      <c r="E897" s="219" t="n"/>
      <c r="F897" s="220" t="n"/>
      <c r="G897" s="221" t="n"/>
    </row>
    <row r="898" ht="15" customHeight="1" s="131">
      <c r="A898" s="220" t="n"/>
      <c r="B898" s="222" t="n"/>
      <c r="C898" s="220" t="n"/>
      <c r="D898" s="179" t="n"/>
      <c r="E898" s="219" t="n"/>
      <c r="F898" s="220" t="n"/>
      <c r="G898" s="221" t="n"/>
    </row>
    <row r="899" ht="15" customHeight="1" s="131">
      <c r="A899" s="220" t="n"/>
      <c r="B899" s="222" t="n"/>
      <c r="C899" s="220" t="n"/>
      <c r="D899" s="179" t="n"/>
      <c r="E899" s="219" t="n"/>
      <c r="F899" s="220" t="n"/>
      <c r="G899" s="221" t="n"/>
    </row>
    <row r="900" ht="15" customHeight="1" s="131">
      <c r="A900" s="220" t="n"/>
      <c r="B900" s="222" t="n"/>
      <c r="C900" s="220" t="n"/>
      <c r="D900" s="179" t="n"/>
      <c r="E900" s="219" t="n"/>
      <c r="F900" s="220" t="n"/>
      <c r="G900" s="221" t="n"/>
    </row>
    <row r="901" ht="15" customHeight="1" s="131">
      <c r="A901" s="220" t="n"/>
      <c r="B901" s="222" t="n"/>
      <c r="C901" s="220" t="n"/>
      <c r="D901" s="179" t="n"/>
      <c r="E901" s="219" t="n"/>
      <c r="F901" s="220" t="n"/>
      <c r="G901" s="221" t="n"/>
    </row>
    <row r="902" ht="15" customHeight="1" s="131">
      <c r="A902" s="220" t="n"/>
      <c r="B902" s="222" t="n"/>
      <c r="C902" s="220" t="n"/>
      <c r="D902" s="179" t="n"/>
      <c r="E902" s="219" t="n"/>
      <c r="F902" s="220" t="n"/>
      <c r="G902" s="221" t="n"/>
    </row>
    <row r="903" ht="15" customHeight="1" s="131">
      <c r="A903" s="220" t="n"/>
      <c r="B903" s="222" t="n"/>
      <c r="C903" s="220" t="n"/>
      <c r="D903" s="179" t="n"/>
      <c r="E903" s="219" t="n"/>
      <c r="F903" s="220" t="n"/>
      <c r="G903" s="221" t="n"/>
    </row>
    <row r="904" ht="15" customHeight="1" s="131">
      <c r="A904" s="220" t="n"/>
      <c r="B904" s="222" t="n"/>
      <c r="C904" s="220" t="n"/>
      <c r="D904" s="179" t="n"/>
      <c r="E904" s="219" t="n"/>
      <c r="F904" s="220" t="n"/>
      <c r="G904" s="221" t="n"/>
    </row>
    <row r="905" ht="15" customHeight="1" s="131">
      <c r="A905" s="220" t="n"/>
      <c r="B905" s="222" t="n"/>
      <c r="C905" s="220" t="n"/>
      <c r="D905" s="179" t="n"/>
      <c r="E905" s="219" t="n"/>
      <c r="F905" s="220" t="n"/>
      <c r="G905" s="221" t="n"/>
    </row>
    <row r="906" ht="15" customHeight="1" s="131">
      <c r="A906" s="220" t="n"/>
      <c r="B906" s="222" t="n"/>
      <c r="C906" s="220" t="n"/>
      <c r="D906" s="179" t="n"/>
      <c r="E906" s="219" t="n"/>
      <c r="F906" s="220" t="n"/>
      <c r="G906" s="221" t="n"/>
    </row>
    <row r="907" ht="15" customHeight="1" s="131">
      <c r="A907" s="220" t="n"/>
      <c r="B907" s="222" t="n"/>
      <c r="C907" s="220" t="n"/>
      <c r="D907" s="179" t="n"/>
      <c r="E907" s="219" t="n"/>
      <c r="F907" s="220" t="n"/>
      <c r="G907" s="221" t="n"/>
    </row>
    <row r="908" ht="15" customHeight="1" s="131">
      <c r="A908" s="220" t="n"/>
      <c r="B908" s="222" t="n"/>
      <c r="C908" s="220" t="n"/>
      <c r="D908" s="179" t="n"/>
      <c r="E908" s="219" t="n"/>
      <c r="F908" s="220" t="n"/>
      <c r="G908" s="221" t="n"/>
    </row>
    <row r="909" ht="15" customHeight="1" s="131">
      <c r="A909" s="220" t="n"/>
      <c r="B909" s="222" t="n"/>
      <c r="C909" s="220" t="n"/>
      <c r="D909" s="179" t="n"/>
      <c r="E909" s="219" t="n"/>
      <c r="F909" s="220" t="n"/>
      <c r="G909" s="221" t="n"/>
    </row>
    <row r="910" ht="15" customHeight="1" s="131">
      <c r="A910" s="220" t="n"/>
      <c r="B910" s="222" t="n"/>
      <c r="C910" s="220" t="n"/>
      <c r="D910" s="179" t="n"/>
      <c r="E910" s="219" t="n"/>
      <c r="F910" s="220" t="n"/>
      <c r="G910" s="221" t="n"/>
    </row>
    <row r="911" ht="15" customHeight="1" s="131">
      <c r="A911" s="220" t="n"/>
      <c r="B911" s="222" t="n"/>
      <c r="C911" s="220" t="n"/>
      <c r="D911" s="179" t="n"/>
      <c r="E911" s="219" t="n"/>
      <c r="F911" s="220" t="n"/>
      <c r="G911" s="221" t="n"/>
    </row>
    <row r="912" ht="15" customHeight="1" s="131">
      <c r="A912" s="220" t="n"/>
      <c r="B912" s="222" t="n"/>
      <c r="C912" s="220" t="n"/>
      <c r="D912" s="179" t="n"/>
      <c r="E912" s="219" t="n"/>
      <c r="F912" s="220" t="n"/>
      <c r="G912" s="221" t="n"/>
    </row>
    <row r="913" ht="15" customHeight="1" s="131">
      <c r="A913" s="220" t="n"/>
      <c r="B913" s="222" t="n"/>
      <c r="C913" s="220" t="n"/>
      <c r="D913" s="179" t="n"/>
      <c r="E913" s="219" t="n"/>
      <c r="F913" s="220" t="n"/>
      <c r="G913" s="221" t="n"/>
    </row>
    <row r="914" ht="15" customHeight="1" s="131">
      <c r="A914" s="220" t="n"/>
      <c r="B914" s="222" t="n"/>
      <c r="C914" s="220" t="n"/>
      <c r="D914" s="179" t="n"/>
      <c r="E914" s="219" t="n"/>
      <c r="F914" s="220" t="n"/>
      <c r="G914" s="221" t="n"/>
    </row>
    <row r="915" ht="15" customHeight="1" s="131">
      <c r="A915" s="220" t="n"/>
      <c r="B915" s="222" t="n"/>
      <c r="C915" s="220" t="n"/>
      <c r="D915" s="179" t="n"/>
      <c r="E915" s="219" t="n"/>
      <c r="F915" s="220" t="n"/>
      <c r="G915" s="221" t="n"/>
    </row>
    <row r="916" ht="15" customHeight="1" s="131">
      <c r="A916" s="220" t="n"/>
      <c r="B916" s="222" t="n"/>
      <c r="C916" s="220" t="n"/>
      <c r="D916" s="179" t="n"/>
      <c r="E916" s="219" t="n"/>
      <c r="F916" s="220" t="n"/>
      <c r="G916" s="221" t="n"/>
    </row>
    <row r="917" ht="15" customHeight="1" s="131">
      <c r="A917" s="220" t="n"/>
      <c r="B917" s="222" t="n"/>
      <c r="C917" s="220" t="n"/>
      <c r="D917" s="179" t="n"/>
      <c r="E917" s="219" t="n"/>
      <c r="F917" s="220" t="n"/>
      <c r="G917" s="221" t="n"/>
    </row>
    <row r="918" ht="15" customHeight="1" s="131">
      <c r="A918" s="220" t="n"/>
      <c r="B918" s="222" t="n"/>
      <c r="C918" s="220" t="n"/>
      <c r="D918" s="179" t="n"/>
      <c r="E918" s="219" t="n"/>
      <c r="F918" s="220" t="n"/>
      <c r="G918" s="221" t="n"/>
    </row>
    <row r="919" ht="15" customHeight="1" s="131">
      <c r="A919" s="220" t="n"/>
      <c r="B919" s="222" t="n"/>
      <c r="C919" s="220" t="n"/>
      <c r="D919" s="179" t="n"/>
      <c r="E919" s="219" t="n"/>
      <c r="F919" s="220" t="n"/>
      <c r="G919" s="221" t="n"/>
    </row>
    <row r="920" ht="15" customHeight="1" s="131">
      <c r="A920" s="220" t="n"/>
      <c r="B920" s="222" t="n"/>
      <c r="C920" s="220" t="n"/>
      <c r="D920" s="179" t="n"/>
      <c r="E920" s="219" t="n"/>
      <c r="F920" s="220" t="n"/>
      <c r="G920" s="221" t="n"/>
    </row>
    <row r="921" ht="15" customHeight="1" s="131">
      <c r="A921" s="220" t="n"/>
      <c r="B921" s="222" t="n"/>
      <c r="C921" s="220" t="n"/>
      <c r="D921" s="179" t="n"/>
      <c r="E921" s="219" t="n"/>
      <c r="F921" s="220" t="n"/>
      <c r="G921" s="221" t="n"/>
    </row>
    <row r="922" ht="15" customHeight="1" s="131">
      <c r="A922" s="220" t="n"/>
      <c r="B922" s="222" t="n"/>
      <c r="C922" s="220" t="n"/>
      <c r="D922" s="179" t="n"/>
      <c r="E922" s="219" t="n"/>
      <c r="F922" s="220" t="n"/>
      <c r="G922" s="221" t="n"/>
    </row>
    <row r="923" ht="15" customHeight="1" s="131">
      <c r="A923" s="220" t="n"/>
      <c r="B923" s="222" t="n"/>
      <c r="C923" s="220" t="n"/>
      <c r="D923" s="179" t="n"/>
      <c r="E923" s="219" t="n"/>
      <c r="F923" s="220" t="n"/>
      <c r="G923" s="221" t="n"/>
    </row>
    <row r="924" ht="15" customHeight="1" s="131">
      <c r="A924" s="220" t="n"/>
      <c r="B924" s="222" t="n"/>
      <c r="C924" s="220" t="n"/>
      <c r="D924" s="179" t="n"/>
      <c r="E924" s="219" t="n"/>
      <c r="F924" s="220" t="n"/>
      <c r="G924" s="221" t="n"/>
    </row>
    <row r="925" ht="15" customHeight="1" s="131">
      <c r="A925" s="220" t="n"/>
      <c r="B925" s="222" t="n"/>
      <c r="C925" s="220" t="n"/>
      <c r="D925" s="179" t="n"/>
      <c r="E925" s="219" t="n"/>
      <c r="F925" s="220" t="n"/>
      <c r="G925" s="221" t="n"/>
    </row>
    <row r="926" ht="15" customHeight="1" s="131">
      <c r="A926" s="220" t="n"/>
      <c r="B926" s="222" t="n"/>
      <c r="C926" s="220" t="n"/>
      <c r="D926" s="179" t="n"/>
      <c r="E926" s="219" t="n"/>
      <c r="F926" s="220" t="n"/>
      <c r="G926" s="221" t="n"/>
    </row>
    <row r="927" ht="15" customHeight="1" s="131">
      <c r="A927" s="220" t="n"/>
      <c r="B927" s="222" t="n"/>
      <c r="C927" s="220" t="n"/>
      <c r="D927" s="179" t="n"/>
      <c r="E927" s="219" t="n"/>
      <c r="F927" s="220" t="n"/>
      <c r="G927" s="221" t="n"/>
    </row>
    <row r="928" ht="15" customHeight="1" s="131">
      <c r="A928" s="220" t="n"/>
      <c r="B928" s="222" t="n"/>
      <c r="C928" s="220" t="n"/>
      <c r="D928" s="179" t="n"/>
      <c r="E928" s="219" t="n"/>
      <c r="F928" s="220" t="n"/>
      <c r="G928" s="221" t="n"/>
    </row>
    <row r="929" ht="15" customHeight="1" s="131">
      <c r="A929" s="220" t="n"/>
      <c r="B929" s="222" t="n"/>
      <c r="C929" s="220" t="n"/>
      <c r="D929" s="179" t="n"/>
      <c r="E929" s="219" t="n"/>
      <c r="F929" s="220" t="n"/>
      <c r="G929" s="221" t="n"/>
    </row>
    <row r="930" ht="15" customHeight="1" s="131">
      <c r="A930" s="220" t="n"/>
      <c r="B930" s="222" t="n"/>
      <c r="C930" s="220" t="n"/>
      <c r="D930" s="179" t="n"/>
      <c r="E930" s="219" t="n"/>
      <c r="F930" s="220" t="n"/>
      <c r="G930" s="221" t="n"/>
    </row>
    <row r="931" ht="15" customHeight="1" s="131">
      <c r="A931" s="220" t="n"/>
      <c r="B931" s="222" t="n"/>
      <c r="C931" s="220" t="n"/>
      <c r="D931" s="179" t="n"/>
      <c r="E931" s="219" t="n"/>
      <c r="F931" s="220" t="n"/>
      <c r="G931" s="221" t="n"/>
    </row>
    <row r="932" ht="15" customHeight="1" s="131">
      <c r="A932" s="220" t="n"/>
      <c r="B932" s="222" t="n"/>
      <c r="C932" s="220" t="n"/>
      <c r="D932" s="179" t="n"/>
      <c r="E932" s="219" t="n"/>
      <c r="F932" s="220" t="n"/>
      <c r="G932" s="221" t="n"/>
    </row>
    <row r="933" ht="15" customHeight="1" s="131">
      <c r="A933" s="220" t="n"/>
      <c r="B933" s="222" t="n"/>
      <c r="C933" s="220" t="n"/>
      <c r="D933" s="179" t="n"/>
      <c r="E933" s="219" t="n"/>
      <c r="F933" s="220" t="n"/>
      <c r="G933" s="221" t="n"/>
    </row>
    <row r="934" ht="15" customHeight="1" s="131">
      <c r="A934" s="220" t="n"/>
      <c r="B934" s="222" t="n"/>
      <c r="C934" s="220" t="n"/>
      <c r="D934" s="179" t="n"/>
      <c r="E934" s="219" t="n"/>
      <c r="F934" s="220" t="n"/>
      <c r="G934" s="221" t="n"/>
    </row>
    <row r="935" ht="15" customHeight="1" s="131">
      <c r="A935" s="220" t="n"/>
      <c r="B935" s="222" t="n"/>
      <c r="C935" s="220" t="n"/>
      <c r="D935" s="179" t="n"/>
      <c r="E935" s="219" t="n"/>
      <c r="F935" s="220" t="n"/>
      <c r="G935" s="221" t="n"/>
    </row>
    <row r="936" ht="15" customHeight="1" s="131">
      <c r="A936" s="220" t="n"/>
      <c r="B936" s="222" t="n"/>
      <c r="C936" s="220" t="n"/>
      <c r="D936" s="179" t="n"/>
      <c r="E936" s="219" t="n"/>
      <c r="F936" s="220" t="n"/>
      <c r="G936" s="221" t="n"/>
    </row>
    <row r="937" ht="15" customHeight="1" s="131">
      <c r="A937" s="220" t="n"/>
      <c r="B937" s="222" t="n"/>
      <c r="C937" s="220" t="n"/>
      <c r="D937" s="179" t="n"/>
      <c r="E937" s="219" t="n"/>
      <c r="F937" s="220" t="n"/>
      <c r="G937" s="221" t="n"/>
    </row>
    <row r="938" ht="15" customHeight="1" s="131">
      <c r="A938" s="220" t="n"/>
      <c r="B938" s="222" t="n"/>
      <c r="C938" s="220" t="n"/>
      <c r="D938" s="179" t="n"/>
      <c r="E938" s="219" t="n"/>
      <c r="F938" s="220" t="n"/>
      <c r="G938" s="221" t="n"/>
    </row>
    <row r="939" ht="15" customHeight="1" s="131">
      <c r="A939" s="220" t="n"/>
      <c r="B939" s="222" t="n"/>
      <c r="C939" s="220" t="n"/>
      <c r="D939" s="179" t="n"/>
      <c r="E939" s="219" t="n"/>
      <c r="F939" s="220" t="n"/>
      <c r="G939" s="221" t="n"/>
    </row>
    <row r="940" ht="15" customHeight="1" s="131">
      <c r="A940" s="220" t="n"/>
      <c r="B940" s="222" t="n"/>
      <c r="C940" s="220" t="n"/>
      <c r="D940" s="179" t="n"/>
      <c r="E940" s="219" t="n"/>
      <c r="F940" s="220" t="n"/>
      <c r="G940" s="221" t="n"/>
    </row>
    <row r="941" ht="15" customHeight="1" s="131">
      <c r="A941" s="220" t="n"/>
      <c r="B941" s="222" t="n"/>
      <c r="C941" s="220" t="n"/>
      <c r="D941" s="179" t="n"/>
      <c r="E941" s="219" t="n"/>
      <c r="F941" s="220" t="n"/>
      <c r="G941" s="221" t="n"/>
    </row>
    <row r="942" ht="15" customHeight="1" s="131">
      <c r="A942" s="220" t="n"/>
      <c r="B942" s="222" t="n"/>
      <c r="C942" s="220" t="n"/>
      <c r="D942" s="179" t="n"/>
      <c r="E942" s="219" t="n"/>
      <c r="F942" s="220" t="n"/>
      <c r="G942" s="221" t="n"/>
    </row>
    <row r="943" ht="15" customHeight="1" s="131">
      <c r="A943" s="220" t="n"/>
      <c r="B943" s="222" t="n"/>
      <c r="C943" s="220" t="n"/>
      <c r="D943" s="179" t="n"/>
      <c r="E943" s="219" t="n"/>
      <c r="F943" s="220" t="n"/>
      <c r="G943" s="221" t="n"/>
    </row>
    <row r="944" ht="15" customHeight="1" s="131">
      <c r="A944" s="220" t="n"/>
      <c r="B944" s="222" t="n"/>
      <c r="C944" s="220" t="n"/>
      <c r="D944" s="179" t="n"/>
      <c r="E944" s="219" t="n"/>
      <c r="F944" s="220" t="n"/>
      <c r="G944" s="221" t="n"/>
    </row>
    <row r="945" ht="15" customHeight="1" s="131">
      <c r="A945" s="220" t="n"/>
      <c r="B945" s="222" t="n"/>
      <c r="C945" s="220" t="n"/>
      <c r="D945" s="179" t="n"/>
      <c r="E945" s="219" t="n"/>
      <c r="F945" s="220" t="n"/>
      <c r="G945" s="221" t="n"/>
    </row>
    <row r="946" ht="15" customHeight="1" s="131">
      <c r="A946" s="220" t="n"/>
      <c r="B946" s="222" t="n"/>
      <c r="C946" s="220" t="n"/>
      <c r="D946" s="179" t="n"/>
      <c r="E946" s="219" t="n"/>
      <c r="F946" s="220" t="n"/>
      <c r="G946" s="221" t="n"/>
    </row>
    <row r="947" ht="15" customHeight="1" s="131">
      <c r="A947" s="220" t="n"/>
      <c r="B947" s="222" t="n"/>
      <c r="C947" s="220" t="n"/>
      <c r="D947" s="179" t="n"/>
      <c r="E947" s="219" t="n"/>
      <c r="F947" s="220" t="n"/>
      <c r="G947" s="221" t="n"/>
    </row>
    <row r="948" ht="15" customHeight="1" s="131">
      <c r="A948" s="220" t="n"/>
      <c r="B948" s="222" t="n"/>
      <c r="C948" s="220" t="n"/>
      <c r="D948" s="179" t="n"/>
      <c r="E948" s="219" t="n"/>
      <c r="F948" s="220" t="n"/>
      <c r="G948" s="221" t="n"/>
    </row>
    <row r="949" ht="15" customHeight="1" s="131">
      <c r="A949" s="220" t="n"/>
      <c r="B949" s="222" t="n"/>
      <c r="C949" s="220" t="n"/>
      <c r="D949" s="179" t="n"/>
      <c r="E949" s="219" t="n"/>
      <c r="F949" s="220" t="n"/>
      <c r="G949" s="221" t="n"/>
    </row>
    <row r="950" ht="15" customHeight="1" s="131">
      <c r="A950" s="220" t="n"/>
      <c r="B950" s="222" t="n"/>
      <c r="C950" s="220" t="n"/>
      <c r="D950" s="179" t="n"/>
      <c r="E950" s="219" t="n"/>
      <c r="F950" s="220" t="n"/>
      <c r="G950" s="221" t="n"/>
    </row>
    <row r="951" ht="15" customHeight="1" s="131">
      <c r="A951" s="220" t="n"/>
      <c r="B951" s="222" t="n"/>
      <c r="C951" s="220" t="n"/>
      <c r="D951" s="179" t="n"/>
      <c r="E951" s="219" t="n"/>
      <c r="F951" s="220" t="n"/>
      <c r="G951" s="221" t="n"/>
    </row>
    <row r="952" ht="15" customHeight="1" s="131">
      <c r="A952" s="220" t="n"/>
      <c r="B952" s="222" t="n"/>
      <c r="C952" s="220" t="n"/>
      <c r="D952" s="179" t="n"/>
      <c r="E952" s="219" t="n"/>
      <c r="F952" s="220" t="n"/>
      <c r="G952" s="221" t="n"/>
    </row>
    <row r="953" ht="15" customHeight="1" s="131">
      <c r="A953" s="220" t="n"/>
      <c r="B953" s="222" t="n"/>
      <c r="C953" s="220" t="n"/>
      <c r="D953" s="179" t="n"/>
      <c r="E953" s="219" t="n"/>
      <c r="F953" s="220" t="n"/>
      <c r="G953" s="221" t="n"/>
    </row>
    <row r="954" ht="15" customHeight="1" s="131">
      <c r="A954" s="220" t="n"/>
      <c r="B954" s="222" t="n"/>
      <c r="C954" s="220" t="n"/>
      <c r="D954" s="179" t="n"/>
      <c r="E954" s="219" t="n"/>
      <c r="F954" s="220" t="n"/>
      <c r="G954" s="221" t="n"/>
    </row>
    <row r="955" ht="15" customHeight="1" s="131">
      <c r="A955" s="220" t="n"/>
      <c r="B955" s="222" t="n"/>
      <c r="C955" s="220" t="n"/>
      <c r="D955" s="179" t="n"/>
      <c r="E955" s="219" t="n"/>
      <c r="F955" s="220" t="n"/>
      <c r="G955" s="221" t="n"/>
    </row>
    <row r="956" ht="15" customHeight="1" s="131">
      <c r="A956" s="220" t="n"/>
      <c r="B956" s="222" t="n"/>
      <c r="C956" s="220" t="n"/>
      <c r="D956" s="179" t="n"/>
      <c r="E956" s="219" t="n"/>
      <c r="F956" s="220" t="n"/>
      <c r="G956" s="221" t="n"/>
    </row>
    <row r="957" ht="15" customHeight="1" s="131">
      <c r="A957" s="220" t="n"/>
      <c r="B957" s="222" t="n"/>
      <c r="C957" s="220" t="n"/>
      <c r="D957" s="179" t="n"/>
      <c r="E957" s="219" t="n"/>
      <c r="F957" s="220" t="n"/>
      <c r="G957" s="221" t="n"/>
    </row>
    <row r="958" ht="15" customHeight="1" s="131">
      <c r="A958" s="220" t="n"/>
      <c r="B958" s="222" t="n"/>
      <c r="C958" s="220" t="n"/>
      <c r="D958" s="179" t="n"/>
      <c r="E958" s="219" t="n"/>
      <c r="F958" s="220" t="n"/>
      <c r="G958" s="221" t="n"/>
    </row>
    <row r="959" ht="15" customHeight="1" s="131">
      <c r="A959" s="220" t="n"/>
      <c r="B959" s="222" t="n"/>
      <c r="C959" s="220" t="n"/>
      <c r="D959" s="179" t="n"/>
      <c r="E959" s="219" t="n"/>
      <c r="F959" s="220" t="n"/>
      <c r="G959" s="221" t="n"/>
    </row>
    <row r="960" ht="15" customHeight="1" s="131">
      <c r="A960" s="220" t="n"/>
      <c r="B960" s="222" t="n"/>
      <c r="C960" s="220" t="n"/>
      <c r="D960" s="179" t="n"/>
      <c r="E960" s="219" t="n"/>
      <c r="F960" s="220" t="n"/>
      <c r="G960" s="221" t="n"/>
    </row>
    <row r="961" ht="15" customHeight="1" s="131">
      <c r="A961" s="220" t="n"/>
      <c r="B961" s="222" t="n"/>
      <c r="C961" s="220" t="n"/>
      <c r="D961" s="179" t="n"/>
      <c r="E961" s="219" t="n"/>
      <c r="F961" s="220" t="n"/>
      <c r="G961" s="221" t="n"/>
    </row>
    <row r="962" ht="15" customHeight="1" s="131">
      <c r="A962" s="220" t="n"/>
      <c r="B962" s="222" t="n"/>
      <c r="C962" s="220" t="n"/>
      <c r="D962" s="179" t="n"/>
      <c r="E962" s="219" t="n"/>
      <c r="F962" s="220" t="n"/>
      <c r="G962" s="221" t="n"/>
    </row>
    <row r="963" ht="15" customHeight="1" s="131">
      <c r="A963" s="220" t="n"/>
      <c r="B963" s="222" t="n"/>
      <c r="C963" s="220" t="n"/>
      <c r="D963" s="179" t="n"/>
      <c r="E963" s="219" t="n"/>
      <c r="F963" s="220" t="n"/>
      <c r="G963" s="221" t="n"/>
    </row>
    <row r="964" ht="15" customHeight="1" s="131">
      <c r="A964" s="220" t="n"/>
      <c r="B964" s="222" t="n"/>
      <c r="C964" s="220" t="n"/>
      <c r="D964" s="179" t="n"/>
      <c r="E964" s="219" t="n"/>
      <c r="F964" s="220" t="n"/>
      <c r="G964" s="221" t="n"/>
    </row>
    <row r="965" ht="15" customHeight="1" s="131">
      <c r="A965" s="220" t="n"/>
      <c r="B965" s="222" t="n"/>
      <c r="C965" s="220" t="n"/>
      <c r="D965" s="179" t="n"/>
      <c r="E965" s="219" t="n"/>
      <c r="F965" s="220" t="n"/>
      <c r="G965" s="221" t="n"/>
    </row>
    <row r="966" ht="15" customHeight="1" s="131">
      <c r="A966" s="220" t="n"/>
      <c r="B966" s="222" t="n"/>
      <c r="C966" s="220" t="n"/>
      <c r="D966" s="179" t="n"/>
      <c r="E966" s="219" t="n"/>
      <c r="F966" s="220" t="n"/>
      <c r="G966" s="221" t="n"/>
    </row>
    <row r="967" ht="15" customHeight="1" s="131">
      <c r="A967" s="220" t="n"/>
      <c r="B967" s="222" t="n"/>
      <c r="C967" s="220" t="n"/>
      <c r="D967" s="179" t="n"/>
      <c r="E967" s="219" t="n"/>
      <c r="F967" s="220" t="n"/>
      <c r="G967" s="221" t="n"/>
    </row>
    <row r="968" ht="15" customHeight="1" s="131">
      <c r="A968" s="220" t="n"/>
      <c r="B968" s="222" t="n"/>
      <c r="C968" s="220" t="n"/>
      <c r="D968" s="179" t="n"/>
      <c r="E968" s="219" t="n"/>
      <c r="F968" s="220" t="n"/>
      <c r="G968" s="221" t="n"/>
    </row>
    <row r="969" ht="15" customHeight="1" s="131">
      <c r="A969" s="220" t="n"/>
      <c r="B969" s="222" t="n"/>
      <c r="C969" s="220" t="n"/>
      <c r="D969" s="179" t="n"/>
      <c r="E969" s="219" t="n"/>
      <c r="F969" s="220" t="n"/>
      <c r="G969" s="221" t="n"/>
    </row>
    <row r="970" ht="15" customHeight="1" s="131">
      <c r="A970" s="220" t="n"/>
      <c r="B970" s="222" t="n"/>
      <c r="C970" s="220" t="n"/>
      <c r="D970" s="179" t="n"/>
      <c r="E970" s="219" t="n"/>
      <c r="F970" s="220" t="n"/>
      <c r="G970" s="221" t="n"/>
    </row>
    <row r="971" ht="15" customHeight="1" s="131">
      <c r="A971" s="220" t="n"/>
      <c r="B971" s="222" t="n"/>
      <c r="C971" s="220" t="n"/>
      <c r="D971" s="179" t="n"/>
      <c r="E971" s="219" t="n"/>
      <c r="F971" s="220" t="n"/>
      <c r="G971" s="221" t="n"/>
    </row>
    <row r="972" ht="15" customHeight="1" s="131">
      <c r="A972" s="220" t="n"/>
      <c r="B972" s="222" t="n"/>
      <c r="C972" s="220" t="n"/>
      <c r="D972" s="179" t="n"/>
      <c r="E972" s="219" t="n"/>
      <c r="F972" s="220" t="n"/>
      <c r="G972" s="221" t="n"/>
    </row>
    <row r="973" ht="15" customHeight="1" s="131">
      <c r="A973" s="220" t="n"/>
      <c r="B973" s="222" t="n"/>
      <c r="C973" s="220" t="n"/>
      <c r="D973" s="179" t="n"/>
      <c r="E973" s="219" t="n"/>
      <c r="F973" s="220" t="n"/>
      <c r="G973" s="221" t="n"/>
    </row>
    <row r="974" ht="15" customHeight="1" s="131">
      <c r="A974" s="220" t="n"/>
      <c r="B974" s="222" t="n"/>
      <c r="C974" s="220" t="n"/>
      <c r="D974" s="179" t="n"/>
      <c r="E974" s="219" t="n"/>
      <c r="F974" s="220" t="n"/>
      <c r="G974" s="221" t="n"/>
    </row>
    <row r="975" ht="15" customHeight="1" s="131">
      <c r="A975" s="220" t="n"/>
      <c r="B975" s="222" t="n"/>
      <c r="C975" s="220" t="n"/>
      <c r="D975" s="179" t="n"/>
      <c r="E975" s="219" t="n"/>
      <c r="F975" s="220" t="n"/>
      <c r="G975" s="221" t="n"/>
    </row>
    <row r="976" ht="15" customHeight="1" s="131">
      <c r="A976" s="220" t="n"/>
      <c r="B976" s="222" t="n"/>
      <c r="C976" s="220" t="n"/>
      <c r="D976" s="179" t="n"/>
      <c r="E976" s="219" t="n"/>
      <c r="F976" s="220" t="n"/>
      <c r="G976" s="221" t="n"/>
    </row>
    <row r="977" ht="15" customHeight="1" s="131">
      <c r="A977" s="220" t="n"/>
      <c r="B977" s="222" t="n"/>
      <c r="C977" s="220" t="n"/>
      <c r="D977" s="179" t="n"/>
      <c r="E977" s="219" t="n"/>
      <c r="F977" s="220" t="n"/>
      <c r="G977" s="221" t="n"/>
    </row>
    <row r="978" ht="15" customHeight="1" s="131">
      <c r="A978" s="220" t="n"/>
      <c r="B978" s="222" t="n"/>
      <c r="C978" s="220" t="n"/>
      <c r="D978" s="179" t="n"/>
      <c r="E978" s="219" t="n"/>
      <c r="F978" s="220" t="n"/>
      <c r="G978" s="221" t="n"/>
    </row>
    <row r="979" ht="15" customHeight="1" s="131">
      <c r="A979" s="220" t="n"/>
      <c r="B979" s="222" t="n"/>
      <c r="C979" s="220" t="n"/>
      <c r="D979" s="179" t="n"/>
      <c r="E979" s="219" t="n"/>
      <c r="F979" s="220" t="n"/>
      <c r="G979" s="221" t="n"/>
    </row>
    <row r="980" ht="15" customHeight="1" s="131">
      <c r="A980" s="220" t="n"/>
      <c r="B980" s="222" t="n"/>
      <c r="C980" s="220" t="n"/>
      <c r="D980" s="179" t="n"/>
      <c r="E980" s="219" t="n"/>
      <c r="F980" s="220" t="n"/>
      <c r="G980" s="221" t="n"/>
    </row>
    <row r="981" ht="15" customHeight="1" s="131">
      <c r="A981" s="220" t="n"/>
      <c r="B981" s="222" t="n"/>
      <c r="C981" s="220" t="n"/>
      <c r="D981" s="179" t="n"/>
      <c r="E981" s="219" t="n"/>
      <c r="F981" s="220" t="n"/>
      <c r="G981" s="221" t="n"/>
    </row>
    <row r="982" ht="15" customHeight="1" s="131">
      <c r="A982" s="220" t="n"/>
      <c r="B982" s="222" t="n"/>
      <c r="C982" s="220" t="n"/>
      <c r="D982" s="179" t="n"/>
      <c r="E982" s="219" t="n"/>
      <c r="F982" s="220" t="n"/>
      <c r="G982" s="221" t="n"/>
    </row>
    <row r="983" ht="15" customHeight="1" s="131">
      <c r="A983" s="220" t="n"/>
      <c r="B983" s="222" t="n"/>
      <c r="C983" s="220" t="n"/>
      <c r="D983" s="179" t="n"/>
      <c r="E983" s="219" t="n"/>
      <c r="F983" s="220" t="n"/>
      <c r="G983" s="221" t="n"/>
    </row>
    <row r="984" ht="15" customHeight="1" s="131">
      <c r="A984" s="220" t="n"/>
      <c r="B984" s="222" t="n"/>
      <c r="C984" s="220" t="n"/>
      <c r="D984" s="179" t="n"/>
      <c r="E984" s="219" t="n"/>
      <c r="F984" s="220" t="n"/>
      <c r="G984" s="221" t="n"/>
    </row>
    <row r="985" ht="15" customHeight="1" s="131">
      <c r="A985" s="220" t="n"/>
      <c r="B985" s="222" t="n"/>
      <c r="C985" s="220" t="n"/>
      <c r="D985" s="179" t="n"/>
      <c r="E985" s="219" t="n"/>
      <c r="F985" s="220" t="n"/>
      <c r="G985" s="221" t="n"/>
    </row>
    <row r="986" ht="15" customHeight="1" s="131">
      <c r="A986" s="220" t="n"/>
      <c r="B986" s="222" t="n"/>
      <c r="C986" s="220" t="n"/>
      <c r="D986" s="179" t="n"/>
      <c r="E986" s="219" t="n"/>
      <c r="F986" s="220" t="n"/>
      <c r="G986" s="221" t="n"/>
    </row>
    <row r="987" ht="15" customHeight="1" s="131">
      <c r="A987" s="220" t="n"/>
      <c r="B987" s="222" t="n"/>
      <c r="C987" s="220" t="n"/>
      <c r="D987" s="179" t="n"/>
      <c r="E987" s="219" t="n"/>
      <c r="F987" s="220" t="n"/>
      <c r="G987" s="221" t="n"/>
    </row>
    <row r="988" ht="15" customHeight="1" s="131">
      <c r="A988" s="220" t="n"/>
      <c r="B988" s="222" t="n"/>
      <c r="C988" s="220" t="n"/>
      <c r="D988" s="179" t="n"/>
      <c r="E988" s="219" t="n"/>
      <c r="F988" s="220" t="n"/>
      <c r="G988" s="221" t="n"/>
    </row>
    <row r="989" ht="15" customHeight="1" s="131">
      <c r="A989" s="220" t="n"/>
      <c r="B989" s="222" t="n"/>
      <c r="C989" s="220" t="n"/>
      <c r="D989" s="179" t="n"/>
      <c r="E989" s="219" t="n"/>
      <c r="F989" s="220" t="n"/>
      <c r="G989" s="221" t="n"/>
    </row>
    <row r="990" ht="15" customHeight="1" s="131">
      <c r="A990" s="220" t="n"/>
      <c r="B990" s="222" t="n"/>
      <c r="C990" s="220" t="n"/>
      <c r="D990" s="179" t="n"/>
      <c r="E990" s="219" t="n"/>
      <c r="F990" s="220" t="n"/>
      <c r="G990" s="221" t="n"/>
    </row>
    <row r="991" ht="15" customHeight="1" s="131">
      <c r="A991" s="220" t="n"/>
      <c r="B991" s="222" t="n"/>
      <c r="C991" s="220" t="n"/>
      <c r="D991" s="179" t="n"/>
      <c r="E991" s="219" t="n"/>
      <c r="F991" s="220" t="n"/>
      <c r="G991" s="221" t="n"/>
    </row>
    <row r="992" ht="15" customHeight="1" s="131">
      <c r="A992" s="220" t="n"/>
      <c r="B992" s="222" t="n"/>
      <c r="C992" s="220" t="n"/>
      <c r="D992" s="179" t="n"/>
      <c r="E992" s="219" t="n"/>
      <c r="F992" s="220" t="n"/>
      <c r="G992" s="221" t="n"/>
    </row>
    <row r="993" ht="15" customHeight="1" s="131">
      <c r="A993" s="220" t="n"/>
      <c r="B993" s="222" t="n"/>
      <c r="C993" s="220" t="n"/>
      <c r="D993" s="179" t="n"/>
      <c r="E993" s="219" t="n"/>
      <c r="F993" s="220" t="n"/>
      <c r="G993" s="221" t="n"/>
    </row>
    <row r="994" ht="15" customHeight="1" s="131">
      <c r="A994" s="220" t="n"/>
      <c r="B994" s="222" t="n"/>
      <c r="C994" s="220" t="n"/>
      <c r="D994" s="179" t="n"/>
      <c r="E994" s="219" t="n"/>
      <c r="F994" s="220" t="n"/>
      <c r="G994" s="221" t="n"/>
    </row>
    <row r="995" ht="15" customHeight="1" s="131">
      <c r="A995" s="220" t="n"/>
      <c r="B995" s="222" t="n"/>
      <c r="C995" s="220" t="n"/>
      <c r="D995" s="179" t="n"/>
      <c r="E995" s="219" t="n"/>
      <c r="F995" s="220" t="n"/>
      <c r="G995" s="221" t="n"/>
    </row>
    <row r="996" ht="15" customHeight="1" s="131">
      <c r="A996" s="220" t="n"/>
      <c r="B996" s="222" t="n"/>
      <c r="C996" s="220" t="n"/>
      <c r="D996" s="179" t="n"/>
      <c r="E996" s="219" t="n"/>
      <c r="F996" s="220" t="n"/>
      <c r="G996" s="221" t="n"/>
    </row>
    <row r="997" ht="15" customHeight="1" s="131">
      <c r="A997" s="220" t="n"/>
      <c r="B997" s="222" t="n"/>
      <c r="C997" s="220" t="n"/>
      <c r="D997" s="179" t="n"/>
      <c r="E997" s="219" t="n"/>
      <c r="F997" s="220" t="n"/>
      <c r="G997" s="221" t="n"/>
    </row>
    <row r="998" ht="15" customHeight="1" s="131">
      <c r="A998" s="220" t="n"/>
      <c r="B998" s="222" t="n"/>
      <c r="C998" s="220" t="n"/>
      <c r="D998" s="179" t="n"/>
      <c r="E998" s="219" t="n"/>
      <c r="F998" s="220" t="n"/>
      <c r="G998" s="221" t="n"/>
    </row>
    <row r="999" ht="15" customHeight="1" s="131">
      <c r="A999" s="220" t="n"/>
      <c r="B999" s="222" t="n"/>
      <c r="C999" s="220" t="n"/>
      <c r="D999" s="179" t="n"/>
      <c r="E999" s="219" t="n"/>
      <c r="F999" s="220" t="n"/>
      <c r="G999" s="221" t="n"/>
    </row>
    <row r="1000" ht="15" customHeight="1" s="131">
      <c r="A1000" s="220" t="n"/>
      <c r="B1000" s="222" t="n"/>
      <c r="C1000" s="220" t="n"/>
      <c r="D1000" s="179" t="n"/>
      <c r="E1000" s="219" t="n"/>
      <c r="F1000" s="220" t="n"/>
      <c r="G1000" s="221" t="n"/>
    </row>
    <row r="1001" ht="15" customHeight="1" s="131">
      <c r="A1001" s="220" t="n"/>
      <c r="B1001" s="222" t="n"/>
      <c r="C1001" s="220" t="n"/>
      <c r="D1001" s="179" t="n"/>
      <c r="E1001" s="219" t="n"/>
      <c r="F1001" s="220" t="n"/>
      <c r="G1001" s="221" t="n"/>
    </row>
    <row r="1002" ht="15" customHeight="1" s="131">
      <c r="A1002" s="220" t="n"/>
      <c r="B1002" s="222" t="n"/>
      <c r="C1002" s="220" t="n"/>
      <c r="D1002" s="179" t="n"/>
      <c r="E1002" s="219" t="n"/>
      <c r="F1002" s="220" t="n"/>
      <c r="G1002" s="221" t="n"/>
    </row>
    <row r="1003" ht="15" customHeight="1" s="131">
      <c r="A1003" s="220" t="n"/>
      <c r="B1003" s="222" t="n"/>
      <c r="C1003" s="220" t="n"/>
      <c r="D1003" s="179" t="n"/>
      <c r="E1003" s="219" t="n"/>
      <c r="F1003" s="220" t="n"/>
      <c r="G1003" s="221" t="n"/>
    </row>
    <row r="1004" ht="15" customHeight="1" s="131">
      <c r="A1004" s="220" t="n"/>
      <c r="B1004" s="222" t="n"/>
      <c r="C1004" s="220" t="n"/>
      <c r="D1004" s="179" t="n"/>
      <c r="E1004" s="219" t="n"/>
      <c r="F1004" s="220" t="n"/>
      <c r="G1004" s="221" t="n"/>
    </row>
    <row r="1005" ht="15" customHeight="1" s="131">
      <c r="A1005" s="220" t="n"/>
      <c r="B1005" s="222" t="n"/>
      <c r="C1005" s="220" t="n"/>
      <c r="D1005" s="179" t="n"/>
      <c r="E1005" s="219" t="n"/>
      <c r="F1005" s="220" t="n"/>
      <c r="G1005" s="221" t="n"/>
    </row>
    <row r="1006" ht="15" customHeight="1" s="131">
      <c r="A1006" s="220" t="n"/>
      <c r="B1006" s="222" t="n"/>
      <c r="C1006" s="220" t="n"/>
      <c r="D1006" s="179" t="n"/>
      <c r="E1006" s="219" t="n"/>
      <c r="F1006" s="220" t="n"/>
      <c r="G1006" s="221" t="n"/>
    </row>
    <row r="1007" ht="15" customHeight="1" s="131">
      <c r="A1007" s="220" t="n"/>
      <c r="B1007" s="222" t="n"/>
      <c r="C1007" s="220" t="n"/>
      <c r="D1007" s="179" t="n"/>
      <c r="E1007" s="219" t="n"/>
      <c r="F1007" s="220" t="n"/>
      <c r="G1007" s="221" t="n"/>
    </row>
    <row r="1008" ht="15" customHeight="1" s="131">
      <c r="A1008" s="220" t="n"/>
      <c r="B1008" s="222" t="n"/>
      <c r="C1008" s="220" t="n"/>
      <c r="D1008" s="179" t="n"/>
      <c r="E1008" s="219" t="n"/>
      <c r="F1008" s="220" t="n"/>
      <c r="G1008" s="221" t="n"/>
    </row>
    <row r="1009" ht="15" customHeight="1" s="131">
      <c r="A1009" s="220" t="n"/>
      <c r="B1009" s="222" t="n"/>
      <c r="C1009" s="220" t="n"/>
      <c r="D1009" s="179" t="n"/>
      <c r="E1009" s="219" t="n"/>
      <c r="F1009" s="220" t="n"/>
      <c r="G1009" s="221" t="n"/>
    </row>
    <row r="1010" ht="15" customHeight="1" s="131">
      <c r="A1010" s="220" t="n"/>
      <c r="B1010" s="222" t="n"/>
      <c r="C1010" s="220" t="n"/>
      <c r="D1010" s="179" t="n"/>
      <c r="E1010" s="219" t="n"/>
      <c r="F1010" s="220" t="n"/>
      <c r="G1010" s="221" t="n"/>
    </row>
    <row r="1011" ht="15" customHeight="1" s="131">
      <c r="A1011" s="220" t="n"/>
      <c r="B1011" s="222" t="n"/>
      <c r="C1011" s="220" t="n"/>
      <c r="D1011" s="179" t="n"/>
      <c r="E1011" s="219" t="n"/>
      <c r="F1011" s="220" t="n"/>
      <c r="G1011" s="221" t="n"/>
    </row>
    <row r="1012" ht="15" customHeight="1" s="131">
      <c r="A1012" s="220" t="n"/>
      <c r="B1012" s="222" t="n"/>
      <c r="C1012" s="220" t="n"/>
      <c r="D1012" s="179" t="n"/>
      <c r="E1012" s="219" t="n"/>
      <c r="F1012" s="220" t="n"/>
      <c r="G1012" s="221" t="n"/>
    </row>
    <row r="1013" ht="15" customHeight="1" s="131">
      <c r="A1013" s="220" t="n"/>
      <c r="B1013" s="222" t="n"/>
      <c r="C1013" s="220" t="n"/>
      <c r="D1013" s="179" t="n"/>
      <c r="E1013" s="219" t="n"/>
      <c r="F1013" s="220" t="n"/>
      <c r="G1013" s="221" t="n"/>
    </row>
    <row r="1014" ht="15" customHeight="1" s="131">
      <c r="A1014" s="220" t="n"/>
      <c r="B1014" s="222" t="n"/>
      <c r="C1014" s="220" t="n"/>
      <c r="D1014" s="179" t="n"/>
      <c r="E1014" s="219" t="n"/>
      <c r="F1014" s="220" t="n"/>
      <c r="G1014" s="221" t="n"/>
    </row>
    <row r="1015" ht="15" customHeight="1" s="131">
      <c r="A1015" s="220" t="n"/>
      <c r="B1015" s="222" t="n"/>
      <c r="C1015" s="220" t="n"/>
      <c r="D1015" s="179" t="n"/>
      <c r="E1015" s="219" t="n"/>
      <c r="F1015" s="220" t="n"/>
      <c r="G1015" s="221" t="n"/>
    </row>
    <row r="1016" ht="15" customHeight="1" s="131">
      <c r="A1016" s="220" t="n"/>
      <c r="B1016" s="222" t="n"/>
      <c r="C1016" s="220" t="n"/>
      <c r="D1016" s="179" t="n"/>
      <c r="E1016" s="219" t="n"/>
      <c r="F1016" s="220" t="n"/>
      <c r="G1016" s="221" t="n"/>
    </row>
    <row r="1017" ht="15" customHeight="1" s="131">
      <c r="A1017" s="220" t="n"/>
      <c r="B1017" s="222" t="n"/>
      <c r="C1017" s="220" t="n"/>
      <c r="D1017" s="179" t="n"/>
      <c r="E1017" s="219" t="n"/>
      <c r="F1017" s="220" t="n"/>
      <c r="G1017" s="221" t="n"/>
    </row>
    <row r="1018" ht="15" customHeight="1" s="131">
      <c r="A1018" s="220" t="n"/>
      <c r="B1018" s="222" t="n"/>
      <c r="C1018" s="220" t="n"/>
      <c r="D1018" s="179" t="n"/>
      <c r="E1018" s="219" t="n"/>
      <c r="F1018" s="220" t="n"/>
      <c r="G1018" s="221" t="n"/>
    </row>
    <row r="1019" ht="15" customHeight="1" s="131">
      <c r="A1019" s="220" t="n"/>
      <c r="B1019" s="222" t="n"/>
      <c r="C1019" s="220" t="n"/>
      <c r="D1019" s="179" t="n"/>
      <c r="E1019" s="219" t="n"/>
      <c r="F1019" s="220" t="n"/>
      <c r="G1019" s="221" t="n"/>
    </row>
    <row r="1020" ht="15" customHeight="1" s="131">
      <c r="A1020" s="220" t="n"/>
      <c r="B1020" s="222" t="n"/>
      <c r="C1020" s="220" t="n"/>
      <c r="D1020" s="179" t="n"/>
      <c r="E1020" s="219" t="n"/>
      <c r="F1020" s="220" t="n"/>
      <c r="G1020" s="221" t="n"/>
    </row>
    <row r="1021" ht="15" customHeight="1" s="131">
      <c r="A1021" s="220" t="n"/>
      <c r="B1021" s="222" t="n"/>
      <c r="C1021" s="220" t="n"/>
      <c r="D1021" s="179" t="n"/>
      <c r="E1021" s="219" t="n"/>
      <c r="F1021" s="220" t="n"/>
      <c r="G1021" s="221" t="n"/>
    </row>
    <row r="1022" ht="15" customHeight="1" s="131">
      <c r="A1022" s="220" t="n"/>
      <c r="B1022" s="222" t="n"/>
      <c r="C1022" s="220" t="n"/>
      <c r="D1022" s="179" t="n"/>
      <c r="E1022" s="219" t="n"/>
      <c r="F1022" s="220" t="n"/>
      <c r="G1022" s="221" t="n"/>
    </row>
    <row r="1023" ht="15" customHeight="1" s="131">
      <c r="A1023" s="220" t="n"/>
      <c r="B1023" s="222" t="n"/>
      <c r="C1023" s="220" t="n"/>
      <c r="D1023" s="179" t="n"/>
      <c r="E1023" s="219" t="n"/>
      <c r="F1023" s="220" t="n"/>
      <c r="G1023" s="221" t="n"/>
    </row>
    <row r="1024" ht="15" customHeight="1" s="131">
      <c r="A1024" s="220" t="n"/>
      <c r="B1024" s="222" t="n"/>
      <c r="C1024" s="220" t="n"/>
      <c r="D1024" s="179" t="n"/>
      <c r="E1024" s="219" t="n"/>
      <c r="F1024" s="220" t="n"/>
      <c r="G1024" s="221" t="n"/>
    </row>
    <row r="1025" ht="15" customHeight="1" s="131">
      <c r="A1025" s="220" t="n"/>
      <c r="B1025" s="222" t="n"/>
      <c r="C1025" s="220" t="n"/>
      <c r="D1025" s="179" t="n"/>
      <c r="E1025" s="219" t="n"/>
      <c r="F1025" s="220" t="n"/>
      <c r="G1025" s="221" t="n"/>
    </row>
    <row r="1026" ht="15" customHeight="1" s="131">
      <c r="A1026" s="220" t="n"/>
      <c r="B1026" s="222" t="n"/>
      <c r="C1026" s="220" t="n"/>
      <c r="D1026" s="179" t="n"/>
      <c r="E1026" s="219" t="n"/>
      <c r="F1026" s="220" t="n"/>
      <c r="G1026" s="221" t="n"/>
    </row>
    <row r="1027" ht="15" customHeight="1" s="131">
      <c r="A1027" s="220" t="n"/>
      <c r="B1027" s="222" t="n"/>
      <c r="C1027" s="220" t="n"/>
      <c r="D1027" s="179" t="n"/>
      <c r="E1027" s="219" t="n"/>
      <c r="F1027" s="220" t="n"/>
      <c r="G1027" s="221" t="n"/>
    </row>
    <row r="1028" ht="15" customHeight="1" s="131">
      <c r="A1028" s="220" t="n"/>
      <c r="B1028" s="222" t="n"/>
      <c r="C1028" s="220" t="n"/>
      <c r="D1028" s="179" t="n"/>
      <c r="E1028" s="219" t="n"/>
      <c r="F1028" s="220" t="n"/>
      <c r="G1028" s="221" t="n"/>
    </row>
    <row r="1029" ht="15" customHeight="1" s="131">
      <c r="A1029" s="220" t="n"/>
      <c r="B1029" s="222" t="n"/>
      <c r="C1029" s="220" t="n"/>
      <c r="D1029" s="179" t="n"/>
      <c r="E1029" s="219" t="n"/>
      <c r="F1029" s="220" t="n"/>
      <c r="G1029" s="221" t="n"/>
    </row>
    <row r="1030" ht="15" customHeight="1" s="131">
      <c r="A1030" s="220" t="n"/>
      <c r="B1030" s="222" t="n"/>
      <c r="C1030" s="220" t="n"/>
      <c r="D1030" s="179" t="n"/>
      <c r="E1030" s="219" t="n"/>
      <c r="F1030" s="220" t="n"/>
      <c r="G1030" s="221" t="n"/>
    </row>
    <row r="1031" ht="15" customHeight="1" s="131">
      <c r="A1031" s="220" t="n"/>
      <c r="B1031" s="222" t="n"/>
      <c r="C1031" s="220" t="n"/>
      <c r="D1031" s="179" t="n"/>
      <c r="E1031" s="219" t="n"/>
      <c r="F1031" s="220" t="n"/>
      <c r="G1031" s="221" t="n"/>
    </row>
    <row r="1032" ht="15" customHeight="1" s="131">
      <c r="A1032" s="220" t="n"/>
      <c r="B1032" s="222" t="n"/>
      <c r="C1032" s="220" t="n"/>
      <c r="D1032" s="179" t="n"/>
      <c r="E1032" s="219" t="n"/>
      <c r="F1032" s="220" t="n"/>
      <c r="G1032" s="221" t="n"/>
    </row>
    <row r="1033" ht="15" customHeight="1" s="131">
      <c r="A1033" s="220" t="n"/>
      <c r="B1033" s="222" t="n"/>
      <c r="C1033" s="220" t="n"/>
      <c r="D1033" s="179" t="n"/>
      <c r="E1033" s="219" t="n"/>
      <c r="F1033" s="220" t="n"/>
      <c r="G1033" s="221" t="n"/>
    </row>
    <row r="1034" ht="15" customHeight="1" s="131">
      <c r="A1034" s="220" t="n"/>
      <c r="B1034" s="222" t="n"/>
      <c r="C1034" s="220" t="n"/>
      <c r="D1034" s="179" t="n"/>
      <c r="E1034" s="219" t="n"/>
      <c r="F1034" s="220" t="n"/>
      <c r="G1034" s="221" t="n"/>
    </row>
    <row r="1035" ht="15" customHeight="1" s="131">
      <c r="A1035" s="220" t="n"/>
      <c r="B1035" s="222" t="n"/>
      <c r="C1035" s="220" t="n"/>
      <c r="D1035" s="179" t="n"/>
      <c r="E1035" s="219" t="n"/>
      <c r="F1035" s="220" t="n"/>
      <c r="G1035" s="221" t="n"/>
    </row>
    <row r="1036" ht="15" customHeight="1" s="131">
      <c r="A1036" s="220" t="n"/>
      <c r="B1036" s="222" t="n"/>
      <c r="C1036" s="220" t="n"/>
      <c r="D1036" s="179" t="n"/>
      <c r="E1036" s="219" t="n"/>
      <c r="F1036" s="220" t="n"/>
      <c r="G1036" s="221" t="n"/>
    </row>
    <row r="1037" ht="15" customHeight="1" s="131">
      <c r="A1037" s="220" t="n"/>
      <c r="B1037" s="222" t="n"/>
      <c r="C1037" s="220" t="n"/>
      <c r="D1037" s="179" t="n"/>
      <c r="E1037" s="219" t="n"/>
      <c r="F1037" s="220" t="n"/>
      <c r="G1037" s="221" t="n"/>
    </row>
    <row r="1038" ht="15" customHeight="1" s="131">
      <c r="A1038" s="220" t="n"/>
      <c r="B1038" s="222" t="n"/>
      <c r="C1038" s="220" t="n"/>
      <c r="D1038" s="179" t="n"/>
      <c r="E1038" s="219" t="n"/>
      <c r="F1038" s="220" t="n"/>
      <c r="G1038" s="221" t="n"/>
    </row>
    <row r="1039" ht="15" customHeight="1" s="131">
      <c r="A1039" s="220" t="n"/>
      <c r="B1039" s="222" t="n"/>
      <c r="C1039" s="220" t="n"/>
      <c r="D1039" s="179" t="n"/>
      <c r="E1039" s="219" t="n"/>
      <c r="F1039" s="220" t="n"/>
      <c r="G1039" s="221" t="n"/>
    </row>
    <row r="1040" ht="15" customHeight="1" s="131">
      <c r="A1040" s="220" t="n"/>
      <c r="B1040" s="222" t="n"/>
      <c r="C1040" s="220" t="n"/>
      <c r="D1040" s="179" t="n"/>
      <c r="E1040" s="219" t="n"/>
      <c r="F1040" s="220" t="n"/>
      <c r="G1040" s="221" t="n"/>
    </row>
    <row r="1041" ht="15" customHeight="1" s="131">
      <c r="A1041" s="220" t="n"/>
      <c r="B1041" s="222" t="n"/>
      <c r="C1041" s="220" t="n"/>
      <c r="D1041" s="179" t="n"/>
      <c r="E1041" s="219" t="n"/>
      <c r="F1041" s="220" t="n"/>
      <c r="G1041" s="221" t="n"/>
    </row>
    <row r="1042" ht="15" customHeight="1" s="131">
      <c r="A1042" s="220" t="n"/>
      <c r="B1042" s="222" t="n"/>
      <c r="C1042" s="220" t="n"/>
      <c r="D1042" s="179" t="n"/>
      <c r="E1042" s="219" t="n"/>
      <c r="F1042" s="220" t="n"/>
      <c r="G1042" s="221" t="n"/>
    </row>
    <row r="1043" ht="15" customHeight="1" s="131">
      <c r="A1043" s="220" t="n"/>
      <c r="B1043" s="222" t="n"/>
      <c r="C1043" s="220" t="n"/>
      <c r="D1043" s="179" t="n"/>
      <c r="E1043" s="219" t="n"/>
      <c r="F1043" s="220" t="n"/>
      <c r="G1043" s="221" t="n"/>
    </row>
    <row r="1044" ht="15" customHeight="1" s="131">
      <c r="A1044" s="220" t="n"/>
      <c r="B1044" s="222" t="n"/>
      <c r="C1044" s="220" t="n"/>
      <c r="D1044" s="179" t="n"/>
      <c r="E1044" s="219" t="n"/>
      <c r="F1044" s="220" t="n"/>
      <c r="G1044" s="221" t="n"/>
    </row>
    <row r="1045" ht="15" customHeight="1" s="131">
      <c r="A1045" s="220" t="n"/>
      <c r="B1045" s="222" t="n"/>
      <c r="C1045" s="220" t="n"/>
      <c r="D1045" s="179" t="n"/>
      <c r="E1045" s="219" t="n"/>
      <c r="F1045" s="220" t="n"/>
      <c r="G1045" s="221" t="n"/>
    </row>
    <row r="1046" ht="15" customHeight="1" s="131">
      <c r="A1046" s="220" t="n"/>
      <c r="B1046" s="222" t="n"/>
      <c r="C1046" s="220" t="n"/>
      <c r="D1046" s="179" t="n"/>
      <c r="E1046" s="219" t="n"/>
      <c r="F1046" s="220" t="n"/>
      <c r="G1046" s="221" t="n"/>
    </row>
    <row r="1047" ht="15" customHeight="1" s="131">
      <c r="A1047" s="220" t="n"/>
      <c r="B1047" s="222" t="n"/>
      <c r="C1047" s="220" t="n"/>
      <c r="D1047" s="179" t="n"/>
      <c r="E1047" s="219" t="n"/>
      <c r="F1047" s="220" t="n"/>
      <c r="G1047" s="221" t="n"/>
    </row>
    <row r="1048" ht="15" customHeight="1" s="131">
      <c r="A1048" s="220" t="n"/>
      <c r="B1048" s="222" t="n"/>
      <c r="C1048" s="220" t="n"/>
      <c r="D1048" s="179" t="n"/>
      <c r="E1048" s="219" t="n"/>
      <c r="F1048" s="220" t="n"/>
      <c r="G1048" s="221" t="n"/>
    </row>
    <row r="1049" ht="15" customHeight="1" s="131">
      <c r="A1049" s="220" t="n"/>
      <c r="B1049" s="222" t="n"/>
      <c r="C1049" s="220" t="n"/>
      <c r="D1049" s="179" t="n"/>
      <c r="E1049" s="219" t="n"/>
      <c r="F1049" s="220" t="n"/>
      <c r="G1049" s="221" t="n"/>
    </row>
    <row r="1050" ht="15" customHeight="1" s="131">
      <c r="A1050" s="220" t="n"/>
      <c r="B1050" s="222" t="n"/>
      <c r="C1050" s="220" t="n"/>
      <c r="D1050" s="179" t="n"/>
      <c r="E1050" s="219" t="n"/>
      <c r="F1050" s="220" t="n"/>
      <c r="G1050" s="221" t="n"/>
    </row>
    <row r="1051" ht="15" customHeight="1" s="131">
      <c r="A1051" s="220" t="n"/>
      <c r="B1051" s="222" t="n"/>
      <c r="C1051" s="220" t="n"/>
      <c r="D1051" s="179" t="n"/>
      <c r="E1051" s="219" t="n"/>
      <c r="F1051" s="220" t="n"/>
      <c r="G1051" s="221" t="n"/>
    </row>
    <row r="1052" ht="15" customHeight="1" s="131">
      <c r="A1052" s="220" t="n"/>
      <c r="B1052" s="222" t="n"/>
      <c r="C1052" s="220" t="n"/>
      <c r="D1052" s="179" t="n"/>
      <c r="E1052" s="219" t="n"/>
      <c r="F1052" s="220" t="n"/>
      <c r="G1052" s="221" t="n"/>
    </row>
    <row r="1053" ht="15" customHeight="1" s="131">
      <c r="A1053" s="220" t="n"/>
      <c r="B1053" s="222" t="n"/>
      <c r="C1053" s="220" t="n"/>
      <c r="D1053" s="179" t="n"/>
      <c r="E1053" s="219" t="n"/>
      <c r="F1053" s="220" t="n"/>
      <c r="G1053" s="221" t="n"/>
    </row>
    <row r="1054" ht="15" customHeight="1" s="131">
      <c r="A1054" s="220" t="n"/>
      <c r="B1054" s="222" t="n"/>
      <c r="C1054" s="220" t="n"/>
      <c r="D1054" s="179" t="n"/>
      <c r="E1054" s="219" t="n"/>
      <c r="F1054" s="220" t="n"/>
      <c r="G1054" s="221" t="n"/>
    </row>
    <row r="1055" ht="15" customHeight="1" s="131">
      <c r="A1055" s="220" t="n"/>
      <c r="B1055" s="222" t="n"/>
      <c r="C1055" s="220" t="n"/>
      <c r="D1055" s="179" t="n"/>
      <c r="E1055" s="219" t="n"/>
      <c r="F1055" s="220" t="n"/>
      <c r="G1055" s="221" t="n"/>
    </row>
    <row r="1056" ht="15" customHeight="1" s="131">
      <c r="A1056" s="220" t="n"/>
      <c r="B1056" s="222" t="n"/>
      <c r="C1056" s="220" t="n"/>
      <c r="D1056" s="179" t="n"/>
      <c r="E1056" s="219" t="n"/>
      <c r="F1056" s="220" t="n"/>
      <c r="G1056" s="221" t="n"/>
    </row>
    <row r="1057" ht="15" customHeight="1" s="131">
      <c r="A1057" s="220" t="n"/>
      <c r="B1057" s="222" t="n"/>
      <c r="C1057" s="220" t="n"/>
      <c r="D1057" s="179" t="n"/>
      <c r="E1057" s="219" t="n"/>
      <c r="F1057" s="220" t="n"/>
      <c r="G1057" s="221" t="n"/>
    </row>
    <row r="1058" ht="15" customHeight="1" s="131">
      <c r="A1058" s="220" t="n"/>
      <c r="B1058" s="222" t="n"/>
      <c r="C1058" s="220" t="n"/>
      <c r="D1058" s="179" t="n"/>
      <c r="E1058" s="219" t="n"/>
      <c r="F1058" s="220" t="n"/>
      <c r="G1058" s="221" t="n"/>
    </row>
    <row r="1059" ht="15" customHeight="1" s="131">
      <c r="A1059" s="220" t="n"/>
      <c r="B1059" s="222" t="n"/>
      <c r="C1059" s="220" t="n"/>
      <c r="D1059" s="179" t="n"/>
      <c r="E1059" s="219" t="n"/>
      <c r="F1059" s="220" t="n"/>
      <c r="G1059" s="221" t="n"/>
    </row>
    <row r="1060" ht="15" customHeight="1" s="131">
      <c r="A1060" s="220" t="n"/>
      <c r="B1060" s="222" t="n"/>
      <c r="C1060" s="220" t="n"/>
      <c r="D1060" s="179" t="n"/>
      <c r="E1060" s="219" t="n"/>
      <c r="F1060" s="220" t="n"/>
      <c r="G1060" s="221" t="n"/>
    </row>
    <row r="1061" ht="15" customHeight="1" s="131">
      <c r="A1061" s="220" t="n"/>
      <c r="B1061" s="222" t="n"/>
      <c r="C1061" s="220" t="n"/>
      <c r="D1061" s="179" t="n"/>
      <c r="E1061" s="219" t="n"/>
      <c r="F1061" s="220" t="n"/>
      <c r="G1061" s="221" t="n"/>
    </row>
    <row r="1062" ht="15" customHeight="1" s="131">
      <c r="A1062" s="220" t="n"/>
      <c r="B1062" s="222" t="n"/>
      <c r="C1062" s="220" t="n"/>
      <c r="D1062" s="179" t="n"/>
      <c r="E1062" s="219" t="n"/>
      <c r="F1062" s="220" t="n"/>
      <c r="G1062" s="221" t="n"/>
    </row>
    <row r="1063" ht="15" customHeight="1" s="131">
      <c r="A1063" s="220" t="n"/>
      <c r="B1063" s="222" t="n"/>
      <c r="C1063" s="220" t="n"/>
      <c r="D1063" s="179" t="n"/>
      <c r="E1063" s="219" t="n"/>
      <c r="F1063" s="220" t="n"/>
      <c r="G1063" s="221" t="n"/>
    </row>
    <row r="1064" ht="15" customHeight="1" s="131">
      <c r="A1064" s="220" t="n"/>
      <c r="B1064" s="222" t="n"/>
      <c r="C1064" s="220" t="n"/>
      <c r="D1064" s="179" t="n"/>
      <c r="E1064" s="219" t="n"/>
      <c r="F1064" s="220" t="n"/>
      <c r="G1064" s="221" t="n"/>
    </row>
    <row r="1065" ht="15" customHeight="1" s="131">
      <c r="A1065" s="220" t="n"/>
      <c r="B1065" s="222" t="n"/>
      <c r="C1065" s="220" t="n"/>
      <c r="D1065" s="179" t="n"/>
      <c r="E1065" s="219" t="n"/>
      <c r="F1065" s="220" t="n"/>
      <c r="G1065" s="221" t="n"/>
    </row>
    <row r="1066" ht="15" customHeight="1" s="131">
      <c r="A1066" s="220" t="n"/>
      <c r="B1066" s="222" t="n"/>
      <c r="C1066" s="220" t="n"/>
      <c r="D1066" s="179" t="n"/>
      <c r="E1066" s="219" t="n"/>
      <c r="F1066" s="220" t="n"/>
      <c r="G1066" s="221" t="n"/>
    </row>
    <row r="1067" ht="15" customHeight="1" s="131">
      <c r="A1067" s="220" t="n"/>
      <c r="B1067" s="222" t="n"/>
      <c r="C1067" s="220" t="n"/>
      <c r="D1067" s="179" t="n"/>
      <c r="E1067" s="219" t="n"/>
      <c r="F1067" s="220" t="n"/>
      <c r="G1067" s="221" t="n"/>
    </row>
    <row r="1068" ht="15" customHeight="1" s="131">
      <c r="A1068" s="220" t="n"/>
      <c r="B1068" s="222" t="n"/>
      <c r="C1068" s="220" t="n"/>
      <c r="D1068" s="179" t="n"/>
      <c r="E1068" s="219" t="n"/>
      <c r="F1068" s="220" t="n"/>
      <c r="G1068" s="221" t="n"/>
    </row>
    <row r="1069" ht="15" customHeight="1" s="131">
      <c r="A1069" s="220" t="n"/>
      <c r="B1069" s="222" t="n"/>
      <c r="C1069" s="220" t="n"/>
      <c r="D1069" s="179" t="n"/>
      <c r="E1069" s="219" t="n"/>
      <c r="F1069" s="220" t="n"/>
      <c r="G1069" s="221" t="n"/>
    </row>
    <row r="1070" ht="15" customHeight="1" s="131">
      <c r="A1070" s="220" t="n"/>
      <c r="B1070" s="222" t="n"/>
      <c r="C1070" s="220" t="n"/>
      <c r="D1070" s="179" t="n"/>
      <c r="E1070" s="219" t="n"/>
      <c r="F1070" s="220" t="n"/>
      <c r="G1070" s="221" t="n"/>
    </row>
    <row r="1071" ht="15" customHeight="1" s="131">
      <c r="A1071" s="220" t="n"/>
      <c r="B1071" s="222" t="n"/>
      <c r="C1071" s="220" t="n"/>
      <c r="D1071" s="179" t="n"/>
      <c r="E1071" s="219" t="n"/>
      <c r="F1071" s="220" t="n"/>
      <c r="G1071" s="221" t="n"/>
    </row>
    <row r="1072" ht="15" customHeight="1" s="131">
      <c r="A1072" s="220" t="n"/>
      <c r="B1072" s="222" t="n"/>
      <c r="C1072" s="220" t="n"/>
      <c r="D1072" s="179" t="n"/>
      <c r="E1072" s="219" t="n"/>
      <c r="F1072" s="220" t="n"/>
      <c r="G1072" s="221" t="n"/>
    </row>
    <row r="1073" ht="15" customHeight="1" s="131">
      <c r="A1073" s="220" t="n"/>
      <c r="B1073" s="222" t="n"/>
      <c r="C1073" s="220" t="n"/>
      <c r="D1073" s="179" t="n"/>
      <c r="E1073" s="219" t="n"/>
      <c r="F1073" s="220" t="n"/>
      <c r="G1073" s="221" t="n"/>
    </row>
    <row r="1074" ht="15" customHeight="1" s="131">
      <c r="A1074" s="220" t="n"/>
      <c r="B1074" s="222" t="n"/>
      <c r="C1074" s="220" t="n"/>
      <c r="D1074" s="179" t="n"/>
      <c r="E1074" s="219" t="n"/>
      <c r="F1074" s="220" t="n"/>
      <c r="G1074" s="221" t="n"/>
    </row>
    <row r="1075" ht="15" customHeight="1" s="131">
      <c r="A1075" s="220" t="n"/>
      <c r="B1075" s="222" t="n"/>
      <c r="C1075" s="220" t="n"/>
      <c r="D1075" s="179" t="n"/>
      <c r="E1075" s="219" t="n"/>
      <c r="F1075" s="220" t="n"/>
      <c r="G1075" s="221" t="n"/>
    </row>
    <row r="1076" ht="15" customHeight="1" s="131">
      <c r="A1076" s="220" t="n"/>
      <c r="B1076" s="222" t="n"/>
      <c r="C1076" s="220" t="n"/>
      <c r="D1076" s="179" t="n"/>
      <c r="E1076" s="219" t="n"/>
      <c r="F1076" s="220" t="n"/>
      <c r="G1076" s="221" t="n"/>
    </row>
    <row r="1077" ht="15" customHeight="1" s="131">
      <c r="A1077" s="220" t="n"/>
      <c r="B1077" s="222" t="n"/>
      <c r="C1077" s="220" t="n"/>
      <c r="D1077" s="179" t="n"/>
      <c r="E1077" s="219" t="n"/>
      <c r="F1077" s="220" t="n"/>
      <c r="G1077" s="221" t="n"/>
    </row>
    <row r="1078" ht="15" customHeight="1" s="131">
      <c r="A1078" s="220" t="n"/>
      <c r="B1078" s="222" t="n"/>
      <c r="C1078" s="220" t="n"/>
      <c r="D1078" s="179" t="n"/>
      <c r="E1078" s="219" t="n"/>
      <c r="F1078" s="220" t="n"/>
      <c r="G1078" s="221" t="n"/>
    </row>
    <row r="1079" ht="15" customHeight="1" s="131">
      <c r="A1079" s="220" t="n"/>
      <c r="B1079" s="222" t="n"/>
      <c r="C1079" s="220" t="n"/>
      <c r="D1079" s="179" t="n"/>
      <c r="E1079" s="219" t="n"/>
      <c r="F1079" s="220" t="n"/>
      <c r="G1079" s="221" t="n"/>
    </row>
    <row r="1080" ht="15" customHeight="1" s="131">
      <c r="A1080" s="220" t="n"/>
      <c r="B1080" s="222" t="n"/>
      <c r="C1080" s="220" t="n"/>
      <c r="D1080" s="179" t="n"/>
      <c r="E1080" s="219" t="n"/>
      <c r="F1080" s="220" t="n"/>
      <c r="G1080" s="221" t="n"/>
    </row>
    <row r="1081" ht="15" customHeight="1" s="131">
      <c r="A1081" s="220" t="n"/>
      <c r="B1081" s="222" t="n"/>
      <c r="C1081" s="220" t="n"/>
      <c r="D1081" s="179" t="n"/>
      <c r="E1081" s="219" t="n"/>
      <c r="F1081" s="220" t="n"/>
      <c r="G1081" s="221" t="n"/>
    </row>
    <row r="1082" ht="15" customHeight="1" s="131">
      <c r="A1082" s="220" t="n"/>
      <c r="B1082" s="222" t="n"/>
      <c r="C1082" s="220" t="n"/>
      <c r="D1082" s="179" t="n"/>
      <c r="E1082" s="219" t="n"/>
      <c r="F1082" s="220" t="n"/>
      <c r="G1082" s="221" t="n"/>
    </row>
    <row r="1083" ht="15" customHeight="1" s="131">
      <c r="A1083" s="220" t="n"/>
      <c r="B1083" s="222" t="n"/>
      <c r="C1083" s="220" t="n"/>
      <c r="D1083" s="179" t="n"/>
      <c r="E1083" s="219" t="n"/>
      <c r="F1083" s="220" t="n"/>
      <c r="G1083" s="221" t="n"/>
    </row>
    <row r="1084" ht="15" customHeight="1" s="131">
      <c r="A1084" s="220" t="n"/>
      <c r="B1084" s="222" t="n"/>
      <c r="C1084" s="220" t="n"/>
      <c r="D1084" s="179" t="n"/>
      <c r="E1084" s="219" t="n"/>
      <c r="F1084" s="220" t="n"/>
      <c r="G1084" s="221" t="n"/>
    </row>
    <row r="1085" ht="15" customHeight="1" s="131">
      <c r="A1085" s="220" t="n"/>
      <c r="B1085" s="222" t="n"/>
      <c r="C1085" s="220" t="n"/>
      <c r="D1085" s="179" t="n"/>
      <c r="E1085" s="219" t="n"/>
      <c r="F1085" s="220" t="n"/>
      <c r="G1085" s="221" t="n"/>
    </row>
    <row r="1086" ht="15" customHeight="1" s="131">
      <c r="A1086" s="220" t="n"/>
      <c r="B1086" s="222" t="n"/>
      <c r="C1086" s="220" t="n"/>
      <c r="D1086" s="179" t="n"/>
      <c r="E1086" s="219" t="n"/>
      <c r="F1086" s="220" t="n"/>
      <c r="G1086" s="221" t="n"/>
    </row>
    <row r="1087" ht="15" customHeight="1" s="131">
      <c r="A1087" s="220" t="n"/>
      <c r="B1087" s="222" t="n"/>
      <c r="C1087" s="220" t="n"/>
      <c r="D1087" s="179" t="n"/>
      <c r="E1087" s="219" t="n"/>
      <c r="F1087" s="220" t="n"/>
      <c r="G1087" s="221" t="n"/>
    </row>
    <row r="1088" ht="15" customHeight="1" s="131">
      <c r="A1088" s="220" t="n"/>
      <c r="B1088" s="222" t="n"/>
      <c r="C1088" s="220" t="n"/>
      <c r="D1088" s="179" t="n"/>
      <c r="E1088" s="219" t="n"/>
      <c r="F1088" s="220" t="n"/>
      <c r="G1088" s="221" t="n"/>
    </row>
    <row r="1089" ht="15" customHeight="1" s="131">
      <c r="A1089" s="220" t="n"/>
      <c r="B1089" s="222" t="n"/>
      <c r="C1089" s="220" t="n"/>
      <c r="D1089" s="179" t="n"/>
      <c r="E1089" s="219" t="n"/>
      <c r="F1089" s="220" t="n"/>
      <c r="G1089" s="221" t="n"/>
    </row>
    <row r="1090" ht="15" customHeight="1" s="131">
      <c r="A1090" s="220" t="n"/>
      <c r="B1090" s="222" t="n"/>
      <c r="C1090" s="220" t="n"/>
      <c r="D1090" s="179" t="n"/>
      <c r="E1090" s="219" t="n"/>
      <c r="F1090" s="220" t="n"/>
      <c r="G1090" s="221" t="n"/>
    </row>
    <row r="1091" ht="15" customHeight="1" s="131">
      <c r="A1091" s="220" t="n"/>
      <c r="B1091" s="222" t="n"/>
      <c r="C1091" s="220" t="n"/>
      <c r="D1091" s="179" t="n"/>
      <c r="E1091" s="219" t="n"/>
      <c r="F1091" s="220" t="n"/>
      <c r="G1091" s="221" t="n"/>
    </row>
    <row r="1092" ht="15" customHeight="1" s="131">
      <c r="A1092" s="220" t="n"/>
      <c r="B1092" s="222" t="n"/>
      <c r="C1092" s="220" t="n"/>
      <c r="D1092" s="179" t="n"/>
      <c r="E1092" s="219" t="n"/>
      <c r="F1092" s="220" t="n"/>
      <c r="G1092" s="221" t="n"/>
    </row>
    <row r="1093" ht="15" customHeight="1" s="131">
      <c r="A1093" s="220" t="n"/>
      <c r="B1093" s="222" t="n"/>
      <c r="C1093" s="220" t="n"/>
      <c r="D1093" s="179" t="n"/>
      <c r="E1093" s="219" t="n"/>
      <c r="F1093" s="220" t="n"/>
      <c r="G1093" s="221" t="n"/>
    </row>
    <row r="1094" ht="15" customHeight="1" s="131">
      <c r="A1094" s="220" t="n"/>
      <c r="B1094" s="222" t="n"/>
      <c r="C1094" s="220" t="n"/>
      <c r="D1094" s="179" t="n"/>
      <c r="E1094" s="219" t="n"/>
      <c r="F1094" s="220" t="n"/>
      <c r="G1094" s="221" t="n"/>
    </row>
    <row r="1095" ht="15" customHeight="1" s="131">
      <c r="A1095" s="220" t="n"/>
      <c r="B1095" s="222" t="n"/>
      <c r="C1095" s="220" t="n"/>
      <c r="D1095" s="179" t="n"/>
      <c r="E1095" s="219" t="n"/>
      <c r="F1095" s="220" t="n"/>
      <c r="G1095" s="221" t="n"/>
    </row>
    <row r="1096" ht="15" customHeight="1" s="131">
      <c r="A1096" s="220" t="n"/>
      <c r="B1096" s="222" t="n"/>
      <c r="C1096" s="220" t="n"/>
      <c r="D1096" s="179" t="n"/>
      <c r="E1096" s="219" t="n"/>
      <c r="F1096" s="220" t="n"/>
      <c r="G1096" s="221" t="n"/>
    </row>
    <row r="1097" ht="15" customHeight="1" s="131">
      <c r="A1097" s="220" t="n"/>
      <c r="B1097" s="222" t="n"/>
      <c r="C1097" s="220" t="n"/>
      <c r="D1097" s="179" t="n"/>
      <c r="E1097" s="219" t="n"/>
      <c r="F1097" s="220" t="n"/>
      <c r="G1097" s="221" t="n"/>
    </row>
    <row r="1098" ht="15" customHeight="1" s="131">
      <c r="A1098" s="220" t="n"/>
      <c r="B1098" s="222" t="n"/>
      <c r="C1098" s="220" t="n"/>
      <c r="D1098" s="179" t="n"/>
      <c r="E1098" s="219" t="n"/>
      <c r="F1098" s="220" t="n"/>
      <c r="G1098" s="221" t="n"/>
    </row>
    <row r="1099" ht="15" customHeight="1" s="131">
      <c r="A1099" s="220" t="n"/>
      <c r="B1099" s="222" t="n"/>
      <c r="C1099" s="220" t="n"/>
      <c r="D1099" s="179" t="n"/>
      <c r="E1099" s="219" t="n"/>
      <c r="F1099" s="220" t="n"/>
      <c r="G1099" s="221" t="n"/>
    </row>
    <row r="1100" ht="15" customHeight="1" s="131">
      <c r="A1100" s="220" t="n"/>
      <c r="B1100" s="222" t="n"/>
      <c r="C1100" s="220" t="n"/>
      <c r="D1100" s="179" t="n"/>
      <c r="E1100" s="219" t="n"/>
      <c r="F1100" s="220" t="n"/>
      <c r="G1100" s="221" t="n"/>
    </row>
    <row r="1101" ht="15" customHeight="1" s="131">
      <c r="A1101" s="220" t="n"/>
      <c r="B1101" s="222" t="n"/>
      <c r="C1101" s="220" t="n"/>
      <c r="D1101" s="179" t="n"/>
      <c r="E1101" s="219" t="n"/>
      <c r="F1101" s="220" t="n"/>
      <c r="G1101" s="221" t="n"/>
    </row>
    <row r="1102" ht="15" customHeight="1" s="131">
      <c r="A1102" s="220" t="n"/>
      <c r="B1102" s="222" t="n"/>
      <c r="C1102" s="220" t="n"/>
      <c r="D1102" s="179" t="n"/>
      <c r="E1102" s="219" t="n"/>
      <c r="F1102" s="220" t="n"/>
      <c r="G1102" s="221" t="n"/>
    </row>
    <row r="1103" ht="15" customHeight="1" s="131">
      <c r="A1103" s="220" t="n"/>
      <c r="B1103" s="222" t="n"/>
      <c r="C1103" s="220" t="n"/>
      <c r="D1103" s="179" t="n"/>
      <c r="E1103" s="219" t="n"/>
      <c r="F1103" s="220" t="n"/>
      <c r="G1103" s="221" t="n"/>
    </row>
    <row r="1104" ht="15" customHeight="1" s="131">
      <c r="A1104" s="220" t="n"/>
      <c r="B1104" s="222" t="n"/>
      <c r="C1104" s="220" t="n"/>
      <c r="D1104" s="179" t="n"/>
      <c r="E1104" s="219" t="n"/>
      <c r="F1104" s="220" t="n"/>
      <c r="G1104" s="221" t="n"/>
    </row>
    <row r="1105" ht="15" customHeight="1" s="131">
      <c r="A1105" s="220" t="n"/>
      <c r="B1105" s="222" t="n"/>
      <c r="C1105" s="220" t="n"/>
      <c r="D1105" s="179" t="n"/>
      <c r="E1105" s="219" t="n"/>
      <c r="F1105" s="220" t="n"/>
      <c r="G1105" s="221" t="n"/>
    </row>
    <row r="1106" ht="15" customHeight="1" s="131">
      <c r="A1106" s="220" t="n"/>
      <c r="B1106" s="222" t="n"/>
      <c r="C1106" s="220" t="n"/>
      <c r="D1106" s="179" t="n"/>
      <c r="E1106" s="219" t="n"/>
      <c r="F1106" s="220" t="n"/>
      <c r="G1106" s="221" t="n"/>
    </row>
    <row r="1107" ht="15" customHeight="1" s="131">
      <c r="A1107" s="220" t="n"/>
      <c r="B1107" s="222" t="n"/>
      <c r="C1107" s="220" t="n"/>
      <c r="D1107" s="179" t="n"/>
      <c r="E1107" s="219" t="n"/>
      <c r="F1107" s="220" t="n"/>
      <c r="G1107" s="221" t="n"/>
    </row>
    <row r="1108" ht="15" customHeight="1" s="131">
      <c r="A1108" s="220" t="n"/>
      <c r="B1108" s="222" t="n"/>
      <c r="C1108" s="220" t="n"/>
      <c r="D1108" s="179" t="n"/>
      <c r="E1108" s="219" t="n"/>
      <c r="F1108" s="220" t="n"/>
      <c r="G1108" s="221" t="n"/>
    </row>
    <row r="1109" ht="15" customHeight="1" s="131">
      <c r="A1109" s="220" t="n"/>
      <c r="B1109" s="222" t="n"/>
      <c r="C1109" s="220" t="n"/>
      <c r="D1109" s="179" t="n"/>
      <c r="E1109" s="219" t="n"/>
      <c r="F1109" s="220" t="n"/>
      <c r="G1109" s="221" t="n"/>
    </row>
    <row r="1110" ht="15" customHeight="1" s="131">
      <c r="A1110" s="220" t="n"/>
      <c r="B1110" s="222" t="n"/>
      <c r="C1110" s="220" t="n"/>
      <c r="D1110" s="179" t="n"/>
      <c r="E1110" s="219" t="n"/>
      <c r="F1110" s="220" t="n"/>
      <c r="G1110" s="221" t="n"/>
    </row>
    <row r="1111" ht="15" customHeight="1" s="131">
      <c r="A1111" s="220" t="n"/>
      <c r="B1111" s="222" t="n"/>
      <c r="C1111" s="220" t="n"/>
      <c r="D1111" s="179" t="n"/>
      <c r="E1111" s="219" t="n"/>
      <c r="F1111" s="220" t="n"/>
      <c r="G1111" s="221" t="n"/>
    </row>
    <row r="1112" ht="15" customHeight="1" s="131">
      <c r="A1112" s="220" t="n"/>
      <c r="B1112" s="222" t="n"/>
      <c r="C1112" s="220" t="n"/>
      <c r="D1112" s="179" t="n"/>
      <c r="E1112" s="219" t="n"/>
      <c r="F1112" s="220" t="n"/>
      <c r="G1112" s="221" t="n"/>
    </row>
    <row r="1113" ht="15" customHeight="1" s="131">
      <c r="A1113" s="220" t="n"/>
      <c r="B1113" s="222" t="n"/>
      <c r="C1113" s="220" t="n"/>
      <c r="D1113" s="179" t="n"/>
      <c r="E1113" s="219" t="n"/>
      <c r="F1113" s="220" t="n"/>
      <c r="G1113" s="221" t="n"/>
    </row>
    <row r="1114" ht="15" customHeight="1" s="131">
      <c r="A1114" s="220" t="n"/>
      <c r="B1114" s="222" t="n"/>
      <c r="C1114" s="220" t="n"/>
      <c r="D1114" s="179" t="n"/>
      <c r="E1114" s="219" t="n"/>
      <c r="F1114" s="220" t="n"/>
      <c r="G1114" s="221" t="n"/>
    </row>
    <row r="1115" ht="15" customHeight="1" s="131">
      <c r="A1115" s="220" t="n"/>
      <c r="B1115" s="222" t="n"/>
      <c r="C1115" s="220" t="n"/>
      <c r="D1115" s="179" t="n"/>
      <c r="E1115" s="219" t="n"/>
      <c r="F1115" s="220" t="n"/>
      <c r="G1115" s="221" t="n"/>
    </row>
    <row r="1116" ht="15" customHeight="1" s="131">
      <c r="A1116" s="220" t="n"/>
      <c r="B1116" s="222" t="n"/>
      <c r="C1116" s="220" t="n"/>
      <c r="D1116" s="179" t="n"/>
      <c r="E1116" s="219" t="n"/>
      <c r="F1116" s="220" t="n"/>
      <c r="G1116" s="221" t="n"/>
    </row>
    <row r="1117" ht="15" customHeight="1" s="131">
      <c r="A1117" s="220" t="n"/>
      <c r="B1117" s="222" t="n"/>
      <c r="C1117" s="220" t="n"/>
      <c r="D1117" s="179" t="n"/>
      <c r="E1117" s="219" t="n"/>
      <c r="F1117" s="220" t="n"/>
      <c r="G1117" s="221" t="n"/>
    </row>
    <row r="1118" ht="15" customHeight="1" s="131">
      <c r="A1118" s="220" t="n"/>
      <c r="B1118" s="222" t="n"/>
      <c r="C1118" s="220" t="n"/>
      <c r="D1118" s="179" t="n"/>
      <c r="E1118" s="219" t="n"/>
      <c r="F1118" s="220" t="n"/>
      <c r="G1118" s="221" t="n"/>
    </row>
    <row r="1119" ht="15" customHeight="1" s="131">
      <c r="A1119" s="220" t="n"/>
      <c r="B1119" s="222" t="n"/>
      <c r="C1119" s="220" t="n"/>
      <c r="D1119" s="179" t="n"/>
      <c r="E1119" s="219" t="n"/>
      <c r="F1119" s="220" t="n"/>
      <c r="G1119" s="221" t="n"/>
    </row>
    <row r="1120" ht="15" customHeight="1" s="131">
      <c r="A1120" s="220" t="n"/>
      <c r="B1120" s="222" t="n"/>
      <c r="C1120" s="220" t="n"/>
      <c r="D1120" s="179" t="n"/>
      <c r="E1120" s="219" t="n"/>
      <c r="F1120" s="220" t="n"/>
      <c r="G1120" s="221" t="n"/>
    </row>
    <row r="1121" ht="15" customHeight="1" s="131">
      <c r="A1121" s="220" t="n"/>
      <c r="B1121" s="222" t="n"/>
      <c r="C1121" s="220" t="n"/>
      <c r="D1121" s="179" t="n"/>
      <c r="E1121" s="219" t="n"/>
      <c r="F1121" s="220" t="n"/>
      <c r="G1121" s="221" t="n"/>
    </row>
    <row r="1122" ht="15" customHeight="1" s="131">
      <c r="A1122" s="220" t="n"/>
      <c r="B1122" s="222" t="n"/>
      <c r="C1122" s="220" t="n"/>
      <c r="D1122" s="179" t="n"/>
      <c r="E1122" s="219" t="n"/>
      <c r="F1122" s="220" t="n"/>
      <c r="G1122" s="221" t="n"/>
    </row>
    <row r="1123" ht="15" customHeight="1" s="131">
      <c r="A1123" s="220" t="n"/>
      <c r="B1123" s="222" t="n"/>
      <c r="C1123" s="220" t="n"/>
      <c r="D1123" s="179" t="n"/>
      <c r="E1123" s="219" t="n"/>
      <c r="F1123" s="220" t="n"/>
      <c r="G1123" s="221" t="n"/>
    </row>
    <row r="1124" ht="15" customHeight="1" s="131">
      <c r="A1124" s="220" t="n"/>
      <c r="B1124" s="222" t="n"/>
      <c r="C1124" s="220" t="n"/>
      <c r="D1124" s="179" t="n"/>
      <c r="E1124" s="219" t="n"/>
      <c r="F1124" s="220" t="n"/>
      <c r="G1124" s="221" t="n"/>
    </row>
    <row r="1125" ht="15" customHeight="1" s="131">
      <c r="A1125" s="220" t="n"/>
      <c r="B1125" s="222" t="n"/>
      <c r="C1125" s="220" t="n"/>
      <c r="D1125" s="179" t="n"/>
      <c r="E1125" s="219" t="n"/>
      <c r="F1125" s="220" t="n"/>
      <c r="G1125" s="221" t="n"/>
    </row>
    <row r="1126" ht="15" customHeight="1" s="131">
      <c r="A1126" s="220" t="n"/>
      <c r="B1126" s="222" t="n"/>
      <c r="C1126" s="220" t="n"/>
      <c r="D1126" s="179" t="n"/>
      <c r="E1126" s="219" t="n"/>
      <c r="F1126" s="220" t="n"/>
      <c r="G1126" s="221" t="n"/>
    </row>
    <row r="1127" ht="15" customHeight="1" s="131">
      <c r="A1127" s="220" t="n"/>
      <c r="B1127" s="222" t="n"/>
      <c r="C1127" s="220" t="n"/>
      <c r="D1127" s="179" t="n"/>
      <c r="E1127" s="219" t="n"/>
      <c r="F1127" s="220" t="n"/>
      <c r="G1127" s="221" t="n"/>
    </row>
    <row r="1128" ht="15" customHeight="1" s="131">
      <c r="A1128" s="220" t="n"/>
      <c r="B1128" s="222" t="n"/>
      <c r="C1128" s="220" t="n"/>
      <c r="D1128" s="179" t="n"/>
      <c r="E1128" s="219" t="n"/>
      <c r="F1128" s="220" t="n"/>
      <c r="G1128" s="221" t="n"/>
    </row>
    <row r="1129" ht="15" customHeight="1" s="131">
      <c r="A1129" s="220" t="n"/>
      <c r="B1129" s="222" t="n"/>
      <c r="C1129" s="220" t="n"/>
      <c r="D1129" s="179" t="n"/>
      <c r="E1129" s="219" t="n"/>
      <c r="F1129" s="220" t="n"/>
      <c r="G1129" s="221" t="n"/>
    </row>
    <row r="1130" ht="15" customHeight="1" s="131">
      <c r="A1130" s="220" t="n"/>
      <c r="B1130" s="222" t="n"/>
      <c r="C1130" s="220" t="n"/>
      <c r="D1130" s="179" t="n"/>
      <c r="E1130" s="219" t="n"/>
      <c r="F1130" s="220" t="n"/>
      <c r="G1130" s="221" t="n"/>
    </row>
    <row r="1131" ht="15" customHeight="1" s="131">
      <c r="A1131" s="220" t="n"/>
      <c r="B1131" s="222" t="n"/>
      <c r="C1131" s="220" t="n"/>
      <c r="D1131" s="179" t="n"/>
      <c r="E1131" s="219" t="n"/>
      <c r="F1131" s="220" t="n"/>
      <c r="G1131" s="221" t="n"/>
    </row>
    <row r="1132" ht="15" customHeight="1" s="131">
      <c r="A1132" s="220" t="n"/>
      <c r="B1132" s="222" t="n"/>
      <c r="C1132" s="220" t="n"/>
      <c r="D1132" s="179" t="n"/>
      <c r="E1132" s="219" t="n"/>
      <c r="F1132" s="220" t="n"/>
      <c r="G1132" s="221" t="n"/>
    </row>
    <row r="1133" ht="15" customHeight="1" s="131">
      <c r="A1133" s="220" t="n"/>
      <c r="B1133" s="222" t="n"/>
      <c r="C1133" s="220" t="n"/>
      <c r="D1133" s="179" t="n"/>
      <c r="E1133" s="219" t="n"/>
      <c r="F1133" s="220" t="n"/>
      <c r="G1133" s="221" t="n"/>
    </row>
    <row r="1134" ht="15" customHeight="1" s="131">
      <c r="A1134" s="220" t="n"/>
      <c r="B1134" s="222" t="n"/>
      <c r="C1134" s="220" t="n"/>
      <c r="D1134" s="179" t="n"/>
      <c r="E1134" s="219" t="n"/>
      <c r="F1134" s="220" t="n"/>
      <c r="G1134" s="221" t="n"/>
    </row>
    <row r="1135" ht="15" customHeight="1" s="131">
      <c r="A1135" s="220" t="n"/>
      <c r="B1135" s="222" t="n"/>
      <c r="C1135" s="220" t="n"/>
      <c r="D1135" s="179" t="n"/>
      <c r="E1135" s="219" t="n"/>
      <c r="F1135" s="220" t="n"/>
      <c r="G1135" s="221" t="n"/>
    </row>
    <row r="1136" ht="15" customHeight="1" s="131">
      <c r="A1136" s="220" t="n"/>
      <c r="B1136" s="222" t="n"/>
      <c r="C1136" s="220" t="n"/>
      <c r="D1136" s="179" t="n"/>
      <c r="E1136" s="219" t="n"/>
      <c r="F1136" s="220" t="n"/>
      <c r="G1136" s="221" t="n"/>
    </row>
    <row r="1137" ht="15" customHeight="1" s="131">
      <c r="A1137" s="220" t="n"/>
      <c r="B1137" s="222" t="n"/>
      <c r="C1137" s="220" t="n"/>
      <c r="D1137" s="179" t="n"/>
      <c r="E1137" s="219" t="n"/>
      <c r="F1137" s="220" t="n"/>
      <c r="G1137" s="221" t="n"/>
    </row>
    <row r="1138" ht="15" customHeight="1" s="131">
      <c r="A1138" s="220" t="n"/>
      <c r="B1138" s="222" t="n"/>
      <c r="C1138" s="220" t="n"/>
      <c r="D1138" s="179" t="n"/>
      <c r="E1138" s="219" t="n"/>
      <c r="F1138" s="220" t="n"/>
      <c r="G1138" s="221" t="n"/>
    </row>
    <row r="1139" ht="15" customHeight="1" s="131">
      <c r="A1139" s="220" t="n"/>
      <c r="B1139" s="222" t="n"/>
      <c r="C1139" s="220" t="n"/>
      <c r="D1139" s="179" t="n"/>
      <c r="E1139" s="219" t="n"/>
      <c r="F1139" s="220" t="n"/>
      <c r="G1139" s="221" t="n"/>
    </row>
    <row r="1140" ht="15" customHeight="1" s="131">
      <c r="A1140" s="220" t="n"/>
      <c r="B1140" s="222" t="n"/>
      <c r="C1140" s="220" t="n"/>
      <c r="D1140" s="179" t="n"/>
      <c r="E1140" s="219" t="n"/>
      <c r="F1140" s="220" t="n"/>
      <c r="G1140" s="221" t="n"/>
    </row>
    <row r="1141" ht="15" customHeight="1" s="131">
      <c r="A1141" s="220" t="n"/>
      <c r="B1141" s="222" t="n"/>
      <c r="C1141" s="220" t="n"/>
      <c r="D1141" s="179" t="n"/>
      <c r="E1141" s="219" t="n"/>
      <c r="F1141" s="220" t="n"/>
      <c r="G1141" s="221" t="n"/>
    </row>
    <row r="1142" ht="15" customHeight="1" s="131">
      <c r="A1142" s="220" t="n"/>
      <c r="B1142" s="222" t="n"/>
      <c r="C1142" s="220" t="n"/>
      <c r="D1142" s="179" t="n"/>
      <c r="E1142" s="219" t="n"/>
      <c r="F1142" s="220" t="n"/>
      <c r="G1142" s="221" t="n"/>
    </row>
    <row r="1143" ht="15" customHeight="1" s="131">
      <c r="A1143" s="220" t="n"/>
      <c r="B1143" s="222" t="n"/>
      <c r="C1143" s="220" t="n"/>
      <c r="D1143" s="179" t="n"/>
      <c r="E1143" s="219" t="n"/>
      <c r="F1143" s="220" t="n"/>
      <c r="G1143" s="221" t="n"/>
    </row>
    <row r="1144" ht="15" customHeight="1" s="131">
      <c r="A1144" s="220" t="n"/>
      <c r="B1144" s="222" t="n"/>
      <c r="C1144" s="220" t="n"/>
      <c r="D1144" s="179" t="n"/>
      <c r="E1144" s="219" t="n"/>
      <c r="F1144" s="220" t="n"/>
      <c r="G1144" s="221" t="n"/>
    </row>
    <row r="1145" ht="15" customHeight="1" s="131">
      <c r="A1145" s="220" t="n"/>
      <c r="B1145" s="222" t="n"/>
      <c r="C1145" s="220" t="n"/>
      <c r="D1145" s="179" t="n"/>
      <c r="E1145" s="219" t="n"/>
      <c r="F1145" s="220" t="n"/>
      <c r="G1145" s="221" t="n"/>
    </row>
    <row r="1146" ht="15" customHeight="1" s="131">
      <c r="A1146" s="220" t="n"/>
      <c r="B1146" s="222" t="n"/>
      <c r="C1146" s="220" t="n"/>
      <c r="D1146" s="179" t="n"/>
      <c r="E1146" s="219" t="n"/>
      <c r="F1146" s="220" t="n"/>
      <c r="G1146" s="221" t="n"/>
    </row>
    <row r="1147" ht="15" customHeight="1" s="131">
      <c r="A1147" s="220" t="n"/>
      <c r="B1147" s="222" t="n"/>
      <c r="C1147" s="220" t="n"/>
      <c r="D1147" s="179" t="n"/>
      <c r="E1147" s="219" t="n"/>
      <c r="F1147" s="220" t="n"/>
      <c r="G1147" s="221" t="n"/>
    </row>
    <row r="1148" ht="15" customHeight="1" s="131">
      <c r="A1148" s="220" t="n"/>
      <c r="B1148" s="222" t="n"/>
      <c r="C1148" s="220" t="n"/>
      <c r="D1148" s="179" t="n"/>
      <c r="E1148" s="219" t="n"/>
      <c r="F1148" s="220" t="n"/>
      <c r="G1148" s="221" t="n"/>
    </row>
    <row r="1149" ht="15" customHeight="1" s="131">
      <c r="A1149" s="220" t="n"/>
      <c r="B1149" s="222" t="n"/>
      <c r="C1149" s="220" t="n"/>
      <c r="D1149" s="179" t="n"/>
      <c r="E1149" s="219" t="n"/>
      <c r="F1149" s="220" t="n"/>
      <c r="G1149" s="221" t="n"/>
    </row>
    <row r="1150" ht="15" customHeight="1" s="131">
      <c r="A1150" s="220" t="n"/>
      <c r="B1150" s="222" t="n"/>
      <c r="C1150" s="220" t="n"/>
      <c r="D1150" s="179" t="n"/>
      <c r="E1150" s="219" t="n"/>
      <c r="F1150" s="220" t="n"/>
      <c r="G1150" s="221" t="n"/>
    </row>
    <row r="1151" ht="15" customHeight="1" s="131">
      <c r="A1151" s="220" t="n"/>
      <c r="B1151" s="222" t="n"/>
      <c r="C1151" s="220" t="n"/>
      <c r="D1151" s="179" t="n"/>
      <c r="E1151" s="219" t="n"/>
      <c r="F1151" s="220" t="n"/>
      <c r="G1151" s="221" t="n"/>
    </row>
    <row r="1152" ht="15" customHeight="1" s="131">
      <c r="A1152" s="220" t="n"/>
      <c r="B1152" s="222" t="n"/>
      <c r="C1152" s="220" t="n"/>
      <c r="D1152" s="179" t="n"/>
      <c r="E1152" s="219" t="n"/>
      <c r="F1152" s="220" t="n"/>
      <c r="G1152" s="221" t="n"/>
    </row>
    <row r="1153" ht="15" customHeight="1" s="131">
      <c r="A1153" s="220" t="n"/>
      <c r="B1153" s="222" t="n"/>
      <c r="C1153" s="220" t="n"/>
      <c r="D1153" s="179" t="n"/>
      <c r="E1153" s="219" t="n"/>
      <c r="F1153" s="220" t="n"/>
      <c r="G1153" s="221" t="n"/>
    </row>
    <row r="1154" ht="15" customHeight="1" s="131">
      <c r="A1154" s="220" t="n"/>
      <c r="B1154" s="222" t="n"/>
      <c r="C1154" s="220" t="n"/>
      <c r="D1154" s="179" t="n"/>
      <c r="E1154" s="219" t="n"/>
      <c r="F1154" s="220" t="n"/>
      <c r="G1154" s="221" t="n"/>
    </row>
    <row r="1155" ht="15" customHeight="1" s="131">
      <c r="A1155" s="220" t="n"/>
      <c r="B1155" s="222" t="n"/>
      <c r="C1155" s="220" t="n"/>
      <c r="D1155" s="179" t="n"/>
      <c r="E1155" s="219" t="n"/>
      <c r="F1155" s="220" t="n"/>
      <c r="G1155" s="221" t="n"/>
    </row>
    <row r="1156" ht="15" customHeight="1" s="131">
      <c r="A1156" s="220" t="n"/>
      <c r="B1156" s="222" t="n"/>
      <c r="C1156" s="220" t="n"/>
      <c r="D1156" s="179" t="n"/>
      <c r="E1156" s="219" t="n"/>
      <c r="F1156" s="220" t="n"/>
      <c r="G1156" s="221" t="n"/>
    </row>
    <row r="1157" ht="15" customHeight="1" s="131">
      <c r="A1157" s="220" t="n"/>
      <c r="B1157" s="222" t="n"/>
      <c r="C1157" s="220" t="n"/>
      <c r="D1157" s="179" t="n"/>
      <c r="E1157" s="219" t="n"/>
      <c r="F1157" s="220" t="n"/>
      <c r="G1157" s="221" t="n"/>
    </row>
    <row r="1158" ht="15" customHeight="1" s="131">
      <c r="A1158" s="220" t="n"/>
      <c r="B1158" s="222" t="n"/>
      <c r="C1158" s="220" t="n"/>
      <c r="D1158" s="179" t="n"/>
      <c r="E1158" s="219" t="n"/>
      <c r="F1158" s="220" t="n"/>
      <c r="G1158" s="221" t="n"/>
    </row>
    <row r="1159" ht="15" customHeight="1" s="131">
      <c r="A1159" s="220" t="n"/>
      <c r="B1159" s="222" t="n"/>
      <c r="C1159" s="220" t="n"/>
      <c r="D1159" s="179" t="n"/>
      <c r="E1159" s="219" t="n"/>
      <c r="F1159" s="220" t="n"/>
      <c r="G1159" s="221" t="n"/>
    </row>
    <row r="1160" ht="15" customHeight="1" s="131">
      <c r="A1160" s="220" t="n"/>
      <c r="B1160" s="222" t="n"/>
      <c r="C1160" s="220" t="n"/>
      <c r="D1160" s="179" t="n"/>
      <c r="E1160" s="219" t="n"/>
      <c r="F1160" s="220" t="n"/>
      <c r="G1160" s="221" t="n"/>
    </row>
    <row r="1161" ht="15" customHeight="1" s="131">
      <c r="A1161" s="220" t="n"/>
      <c r="B1161" s="222" t="n"/>
      <c r="C1161" s="220" t="n"/>
      <c r="D1161" s="179" t="n"/>
      <c r="E1161" s="219" t="n"/>
      <c r="F1161" s="220" t="n"/>
      <c r="G1161" s="221" t="n"/>
    </row>
    <row r="1162" ht="15" customHeight="1" s="131">
      <c r="A1162" s="220" t="n"/>
      <c r="B1162" s="222" t="n"/>
      <c r="C1162" s="220" t="n"/>
      <c r="D1162" s="179" t="n"/>
      <c r="E1162" s="219" t="n"/>
      <c r="F1162" s="220" t="n"/>
      <c r="G1162" s="221" t="n"/>
    </row>
    <row r="1163" ht="15" customHeight="1" s="131">
      <c r="A1163" s="220" t="n"/>
      <c r="B1163" s="222" t="n"/>
      <c r="C1163" s="220" t="n"/>
      <c r="D1163" s="179" t="n"/>
      <c r="E1163" s="219" t="n"/>
      <c r="F1163" s="220" t="n"/>
      <c r="G1163" s="221" t="n"/>
    </row>
    <row r="1164" ht="15" customHeight="1" s="131">
      <c r="A1164" s="220" t="n"/>
      <c r="B1164" s="222" t="n"/>
      <c r="C1164" s="220" t="n"/>
      <c r="D1164" s="179" t="n"/>
      <c r="E1164" s="219" t="n"/>
      <c r="F1164" s="220" t="n"/>
      <c r="G1164" s="221" t="n"/>
    </row>
    <row r="1165" ht="15" customHeight="1" s="131">
      <c r="A1165" s="220" t="n"/>
      <c r="B1165" s="222" t="n"/>
      <c r="C1165" s="220" t="n"/>
      <c r="D1165" s="179" t="n"/>
      <c r="E1165" s="219" t="n"/>
      <c r="F1165" s="220" t="n"/>
      <c r="G1165" s="221" t="n"/>
    </row>
    <row r="1166" ht="15" customHeight="1" s="131">
      <c r="A1166" s="220" t="n"/>
      <c r="B1166" s="222" t="n"/>
      <c r="C1166" s="220" t="n"/>
      <c r="D1166" s="179" t="n"/>
      <c r="E1166" s="219" t="n"/>
      <c r="F1166" s="220" t="n"/>
      <c r="G1166" s="221" t="n"/>
    </row>
    <row r="1167" ht="15" customHeight="1" s="131">
      <c r="A1167" s="220" t="n"/>
      <c r="B1167" s="222" t="n"/>
      <c r="C1167" s="220" t="n"/>
      <c r="D1167" s="179" t="n"/>
      <c r="E1167" s="219" t="n"/>
      <c r="F1167" s="220" t="n"/>
      <c r="G1167" s="221" t="n"/>
    </row>
    <row r="1168" ht="15" customHeight="1" s="131">
      <c r="A1168" s="220" t="n"/>
      <c r="B1168" s="222" t="n"/>
      <c r="C1168" s="220" t="n"/>
      <c r="D1168" s="179" t="n"/>
      <c r="E1168" s="219" t="n"/>
      <c r="F1168" s="220" t="n"/>
      <c r="G1168" s="221" t="n"/>
    </row>
    <row r="1169" ht="15" customHeight="1" s="131">
      <c r="A1169" s="220" t="n"/>
      <c r="B1169" s="222" t="n"/>
      <c r="C1169" s="220" t="n"/>
      <c r="D1169" s="179" t="n"/>
      <c r="E1169" s="219" t="n"/>
      <c r="F1169" s="220" t="n"/>
      <c r="G1169" s="221" t="n"/>
    </row>
    <row r="1170" ht="15" customHeight="1" s="131">
      <c r="A1170" s="220" t="n"/>
      <c r="B1170" s="222" t="n"/>
      <c r="C1170" s="220" t="n"/>
      <c r="D1170" s="179" t="n"/>
      <c r="E1170" s="219" t="n"/>
      <c r="F1170" s="220" t="n"/>
      <c r="G1170" s="221" t="n"/>
    </row>
    <row r="1171" ht="15" customHeight="1" s="131">
      <c r="A1171" s="220" t="n"/>
      <c r="B1171" s="222" t="n"/>
      <c r="C1171" s="220" t="n"/>
      <c r="D1171" s="179" t="n"/>
      <c r="E1171" s="219" t="n"/>
      <c r="F1171" s="220" t="n"/>
      <c r="G1171" s="221" t="n"/>
    </row>
    <row r="1172" ht="15" customHeight="1" s="131">
      <c r="A1172" s="220" t="n"/>
      <c r="B1172" s="222" t="n"/>
      <c r="C1172" s="220" t="n"/>
      <c r="D1172" s="179" t="n"/>
      <c r="E1172" s="219" t="n"/>
      <c r="F1172" s="220" t="n"/>
      <c r="G1172" s="221" t="n"/>
    </row>
    <row r="1173" ht="15" customHeight="1" s="131">
      <c r="A1173" s="220" t="n"/>
      <c r="B1173" s="222" t="n"/>
      <c r="C1173" s="220" t="n"/>
      <c r="D1173" s="179" t="n"/>
      <c r="E1173" s="219" t="n"/>
      <c r="F1173" s="220" t="n"/>
      <c r="G1173" s="221" t="n"/>
    </row>
    <row r="1174" ht="15" customHeight="1" s="131">
      <c r="A1174" s="220" t="n"/>
      <c r="B1174" s="222" t="n"/>
      <c r="C1174" s="220" t="n"/>
      <c r="D1174" s="179" t="n"/>
      <c r="E1174" s="219" t="n"/>
      <c r="F1174" s="220" t="n"/>
      <c r="G1174" s="221" t="n"/>
    </row>
    <row r="1175" ht="15" customHeight="1" s="131">
      <c r="A1175" s="220" t="n"/>
      <c r="B1175" s="222" t="n"/>
      <c r="C1175" s="220" t="n"/>
      <c r="D1175" s="179" t="n"/>
      <c r="E1175" s="219" t="n"/>
      <c r="F1175" s="220" t="n"/>
      <c r="G1175" s="221" t="n"/>
    </row>
    <row r="1176" ht="15" customHeight="1" s="131">
      <c r="A1176" s="220" t="n"/>
      <c r="B1176" s="222" t="n"/>
      <c r="C1176" s="220" t="n"/>
      <c r="D1176" s="179" t="n"/>
      <c r="E1176" s="219" t="n"/>
      <c r="F1176" s="220" t="n"/>
      <c r="G1176" s="221" t="n"/>
    </row>
    <row r="1177" ht="15" customHeight="1" s="131">
      <c r="A1177" s="220" t="n"/>
      <c r="B1177" s="222" t="n"/>
      <c r="C1177" s="220" t="n"/>
      <c r="D1177" s="179" t="n"/>
      <c r="E1177" s="219" t="n"/>
      <c r="F1177" s="220" t="n"/>
      <c r="G1177" s="221" t="n"/>
    </row>
    <row r="1178" ht="15" customHeight="1" s="131">
      <c r="A1178" s="220" t="n"/>
      <c r="B1178" s="222" t="n"/>
      <c r="C1178" s="220" t="n"/>
      <c r="D1178" s="179" t="n"/>
      <c r="E1178" s="219" t="n"/>
      <c r="F1178" s="220" t="n"/>
      <c r="G1178" s="221" t="n"/>
    </row>
    <row r="1179" ht="15" customHeight="1" s="131">
      <c r="A1179" s="220" t="n"/>
      <c r="B1179" s="222" t="n"/>
      <c r="C1179" s="220" t="n"/>
      <c r="D1179" s="179" t="n"/>
      <c r="E1179" s="219" t="n"/>
      <c r="F1179" s="220" t="n"/>
      <c r="G1179" s="221" t="n"/>
    </row>
    <row r="1180" ht="15" customHeight="1" s="131">
      <c r="A1180" s="220" t="n"/>
      <c r="B1180" s="222" t="n"/>
      <c r="C1180" s="220" t="n"/>
      <c r="D1180" s="179" t="n"/>
      <c r="E1180" s="219" t="n"/>
      <c r="F1180" s="220" t="n"/>
      <c r="G1180" s="221" t="n"/>
    </row>
    <row r="1181" ht="15" customHeight="1" s="131">
      <c r="A1181" s="220" t="n"/>
      <c r="B1181" s="222" t="n"/>
      <c r="C1181" s="220" t="n"/>
      <c r="D1181" s="179" t="n"/>
      <c r="E1181" s="219" t="n"/>
      <c r="F1181" s="220" t="n"/>
      <c r="G1181" s="221" t="n"/>
    </row>
    <row r="1182" ht="15" customHeight="1" s="131">
      <c r="A1182" s="220" t="n"/>
      <c r="B1182" s="222" t="n"/>
      <c r="C1182" s="220" t="n"/>
      <c r="D1182" s="179" t="n"/>
      <c r="E1182" s="219" t="n"/>
      <c r="F1182" s="220" t="n"/>
      <c r="G1182" s="221" t="n"/>
    </row>
    <row r="1183" ht="15" customHeight="1" s="131">
      <c r="A1183" s="220" t="n"/>
      <c r="B1183" s="222" t="n"/>
      <c r="C1183" s="220" t="n"/>
      <c r="D1183" s="179" t="n"/>
      <c r="E1183" s="219" t="n"/>
      <c r="F1183" s="220" t="n"/>
      <c r="G1183" s="221" t="n"/>
    </row>
    <row r="1184" ht="15" customHeight="1" s="131">
      <c r="A1184" s="220" t="n"/>
      <c r="B1184" s="222" t="n"/>
      <c r="C1184" s="220" t="n"/>
      <c r="D1184" s="179" t="n"/>
      <c r="E1184" s="219" t="n"/>
      <c r="F1184" s="220" t="n"/>
      <c r="G1184" s="221" t="n"/>
    </row>
    <row r="1185" ht="15" customHeight="1" s="131">
      <c r="A1185" s="220" t="n"/>
      <c r="B1185" s="222" t="n"/>
      <c r="C1185" s="220" t="n"/>
      <c r="D1185" s="179" t="n"/>
      <c r="E1185" s="219" t="n"/>
      <c r="F1185" s="220" t="n"/>
      <c r="G1185" s="221" t="n"/>
    </row>
    <row r="1186" ht="15" customHeight="1" s="131">
      <c r="A1186" s="220" t="n"/>
      <c r="B1186" s="222" t="n"/>
      <c r="C1186" s="220" t="n"/>
      <c r="D1186" s="179" t="n"/>
      <c r="E1186" s="219" t="n"/>
      <c r="F1186" s="220" t="n"/>
      <c r="G1186" s="221" t="n"/>
    </row>
    <row r="1187" ht="15" customHeight="1" s="131">
      <c r="A1187" s="220" t="n"/>
      <c r="B1187" s="222" t="n"/>
      <c r="C1187" s="220" t="n"/>
      <c r="D1187" s="179" t="n"/>
      <c r="E1187" s="219" t="n"/>
      <c r="F1187" s="220" t="n"/>
      <c r="G1187" s="221" t="n"/>
    </row>
    <row r="1188" ht="15" customHeight="1" s="131">
      <c r="A1188" s="220" t="n"/>
      <c r="B1188" s="222" t="n"/>
      <c r="C1188" s="220" t="n"/>
      <c r="D1188" s="179" t="n"/>
      <c r="E1188" s="219" t="n"/>
      <c r="F1188" s="220" t="n"/>
      <c r="G1188" s="221" t="n"/>
    </row>
    <row r="1189" ht="15" customHeight="1" s="131">
      <c r="A1189" s="220" t="n"/>
      <c r="B1189" s="222" t="n"/>
      <c r="C1189" s="220" t="n"/>
      <c r="D1189" s="179" t="n"/>
      <c r="E1189" s="219" t="n"/>
      <c r="F1189" s="220" t="n"/>
      <c r="G1189" s="221" t="n"/>
    </row>
    <row r="1190" ht="15" customHeight="1" s="131">
      <c r="A1190" s="220" t="n"/>
      <c r="B1190" s="222" t="n"/>
      <c r="C1190" s="220" t="n"/>
      <c r="D1190" s="179" t="n"/>
      <c r="E1190" s="219" t="n"/>
      <c r="F1190" s="220" t="n"/>
      <c r="G1190" s="221" t="n"/>
    </row>
    <row r="1191" ht="15" customHeight="1" s="131">
      <c r="A1191" s="220" t="n"/>
      <c r="B1191" s="222" t="n"/>
      <c r="C1191" s="220" t="n"/>
      <c r="D1191" s="179" t="n"/>
      <c r="E1191" s="219" t="n"/>
      <c r="F1191" s="220" t="n"/>
      <c r="G1191" s="221" t="n"/>
    </row>
    <row r="1192" ht="15" customHeight="1" s="131">
      <c r="A1192" s="220" t="n"/>
      <c r="B1192" s="222" t="n"/>
      <c r="C1192" s="220" t="n"/>
      <c r="D1192" s="179" t="n"/>
      <c r="E1192" s="219" t="n"/>
      <c r="F1192" s="220" t="n"/>
      <c r="G1192" s="221" t="n"/>
    </row>
    <row r="1193" ht="15" customHeight="1" s="131">
      <c r="A1193" s="220" t="n"/>
      <c r="B1193" s="222" t="n"/>
      <c r="C1193" s="220" t="n"/>
      <c r="D1193" s="179" t="n"/>
      <c r="E1193" s="219" t="n"/>
      <c r="F1193" s="220" t="n"/>
      <c r="G1193" s="221" t="n"/>
    </row>
    <row r="1194" ht="15" customHeight="1" s="131">
      <c r="A1194" s="220" t="n"/>
      <c r="B1194" s="222" t="n"/>
      <c r="C1194" s="220" t="n"/>
      <c r="D1194" s="179" t="n"/>
      <c r="E1194" s="219" t="n"/>
      <c r="F1194" s="220" t="n"/>
      <c r="G1194" s="221" t="n"/>
    </row>
    <row r="1195" ht="15" customHeight="1" s="131">
      <c r="A1195" s="220" t="n"/>
      <c r="B1195" s="222" t="n"/>
      <c r="C1195" s="220" t="n"/>
      <c r="D1195" s="179" t="n"/>
      <c r="E1195" s="219" t="n"/>
      <c r="F1195" s="220" t="n"/>
      <c r="G1195" s="221" t="n"/>
    </row>
    <row r="1196" ht="15" customHeight="1" s="131">
      <c r="A1196" s="220" t="n"/>
      <c r="B1196" s="222" t="n"/>
      <c r="C1196" s="220" t="n"/>
      <c r="D1196" s="179" t="n"/>
      <c r="E1196" s="219" t="n"/>
      <c r="F1196" s="220" t="n"/>
      <c r="G1196" s="221" t="n"/>
    </row>
    <row r="1197" ht="15" customHeight="1" s="131">
      <c r="A1197" s="220" t="n"/>
      <c r="B1197" s="222" t="n"/>
      <c r="C1197" s="220" t="n"/>
      <c r="D1197" s="179" t="n"/>
      <c r="E1197" s="219" t="n"/>
      <c r="F1197" s="220" t="n"/>
      <c r="G1197" s="221" t="n"/>
    </row>
    <row r="1198" ht="15" customHeight="1" s="131">
      <c r="A1198" s="220" t="n"/>
      <c r="B1198" s="222" t="n"/>
      <c r="C1198" s="220" t="n"/>
      <c r="D1198" s="179" t="n"/>
      <c r="E1198" s="219" t="n"/>
      <c r="F1198" s="220" t="n"/>
      <c r="G1198" s="221" t="n"/>
    </row>
    <row r="1199" ht="15" customHeight="1" s="131">
      <c r="A1199" s="220" t="n"/>
      <c r="B1199" s="222" t="n"/>
      <c r="C1199" s="220" t="n"/>
      <c r="D1199" s="179" t="n"/>
      <c r="E1199" s="219" t="n"/>
      <c r="F1199" s="220" t="n"/>
      <c r="G1199" s="221" t="n"/>
    </row>
    <row r="1200" ht="15" customHeight="1" s="131">
      <c r="A1200" s="220" t="n"/>
      <c r="B1200" s="222" t="n"/>
      <c r="C1200" s="220" t="n"/>
      <c r="D1200" s="179" t="n"/>
      <c r="E1200" s="219" t="n"/>
      <c r="F1200" s="220" t="n"/>
      <c r="G1200" s="221" t="n"/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 filterMode="0">
    <tabColor rgb="FFC6E0B4"/>
    <outlinePr summaryBelow="1" summaryRight="1"/>
    <pageSetUpPr fitToPage="0"/>
  </sheetPr>
  <dimension ref="A1:I1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14" customWidth="1" style="130" min="1" max="1"/>
    <col width="27" customWidth="1" style="130" min="2" max="3"/>
    <col width="21" customWidth="1" style="131" min="3" max="3"/>
    <col width="18" customWidth="1" style="130" min="4" max="5"/>
    <col width="18" customWidth="1" style="131" min="5" max="5"/>
    <col width="20" customWidth="1" style="130" min="6" max="6"/>
    <col width="18" customWidth="1" style="130" min="7" max="7"/>
    <col width="18" customWidth="1" style="130" min="8" max="8"/>
    <col width="28" customWidth="1" style="130" min="9" max="9"/>
  </cols>
  <sheetData>
    <row r="1" ht="24" customHeight="1" s="131">
      <c r="A1" s="132" t="inlineStr">
        <is>
          <t>BASE — DADM-10 · Infraestrutura</t>
        </is>
      </c>
    </row>
    <row r="2" ht="30" customHeight="1" s="131">
      <c r="A2" s="133" t="inlineStr">
        <is>
          <t>Despesa mensal de infraestrutura, área em uso e métricas derivadas. R$/m² é a medida principal do KPI.</t>
        </is>
      </c>
    </row>
    <row r="3"/>
    <row r="4" ht="30" customHeight="1" s="131">
      <c r="A4" s="199" t="inlineStr">
        <is>
          <t>Período</t>
        </is>
      </c>
      <c r="B4" s="199" t="inlineStr">
        <is>
          <t>Despesa de Infraestrutura</t>
        </is>
      </c>
      <c r="C4" s="199" t="inlineStr">
        <is>
          <t>Área em Uso (m²)</t>
        </is>
      </c>
      <c r="D4" s="199" t="inlineStr">
        <is>
          <t>Custo por m²</t>
        </is>
      </c>
      <c r="E4" s="199" t="inlineStr">
        <is>
          <t>Alunos Ativos</t>
        </is>
      </c>
      <c r="F4" s="199" t="inlineStr">
        <is>
          <t>Custo por Aluno</t>
        </is>
      </c>
      <c r="G4" s="199" t="inlineStr">
        <is>
          <t>Meta R$/m²</t>
        </is>
      </c>
      <c r="H4" s="199" t="inlineStr">
        <is>
          <t>Status</t>
        </is>
      </c>
      <c r="I4" s="199" t="inlineStr">
        <is>
          <t>Lançado por</t>
        </is>
      </c>
    </row>
    <row r="5" ht="15" customHeight="1" s="131">
      <c r="A5" s="164" t="n"/>
      <c r="B5" s="218" t="n"/>
      <c r="C5" s="218" t="n"/>
      <c r="D5" s="164" t="n"/>
      <c r="E5" s="164" t="n"/>
      <c r="F5" s="181" t="n"/>
      <c r="G5" s="219" t="n"/>
      <c r="H5" s="220" t="n"/>
      <c r="I5" s="221" t="n"/>
    </row>
    <row r="6" ht="15" customHeight="1" s="131">
      <c r="A6" s="164" t="n"/>
      <c r="B6" s="218" t="n"/>
      <c r="C6" s="218" t="n"/>
      <c r="D6" s="164" t="n"/>
      <c r="E6" s="164" t="n"/>
      <c r="F6" s="181" t="n"/>
      <c r="G6" s="219" t="n"/>
      <c r="H6" s="220" t="n"/>
      <c r="I6" s="221" t="n"/>
    </row>
    <row r="7" ht="15" customHeight="1" s="131">
      <c r="A7" s="164" t="n"/>
      <c r="B7" s="218" t="n"/>
      <c r="C7" s="218" t="n"/>
      <c r="D7" s="164" t="n"/>
      <c r="E7" s="164" t="n"/>
      <c r="F7" s="181" t="n"/>
      <c r="G7" s="219" t="n"/>
      <c r="H7" s="220" t="n"/>
      <c r="I7" s="221" t="n"/>
    </row>
    <row r="8" ht="15" customHeight="1" s="131">
      <c r="A8" s="164" t="n"/>
      <c r="B8" s="218" t="n"/>
      <c r="C8" s="218" t="n"/>
      <c r="D8" s="164" t="n"/>
      <c r="E8" s="164" t="n"/>
      <c r="F8" s="181" t="n"/>
      <c r="G8" s="219" t="n"/>
      <c r="H8" s="220" t="n"/>
      <c r="I8" s="221" t="n"/>
    </row>
    <row r="9" ht="15" customHeight="1" s="131">
      <c r="A9" s="164" t="n"/>
      <c r="B9" s="218" t="n"/>
      <c r="C9" s="218" t="n"/>
      <c r="D9" s="164" t="n"/>
      <c r="E9" s="164" t="n"/>
      <c r="F9" s="181" t="n"/>
      <c r="G9" s="219" t="n"/>
      <c r="H9" s="220" t="n"/>
      <c r="I9" s="221" t="n"/>
    </row>
    <row r="10" ht="15" customHeight="1" s="131">
      <c r="A10" s="164" t="n"/>
      <c r="B10" s="218" t="n"/>
      <c r="C10" s="218" t="n"/>
      <c r="D10" s="164" t="n"/>
      <c r="E10" s="164" t="n"/>
      <c r="F10" s="181" t="n"/>
      <c r="G10" s="219" t="n"/>
      <c r="H10" s="220" t="n"/>
      <c r="I10" s="221" t="n"/>
    </row>
    <row r="11" ht="15" customHeight="1" s="131">
      <c r="A11" s="164" t="n"/>
      <c r="B11" s="218" t="n"/>
      <c r="C11" s="218" t="n"/>
      <c r="D11" s="164" t="n"/>
      <c r="E11" s="164" t="n"/>
      <c r="F11" s="181" t="n"/>
      <c r="G11" s="219" t="n"/>
      <c r="H11" s="220" t="n"/>
      <c r="I11" s="221" t="n"/>
    </row>
    <row r="12" ht="15" customHeight="1" s="131">
      <c r="A12" s="164" t="n"/>
      <c r="B12" s="218" t="n"/>
      <c r="C12" s="218" t="n"/>
      <c r="D12" s="164" t="n"/>
      <c r="E12" s="164" t="n"/>
      <c r="F12" s="181" t="n"/>
      <c r="G12" s="219" t="n"/>
      <c r="H12" s="220" t="n"/>
      <c r="I12" s="221" t="n"/>
    </row>
    <row r="13" ht="15" customHeight="1" s="131">
      <c r="A13" s="164" t="n"/>
      <c r="B13" s="218" t="n"/>
      <c r="C13" s="218" t="n"/>
      <c r="D13" s="164" t="n"/>
      <c r="E13" s="164" t="n"/>
      <c r="F13" s="181" t="n"/>
      <c r="G13" s="219" t="n"/>
      <c r="H13" s="220" t="n"/>
      <c r="I13" s="221" t="n"/>
    </row>
    <row r="14" ht="15" customHeight="1" s="131">
      <c r="A14" s="164" t="n"/>
      <c r="B14" s="218" t="n"/>
      <c r="C14" s="218" t="n"/>
      <c r="D14" s="164" t="n"/>
      <c r="E14" s="164" t="n"/>
      <c r="F14" s="181" t="n"/>
      <c r="G14" s="219" t="n"/>
      <c r="H14" s="220" t="n"/>
      <c r="I14" s="221" t="n"/>
    </row>
    <row r="15" ht="15" customHeight="1" s="131">
      <c r="A15" s="164" t="n"/>
      <c r="B15" s="218" t="n"/>
      <c r="C15" s="218" t="n"/>
      <c r="D15" s="164" t="n"/>
      <c r="E15" s="164" t="n"/>
      <c r="F15" s="181" t="n"/>
      <c r="G15" s="219" t="n"/>
      <c r="H15" s="220" t="n"/>
      <c r="I15" s="221" t="n"/>
    </row>
    <row r="16" ht="15" customHeight="1" s="131">
      <c r="A16" s="164" t="n"/>
      <c r="B16" s="218" t="n"/>
      <c r="C16" s="218" t="n"/>
      <c r="D16" s="164" t="n"/>
      <c r="E16" s="164" t="n"/>
      <c r="F16" s="181" t="n"/>
      <c r="G16" s="219" t="n"/>
      <c r="H16" s="220" t="n"/>
      <c r="I16" s="221" t="n"/>
    </row>
    <row r="17" ht="15" customHeight="1" s="131">
      <c r="A17" s="164" t="n"/>
      <c r="B17" s="218" t="n"/>
      <c r="C17" s="218" t="n"/>
      <c r="D17" s="164" t="n"/>
      <c r="E17" s="164" t="n"/>
      <c r="F17" s="181" t="n"/>
      <c r="G17" s="219" t="n"/>
      <c r="H17" s="220" t="n"/>
      <c r="I17" s="221" t="n"/>
    </row>
    <row r="18" ht="15" customHeight="1" s="131">
      <c r="A18" s="164" t="n"/>
      <c r="B18" s="218" t="n"/>
      <c r="C18" s="218" t="n"/>
      <c r="D18" s="164" t="n"/>
      <c r="E18" s="164" t="n"/>
      <c r="F18" s="181" t="n"/>
      <c r="G18" s="219" t="n"/>
      <c r="H18" s="220" t="n"/>
      <c r="I18" s="221" t="n"/>
    </row>
    <row r="19" ht="15" customHeight="1" s="131">
      <c r="A19" s="164" t="n"/>
      <c r="B19" s="218" t="n"/>
      <c r="C19" s="218" t="n"/>
      <c r="D19" s="164" t="n"/>
      <c r="E19" s="164" t="n"/>
      <c r="F19" s="181" t="n"/>
      <c r="G19" s="219" t="n"/>
      <c r="H19" s="220" t="n"/>
      <c r="I19" s="221" t="n"/>
    </row>
    <row r="20" ht="15" customHeight="1" s="131">
      <c r="A20" s="164" t="n"/>
      <c r="B20" s="218" t="n"/>
      <c r="C20" s="218" t="n"/>
      <c r="D20" s="164" t="n"/>
      <c r="E20" s="164" t="n"/>
      <c r="F20" s="181" t="n"/>
      <c r="G20" s="219" t="n"/>
      <c r="H20" s="220" t="n"/>
      <c r="I20" s="221" t="n"/>
    </row>
    <row r="21" ht="15" customHeight="1" s="131">
      <c r="A21" s="164" t="n"/>
      <c r="B21" s="218" t="n"/>
      <c r="C21" s="218" t="n"/>
      <c r="D21" s="164" t="n"/>
      <c r="E21" s="164" t="n"/>
      <c r="F21" s="181" t="n"/>
      <c r="G21" s="219" t="n"/>
      <c r="H21" s="220" t="n"/>
      <c r="I21" s="221" t="n"/>
    </row>
    <row r="22" ht="15" customHeight="1" s="131">
      <c r="A22" s="164" t="n"/>
      <c r="B22" s="218" t="n"/>
      <c r="C22" s="218" t="n"/>
      <c r="D22" s="164" t="n"/>
      <c r="E22" s="164" t="n"/>
      <c r="F22" s="181" t="n"/>
      <c r="G22" s="219" t="n"/>
      <c r="H22" s="220" t="n"/>
      <c r="I22" s="221" t="n"/>
    </row>
    <row r="23" ht="15" customHeight="1" s="131">
      <c r="A23" s="164" t="n"/>
      <c r="B23" s="218" t="n"/>
      <c r="C23" s="218" t="n"/>
      <c r="D23" s="164" t="n"/>
      <c r="E23" s="164" t="n"/>
      <c r="F23" s="181" t="n"/>
      <c r="G23" s="219" t="n"/>
      <c r="H23" s="220" t="n"/>
      <c r="I23" s="221" t="n"/>
    </row>
    <row r="24" ht="15" customHeight="1" s="131">
      <c r="A24" s="164" t="n"/>
      <c r="B24" s="218" t="n"/>
      <c r="C24" s="218" t="n"/>
      <c r="D24" s="164" t="n"/>
      <c r="E24" s="164" t="n"/>
      <c r="F24" s="181" t="n"/>
      <c r="G24" s="219" t="n"/>
      <c r="H24" s="220" t="n"/>
      <c r="I24" s="221" t="n"/>
    </row>
    <row r="25" ht="15" customHeight="1" s="131">
      <c r="A25" s="164" t="n"/>
      <c r="B25" s="218" t="n"/>
      <c r="C25" s="218" t="n"/>
      <c r="D25" s="164" t="n"/>
      <c r="E25" s="164" t="n"/>
      <c r="F25" s="181" t="n"/>
      <c r="G25" s="219" t="n"/>
      <c r="H25" s="220" t="n"/>
      <c r="I25" s="221" t="n"/>
    </row>
    <row r="26" ht="15" customHeight="1" s="131">
      <c r="A26" s="164" t="n"/>
      <c r="B26" s="218" t="n"/>
      <c r="C26" s="218" t="n"/>
      <c r="D26" s="164" t="n"/>
      <c r="E26" s="164" t="n"/>
      <c r="F26" s="181" t="n"/>
      <c r="G26" s="219" t="n"/>
      <c r="H26" s="220" t="n"/>
      <c r="I26" s="221" t="n"/>
    </row>
    <row r="27" ht="15" customHeight="1" s="131">
      <c r="A27" s="164" t="n"/>
      <c r="B27" s="218" t="n"/>
      <c r="C27" s="218" t="n"/>
      <c r="D27" s="164" t="n"/>
      <c r="E27" s="164" t="n"/>
      <c r="F27" s="181" t="n"/>
      <c r="G27" s="219" t="n"/>
      <c r="H27" s="220" t="n"/>
      <c r="I27" s="221" t="n"/>
    </row>
    <row r="28" ht="15" customHeight="1" s="131">
      <c r="A28" s="164" t="n"/>
      <c r="B28" s="218" t="n"/>
      <c r="C28" s="218" t="n"/>
      <c r="D28" s="164" t="n"/>
      <c r="E28" s="164" t="n"/>
      <c r="F28" s="181" t="n"/>
      <c r="G28" s="219" t="n"/>
      <c r="H28" s="220" t="n"/>
      <c r="I28" s="221" t="n"/>
    </row>
    <row r="29" ht="15" customHeight="1" s="131">
      <c r="A29" s="164" t="n"/>
      <c r="B29" s="218" t="n"/>
      <c r="C29" s="218" t="n"/>
      <c r="D29" s="164" t="n"/>
      <c r="E29" s="164" t="n"/>
      <c r="F29" s="181" t="n"/>
      <c r="G29" s="219" t="n"/>
      <c r="H29" s="220" t="n"/>
      <c r="I29" s="221" t="n"/>
    </row>
    <row r="30" ht="15" customHeight="1" s="131">
      <c r="A30" s="164" t="n"/>
      <c r="B30" s="218" t="n"/>
      <c r="C30" s="218" t="n"/>
      <c r="D30" s="164" t="n"/>
      <c r="E30" s="164" t="n"/>
      <c r="F30" s="181" t="n"/>
      <c r="G30" s="219" t="n"/>
      <c r="H30" s="220" t="n"/>
      <c r="I30" s="221" t="n"/>
    </row>
    <row r="31" ht="15" customHeight="1" s="131">
      <c r="A31" s="164" t="n"/>
      <c r="B31" s="218" t="n"/>
      <c r="C31" s="218" t="n"/>
      <c r="D31" s="164" t="n"/>
      <c r="E31" s="164" t="n"/>
      <c r="F31" s="181" t="n"/>
      <c r="G31" s="219" t="n"/>
      <c r="H31" s="220" t="n"/>
      <c r="I31" s="221" t="n"/>
    </row>
    <row r="32" ht="15" customHeight="1" s="131">
      <c r="A32" s="164" t="n"/>
      <c r="B32" s="218" t="n"/>
      <c r="C32" s="218" t="n"/>
      <c r="D32" s="164" t="n"/>
      <c r="E32" s="164" t="n"/>
      <c r="F32" s="181" t="n"/>
      <c r="G32" s="219" t="n"/>
      <c r="H32" s="220" t="n"/>
      <c r="I32" s="221" t="n"/>
    </row>
    <row r="33" ht="15" customHeight="1" s="131">
      <c r="A33" s="164" t="n"/>
      <c r="B33" s="218" t="n"/>
      <c r="C33" s="218" t="n"/>
      <c r="D33" s="164" t="n"/>
      <c r="E33" s="164" t="n"/>
      <c r="F33" s="181" t="n"/>
      <c r="G33" s="219" t="n"/>
      <c r="H33" s="220" t="n"/>
      <c r="I33" s="221" t="n"/>
    </row>
    <row r="34" ht="15" customHeight="1" s="131">
      <c r="A34" s="164" t="n"/>
      <c r="B34" s="218" t="n"/>
      <c r="C34" s="218" t="n"/>
      <c r="D34" s="164" t="n"/>
      <c r="E34" s="164" t="n"/>
      <c r="F34" s="181" t="n"/>
      <c r="G34" s="219" t="n"/>
      <c r="H34" s="220" t="n"/>
      <c r="I34" s="221" t="n"/>
    </row>
    <row r="35" ht="15" customHeight="1" s="131">
      <c r="A35" s="164" t="n"/>
      <c r="B35" s="218" t="n"/>
      <c r="C35" s="218" t="n"/>
      <c r="D35" s="164" t="n"/>
      <c r="E35" s="164" t="n"/>
      <c r="F35" s="181" t="n"/>
      <c r="G35" s="219" t="n"/>
      <c r="H35" s="220" t="n"/>
      <c r="I35" s="221" t="n"/>
    </row>
    <row r="36" ht="15" customHeight="1" s="131">
      <c r="A36" s="164" t="n"/>
      <c r="B36" s="218" t="n"/>
      <c r="C36" s="218" t="n"/>
      <c r="D36" s="164" t="n"/>
      <c r="E36" s="164" t="n"/>
      <c r="F36" s="181" t="n"/>
      <c r="G36" s="219" t="n"/>
      <c r="H36" s="220" t="n"/>
      <c r="I36" s="221" t="n"/>
    </row>
    <row r="37" ht="15" customHeight="1" s="131">
      <c r="A37" s="164" t="n"/>
      <c r="B37" s="218" t="n"/>
      <c r="C37" s="218" t="n"/>
      <c r="D37" s="164" t="n"/>
      <c r="E37" s="164" t="n"/>
      <c r="F37" s="181" t="n"/>
      <c r="G37" s="219" t="n"/>
      <c r="H37" s="220" t="n"/>
      <c r="I37" s="221" t="n"/>
    </row>
    <row r="38" ht="15" customHeight="1" s="131">
      <c r="A38" s="164" t="n"/>
      <c r="B38" s="218" t="n"/>
      <c r="C38" s="218" t="n"/>
      <c r="D38" s="164" t="n"/>
      <c r="E38" s="164" t="n"/>
      <c r="F38" s="181" t="n"/>
      <c r="G38" s="219" t="n"/>
      <c r="H38" s="220" t="n"/>
      <c r="I38" s="221" t="n"/>
    </row>
    <row r="39" ht="15" customHeight="1" s="131">
      <c r="A39" s="164" t="n"/>
      <c r="B39" s="218" t="n"/>
      <c r="C39" s="218" t="n"/>
      <c r="D39" s="164" t="n"/>
      <c r="E39" s="164" t="n"/>
      <c r="F39" s="181" t="n"/>
      <c r="G39" s="219" t="n"/>
      <c r="H39" s="220" t="n"/>
      <c r="I39" s="221" t="n"/>
    </row>
    <row r="40" ht="15" customHeight="1" s="131">
      <c r="A40" s="164" t="n"/>
      <c r="B40" s="218" t="n"/>
      <c r="C40" s="218" t="n"/>
      <c r="D40" s="164" t="n"/>
      <c r="E40" s="164" t="n"/>
      <c r="F40" s="181" t="n"/>
      <c r="G40" s="219" t="n"/>
      <c r="H40" s="220" t="n"/>
      <c r="I40" s="221" t="n"/>
    </row>
    <row r="41" ht="15" customHeight="1" s="131">
      <c r="A41" s="164" t="n"/>
      <c r="B41" s="218" t="n"/>
      <c r="C41" s="218" t="n"/>
      <c r="D41" s="164" t="n"/>
      <c r="E41" s="164" t="n"/>
      <c r="F41" s="181" t="n"/>
      <c r="G41" s="219" t="n"/>
      <c r="H41" s="220" t="n"/>
      <c r="I41" s="221" t="n"/>
    </row>
    <row r="42" ht="15" customHeight="1" s="131">
      <c r="A42" s="164" t="n"/>
      <c r="B42" s="218" t="n"/>
      <c r="C42" s="218" t="n"/>
      <c r="D42" s="164" t="n"/>
      <c r="E42" s="164" t="n"/>
      <c r="F42" s="181" t="n"/>
      <c r="G42" s="219" t="n"/>
      <c r="H42" s="220" t="n"/>
      <c r="I42" s="221" t="n"/>
    </row>
    <row r="43" ht="15" customHeight="1" s="131">
      <c r="A43" s="164" t="n"/>
      <c r="B43" s="218" t="n"/>
      <c r="C43" s="218" t="n"/>
      <c r="D43" s="164" t="n"/>
      <c r="E43" s="164" t="n"/>
      <c r="F43" s="181" t="n"/>
      <c r="G43" s="219" t="n"/>
      <c r="H43" s="220" t="n"/>
      <c r="I43" s="221" t="n"/>
    </row>
    <row r="44" ht="15" customHeight="1" s="131">
      <c r="A44" s="164" t="n"/>
      <c r="B44" s="218" t="n"/>
      <c r="C44" s="218" t="n"/>
      <c r="D44" s="164" t="n"/>
      <c r="E44" s="164" t="n"/>
      <c r="F44" s="181" t="n"/>
      <c r="G44" s="219" t="n"/>
      <c r="H44" s="220" t="n"/>
      <c r="I44" s="221" t="n"/>
    </row>
    <row r="45" ht="15" customHeight="1" s="131">
      <c r="A45" s="164" t="n"/>
      <c r="B45" s="218" t="n"/>
      <c r="C45" s="218" t="n"/>
      <c r="D45" s="164" t="n"/>
      <c r="E45" s="164" t="n"/>
      <c r="F45" s="181" t="n"/>
      <c r="G45" s="219" t="n"/>
      <c r="H45" s="220" t="n"/>
      <c r="I45" s="221" t="n"/>
    </row>
    <row r="46" ht="15" customHeight="1" s="131">
      <c r="A46" s="164" t="n"/>
      <c r="B46" s="218" t="n"/>
      <c r="C46" s="218" t="n"/>
      <c r="D46" s="164" t="n"/>
      <c r="E46" s="164" t="n"/>
      <c r="F46" s="181" t="n"/>
      <c r="G46" s="219" t="n"/>
      <c r="H46" s="220" t="n"/>
      <c r="I46" s="221" t="n"/>
    </row>
    <row r="47" ht="15" customHeight="1" s="131">
      <c r="A47" s="164" t="n"/>
      <c r="B47" s="218" t="n"/>
      <c r="C47" s="218" t="n"/>
      <c r="D47" s="164" t="n"/>
      <c r="E47" s="164" t="n"/>
      <c r="F47" s="181" t="n"/>
      <c r="G47" s="219" t="n"/>
      <c r="H47" s="220" t="n"/>
      <c r="I47" s="221" t="n"/>
    </row>
    <row r="48" ht="15" customHeight="1" s="131">
      <c r="A48" s="164" t="n"/>
      <c r="B48" s="218" t="n"/>
      <c r="C48" s="218" t="n"/>
      <c r="D48" s="164" t="n"/>
      <c r="E48" s="164" t="n"/>
      <c r="F48" s="181" t="n"/>
      <c r="G48" s="219" t="n"/>
      <c r="H48" s="220" t="n"/>
      <c r="I48" s="221" t="n"/>
    </row>
    <row r="49" ht="15" customHeight="1" s="131">
      <c r="A49" s="164" t="n"/>
      <c r="B49" s="218" t="n"/>
      <c r="C49" s="218" t="n"/>
      <c r="D49" s="164" t="n"/>
      <c r="E49" s="164" t="n"/>
      <c r="F49" s="181" t="n"/>
      <c r="G49" s="219" t="n"/>
      <c r="H49" s="220" t="n"/>
      <c r="I49" s="221" t="n"/>
    </row>
    <row r="50" ht="15" customHeight="1" s="131">
      <c r="A50" s="164" t="n"/>
      <c r="B50" s="218" t="n"/>
      <c r="C50" s="218" t="n"/>
      <c r="D50" s="164" t="n"/>
      <c r="E50" s="164" t="n"/>
      <c r="F50" s="181" t="n"/>
      <c r="G50" s="219" t="n"/>
      <c r="H50" s="220" t="n"/>
      <c r="I50" s="221" t="n"/>
    </row>
    <row r="51" ht="15" customHeight="1" s="131">
      <c r="A51" s="164" t="n"/>
      <c r="B51" s="218" t="n"/>
      <c r="C51" s="218" t="n"/>
      <c r="D51" s="164" t="n"/>
      <c r="E51" s="164" t="n"/>
      <c r="F51" s="181" t="n"/>
      <c r="G51" s="219" t="n"/>
      <c r="H51" s="220" t="n"/>
      <c r="I51" s="221" t="n"/>
    </row>
    <row r="52" ht="15" customHeight="1" s="131">
      <c r="A52" s="164" t="n"/>
      <c r="B52" s="218" t="n"/>
      <c r="C52" s="218" t="n"/>
      <c r="D52" s="164" t="n"/>
      <c r="E52" s="164" t="n"/>
      <c r="F52" s="181" t="n"/>
      <c r="G52" s="219" t="n"/>
      <c r="H52" s="220" t="n"/>
      <c r="I52" s="221" t="n"/>
    </row>
    <row r="53" ht="15" customHeight="1" s="131">
      <c r="A53" s="164" t="n"/>
      <c r="B53" s="218" t="n"/>
      <c r="C53" s="218" t="n"/>
      <c r="D53" s="164" t="n"/>
      <c r="E53" s="164" t="n"/>
      <c r="F53" s="181" t="n"/>
      <c r="G53" s="219" t="n"/>
      <c r="H53" s="220" t="n"/>
      <c r="I53" s="221" t="n"/>
    </row>
    <row r="54" ht="15" customHeight="1" s="131">
      <c r="A54" s="164" t="n"/>
      <c r="B54" s="218" t="n"/>
      <c r="C54" s="218" t="n"/>
      <c r="D54" s="164" t="n"/>
      <c r="E54" s="164" t="n"/>
      <c r="F54" s="181" t="n"/>
      <c r="G54" s="219" t="n"/>
      <c r="H54" s="220" t="n"/>
      <c r="I54" s="221" t="n"/>
    </row>
    <row r="55" ht="15" customHeight="1" s="131">
      <c r="A55" s="164" t="n"/>
      <c r="B55" s="218" t="n"/>
      <c r="C55" s="218" t="n"/>
      <c r="D55" s="164" t="n"/>
      <c r="E55" s="164" t="n"/>
      <c r="F55" s="181" t="n"/>
      <c r="G55" s="219" t="n"/>
      <c r="H55" s="220" t="n"/>
      <c r="I55" s="221" t="n"/>
    </row>
    <row r="56" ht="15" customHeight="1" s="131">
      <c r="A56" s="164" t="n"/>
      <c r="B56" s="218" t="n"/>
      <c r="C56" s="218" t="n"/>
      <c r="D56" s="164" t="n"/>
      <c r="E56" s="164" t="n"/>
      <c r="F56" s="181" t="n"/>
      <c r="G56" s="219" t="n"/>
      <c r="H56" s="220" t="n"/>
      <c r="I56" s="221" t="n"/>
    </row>
    <row r="57" ht="15" customHeight="1" s="131">
      <c r="A57" s="164" t="n"/>
      <c r="B57" s="218" t="n"/>
      <c r="C57" s="218" t="n"/>
      <c r="D57" s="164" t="n"/>
      <c r="E57" s="164" t="n"/>
      <c r="F57" s="181" t="n"/>
      <c r="G57" s="219" t="n"/>
      <c r="H57" s="220" t="n"/>
      <c r="I57" s="221" t="n"/>
    </row>
    <row r="58" ht="15" customHeight="1" s="131">
      <c r="A58" s="164" t="n"/>
      <c r="B58" s="218" t="n"/>
      <c r="C58" s="218" t="n"/>
      <c r="D58" s="164" t="n"/>
      <c r="E58" s="164" t="n"/>
      <c r="F58" s="181" t="n"/>
      <c r="G58" s="219" t="n"/>
      <c r="H58" s="220" t="n"/>
      <c r="I58" s="221" t="n"/>
    </row>
    <row r="59" ht="15" customHeight="1" s="131">
      <c r="A59" s="164" t="n"/>
      <c r="B59" s="218" t="n"/>
      <c r="C59" s="218" t="n"/>
      <c r="D59" s="164" t="n"/>
      <c r="E59" s="164" t="n"/>
      <c r="F59" s="181" t="n"/>
      <c r="G59" s="219" t="n"/>
      <c r="H59" s="220" t="n"/>
      <c r="I59" s="221" t="n"/>
    </row>
    <row r="60" ht="15" customHeight="1" s="131">
      <c r="A60" s="164" t="n"/>
      <c r="B60" s="218" t="n"/>
      <c r="C60" s="218" t="n"/>
      <c r="D60" s="164" t="n"/>
      <c r="E60" s="164" t="n"/>
      <c r="F60" s="181" t="n"/>
      <c r="G60" s="219" t="n"/>
      <c r="H60" s="220" t="n"/>
      <c r="I60" s="221" t="n"/>
    </row>
    <row r="61" ht="15" customHeight="1" s="131">
      <c r="A61" s="164" t="n"/>
      <c r="B61" s="218" t="n"/>
      <c r="C61" s="218" t="n"/>
      <c r="D61" s="164" t="n"/>
      <c r="E61" s="164" t="n"/>
      <c r="F61" s="181" t="n"/>
      <c r="G61" s="219" t="n"/>
      <c r="H61" s="220" t="n"/>
      <c r="I61" s="221" t="n"/>
    </row>
    <row r="62" ht="15" customHeight="1" s="131">
      <c r="A62" s="164" t="n"/>
      <c r="B62" s="218" t="n"/>
      <c r="C62" s="218" t="n"/>
      <c r="D62" s="164" t="n"/>
      <c r="E62" s="164" t="n"/>
      <c r="F62" s="181" t="n"/>
      <c r="G62" s="219" t="n"/>
      <c r="H62" s="220" t="n"/>
      <c r="I62" s="221" t="n"/>
    </row>
    <row r="63" ht="15" customHeight="1" s="131">
      <c r="A63" s="164" t="n"/>
      <c r="B63" s="218" t="n"/>
      <c r="C63" s="218" t="n"/>
      <c r="D63" s="164" t="n"/>
      <c r="E63" s="164" t="n"/>
      <c r="F63" s="181" t="n"/>
      <c r="G63" s="219" t="n"/>
      <c r="H63" s="220" t="n"/>
      <c r="I63" s="221" t="n"/>
    </row>
    <row r="64" ht="15" customHeight="1" s="131">
      <c r="A64" s="164" t="n"/>
      <c r="B64" s="218" t="n"/>
      <c r="C64" s="218" t="n"/>
      <c r="D64" s="164" t="n"/>
      <c r="E64" s="164" t="n"/>
      <c r="F64" s="181" t="n"/>
      <c r="G64" s="219" t="n"/>
      <c r="H64" s="220" t="n"/>
      <c r="I64" s="221" t="n"/>
    </row>
    <row r="65" ht="15" customHeight="1" s="131">
      <c r="A65" s="164" t="n"/>
      <c r="B65" s="218" t="n"/>
      <c r="C65" s="218" t="n"/>
      <c r="D65" s="164" t="n"/>
      <c r="E65" s="164" t="n"/>
      <c r="F65" s="181" t="n"/>
      <c r="G65" s="219" t="n"/>
      <c r="H65" s="220" t="n"/>
      <c r="I65" s="221" t="n"/>
    </row>
    <row r="66" ht="15" customHeight="1" s="131">
      <c r="A66" s="164" t="n"/>
      <c r="B66" s="218" t="n"/>
      <c r="C66" s="218" t="n"/>
      <c r="D66" s="164" t="n"/>
      <c r="E66" s="164" t="n"/>
      <c r="F66" s="181" t="n"/>
      <c r="G66" s="219" t="n"/>
      <c r="H66" s="220" t="n"/>
      <c r="I66" s="221" t="n"/>
    </row>
    <row r="67" ht="15" customHeight="1" s="131">
      <c r="A67" s="164" t="n"/>
      <c r="B67" s="218" t="n"/>
      <c r="C67" s="218" t="n"/>
      <c r="D67" s="164" t="n"/>
      <c r="E67" s="164" t="n"/>
      <c r="F67" s="181" t="n"/>
      <c r="G67" s="219" t="n"/>
      <c r="H67" s="220" t="n"/>
      <c r="I67" s="221" t="n"/>
    </row>
    <row r="68" ht="15" customHeight="1" s="131">
      <c r="A68" s="164" t="n"/>
      <c r="B68" s="218" t="n"/>
      <c r="C68" s="218" t="n"/>
      <c r="D68" s="164" t="n"/>
      <c r="E68" s="164" t="n"/>
      <c r="F68" s="181" t="n"/>
      <c r="G68" s="219" t="n"/>
      <c r="H68" s="220" t="n"/>
      <c r="I68" s="221" t="n"/>
    </row>
    <row r="69" ht="15" customHeight="1" s="131">
      <c r="A69" s="164" t="n"/>
      <c r="B69" s="218" t="n"/>
      <c r="C69" s="218" t="n"/>
      <c r="D69" s="164" t="n"/>
      <c r="E69" s="164" t="n"/>
      <c r="F69" s="181" t="n"/>
      <c r="G69" s="219" t="n"/>
      <c r="H69" s="220" t="n"/>
      <c r="I69" s="221" t="n"/>
    </row>
    <row r="70" ht="15" customHeight="1" s="131">
      <c r="A70" s="164" t="n"/>
      <c r="B70" s="218" t="n"/>
      <c r="C70" s="218" t="n"/>
      <c r="D70" s="164" t="n"/>
      <c r="E70" s="164" t="n"/>
      <c r="F70" s="181" t="n"/>
      <c r="G70" s="219" t="n"/>
      <c r="H70" s="220" t="n"/>
      <c r="I70" s="221" t="n"/>
    </row>
    <row r="71" ht="15" customHeight="1" s="131">
      <c r="A71" s="164" t="n"/>
      <c r="B71" s="218" t="n"/>
      <c r="C71" s="218" t="n"/>
      <c r="D71" s="164" t="n"/>
      <c r="E71" s="164" t="n"/>
      <c r="F71" s="181" t="n"/>
      <c r="G71" s="219" t="n"/>
      <c r="H71" s="220" t="n"/>
      <c r="I71" s="221" t="n"/>
    </row>
    <row r="72" ht="15" customHeight="1" s="131">
      <c r="A72" s="164" t="n"/>
      <c r="B72" s="218" t="n"/>
      <c r="C72" s="218" t="n"/>
      <c r="D72" s="164" t="n"/>
      <c r="E72" s="164" t="n"/>
      <c r="F72" s="181" t="n"/>
      <c r="G72" s="219" t="n"/>
      <c r="H72" s="220" t="n"/>
      <c r="I72" s="221" t="n"/>
    </row>
    <row r="73" ht="15" customHeight="1" s="131">
      <c r="A73" s="164" t="n"/>
      <c r="B73" s="218" t="n"/>
      <c r="C73" s="218" t="n"/>
      <c r="D73" s="164" t="n"/>
      <c r="E73" s="164" t="n"/>
      <c r="F73" s="181" t="n"/>
      <c r="G73" s="219" t="n"/>
      <c r="H73" s="220" t="n"/>
      <c r="I73" s="221" t="n"/>
    </row>
    <row r="74" ht="15" customHeight="1" s="131">
      <c r="A74" s="164" t="n"/>
      <c r="B74" s="218" t="n"/>
      <c r="C74" s="218" t="n"/>
      <c r="D74" s="164" t="n"/>
      <c r="E74" s="164" t="n"/>
      <c r="F74" s="181" t="n"/>
      <c r="G74" s="219" t="n"/>
      <c r="H74" s="220" t="n"/>
      <c r="I74" s="221" t="n"/>
    </row>
    <row r="75" ht="15" customHeight="1" s="131">
      <c r="A75" s="164" t="n"/>
      <c r="B75" s="218" t="n"/>
      <c r="C75" s="218" t="n"/>
      <c r="D75" s="164" t="n"/>
      <c r="E75" s="164" t="n"/>
      <c r="F75" s="181" t="n"/>
      <c r="G75" s="219" t="n"/>
      <c r="H75" s="220" t="n"/>
      <c r="I75" s="221" t="n"/>
    </row>
    <row r="76" ht="15" customHeight="1" s="131">
      <c r="A76" s="164" t="n"/>
      <c r="B76" s="218" t="n"/>
      <c r="C76" s="218" t="n"/>
      <c r="D76" s="164" t="n"/>
      <c r="E76" s="164" t="n"/>
      <c r="F76" s="181" t="n"/>
      <c r="G76" s="219" t="n"/>
      <c r="H76" s="220" t="n"/>
      <c r="I76" s="221" t="n"/>
    </row>
    <row r="77" ht="15" customHeight="1" s="131">
      <c r="A77" s="164" t="n"/>
      <c r="B77" s="218" t="n"/>
      <c r="C77" s="218" t="n"/>
      <c r="D77" s="164" t="n"/>
      <c r="E77" s="164" t="n"/>
      <c r="F77" s="181" t="n"/>
      <c r="G77" s="219" t="n"/>
      <c r="H77" s="220" t="n"/>
      <c r="I77" s="221" t="n"/>
    </row>
    <row r="78" ht="15" customHeight="1" s="131">
      <c r="A78" s="164" t="n"/>
      <c r="B78" s="218" t="n"/>
      <c r="C78" s="218" t="n"/>
      <c r="D78" s="164" t="n"/>
      <c r="E78" s="164" t="n"/>
      <c r="F78" s="181" t="n"/>
      <c r="G78" s="219" t="n"/>
      <c r="H78" s="220" t="n"/>
      <c r="I78" s="221" t="n"/>
    </row>
    <row r="79" ht="15" customHeight="1" s="131">
      <c r="A79" s="220" t="n"/>
      <c r="B79" s="222" t="n"/>
      <c r="C79" s="222" t="n"/>
      <c r="D79" s="220" t="n"/>
      <c r="E79" s="220" t="n"/>
      <c r="F79" s="181" t="n"/>
      <c r="G79" s="219" t="n"/>
      <c r="H79" s="220" t="n"/>
      <c r="I79" s="221" t="n"/>
    </row>
    <row r="80" ht="15" customHeight="1" s="131">
      <c r="A80" s="220" t="n"/>
      <c r="B80" s="222" t="n"/>
      <c r="C80" s="222" t="n"/>
      <c r="D80" s="220" t="n"/>
      <c r="E80" s="220" t="n"/>
      <c r="F80" s="181" t="n"/>
      <c r="G80" s="219" t="n"/>
      <c r="H80" s="220" t="n"/>
      <c r="I80" s="221" t="n"/>
    </row>
    <row r="81" ht="15" customHeight="1" s="131">
      <c r="A81" s="220" t="n"/>
      <c r="B81" s="222" t="n"/>
      <c r="C81" s="222" t="n"/>
      <c r="D81" s="220" t="n"/>
      <c r="E81" s="220" t="n"/>
      <c r="F81" s="181" t="n"/>
      <c r="G81" s="219" t="n"/>
      <c r="H81" s="220" t="n"/>
      <c r="I81" s="221" t="n"/>
    </row>
    <row r="82" ht="15" customHeight="1" s="131">
      <c r="A82" s="220" t="n"/>
      <c r="B82" s="222" t="n"/>
      <c r="C82" s="222" t="n"/>
      <c r="D82" s="220" t="n"/>
      <c r="E82" s="220" t="n"/>
      <c r="F82" s="181" t="n"/>
      <c r="G82" s="219" t="n"/>
      <c r="H82" s="220" t="n"/>
      <c r="I82" s="221" t="n"/>
    </row>
    <row r="83" ht="15" customHeight="1" s="131">
      <c r="A83" s="220" t="n"/>
      <c r="B83" s="222" t="n"/>
      <c r="C83" s="222" t="n"/>
      <c r="D83" s="220" t="n"/>
      <c r="E83" s="220" t="n"/>
      <c r="F83" s="181" t="n"/>
      <c r="G83" s="219" t="n"/>
      <c r="H83" s="220" t="n"/>
      <c r="I83" s="221" t="n"/>
    </row>
    <row r="84" ht="15" customHeight="1" s="131">
      <c r="A84" s="220" t="n"/>
      <c r="B84" s="222" t="n"/>
      <c r="C84" s="222" t="n"/>
      <c r="D84" s="220" t="n"/>
      <c r="E84" s="220" t="n"/>
      <c r="F84" s="181" t="n"/>
      <c r="G84" s="219" t="n"/>
      <c r="H84" s="220" t="n"/>
      <c r="I84" s="221" t="n"/>
    </row>
    <row r="85" ht="15" customHeight="1" s="131">
      <c r="A85" s="220" t="n"/>
      <c r="B85" s="222" t="n"/>
      <c r="C85" s="222" t="n"/>
      <c r="D85" s="220" t="n"/>
      <c r="E85" s="220" t="n"/>
      <c r="F85" s="181" t="n"/>
      <c r="G85" s="219" t="n"/>
      <c r="H85" s="220" t="n"/>
      <c r="I85" s="221" t="n"/>
    </row>
    <row r="86" ht="15" customHeight="1" s="131">
      <c r="A86" s="220" t="n"/>
      <c r="B86" s="222" t="n"/>
      <c r="C86" s="222" t="n"/>
      <c r="D86" s="220" t="n"/>
      <c r="E86" s="220" t="n"/>
      <c r="F86" s="181" t="n"/>
      <c r="G86" s="219" t="n"/>
      <c r="H86" s="220" t="n"/>
      <c r="I86" s="221" t="n"/>
    </row>
    <row r="87" ht="15" customHeight="1" s="131">
      <c r="A87" s="220" t="n"/>
      <c r="B87" s="222" t="n"/>
      <c r="C87" s="222" t="n"/>
      <c r="D87" s="220" t="n"/>
      <c r="E87" s="220" t="n"/>
      <c r="F87" s="181" t="n"/>
      <c r="G87" s="219" t="n"/>
      <c r="H87" s="220" t="n"/>
      <c r="I87" s="221" t="n"/>
    </row>
    <row r="88" ht="15" customHeight="1" s="131">
      <c r="A88" s="220" t="n"/>
      <c r="B88" s="222" t="n"/>
      <c r="C88" s="222" t="n"/>
      <c r="D88" s="220" t="n"/>
      <c r="E88" s="220" t="n"/>
      <c r="F88" s="181" t="n"/>
      <c r="G88" s="219" t="n"/>
      <c r="H88" s="220" t="n"/>
      <c r="I88" s="221" t="n"/>
    </row>
    <row r="89" ht="15" customHeight="1" s="131">
      <c r="A89" s="220" t="n"/>
      <c r="B89" s="222" t="n"/>
      <c r="C89" s="222" t="n"/>
      <c r="D89" s="220" t="n"/>
      <c r="E89" s="220" t="n"/>
      <c r="F89" s="181" t="n"/>
      <c r="G89" s="219" t="n"/>
      <c r="H89" s="220" t="n"/>
      <c r="I89" s="221" t="n"/>
    </row>
    <row r="90" ht="15" customHeight="1" s="131">
      <c r="A90" s="220" t="n"/>
      <c r="B90" s="222" t="n"/>
      <c r="C90" s="222" t="n"/>
      <c r="D90" s="220" t="n"/>
      <c r="E90" s="220" t="n"/>
      <c r="F90" s="181" t="n"/>
      <c r="G90" s="219" t="n"/>
      <c r="H90" s="220" t="n"/>
      <c r="I90" s="221" t="n"/>
    </row>
    <row r="91" ht="15" customHeight="1" s="131">
      <c r="A91" s="220" t="n"/>
      <c r="B91" s="222" t="n"/>
      <c r="C91" s="222" t="n"/>
      <c r="D91" s="220" t="n"/>
      <c r="E91" s="220" t="n"/>
      <c r="F91" s="181" t="n"/>
      <c r="G91" s="219" t="n"/>
      <c r="H91" s="220" t="n"/>
      <c r="I91" s="221" t="n"/>
    </row>
    <row r="92" ht="15" customHeight="1" s="131">
      <c r="A92" s="220" t="n"/>
      <c r="B92" s="222" t="n"/>
      <c r="C92" s="222" t="n"/>
      <c r="D92" s="220" t="n"/>
      <c r="E92" s="220" t="n"/>
      <c r="F92" s="181" t="n"/>
      <c r="G92" s="219" t="n"/>
      <c r="H92" s="220" t="n"/>
      <c r="I92" s="221" t="n"/>
    </row>
    <row r="93" ht="15" customHeight="1" s="131">
      <c r="A93" s="220" t="n"/>
      <c r="B93" s="222" t="n"/>
      <c r="C93" s="222" t="n"/>
      <c r="D93" s="220" t="n"/>
      <c r="E93" s="220" t="n"/>
      <c r="F93" s="181" t="n"/>
      <c r="G93" s="219" t="n"/>
      <c r="H93" s="220" t="n"/>
      <c r="I93" s="221" t="n"/>
    </row>
    <row r="94" ht="15" customHeight="1" s="131">
      <c r="A94" s="220" t="n"/>
      <c r="B94" s="222" t="n"/>
      <c r="C94" s="222" t="n"/>
      <c r="D94" s="220" t="n"/>
      <c r="E94" s="220" t="n"/>
      <c r="F94" s="181" t="n"/>
      <c r="G94" s="219" t="n"/>
      <c r="H94" s="220" t="n"/>
      <c r="I94" s="221" t="n"/>
    </row>
    <row r="95" ht="15" customHeight="1" s="131">
      <c r="A95" s="220" t="n"/>
      <c r="B95" s="222" t="n"/>
      <c r="C95" s="222" t="n"/>
      <c r="D95" s="220" t="n"/>
      <c r="E95" s="220" t="n"/>
      <c r="F95" s="181" t="n"/>
      <c r="G95" s="219" t="n"/>
      <c r="H95" s="220" t="n"/>
      <c r="I95" s="221" t="n"/>
    </row>
    <row r="96" ht="15" customHeight="1" s="131">
      <c r="A96" s="220" t="n"/>
      <c r="B96" s="222" t="n"/>
      <c r="C96" s="222" t="n"/>
      <c r="D96" s="220" t="n"/>
      <c r="E96" s="220" t="n"/>
      <c r="F96" s="181" t="n"/>
      <c r="G96" s="219" t="n"/>
      <c r="H96" s="220" t="n"/>
      <c r="I96" s="221" t="n"/>
    </row>
    <row r="97" ht="15" customHeight="1" s="131">
      <c r="A97" s="220" t="n"/>
      <c r="B97" s="222" t="n"/>
      <c r="C97" s="222" t="n"/>
      <c r="D97" s="220" t="n"/>
      <c r="E97" s="220" t="n"/>
      <c r="F97" s="181" t="n"/>
      <c r="G97" s="219" t="n"/>
      <c r="H97" s="220" t="n"/>
      <c r="I97" s="221" t="n"/>
    </row>
    <row r="98" ht="15" customHeight="1" s="131">
      <c r="A98" s="220" t="n"/>
      <c r="B98" s="222" t="n"/>
      <c r="C98" s="222" t="n"/>
      <c r="D98" s="220" t="n"/>
      <c r="E98" s="220" t="n"/>
      <c r="F98" s="181" t="n"/>
      <c r="G98" s="219" t="n"/>
      <c r="H98" s="220" t="n"/>
      <c r="I98" s="221" t="n"/>
    </row>
    <row r="99" ht="15" customHeight="1" s="131">
      <c r="A99" s="220" t="n"/>
      <c r="B99" s="222" t="n"/>
      <c r="C99" s="222" t="n"/>
      <c r="D99" s="220" t="n"/>
      <c r="E99" s="220" t="n"/>
      <c r="F99" s="181" t="n"/>
      <c r="G99" s="219" t="n"/>
      <c r="H99" s="220" t="n"/>
      <c r="I99" s="221" t="n"/>
    </row>
    <row r="100" ht="15" customHeight="1" s="131">
      <c r="A100" s="220" t="n"/>
      <c r="B100" s="222" t="n"/>
      <c r="C100" s="222" t="n"/>
      <c r="D100" s="220" t="n"/>
      <c r="E100" s="220" t="n"/>
      <c r="F100" s="181" t="n"/>
      <c r="G100" s="219" t="n"/>
      <c r="H100" s="220" t="n"/>
      <c r="I100" s="221" t="n"/>
    </row>
    <row r="101" ht="15" customHeight="1" s="131">
      <c r="A101" s="220" t="n"/>
      <c r="B101" s="222" t="n"/>
      <c r="C101" s="222" t="n"/>
      <c r="D101" s="220" t="n"/>
      <c r="E101" s="220" t="n"/>
      <c r="F101" s="181" t="n"/>
      <c r="G101" s="219" t="n"/>
      <c r="H101" s="220" t="n"/>
      <c r="I101" s="221" t="n"/>
    </row>
    <row r="102" ht="15" customHeight="1" s="131">
      <c r="A102" s="220" t="n"/>
      <c r="B102" s="222" t="n"/>
      <c r="C102" s="222" t="n"/>
      <c r="D102" s="220" t="n"/>
      <c r="E102" s="220" t="n"/>
      <c r="F102" s="181" t="n"/>
      <c r="G102" s="219" t="n"/>
      <c r="H102" s="220" t="n"/>
      <c r="I102" s="221" t="n"/>
    </row>
    <row r="103" ht="15" customHeight="1" s="131">
      <c r="A103" s="220" t="n"/>
      <c r="B103" s="222" t="n"/>
      <c r="C103" s="222" t="n"/>
      <c r="D103" s="220" t="n"/>
      <c r="E103" s="220" t="n"/>
      <c r="F103" s="181" t="n"/>
      <c r="G103" s="219" t="n"/>
      <c r="H103" s="220" t="n"/>
      <c r="I103" s="221" t="n"/>
    </row>
    <row r="104" ht="15" customHeight="1" s="131">
      <c r="A104" s="220" t="n"/>
      <c r="B104" s="222" t="n"/>
      <c r="C104" s="222" t="n"/>
      <c r="D104" s="220" t="n"/>
      <c r="E104" s="220" t="n"/>
      <c r="F104" s="181" t="n"/>
      <c r="G104" s="219" t="n"/>
      <c r="H104" s="220" t="n"/>
      <c r="I104" s="221" t="n"/>
    </row>
    <row r="105" ht="15" customHeight="1" s="131">
      <c r="A105" s="220" t="n"/>
      <c r="B105" s="222" t="n"/>
      <c r="C105" s="222" t="n"/>
      <c r="D105" s="220" t="n"/>
      <c r="E105" s="220" t="n"/>
      <c r="F105" s="181" t="n"/>
      <c r="G105" s="219" t="n"/>
      <c r="H105" s="220" t="n"/>
      <c r="I105" s="221" t="n"/>
    </row>
    <row r="106" ht="15" customHeight="1" s="131">
      <c r="A106" s="220" t="n"/>
      <c r="B106" s="222" t="n"/>
      <c r="C106" s="222" t="n"/>
      <c r="D106" s="220" t="n"/>
      <c r="E106" s="220" t="n"/>
      <c r="F106" s="181" t="n"/>
      <c r="G106" s="219" t="n"/>
      <c r="H106" s="220" t="n"/>
      <c r="I106" s="221" t="n"/>
    </row>
    <row r="107" ht="15" customHeight="1" s="131">
      <c r="A107" s="220" t="n"/>
      <c r="B107" s="222" t="n"/>
      <c r="C107" s="222" t="n"/>
      <c r="D107" s="220" t="n"/>
      <c r="E107" s="220" t="n"/>
      <c r="F107" s="181" t="n"/>
      <c r="G107" s="219" t="n"/>
      <c r="H107" s="220" t="n"/>
      <c r="I107" s="221" t="n"/>
    </row>
    <row r="108" ht="15" customHeight="1" s="131">
      <c r="A108" s="220" t="n"/>
      <c r="B108" s="222" t="n"/>
      <c r="C108" s="222" t="n"/>
      <c r="D108" s="220" t="n"/>
      <c r="E108" s="220" t="n"/>
      <c r="F108" s="181" t="n"/>
      <c r="G108" s="219" t="n"/>
      <c r="H108" s="220" t="n"/>
      <c r="I108" s="221" t="n"/>
    </row>
    <row r="109" ht="15" customHeight="1" s="131">
      <c r="A109" s="220" t="n"/>
      <c r="B109" s="222" t="n"/>
      <c r="C109" s="222" t="n"/>
      <c r="D109" s="220" t="n"/>
      <c r="E109" s="220" t="n"/>
      <c r="F109" s="181" t="n"/>
      <c r="G109" s="219" t="n"/>
      <c r="H109" s="220" t="n"/>
      <c r="I109" s="221" t="n"/>
    </row>
    <row r="110" ht="15" customHeight="1" s="131">
      <c r="A110" s="220" t="n"/>
      <c r="B110" s="222" t="n"/>
      <c r="C110" s="222" t="n"/>
      <c r="D110" s="220" t="n"/>
      <c r="E110" s="220" t="n"/>
      <c r="F110" s="181" t="n"/>
      <c r="G110" s="219" t="n"/>
      <c r="H110" s="220" t="n"/>
      <c r="I110" s="221" t="n"/>
    </row>
    <row r="111" ht="15" customHeight="1" s="131">
      <c r="A111" s="220" t="n"/>
      <c r="B111" s="222" t="n"/>
      <c r="C111" s="222" t="n"/>
      <c r="D111" s="220" t="n"/>
      <c r="E111" s="220" t="n"/>
      <c r="F111" s="181" t="n"/>
      <c r="G111" s="219" t="n"/>
      <c r="H111" s="220" t="n"/>
      <c r="I111" s="221" t="n"/>
    </row>
    <row r="112" ht="15" customHeight="1" s="131">
      <c r="A112" s="220" t="n"/>
      <c r="B112" s="222" t="n"/>
      <c r="C112" s="222" t="n"/>
      <c r="D112" s="220" t="n"/>
      <c r="E112" s="220" t="n"/>
      <c r="F112" s="181" t="n"/>
      <c r="G112" s="219" t="n"/>
      <c r="H112" s="220" t="n"/>
      <c r="I112" s="221" t="n"/>
    </row>
    <row r="113" ht="15" customHeight="1" s="131">
      <c r="A113" s="220" t="n"/>
      <c r="B113" s="222" t="n"/>
      <c r="C113" s="222" t="n"/>
      <c r="D113" s="220" t="n"/>
      <c r="E113" s="220" t="n"/>
      <c r="F113" s="181" t="n"/>
      <c r="G113" s="219" t="n"/>
      <c r="H113" s="220" t="n"/>
      <c r="I113" s="221" t="n"/>
    </row>
    <row r="114" ht="15" customHeight="1" s="131">
      <c r="A114" s="220" t="n"/>
      <c r="B114" s="222" t="n"/>
      <c r="C114" s="222" t="n"/>
      <c r="D114" s="220" t="n"/>
      <c r="E114" s="220" t="n"/>
      <c r="F114" s="181" t="n"/>
      <c r="G114" s="219" t="n"/>
      <c r="H114" s="220" t="n"/>
      <c r="I114" s="221" t="n"/>
    </row>
    <row r="115" ht="15" customHeight="1" s="131">
      <c r="A115" s="220" t="n"/>
      <c r="B115" s="222" t="n"/>
      <c r="C115" s="222" t="n"/>
      <c r="D115" s="220" t="n"/>
      <c r="E115" s="220" t="n"/>
      <c r="F115" s="181" t="n"/>
      <c r="G115" s="219" t="n"/>
      <c r="H115" s="220" t="n"/>
      <c r="I115" s="221" t="n"/>
    </row>
    <row r="116" ht="15" customHeight="1" s="131">
      <c r="A116" s="220" t="n"/>
      <c r="B116" s="222" t="n"/>
      <c r="C116" s="222" t="n"/>
      <c r="D116" s="220" t="n"/>
      <c r="E116" s="220" t="n"/>
      <c r="F116" s="181" t="n"/>
      <c r="G116" s="219" t="n"/>
      <c r="H116" s="220" t="n"/>
      <c r="I116" s="221" t="n"/>
    </row>
    <row r="117" ht="15" customHeight="1" s="131">
      <c r="A117" s="220" t="n"/>
      <c r="B117" s="222" t="n"/>
      <c r="C117" s="222" t="n"/>
      <c r="D117" s="220" t="n"/>
      <c r="E117" s="220" t="n"/>
      <c r="F117" s="181" t="n"/>
      <c r="G117" s="219" t="n"/>
      <c r="H117" s="220" t="n"/>
      <c r="I117" s="221" t="n"/>
    </row>
    <row r="118" ht="15" customHeight="1" s="131">
      <c r="A118" s="220" t="n"/>
      <c r="B118" s="222" t="n"/>
      <c r="C118" s="222" t="n"/>
      <c r="D118" s="220" t="n"/>
      <c r="E118" s="220" t="n"/>
      <c r="F118" s="181" t="n"/>
      <c r="G118" s="219" t="n"/>
      <c r="H118" s="220" t="n"/>
      <c r="I118" s="221" t="n"/>
    </row>
    <row r="119" ht="15" customHeight="1" s="131">
      <c r="A119" s="220" t="n"/>
      <c r="B119" s="222" t="n"/>
      <c r="C119" s="222" t="n"/>
      <c r="D119" s="220" t="n"/>
      <c r="E119" s="220" t="n"/>
      <c r="F119" s="181" t="n"/>
      <c r="G119" s="219" t="n"/>
      <c r="H119" s="220" t="n"/>
      <c r="I119" s="221" t="n"/>
    </row>
    <row r="120" ht="15" customHeight="1" s="131">
      <c r="A120" s="220" t="n"/>
      <c r="B120" s="222" t="n"/>
      <c r="C120" s="222" t="n"/>
      <c r="D120" s="220" t="n"/>
      <c r="E120" s="220" t="n"/>
      <c r="F120" s="181" t="n"/>
      <c r="G120" s="219" t="n"/>
      <c r="H120" s="220" t="n"/>
      <c r="I120" s="221" t="n"/>
    </row>
    <row r="121" ht="15" customHeight="1" s="131">
      <c r="A121" s="220" t="n"/>
      <c r="B121" s="222" t="n"/>
      <c r="C121" s="222" t="n"/>
      <c r="D121" s="220" t="n"/>
      <c r="E121" s="220" t="n"/>
      <c r="F121" s="181" t="n"/>
      <c r="G121" s="219" t="n"/>
      <c r="H121" s="220" t="n"/>
      <c r="I121" s="221" t="n"/>
    </row>
    <row r="122" ht="15" customHeight="1" s="131">
      <c r="A122" s="220" t="n"/>
      <c r="B122" s="222" t="n"/>
      <c r="C122" s="222" t="n"/>
      <c r="D122" s="220" t="n"/>
      <c r="E122" s="220" t="n"/>
      <c r="F122" s="181" t="n"/>
      <c r="G122" s="219" t="n"/>
      <c r="H122" s="220" t="n"/>
      <c r="I122" s="221" t="n"/>
    </row>
    <row r="123" ht="15" customHeight="1" s="131">
      <c r="A123" s="220" t="n"/>
      <c r="B123" s="222" t="n"/>
      <c r="C123" s="222" t="n"/>
      <c r="D123" s="220" t="n"/>
      <c r="E123" s="220" t="n"/>
      <c r="F123" s="181" t="n"/>
      <c r="G123" s="219" t="n"/>
      <c r="H123" s="220" t="n"/>
      <c r="I123" s="221" t="n"/>
    </row>
    <row r="124" ht="15" customHeight="1" s="131">
      <c r="A124" s="220" t="n"/>
      <c r="B124" s="222" t="n"/>
      <c r="C124" s="222" t="n"/>
      <c r="D124" s="220" t="n"/>
      <c r="E124" s="220" t="n"/>
      <c r="F124" s="181" t="n"/>
      <c r="G124" s="219" t="n"/>
      <c r="H124" s="220" t="n"/>
      <c r="I124" s="221" t="n"/>
    </row>
    <row r="125" ht="15" customHeight="1" s="131">
      <c r="A125" s="220" t="n"/>
      <c r="B125" s="222" t="n"/>
      <c r="C125" s="222" t="n"/>
      <c r="D125" s="220" t="n"/>
      <c r="E125" s="220" t="n"/>
      <c r="F125" s="181" t="n"/>
      <c r="G125" s="219" t="n"/>
      <c r="H125" s="220" t="n"/>
      <c r="I125" s="221" t="n"/>
    </row>
    <row r="126" ht="15" customHeight="1" s="131">
      <c r="A126" s="220" t="n"/>
      <c r="B126" s="222" t="n"/>
      <c r="C126" s="222" t="n"/>
      <c r="D126" s="220" t="n"/>
      <c r="E126" s="220" t="n"/>
      <c r="F126" s="181" t="n"/>
      <c r="G126" s="219" t="n"/>
      <c r="H126" s="220" t="n"/>
      <c r="I126" s="221" t="n"/>
    </row>
    <row r="127" ht="15" customHeight="1" s="131">
      <c r="A127" s="220" t="n"/>
      <c r="B127" s="222" t="n"/>
      <c r="C127" s="222" t="n"/>
      <c r="D127" s="220" t="n"/>
      <c r="E127" s="220" t="n"/>
      <c r="F127" s="181" t="n"/>
      <c r="G127" s="219" t="n"/>
      <c r="H127" s="220" t="n"/>
      <c r="I127" s="221" t="n"/>
    </row>
    <row r="128" ht="15" customHeight="1" s="131">
      <c r="A128" s="220" t="n"/>
      <c r="B128" s="222" t="n"/>
      <c r="C128" s="222" t="n"/>
      <c r="D128" s="220" t="n"/>
      <c r="E128" s="220" t="n"/>
      <c r="F128" s="181" t="n"/>
      <c r="G128" s="219" t="n"/>
      <c r="H128" s="220" t="n"/>
      <c r="I128" s="221" t="n"/>
    </row>
    <row r="129" ht="15" customHeight="1" s="131">
      <c r="A129" s="220" t="n"/>
      <c r="B129" s="222" t="n"/>
      <c r="C129" s="222" t="n"/>
      <c r="D129" s="220" t="n"/>
      <c r="E129" s="220" t="n"/>
      <c r="F129" s="181" t="n"/>
      <c r="G129" s="219" t="n"/>
      <c r="H129" s="220" t="n"/>
      <c r="I129" s="221" t="n"/>
    </row>
    <row r="130" ht="15" customHeight="1" s="131">
      <c r="A130" s="220" t="n"/>
      <c r="B130" s="222" t="n"/>
      <c r="C130" s="222" t="n"/>
      <c r="D130" s="220" t="n"/>
      <c r="E130" s="220" t="n"/>
      <c r="F130" s="181" t="n"/>
      <c r="G130" s="219" t="n"/>
      <c r="H130" s="220" t="n"/>
      <c r="I130" s="221" t="n"/>
    </row>
    <row r="131" ht="15" customHeight="1" s="131">
      <c r="A131" s="220" t="n"/>
      <c r="B131" s="222" t="n"/>
      <c r="C131" s="222" t="n"/>
      <c r="D131" s="220" t="n"/>
      <c r="E131" s="220" t="n"/>
      <c r="F131" s="181" t="n"/>
      <c r="G131" s="219" t="n"/>
      <c r="H131" s="220" t="n"/>
      <c r="I131" s="221" t="n"/>
    </row>
    <row r="132" ht="15" customHeight="1" s="131">
      <c r="A132" s="220" t="n"/>
      <c r="B132" s="222" t="n"/>
      <c r="C132" s="222" t="n"/>
      <c r="D132" s="220" t="n"/>
      <c r="E132" s="220" t="n"/>
      <c r="F132" s="181" t="n"/>
      <c r="G132" s="219" t="n"/>
      <c r="H132" s="220" t="n"/>
      <c r="I132" s="221" t="n"/>
    </row>
    <row r="133" ht="15" customHeight="1" s="131">
      <c r="A133" s="220" t="n"/>
      <c r="B133" s="222" t="n"/>
      <c r="C133" s="222" t="n"/>
      <c r="D133" s="220" t="n"/>
      <c r="E133" s="220" t="n"/>
      <c r="F133" s="181" t="n"/>
      <c r="G133" s="219" t="n"/>
      <c r="H133" s="220" t="n"/>
      <c r="I133" s="221" t="n"/>
    </row>
    <row r="134" ht="15" customHeight="1" s="131">
      <c r="A134" s="220" t="n"/>
      <c r="B134" s="222" t="n"/>
      <c r="C134" s="222" t="n"/>
      <c r="D134" s="220" t="n"/>
      <c r="E134" s="220" t="n"/>
      <c r="F134" s="181" t="n"/>
      <c r="G134" s="219" t="n"/>
      <c r="H134" s="220" t="n"/>
      <c r="I134" s="221" t="n"/>
    </row>
    <row r="135" ht="15" customHeight="1" s="131">
      <c r="A135" s="220" t="n"/>
      <c r="B135" s="222" t="n"/>
      <c r="C135" s="222" t="n"/>
      <c r="D135" s="220" t="n"/>
      <c r="E135" s="220" t="n"/>
      <c r="F135" s="181" t="n"/>
      <c r="G135" s="219" t="n"/>
      <c r="H135" s="220" t="n"/>
      <c r="I135" s="221" t="n"/>
    </row>
    <row r="136" ht="15" customHeight="1" s="131">
      <c r="A136" s="220" t="n"/>
      <c r="B136" s="222" t="n"/>
      <c r="C136" s="222" t="n"/>
      <c r="D136" s="220" t="n"/>
      <c r="E136" s="220" t="n"/>
      <c r="F136" s="181" t="n"/>
      <c r="G136" s="219" t="n"/>
      <c r="H136" s="220" t="n"/>
      <c r="I136" s="221" t="n"/>
    </row>
    <row r="137" ht="15" customHeight="1" s="131">
      <c r="A137" s="220" t="n"/>
      <c r="B137" s="222" t="n"/>
      <c r="C137" s="222" t="n"/>
      <c r="D137" s="220" t="n"/>
      <c r="E137" s="220" t="n"/>
      <c r="F137" s="181" t="n"/>
      <c r="G137" s="219" t="n"/>
      <c r="H137" s="220" t="n"/>
      <c r="I137" s="221" t="n"/>
    </row>
    <row r="138" ht="15" customHeight="1" s="131">
      <c r="A138" s="220" t="n"/>
      <c r="B138" s="222" t="n"/>
      <c r="C138" s="222" t="n"/>
      <c r="D138" s="220" t="n"/>
      <c r="E138" s="220" t="n"/>
      <c r="F138" s="181" t="n"/>
      <c r="G138" s="219" t="n"/>
      <c r="H138" s="220" t="n"/>
      <c r="I138" s="221" t="n"/>
    </row>
    <row r="139" ht="15" customHeight="1" s="131">
      <c r="A139" s="220" t="n"/>
      <c r="B139" s="222" t="n"/>
      <c r="C139" s="222" t="n"/>
      <c r="D139" s="220" t="n"/>
      <c r="E139" s="220" t="n"/>
      <c r="F139" s="181" t="n"/>
      <c r="G139" s="219" t="n"/>
      <c r="H139" s="220" t="n"/>
      <c r="I139" s="221" t="n"/>
    </row>
    <row r="140" ht="15" customHeight="1" s="131">
      <c r="A140" s="220" t="n"/>
      <c r="B140" s="222" t="n"/>
      <c r="C140" s="222" t="n"/>
      <c r="D140" s="220" t="n"/>
      <c r="E140" s="220" t="n"/>
      <c r="F140" s="181" t="n"/>
      <c r="G140" s="219" t="n"/>
      <c r="H140" s="220" t="n"/>
      <c r="I140" s="221" t="n"/>
    </row>
    <row r="141" ht="15" customHeight="1" s="131">
      <c r="A141" s="220" t="n"/>
      <c r="B141" s="222" t="n"/>
      <c r="C141" s="222" t="n"/>
      <c r="D141" s="220" t="n"/>
      <c r="E141" s="220" t="n"/>
      <c r="F141" s="181" t="n"/>
      <c r="G141" s="219" t="n"/>
      <c r="H141" s="220" t="n"/>
      <c r="I141" s="221" t="n"/>
    </row>
    <row r="142" ht="15" customHeight="1" s="131">
      <c r="A142" s="220" t="n"/>
      <c r="B142" s="222" t="n"/>
      <c r="C142" s="222" t="n"/>
      <c r="D142" s="220" t="n"/>
      <c r="E142" s="220" t="n"/>
      <c r="F142" s="181" t="n"/>
      <c r="G142" s="219" t="n"/>
      <c r="H142" s="220" t="n"/>
      <c r="I142" s="221" t="n"/>
    </row>
    <row r="143" ht="15" customHeight="1" s="131">
      <c r="A143" s="220" t="n"/>
      <c r="B143" s="222" t="n"/>
      <c r="C143" s="222" t="n"/>
      <c r="D143" s="220" t="n"/>
      <c r="E143" s="220" t="n"/>
      <c r="F143" s="181" t="n"/>
      <c r="G143" s="219" t="n"/>
      <c r="H143" s="220" t="n"/>
      <c r="I143" s="221" t="n"/>
    </row>
    <row r="144" ht="15" customHeight="1" s="131">
      <c r="A144" s="220" t="n"/>
      <c r="B144" s="222" t="n"/>
      <c r="C144" s="222" t="n"/>
      <c r="D144" s="220" t="n"/>
      <c r="E144" s="220" t="n"/>
      <c r="F144" s="181" t="n"/>
      <c r="G144" s="219" t="n"/>
      <c r="H144" s="220" t="n"/>
      <c r="I144" s="221" t="n"/>
    </row>
    <row r="145" ht="15" customHeight="1" s="131">
      <c r="A145" s="220" t="n"/>
      <c r="B145" s="222" t="n"/>
      <c r="C145" s="222" t="n"/>
      <c r="D145" s="220" t="n"/>
      <c r="E145" s="220" t="n"/>
      <c r="F145" s="181" t="n"/>
      <c r="G145" s="219" t="n"/>
      <c r="H145" s="220" t="n"/>
      <c r="I145" s="221" t="n"/>
    </row>
    <row r="146" ht="15" customHeight="1" s="131">
      <c r="A146" s="220" t="n"/>
      <c r="B146" s="222" t="n"/>
      <c r="C146" s="222" t="n"/>
      <c r="D146" s="220" t="n"/>
      <c r="E146" s="220" t="n"/>
      <c r="F146" s="181" t="n"/>
      <c r="G146" s="219" t="n"/>
      <c r="H146" s="220" t="n"/>
      <c r="I146" s="221" t="n"/>
    </row>
    <row r="147" ht="15" customHeight="1" s="131">
      <c r="A147" s="220" t="n"/>
      <c r="B147" s="222" t="n"/>
      <c r="C147" s="222" t="n"/>
      <c r="D147" s="220" t="n"/>
      <c r="E147" s="220" t="n"/>
      <c r="F147" s="181" t="n"/>
      <c r="G147" s="219" t="n"/>
      <c r="H147" s="220" t="n"/>
      <c r="I147" s="221" t="n"/>
    </row>
    <row r="148" ht="15" customHeight="1" s="131">
      <c r="A148" s="220" t="n"/>
      <c r="B148" s="222" t="n"/>
      <c r="C148" s="222" t="n"/>
      <c r="D148" s="220" t="n"/>
      <c r="E148" s="220" t="n"/>
      <c r="F148" s="181" t="n"/>
      <c r="G148" s="219" t="n"/>
      <c r="H148" s="220" t="n"/>
      <c r="I148" s="221" t="n"/>
    </row>
    <row r="149" ht="15" customHeight="1" s="131">
      <c r="A149" s="220" t="n"/>
      <c r="B149" s="222" t="n"/>
      <c r="C149" s="222" t="n"/>
      <c r="D149" s="220" t="n"/>
      <c r="E149" s="220" t="n"/>
      <c r="F149" s="181" t="n"/>
      <c r="G149" s="219" t="n"/>
      <c r="H149" s="220" t="n"/>
      <c r="I149" s="221" t="n"/>
    </row>
    <row r="150" ht="15" customHeight="1" s="131">
      <c r="A150" s="220" t="n"/>
      <c r="B150" s="222" t="n"/>
      <c r="C150" s="222" t="n"/>
      <c r="D150" s="220" t="n"/>
      <c r="E150" s="220" t="n"/>
      <c r="F150" s="181" t="n"/>
      <c r="G150" s="219" t="n"/>
      <c r="H150" s="220" t="n"/>
      <c r="I150" s="221" t="n"/>
    </row>
    <row r="151" ht="15" customHeight="1" s="131">
      <c r="A151" s="220" t="n"/>
      <c r="B151" s="222" t="n"/>
      <c r="C151" s="222" t="n"/>
      <c r="D151" s="220" t="n"/>
      <c r="E151" s="220" t="n"/>
      <c r="F151" s="181" t="n"/>
      <c r="G151" s="219" t="n"/>
      <c r="H151" s="220" t="n"/>
      <c r="I151" s="221" t="n"/>
    </row>
    <row r="152" ht="15" customHeight="1" s="131">
      <c r="A152" s="220" t="n"/>
      <c r="B152" s="222" t="n"/>
      <c r="C152" s="222" t="n"/>
      <c r="D152" s="220" t="n"/>
      <c r="E152" s="220" t="n"/>
      <c r="F152" s="181" t="n"/>
      <c r="G152" s="219" t="n"/>
      <c r="H152" s="220" t="n"/>
      <c r="I152" s="221" t="n"/>
    </row>
    <row r="153" ht="15" customHeight="1" s="131">
      <c r="A153" s="220" t="n"/>
      <c r="B153" s="222" t="n"/>
      <c r="C153" s="222" t="n"/>
      <c r="D153" s="220" t="n"/>
      <c r="E153" s="220" t="n"/>
      <c r="F153" s="181" t="n"/>
      <c r="G153" s="219" t="n"/>
      <c r="H153" s="220" t="n"/>
      <c r="I153" s="221" t="n"/>
    </row>
    <row r="154" ht="15" customHeight="1" s="131">
      <c r="A154" s="220" t="n"/>
      <c r="B154" s="222" t="n"/>
      <c r="C154" s="222" t="n"/>
      <c r="D154" s="220" t="n"/>
      <c r="E154" s="220" t="n"/>
      <c r="F154" s="181" t="n"/>
      <c r="G154" s="219" t="n"/>
      <c r="H154" s="220" t="n"/>
      <c r="I154" s="221" t="n"/>
    </row>
    <row r="155" ht="15" customHeight="1" s="131">
      <c r="A155" s="220" t="n"/>
      <c r="B155" s="222" t="n"/>
      <c r="C155" s="222" t="n"/>
      <c r="D155" s="220" t="n"/>
      <c r="E155" s="220" t="n"/>
      <c r="F155" s="181" t="n"/>
      <c r="G155" s="219" t="n"/>
      <c r="H155" s="220" t="n"/>
      <c r="I155" s="221" t="n"/>
    </row>
    <row r="156" ht="15" customHeight="1" s="131">
      <c r="A156" s="220" t="n"/>
      <c r="B156" s="222" t="n"/>
      <c r="C156" s="222" t="n"/>
      <c r="D156" s="220" t="n"/>
      <c r="E156" s="220" t="n"/>
      <c r="F156" s="181" t="n"/>
      <c r="G156" s="219" t="n"/>
      <c r="H156" s="220" t="n"/>
      <c r="I156" s="221" t="n"/>
    </row>
    <row r="157" ht="15" customHeight="1" s="131">
      <c r="A157" s="220" t="n"/>
      <c r="B157" s="222" t="n"/>
      <c r="C157" s="222" t="n"/>
      <c r="D157" s="220" t="n"/>
      <c r="E157" s="220" t="n"/>
      <c r="F157" s="181" t="n"/>
      <c r="G157" s="219" t="n"/>
      <c r="H157" s="220" t="n"/>
      <c r="I157" s="221" t="n"/>
    </row>
    <row r="158" ht="15" customHeight="1" s="131">
      <c r="A158" s="220" t="n"/>
      <c r="B158" s="222" t="n"/>
      <c r="C158" s="222" t="n"/>
      <c r="D158" s="220" t="n"/>
      <c r="E158" s="220" t="n"/>
      <c r="F158" s="181" t="n"/>
      <c r="G158" s="219" t="n"/>
      <c r="H158" s="220" t="n"/>
      <c r="I158" s="221" t="n"/>
    </row>
    <row r="159" ht="15" customHeight="1" s="131">
      <c r="A159" s="220" t="n"/>
      <c r="B159" s="222" t="n"/>
      <c r="C159" s="222" t="n"/>
      <c r="D159" s="220" t="n"/>
      <c r="E159" s="220" t="n"/>
      <c r="F159" s="181" t="n"/>
      <c r="G159" s="219" t="n"/>
      <c r="H159" s="220" t="n"/>
      <c r="I159" s="221" t="n"/>
    </row>
    <row r="160" ht="15" customHeight="1" s="131">
      <c r="A160" s="220" t="n"/>
      <c r="B160" s="222" t="n"/>
      <c r="C160" s="222" t="n"/>
      <c r="D160" s="220" t="n"/>
      <c r="E160" s="220" t="n"/>
      <c r="F160" s="181" t="n"/>
      <c r="G160" s="219" t="n"/>
      <c r="H160" s="220" t="n"/>
      <c r="I160" s="221" t="n"/>
    </row>
    <row r="161" ht="15" customHeight="1" s="131">
      <c r="A161" s="220" t="n"/>
      <c r="B161" s="222" t="n"/>
      <c r="C161" s="222" t="n"/>
      <c r="D161" s="220" t="n"/>
      <c r="E161" s="220" t="n"/>
      <c r="F161" s="181" t="n"/>
      <c r="G161" s="219" t="n"/>
      <c r="H161" s="220" t="n"/>
      <c r="I161" s="221" t="n"/>
    </row>
    <row r="162" ht="15" customHeight="1" s="131">
      <c r="A162" s="220" t="n"/>
      <c r="B162" s="222" t="n"/>
      <c r="C162" s="222" t="n"/>
      <c r="D162" s="220" t="n"/>
      <c r="E162" s="220" t="n"/>
      <c r="F162" s="181" t="n"/>
      <c r="G162" s="219" t="n"/>
      <c r="H162" s="220" t="n"/>
      <c r="I162" s="221" t="n"/>
    </row>
    <row r="163" ht="15" customHeight="1" s="131">
      <c r="A163" s="220" t="n"/>
      <c r="B163" s="222" t="n"/>
      <c r="C163" s="222" t="n"/>
      <c r="D163" s="220" t="n"/>
      <c r="E163" s="220" t="n"/>
      <c r="F163" s="181" t="n"/>
      <c r="G163" s="219" t="n"/>
      <c r="H163" s="220" t="n"/>
      <c r="I163" s="221" t="n"/>
    </row>
    <row r="164" ht="15" customHeight="1" s="131">
      <c r="A164" s="220" t="n"/>
      <c r="B164" s="222" t="n"/>
      <c r="C164" s="222" t="n"/>
      <c r="D164" s="220" t="n"/>
      <c r="E164" s="220" t="n"/>
      <c r="F164" s="181" t="n"/>
      <c r="G164" s="219" t="n"/>
      <c r="H164" s="220" t="n"/>
      <c r="I164" s="221" t="n"/>
    </row>
    <row r="165" ht="15" customHeight="1" s="131">
      <c r="A165" s="220" t="n"/>
      <c r="B165" s="222" t="n"/>
      <c r="C165" s="222" t="n"/>
      <c r="D165" s="220" t="n"/>
      <c r="E165" s="220" t="n"/>
      <c r="F165" s="181" t="n"/>
      <c r="G165" s="219" t="n"/>
      <c r="H165" s="220" t="n"/>
      <c r="I165" s="221" t="n"/>
    </row>
    <row r="166" ht="15" customHeight="1" s="131">
      <c r="A166" s="220" t="n"/>
      <c r="B166" s="222" t="n"/>
      <c r="C166" s="222" t="n"/>
      <c r="D166" s="220" t="n"/>
      <c r="E166" s="220" t="n"/>
      <c r="F166" s="181" t="n"/>
      <c r="G166" s="219" t="n"/>
      <c r="H166" s="220" t="n"/>
      <c r="I166" s="221" t="n"/>
    </row>
    <row r="167" ht="15" customHeight="1" s="131">
      <c r="A167" s="220" t="n"/>
      <c r="B167" s="222" t="n"/>
      <c r="C167" s="222" t="n"/>
      <c r="D167" s="220" t="n"/>
      <c r="E167" s="220" t="n"/>
      <c r="F167" s="181" t="n"/>
      <c r="G167" s="219" t="n"/>
      <c r="H167" s="220" t="n"/>
      <c r="I167" s="221" t="n"/>
    </row>
    <row r="168" ht="15" customHeight="1" s="131">
      <c r="A168" s="220" t="n"/>
      <c r="B168" s="222" t="n"/>
      <c r="C168" s="222" t="n"/>
      <c r="D168" s="220" t="n"/>
      <c r="E168" s="220" t="n"/>
      <c r="F168" s="181" t="n"/>
      <c r="G168" s="219" t="n"/>
      <c r="H168" s="220" t="n"/>
      <c r="I168" s="221" t="n"/>
    </row>
    <row r="169" ht="15" customHeight="1" s="131">
      <c r="A169" s="220" t="n"/>
      <c r="B169" s="222" t="n"/>
      <c r="C169" s="222" t="n"/>
      <c r="D169" s="220" t="n"/>
      <c r="E169" s="220" t="n"/>
      <c r="F169" s="181" t="n"/>
      <c r="G169" s="219" t="n"/>
      <c r="H169" s="220" t="n"/>
      <c r="I169" s="221" t="n"/>
    </row>
    <row r="170" ht="15" customHeight="1" s="131">
      <c r="A170" s="220" t="n"/>
      <c r="B170" s="222" t="n"/>
      <c r="C170" s="222" t="n"/>
      <c r="D170" s="220" t="n"/>
      <c r="E170" s="220" t="n"/>
      <c r="F170" s="181" t="n"/>
      <c r="G170" s="219" t="n"/>
      <c r="H170" s="220" t="n"/>
      <c r="I170" s="221" t="n"/>
    </row>
    <row r="171" ht="15" customHeight="1" s="131">
      <c r="A171" s="220" t="n"/>
      <c r="B171" s="222" t="n"/>
      <c r="C171" s="222" t="n"/>
      <c r="D171" s="220" t="n"/>
      <c r="E171" s="220" t="n"/>
      <c r="F171" s="181" t="n"/>
      <c r="G171" s="219" t="n"/>
      <c r="H171" s="220" t="n"/>
      <c r="I171" s="221" t="n"/>
    </row>
    <row r="172" ht="15" customHeight="1" s="131">
      <c r="A172" s="220" t="n"/>
      <c r="B172" s="222" t="n"/>
      <c r="C172" s="222" t="n"/>
      <c r="D172" s="220" t="n"/>
      <c r="E172" s="220" t="n"/>
      <c r="F172" s="181" t="n"/>
      <c r="G172" s="219" t="n"/>
      <c r="H172" s="220" t="n"/>
      <c r="I172" s="221" t="n"/>
    </row>
    <row r="173" ht="15" customHeight="1" s="131">
      <c r="A173" s="220" t="n"/>
      <c r="B173" s="222" t="n"/>
      <c r="C173" s="222" t="n"/>
      <c r="D173" s="220" t="n"/>
      <c r="E173" s="220" t="n"/>
      <c r="F173" s="181" t="n"/>
      <c r="G173" s="219" t="n"/>
      <c r="H173" s="220" t="n"/>
      <c r="I173" s="221" t="n"/>
    </row>
    <row r="174" ht="15" customHeight="1" s="131">
      <c r="A174" s="220" t="n"/>
      <c r="B174" s="222" t="n"/>
      <c r="C174" s="222" t="n"/>
      <c r="D174" s="220" t="n"/>
      <c r="E174" s="220" t="n"/>
      <c r="F174" s="181" t="n"/>
      <c r="G174" s="219" t="n"/>
      <c r="H174" s="220" t="n"/>
      <c r="I174" s="221" t="n"/>
    </row>
    <row r="175" ht="15" customHeight="1" s="131">
      <c r="A175" s="220" t="n"/>
      <c r="B175" s="222" t="n"/>
      <c r="C175" s="222" t="n"/>
      <c r="D175" s="220" t="n"/>
      <c r="E175" s="220" t="n"/>
      <c r="F175" s="181" t="n"/>
      <c r="G175" s="219" t="n"/>
      <c r="H175" s="220" t="n"/>
      <c r="I175" s="221" t="n"/>
    </row>
    <row r="176" ht="15" customHeight="1" s="131">
      <c r="A176" s="220" t="n"/>
      <c r="B176" s="222" t="n"/>
      <c r="C176" s="222" t="n"/>
      <c r="D176" s="220" t="n"/>
      <c r="E176" s="220" t="n"/>
      <c r="F176" s="181" t="n"/>
      <c r="G176" s="219" t="n"/>
      <c r="H176" s="220" t="n"/>
      <c r="I176" s="221" t="n"/>
    </row>
    <row r="177" ht="15" customHeight="1" s="131">
      <c r="A177" s="220" t="n"/>
      <c r="B177" s="222" t="n"/>
      <c r="C177" s="222" t="n"/>
      <c r="D177" s="220" t="n"/>
      <c r="E177" s="220" t="n"/>
      <c r="F177" s="181" t="n"/>
      <c r="G177" s="219" t="n"/>
      <c r="H177" s="220" t="n"/>
      <c r="I177" s="221" t="n"/>
    </row>
    <row r="178" ht="15" customHeight="1" s="131">
      <c r="A178" s="220" t="n"/>
      <c r="B178" s="222" t="n"/>
      <c r="C178" s="222" t="n"/>
      <c r="D178" s="220" t="n"/>
      <c r="E178" s="220" t="n"/>
      <c r="F178" s="181" t="n"/>
      <c r="G178" s="219" t="n"/>
      <c r="H178" s="220" t="n"/>
      <c r="I178" s="221" t="n"/>
    </row>
    <row r="179" ht="15" customHeight="1" s="131">
      <c r="A179" s="220" t="n"/>
      <c r="B179" s="222" t="n"/>
      <c r="C179" s="222" t="n"/>
      <c r="D179" s="220" t="n"/>
      <c r="E179" s="220" t="n"/>
      <c r="F179" s="181" t="n"/>
      <c r="G179" s="219" t="n"/>
      <c r="H179" s="220" t="n"/>
      <c r="I179" s="221" t="n"/>
    </row>
    <row r="180" ht="15" customHeight="1" s="131">
      <c r="A180" s="220" t="n"/>
      <c r="B180" s="222" t="n"/>
      <c r="C180" s="222" t="n"/>
      <c r="D180" s="220" t="n"/>
      <c r="E180" s="220" t="n"/>
      <c r="F180" s="181" t="n"/>
      <c r="G180" s="219" t="n"/>
      <c r="H180" s="220" t="n"/>
      <c r="I180" s="221" t="n"/>
    </row>
    <row r="181" ht="15" customHeight="1" s="131">
      <c r="A181" s="220" t="n"/>
      <c r="B181" s="222" t="n"/>
      <c r="C181" s="222" t="n"/>
      <c r="D181" s="220" t="n"/>
      <c r="E181" s="220" t="n"/>
      <c r="F181" s="181" t="n"/>
      <c r="G181" s="219" t="n"/>
      <c r="H181" s="220" t="n"/>
      <c r="I181" s="221" t="n"/>
    </row>
    <row r="182" ht="15" customHeight="1" s="131">
      <c r="A182" s="220" t="n"/>
      <c r="B182" s="222" t="n"/>
      <c r="C182" s="222" t="n"/>
      <c r="D182" s="220" t="n"/>
      <c r="E182" s="220" t="n"/>
      <c r="F182" s="181" t="n"/>
      <c r="G182" s="219" t="n"/>
      <c r="H182" s="220" t="n"/>
      <c r="I182" s="221" t="n"/>
    </row>
    <row r="183" ht="15" customHeight="1" s="131">
      <c r="A183" s="220" t="n"/>
      <c r="B183" s="222" t="n"/>
      <c r="C183" s="222" t="n"/>
      <c r="D183" s="220" t="n"/>
      <c r="E183" s="220" t="n"/>
      <c r="F183" s="181" t="n"/>
      <c r="G183" s="219" t="n"/>
      <c r="H183" s="220" t="n"/>
      <c r="I183" s="221" t="n"/>
    </row>
    <row r="184" ht="15" customHeight="1" s="131">
      <c r="A184" s="220" t="n"/>
      <c r="B184" s="222" t="n"/>
      <c r="C184" s="222" t="n"/>
      <c r="D184" s="220" t="n"/>
      <c r="E184" s="220" t="n"/>
      <c r="F184" s="181" t="n"/>
      <c r="G184" s="219" t="n"/>
      <c r="H184" s="220" t="n"/>
      <c r="I184" s="221" t="n"/>
    </row>
    <row r="185" ht="15" customHeight="1" s="131">
      <c r="A185" s="220" t="n"/>
      <c r="B185" s="222" t="n"/>
      <c r="C185" s="222" t="n"/>
      <c r="D185" s="220" t="n"/>
      <c r="E185" s="220" t="n"/>
      <c r="F185" s="181" t="n"/>
      <c r="G185" s="219" t="n"/>
      <c r="H185" s="220" t="n"/>
      <c r="I185" s="221" t="n"/>
    </row>
    <row r="186" ht="15" customHeight="1" s="131">
      <c r="A186" s="220" t="n"/>
      <c r="B186" s="222" t="n"/>
      <c r="C186" s="222" t="n"/>
      <c r="D186" s="220" t="n"/>
      <c r="E186" s="220" t="n"/>
      <c r="F186" s="181" t="n"/>
      <c r="G186" s="219" t="n"/>
      <c r="H186" s="220" t="n"/>
      <c r="I186" s="221" t="n"/>
    </row>
    <row r="187" ht="15" customHeight="1" s="131">
      <c r="A187" s="220" t="n"/>
      <c r="B187" s="222" t="n"/>
      <c r="C187" s="222" t="n"/>
      <c r="D187" s="220" t="n"/>
      <c r="E187" s="220" t="n"/>
      <c r="F187" s="181" t="n"/>
      <c r="G187" s="219" t="n"/>
      <c r="H187" s="220" t="n"/>
      <c r="I187" s="221" t="n"/>
    </row>
    <row r="188" ht="15" customHeight="1" s="131">
      <c r="A188" s="220" t="n"/>
      <c r="B188" s="222" t="n"/>
      <c r="C188" s="222" t="n"/>
      <c r="D188" s="220" t="n"/>
      <c r="E188" s="220" t="n"/>
      <c r="F188" s="181" t="n"/>
      <c r="G188" s="219" t="n"/>
      <c r="H188" s="220" t="n"/>
      <c r="I188" s="221" t="n"/>
    </row>
    <row r="189" ht="15" customHeight="1" s="131">
      <c r="A189" s="220" t="n"/>
      <c r="B189" s="222" t="n"/>
      <c r="C189" s="222" t="n"/>
      <c r="D189" s="220" t="n"/>
      <c r="E189" s="220" t="n"/>
      <c r="F189" s="181" t="n"/>
      <c r="G189" s="219" t="n"/>
      <c r="H189" s="220" t="n"/>
      <c r="I189" s="221" t="n"/>
    </row>
    <row r="190" ht="15" customHeight="1" s="131">
      <c r="A190" s="220" t="n"/>
      <c r="B190" s="222" t="n"/>
      <c r="C190" s="222" t="n"/>
      <c r="D190" s="220" t="n"/>
      <c r="E190" s="220" t="n"/>
      <c r="F190" s="181" t="n"/>
      <c r="G190" s="219" t="n"/>
      <c r="H190" s="220" t="n"/>
      <c r="I190" s="221" t="n"/>
    </row>
    <row r="191" ht="15" customHeight="1" s="131">
      <c r="A191" s="220" t="n"/>
      <c r="B191" s="222" t="n"/>
      <c r="C191" s="222" t="n"/>
      <c r="D191" s="220" t="n"/>
      <c r="E191" s="220" t="n"/>
      <c r="F191" s="181" t="n"/>
      <c r="G191" s="219" t="n"/>
      <c r="H191" s="220" t="n"/>
      <c r="I191" s="221" t="n"/>
    </row>
    <row r="192" ht="15" customHeight="1" s="131">
      <c r="A192" s="220" t="n"/>
      <c r="B192" s="222" t="n"/>
      <c r="C192" s="222" t="n"/>
      <c r="D192" s="220" t="n"/>
      <c r="E192" s="220" t="n"/>
      <c r="F192" s="181" t="n"/>
      <c r="G192" s="219" t="n"/>
      <c r="H192" s="220" t="n"/>
      <c r="I192" s="221" t="n"/>
    </row>
    <row r="193" ht="15" customHeight="1" s="131">
      <c r="A193" s="220" t="n"/>
      <c r="B193" s="222" t="n"/>
      <c r="C193" s="222" t="n"/>
      <c r="D193" s="220" t="n"/>
      <c r="E193" s="220" t="n"/>
      <c r="F193" s="181" t="n"/>
      <c r="G193" s="219" t="n"/>
      <c r="H193" s="220" t="n"/>
      <c r="I193" s="221" t="n"/>
    </row>
    <row r="194" ht="15" customHeight="1" s="131">
      <c r="A194" s="220" t="n"/>
      <c r="B194" s="222" t="n"/>
      <c r="C194" s="222" t="n"/>
      <c r="D194" s="220" t="n"/>
      <c r="E194" s="220" t="n"/>
      <c r="F194" s="181" t="n"/>
      <c r="G194" s="219" t="n"/>
      <c r="H194" s="220" t="n"/>
      <c r="I194" s="221" t="n"/>
    </row>
    <row r="195" ht="15" customHeight="1" s="131">
      <c r="A195" s="220" t="n"/>
      <c r="B195" s="222" t="n"/>
      <c r="C195" s="222" t="n"/>
      <c r="D195" s="220" t="n"/>
      <c r="E195" s="220" t="n"/>
      <c r="F195" s="181" t="n"/>
      <c r="G195" s="219" t="n"/>
      <c r="H195" s="220" t="n"/>
      <c r="I195" s="221" t="n"/>
    </row>
    <row r="196" ht="15" customHeight="1" s="131">
      <c r="A196" s="220" t="n"/>
      <c r="B196" s="222" t="n"/>
      <c r="C196" s="222" t="n"/>
      <c r="D196" s="220" t="n"/>
      <c r="E196" s="220" t="n"/>
      <c r="F196" s="181" t="n"/>
      <c r="G196" s="219" t="n"/>
      <c r="H196" s="220" t="n"/>
      <c r="I196" s="221" t="n"/>
    </row>
    <row r="197" ht="15" customHeight="1" s="131">
      <c r="A197" s="220" t="n"/>
      <c r="B197" s="222" t="n"/>
      <c r="C197" s="222" t="n"/>
      <c r="D197" s="220" t="n"/>
      <c r="E197" s="220" t="n"/>
      <c r="F197" s="181" t="n"/>
      <c r="G197" s="219" t="n"/>
      <c r="H197" s="220" t="n"/>
      <c r="I197" s="221" t="n"/>
    </row>
    <row r="198" ht="15" customHeight="1" s="131">
      <c r="A198" s="220" t="n"/>
      <c r="B198" s="222" t="n"/>
      <c r="C198" s="222" t="n"/>
      <c r="D198" s="220" t="n"/>
      <c r="E198" s="220" t="n"/>
      <c r="F198" s="181" t="n"/>
      <c r="G198" s="219" t="n"/>
      <c r="H198" s="220" t="n"/>
      <c r="I198" s="221" t="n"/>
    </row>
    <row r="199" ht="15" customHeight="1" s="131">
      <c r="A199" s="220" t="n"/>
      <c r="B199" s="222" t="n"/>
      <c r="C199" s="222" t="n"/>
      <c r="D199" s="220" t="n"/>
      <c r="E199" s="220" t="n"/>
      <c r="F199" s="181" t="n"/>
      <c r="G199" s="219" t="n"/>
      <c r="H199" s="220" t="n"/>
      <c r="I199" s="221" t="n"/>
    </row>
    <row r="200" ht="15" customHeight="1" s="131">
      <c r="A200" s="220" t="n"/>
      <c r="B200" s="222" t="n"/>
      <c r="C200" s="222" t="n"/>
      <c r="D200" s="220" t="n"/>
      <c r="E200" s="220" t="n"/>
      <c r="F200" s="181" t="n"/>
      <c r="G200" s="219" t="n"/>
      <c r="H200" s="220" t="n"/>
      <c r="I200" s="221" t="n"/>
    </row>
    <row r="201" ht="15" customHeight="1" s="131">
      <c r="A201" s="220" t="n"/>
      <c r="B201" s="222" t="n"/>
      <c r="C201" s="222" t="n"/>
      <c r="D201" s="220" t="n"/>
      <c r="E201" s="220" t="n"/>
      <c r="F201" s="181" t="n"/>
      <c r="G201" s="219" t="n"/>
      <c r="H201" s="220" t="n"/>
      <c r="I201" s="221" t="n"/>
    </row>
    <row r="202" ht="15" customHeight="1" s="131">
      <c r="A202" s="220" t="n"/>
      <c r="B202" s="222" t="n"/>
      <c r="C202" s="222" t="n"/>
      <c r="D202" s="220" t="n"/>
      <c r="E202" s="220" t="n"/>
      <c r="F202" s="181" t="n"/>
      <c r="G202" s="219" t="n"/>
      <c r="H202" s="220" t="n"/>
      <c r="I202" s="221" t="n"/>
    </row>
    <row r="203" ht="15" customHeight="1" s="131">
      <c r="A203" s="220" t="n"/>
      <c r="B203" s="222" t="n"/>
      <c r="C203" s="222" t="n"/>
      <c r="D203" s="220" t="n"/>
      <c r="E203" s="220" t="n"/>
      <c r="F203" s="181" t="n"/>
      <c r="G203" s="219" t="n"/>
      <c r="H203" s="220" t="n"/>
      <c r="I203" s="221" t="n"/>
    </row>
    <row r="204" ht="15" customHeight="1" s="131">
      <c r="A204" s="220" t="n"/>
      <c r="B204" s="222" t="n"/>
      <c r="C204" s="222" t="n"/>
      <c r="D204" s="220" t="n"/>
      <c r="E204" s="220" t="n"/>
      <c r="F204" s="181" t="n"/>
      <c r="G204" s="219" t="n"/>
      <c r="H204" s="220" t="n"/>
      <c r="I204" s="221" t="n"/>
    </row>
    <row r="205" ht="15" customHeight="1" s="131">
      <c r="A205" s="220" t="n"/>
      <c r="B205" s="222" t="n"/>
      <c r="C205" s="222" t="n"/>
      <c r="D205" s="220" t="n"/>
      <c r="E205" s="220" t="n"/>
      <c r="F205" s="181" t="n"/>
      <c r="G205" s="219" t="n"/>
      <c r="H205" s="220" t="n"/>
      <c r="I205" s="221" t="n"/>
    </row>
    <row r="206" ht="15" customHeight="1" s="131">
      <c r="A206" s="220" t="n"/>
      <c r="B206" s="222" t="n"/>
      <c r="C206" s="222" t="n"/>
      <c r="D206" s="220" t="n"/>
      <c r="E206" s="220" t="n"/>
      <c r="F206" s="181" t="n"/>
      <c r="G206" s="219" t="n"/>
      <c r="H206" s="220" t="n"/>
      <c r="I206" s="221" t="n"/>
    </row>
    <row r="207" ht="15" customHeight="1" s="131">
      <c r="A207" s="220" t="n"/>
      <c r="B207" s="222" t="n"/>
      <c r="C207" s="222" t="n"/>
      <c r="D207" s="220" t="n"/>
      <c r="E207" s="220" t="n"/>
      <c r="F207" s="181" t="n"/>
      <c r="G207" s="219" t="n"/>
      <c r="H207" s="220" t="n"/>
      <c r="I207" s="221" t="n"/>
    </row>
    <row r="208" ht="15" customHeight="1" s="131">
      <c r="A208" s="220" t="n"/>
      <c r="B208" s="222" t="n"/>
      <c r="C208" s="222" t="n"/>
      <c r="D208" s="220" t="n"/>
      <c r="E208" s="220" t="n"/>
      <c r="F208" s="181" t="n"/>
      <c r="G208" s="219" t="n"/>
      <c r="H208" s="220" t="n"/>
      <c r="I208" s="221" t="n"/>
    </row>
    <row r="209" ht="15" customHeight="1" s="131">
      <c r="A209" s="220" t="n"/>
      <c r="B209" s="222" t="n"/>
      <c r="C209" s="222" t="n"/>
      <c r="D209" s="220" t="n"/>
      <c r="E209" s="220" t="n"/>
      <c r="F209" s="181" t="n"/>
      <c r="G209" s="219" t="n"/>
      <c r="H209" s="220" t="n"/>
      <c r="I209" s="221" t="n"/>
    </row>
    <row r="210" ht="15" customHeight="1" s="131">
      <c r="A210" s="220" t="n"/>
      <c r="B210" s="222" t="n"/>
      <c r="C210" s="222" t="n"/>
      <c r="D210" s="220" t="n"/>
      <c r="E210" s="220" t="n"/>
      <c r="F210" s="181" t="n"/>
      <c r="G210" s="219" t="n"/>
      <c r="H210" s="220" t="n"/>
      <c r="I210" s="221" t="n"/>
    </row>
    <row r="211" ht="15" customHeight="1" s="131">
      <c r="A211" s="220" t="n"/>
      <c r="B211" s="222" t="n"/>
      <c r="C211" s="222" t="n"/>
      <c r="D211" s="220" t="n"/>
      <c r="E211" s="220" t="n"/>
      <c r="F211" s="181" t="n"/>
      <c r="G211" s="219" t="n"/>
      <c r="H211" s="220" t="n"/>
      <c r="I211" s="221" t="n"/>
    </row>
    <row r="212" ht="15" customHeight="1" s="131">
      <c r="A212" s="220" t="n"/>
      <c r="B212" s="222" t="n"/>
      <c r="C212" s="222" t="n"/>
      <c r="D212" s="220" t="n"/>
      <c r="E212" s="220" t="n"/>
      <c r="F212" s="181" t="n"/>
      <c r="G212" s="219" t="n"/>
      <c r="H212" s="220" t="n"/>
      <c r="I212" s="221" t="n"/>
    </row>
    <row r="213" ht="15" customHeight="1" s="131">
      <c r="A213" s="220" t="n"/>
      <c r="B213" s="222" t="n"/>
      <c r="C213" s="222" t="n"/>
      <c r="D213" s="220" t="n"/>
      <c r="E213" s="220" t="n"/>
      <c r="F213" s="181" t="n"/>
      <c r="G213" s="219" t="n"/>
      <c r="H213" s="220" t="n"/>
      <c r="I213" s="221" t="n"/>
    </row>
    <row r="214" ht="15" customHeight="1" s="131">
      <c r="A214" s="220" t="n"/>
      <c r="B214" s="222" t="n"/>
      <c r="C214" s="222" t="n"/>
      <c r="D214" s="220" t="n"/>
      <c r="E214" s="220" t="n"/>
      <c r="F214" s="181" t="n"/>
      <c r="G214" s="219" t="n"/>
      <c r="H214" s="220" t="n"/>
      <c r="I214" s="221" t="n"/>
    </row>
    <row r="215" ht="15" customHeight="1" s="131">
      <c r="A215" s="220" t="n"/>
      <c r="B215" s="222" t="n"/>
      <c r="C215" s="222" t="n"/>
      <c r="D215" s="220" t="n"/>
      <c r="E215" s="220" t="n"/>
      <c r="F215" s="181" t="n"/>
      <c r="G215" s="219" t="n"/>
      <c r="H215" s="220" t="n"/>
      <c r="I215" s="221" t="n"/>
    </row>
    <row r="216" ht="15" customHeight="1" s="131">
      <c r="A216" s="220" t="n"/>
      <c r="B216" s="222" t="n"/>
      <c r="C216" s="222" t="n"/>
      <c r="D216" s="220" t="n"/>
      <c r="E216" s="220" t="n"/>
      <c r="F216" s="181" t="n"/>
      <c r="G216" s="219" t="n"/>
      <c r="H216" s="220" t="n"/>
      <c r="I216" s="221" t="n"/>
    </row>
    <row r="217" ht="15" customHeight="1" s="131">
      <c r="A217" s="220" t="n"/>
      <c r="B217" s="222" t="n"/>
      <c r="C217" s="222" t="n"/>
      <c r="D217" s="220" t="n"/>
      <c r="E217" s="220" t="n"/>
      <c r="F217" s="181" t="n"/>
      <c r="G217" s="219" t="n"/>
      <c r="H217" s="220" t="n"/>
      <c r="I217" s="221" t="n"/>
    </row>
    <row r="218" ht="15" customHeight="1" s="131">
      <c r="A218" s="220" t="n"/>
      <c r="B218" s="222" t="n"/>
      <c r="C218" s="222" t="n"/>
      <c r="D218" s="220" t="n"/>
      <c r="E218" s="220" t="n"/>
      <c r="F218" s="181" t="n"/>
      <c r="G218" s="219" t="n"/>
      <c r="H218" s="220" t="n"/>
      <c r="I218" s="221" t="n"/>
    </row>
    <row r="219" ht="15" customHeight="1" s="131">
      <c r="A219" s="220" t="n"/>
      <c r="B219" s="222" t="n"/>
      <c r="C219" s="222" t="n"/>
      <c r="D219" s="220" t="n"/>
      <c r="E219" s="220" t="n"/>
      <c r="F219" s="181" t="n"/>
      <c r="G219" s="219" t="n"/>
      <c r="H219" s="220" t="n"/>
      <c r="I219" s="221" t="n"/>
    </row>
    <row r="220" ht="15" customHeight="1" s="131">
      <c r="A220" s="220" t="n"/>
      <c r="B220" s="222" t="n"/>
      <c r="C220" s="222" t="n"/>
      <c r="D220" s="220" t="n"/>
      <c r="E220" s="220" t="n"/>
      <c r="F220" s="181" t="n"/>
      <c r="G220" s="219" t="n"/>
      <c r="H220" s="220" t="n"/>
      <c r="I220" s="221" t="n"/>
    </row>
    <row r="221" ht="15" customHeight="1" s="131">
      <c r="A221" s="220" t="n"/>
      <c r="B221" s="222" t="n"/>
      <c r="C221" s="222" t="n"/>
      <c r="D221" s="220" t="n"/>
      <c r="E221" s="220" t="n"/>
      <c r="F221" s="181" t="n"/>
      <c r="G221" s="219" t="n"/>
      <c r="H221" s="220" t="n"/>
      <c r="I221" s="221" t="n"/>
    </row>
    <row r="222" ht="15" customHeight="1" s="131">
      <c r="A222" s="220" t="n"/>
      <c r="B222" s="222" t="n"/>
      <c r="C222" s="222" t="n"/>
      <c r="D222" s="220" t="n"/>
      <c r="E222" s="220" t="n"/>
      <c r="F222" s="181" t="n"/>
      <c r="G222" s="219" t="n"/>
      <c r="H222" s="220" t="n"/>
      <c r="I222" s="221" t="n"/>
    </row>
    <row r="223" ht="15" customHeight="1" s="131">
      <c r="A223" s="220" t="n"/>
      <c r="B223" s="222" t="n"/>
      <c r="C223" s="222" t="n"/>
      <c r="D223" s="220" t="n"/>
      <c r="E223" s="220" t="n"/>
      <c r="F223" s="181" t="n"/>
      <c r="G223" s="219" t="n"/>
      <c r="H223" s="220" t="n"/>
      <c r="I223" s="221" t="n"/>
    </row>
    <row r="224" ht="15" customHeight="1" s="131">
      <c r="A224" s="220" t="n"/>
      <c r="B224" s="222" t="n"/>
      <c r="C224" s="222" t="n"/>
      <c r="D224" s="220" t="n"/>
      <c r="E224" s="220" t="n"/>
      <c r="F224" s="181" t="n"/>
      <c r="G224" s="219" t="n"/>
      <c r="H224" s="220" t="n"/>
      <c r="I224" s="221" t="n"/>
    </row>
    <row r="225" ht="15" customHeight="1" s="131">
      <c r="A225" s="220" t="n"/>
      <c r="B225" s="222" t="n"/>
      <c r="C225" s="222" t="n"/>
      <c r="D225" s="220" t="n"/>
      <c r="E225" s="220" t="n"/>
      <c r="F225" s="181" t="n"/>
      <c r="G225" s="219" t="n"/>
      <c r="H225" s="220" t="n"/>
      <c r="I225" s="221" t="n"/>
    </row>
    <row r="226" ht="15" customHeight="1" s="131">
      <c r="A226" s="220" t="n"/>
      <c r="B226" s="222" t="n"/>
      <c r="C226" s="222" t="n"/>
      <c r="D226" s="220" t="n"/>
      <c r="E226" s="220" t="n"/>
      <c r="F226" s="181" t="n"/>
      <c r="G226" s="219" t="n"/>
      <c r="H226" s="220" t="n"/>
      <c r="I226" s="221" t="n"/>
    </row>
    <row r="227" ht="15" customHeight="1" s="131">
      <c r="A227" s="220" t="n"/>
      <c r="B227" s="222" t="n"/>
      <c r="C227" s="222" t="n"/>
      <c r="D227" s="220" t="n"/>
      <c r="E227" s="220" t="n"/>
      <c r="F227" s="181" t="n"/>
      <c r="G227" s="219" t="n"/>
      <c r="H227" s="220" t="n"/>
      <c r="I227" s="221" t="n"/>
    </row>
    <row r="228" ht="15" customHeight="1" s="131">
      <c r="A228" s="220" t="n"/>
      <c r="B228" s="222" t="n"/>
      <c r="C228" s="222" t="n"/>
      <c r="D228" s="220" t="n"/>
      <c r="E228" s="220" t="n"/>
      <c r="F228" s="181" t="n"/>
      <c r="G228" s="219" t="n"/>
      <c r="H228" s="220" t="n"/>
      <c r="I228" s="221" t="n"/>
    </row>
    <row r="229" ht="15" customHeight="1" s="131">
      <c r="A229" s="220" t="n"/>
      <c r="B229" s="222" t="n"/>
      <c r="C229" s="222" t="n"/>
      <c r="D229" s="220" t="n"/>
      <c r="E229" s="220" t="n"/>
      <c r="F229" s="181" t="n"/>
      <c r="G229" s="219" t="n"/>
      <c r="H229" s="220" t="n"/>
      <c r="I229" s="221" t="n"/>
    </row>
    <row r="230" ht="15" customHeight="1" s="131">
      <c r="A230" s="220" t="n"/>
      <c r="B230" s="222" t="n"/>
      <c r="C230" s="222" t="n"/>
      <c r="D230" s="220" t="n"/>
      <c r="E230" s="220" t="n"/>
      <c r="F230" s="181" t="n"/>
      <c r="G230" s="219" t="n"/>
      <c r="H230" s="220" t="n"/>
      <c r="I230" s="221" t="n"/>
    </row>
    <row r="231" ht="15" customHeight="1" s="131">
      <c r="A231" s="220" t="n"/>
      <c r="B231" s="222" t="n"/>
      <c r="C231" s="222" t="n"/>
      <c r="D231" s="220" t="n"/>
      <c r="E231" s="220" t="n"/>
      <c r="F231" s="181" t="n"/>
      <c r="G231" s="219" t="n"/>
      <c r="H231" s="220" t="n"/>
      <c r="I231" s="221" t="n"/>
    </row>
    <row r="232" ht="15" customHeight="1" s="131">
      <c r="A232" s="220" t="n"/>
      <c r="B232" s="222" t="n"/>
      <c r="C232" s="222" t="n"/>
      <c r="D232" s="220" t="n"/>
      <c r="E232" s="220" t="n"/>
      <c r="F232" s="181" t="n"/>
      <c r="G232" s="219" t="n"/>
      <c r="H232" s="220" t="n"/>
      <c r="I232" s="221" t="n"/>
    </row>
    <row r="233" ht="15" customHeight="1" s="131">
      <c r="A233" s="220" t="n"/>
      <c r="B233" s="222" t="n"/>
      <c r="C233" s="222" t="n"/>
      <c r="D233" s="220" t="n"/>
      <c r="E233" s="220" t="n"/>
      <c r="F233" s="181" t="n"/>
      <c r="G233" s="219" t="n"/>
      <c r="H233" s="220" t="n"/>
      <c r="I233" s="221" t="n"/>
    </row>
    <row r="234" ht="15" customHeight="1" s="131">
      <c r="A234" s="220" t="n"/>
      <c r="B234" s="222" t="n"/>
      <c r="C234" s="222" t="n"/>
      <c r="D234" s="220" t="n"/>
      <c r="E234" s="220" t="n"/>
      <c r="F234" s="181" t="n"/>
      <c r="G234" s="219" t="n"/>
      <c r="H234" s="220" t="n"/>
      <c r="I234" s="221" t="n"/>
    </row>
    <row r="235" ht="15" customHeight="1" s="131">
      <c r="A235" s="220" t="n"/>
      <c r="B235" s="222" t="n"/>
      <c r="C235" s="222" t="n"/>
      <c r="D235" s="220" t="n"/>
      <c r="E235" s="220" t="n"/>
      <c r="F235" s="181" t="n"/>
      <c r="G235" s="219" t="n"/>
      <c r="H235" s="220" t="n"/>
      <c r="I235" s="221" t="n"/>
    </row>
    <row r="236" ht="15" customHeight="1" s="131">
      <c r="A236" s="220" t="n"/>
      <c r="B236" s="222" t="n"/>
      <c r="C236" s="222" t="n"/>
      <c r="D236" s="220" t="n"/>
      <c r="E236" s="220" t="n"/>
      <c r="F236" s="181" t="n"/>
      <c r="G236" s="219" t="n"/>
      <c r="H236" s="220" t="n"/>
      <c r="I236" s="221" t="n"/>
    </row>
    <row r="237" ht="15" customHeight="1" s="131">
      <c r="A237" s="220" t="n"/>
      <c r="B237" s="222" t="n"/>
      <c r="C237" s="222" t="n"/>
      <c r="D237" s="220" t="n"/>
      <c r="E237" s="220" t="n"/>
      <c r="F237" s="181" t="n"/>
      <c r="G237" s="219" t="n"/>
      <c r="H237" s="220" t="n"/>
      <c r="I237" s="221" t="n"/>
    </row>
    <row r="238" ht="15" customHeight="1" s="131">
      <c r="A238" s="220" t="n"/>
      <c r="B238" s="222" t="n"/>
      <c r="C238" s="222" t="n"/>
      <c r="D238" s="220" t="n"/>
      <c r="E238" s="220" t="n"/>
      <c r="F238" s="181" t="n"/>
      <c r="G238" s="219" t="n"/>
      <c r="H238" s="220" t="n"/>
      <c r="I238" s="221" t="n"/>
    </row>
    <row r="239" ht="15" customHeight="1" s="131">
      <c r="A239" s="220" t="n"/>
      <c r="B239" s="222" t="n"/>
      <c r="C239" s="222" t="n"/>
      <c r="D239" s="220" t="n"/>
      <c r="E239" s="220" t="n"/>
      <c r="F239" s="181" t="n"/>
      <c r="G239" s="219" t="n"/>
      <c r="H239" s="220" t="n"/>
      <c r="I239" s="221" t="n"/>
    </row>
    <row r="240" ht="15" customHeight="1" s="131">
      <c r="A240" s="220" t="n"/>
      <c r="B240" s="222" t="n"/>
      <c r="C240" s="222" t="n"/>
      <c r="D240" s="220" t="n"/>
      <c r="E240" s="220" t="n"/>
      <c r="F240" s="181" t="n"/>
      <c r="G240" s="219" t="n"/>
      <c r="H240" s="220" t="n"/>
      <c r="I240" s="221" t="n"/>
    </row>
    <row r="241" ht="15" customHeight="1" s="131">
      <c r="A241" s="220" t="n"/>
      <c r="B241" s="222" t="n"/>
      <c r="C241" s="222" t="n"/>
      <c r="D241" s="220" t="n"/>
      <c r="E241" s="220" t="n"/>
      <c r="F241" s="181" t="n"/>
      <c r="G241" s="219" t="n"/>
      <c r="H241" s="220" t="n"/>
      <c r="I241" s="221" t="n"/>
    </row>
    <row r="242" ht="15" customHeight="1" s="131">
      <c r="A242" s="220" t="n"/>
      <c r="B242" s="222" t="n"/>
      <c r="C242" s="222" t="n"/>
      <c r="D242" s="220" t="n"/>
      <c r="E242" s="220" t="n"/>
      <c r="F242" s="181" t="n"/>
      <c r="G242" s="219" t="n"/>
      <c r="H242" s="220" t="n"/>
      <c r="I242" s="221" t="n"/>
    </row>
    <row r="243" ht="15" customHeight="1" s="131">
      <c r="A243" s="220" t="n"/>
      <c r="B243" s="222" t="n"/>
      <c r="C243" s="222" t="n"/>
      <c r="D243" s="220" t="n"/>
      <c r="E243" s="220" t="n"/>
      <c r="F243" s="181" t="n"/>
      <c r="G243" s="219" t="n"/>
      <c r="H243" s="220" t="n"/>
      <c r="I243" s="221" t="n"/>
    </row>
    <row r="244" ht="15" customHeight="1" s="131">
      <c r="A244" s="220" t="n"/>
      <c r="B244" s="222" t="n"/>
      <c r="C244" s="222" t="n"/>
      <c r="D244" s="220" t="n"/>
      <c r="E244" s="220" t="n"/>
      <c r="F244" s="181" t="n"/>
      <c r="G244" s="219" t="n"/>
      <c r="H244" s="220" t="n"/>
      <c r="I244" s="221" t="n"/>
    </row>
    <row r="245" ht="15" customHeight="1" s="131">
      <c r="A245" s="220" t="n"/>
      <c r="B245" s="222" t="n"/>
      <c r="C245" s="222" t="n"/>
      <c r="D245" s="220" t="n"/>
      <c r="E245" s="220" t="n"/>
      <c r="F245" s="181" t="n"/>
      <c r="G245" s="219" t="n"/>
      <c r="H245" s="220" t="n"/>
      <c r="I245" s="221" t="n"/>
    </row>
    <row r="246" ht="15" customHeight="1" s="131">
      <c r="A246" s="220" t="n"/>
      <c r="B246" s="222" t="n"/>
      <c r="C246" s="222" t="n"/>
      <c r="D246" s="220" t="n"/>
      <c r="E246" s="220" t="n"/>
      <c r="F246" s="181" t="n"/>
      <c r="G246" s="219" t="n"/>
      <c r="H246" s="220" t="n"/>
      <c r="I246" s="221" t="n"/>
    </row>
    <row r="247" ht="15" customHeight="1" s="131">
      <c r="A247" s="220" t="n"/>
      <c r="B247" s="222" t="n"/>
      <c r="C247" s="222" t="n"/>
      <c r="D247" s="220" t="n"/>
      <c r="E247" s="220" t="n"/>
      <c r="F247" s="181" t="n"/>
      <c r="G247" s="219" t="n"/>
      <c r="H247" s="220" t="n"/>
      <c r="I247" s="221" t="n"/>
    </row>
    <row r="248" ht="15" customHeight="1" s="131">
      <c r="A248" s="220" t="n"/>
      <c r="B248" s="222" t="n"/>
      <c r="C248" s="222" t="n"/>
      <c r="D248" s="220" t="n"/>
      <c r="E248" s="220" t="n"/>
      <c r="F248" s="181" t="n"/>
      <c r="G248" s="219" t="n"/>
      <c r="H248" s="220" t="n"/>
      <c r="I248" s="221" t="n"/>
    </row>
    <row r="249" ht="15" customHeight="1" s="131">
      <c r="A249" s="220" t="n"/>
      <c r="B249" s="222" t="n"/>
      <c r="C249" s="222" t="n"/>
      <c r="D249" s="220" t="n"/>
      <c r="E249" s="220" t="n"/>
      <c r="F249" s="181" t="n"/>
      <c r="G249" s="219" t="n"/>
      <c r="H249" s="220" t="n"/>
      <c r="I249" s="221" t="n"/>
    </row>
    <row r="250" ht="15" customHeight="1" s="131">
      <c r="A250" s="220" t="n"/>
      <c r="B250" s="222" t="n"/>
      <c r="C250" s="222" t="n"/>
      <c r="D250" s="220" t="n"/>
      <c r="E250" s="220" t="n"/>
      <c r="F250" s="181" t="n"/>
      <c r="G250" s="219" t="n"/>
      <c r="H250" s="220" t="n"/>
      <c r="I250" s="221" t="n"/>
    </row>
    <row r="251" ht="15" customHeight="1" s="131">
      <c r="A251" s="220" t="n"/>
      <c r="B251" s="222" t="n"/>
      <c r="C251" s="222" t="n"/>
      <c r="D251" s="220" t="n"/>
      <c r="E251" s="220" t="n"/>
      <c r="F251" s="181" t="n"/>
      <c r="G251" s="219" t="n"/>
      <c r="H251" s="220" t="n"/>
      <c r="I251" s="221" t="n"/>
    </row>
    <row r="252" ht="15" customHeight="1" s="131">
      <c r="A252" s="220" t="n"/>
      <c r="B252" s="222" t="n"/>
      <c r="C252" s="222" t="n"/>
      <c r="D252" s="220" t="n"/>
      <c r="E252" s="220" t="n"/>
      <c r="F252" s="181" t="n"/>
      <c r="G252" s="219" t="n"/>
      <c r="H252" s="220" t="n"/>
      <c r="I252" s="221" t="n"/>
    </row>
    <row r="253" ht="15" customHeight="1" s="131">
      <c r="A253" s="220" t="n"/>
      <c r="B253" s="222" t="n"/>
      <c r="C253" s="222" t="n"/>
      <c r="D253" s="220" t="n"/>
      <c r="E253" s="220" t="n"/>
      <c r="F253" s="181" t="n"/>
      <c r="G253" s="219" t="n"/>
      <c r="H253" s="220" t="n"/>
      <c r="I253" s="221" t="n"/>
    </row>
    <row r="254" ht="15" customHeight="1" s="131">
      <c r="A254" s="220" t="n"/>
      <c r="B254" s="222" t="n"/>
      <c r="C254" s="222" t="n"/>
      <c r="D254" s="220" t="n"/>
      <c r="E254" s="220" t="n"/>
      <c r="F254" s="181" t="n"/>
      <c r="G254" s="219" t="n"/>
      <c r="H254" s="220" t="n"/>
      <c r="I254" s="221" t="n"/>
    </row>
    <row r="255" ht="15" customHeight="1" s="131">
      <c r="A255" s="220" t="n"/>
      <c r="B255" s="222" t="n"/>
      <c r="C255" s="222" t="n"/>
      <c r="D255" s="220" t="n"/>
      <c r="E255" s="220" t="n"/>
      <c r="F255" s="181" t="n"/>
      <c r="G255" s="219" t="n"/>
      <c r="H255" s="220" t="n"/>
      <c r="I255" s="221" t="n"/>
    </row>
    <row r="256" ht="15" customHeight="1" s="131">
      <c r="A256" s="220" t="n"/>
      <c r="B256" s="222" t="n"/>
      <c r="C256" s="222" t="n"/>
      <c r="D256" s="220" t="n"/>
      <c r="E256" s="220" t="n"/>
      <c r="F256" s="181" t="n"/>
      <c r="G256" s="219" t="n"/>
      <c r="H256" s="220" t="n"/>
      <c r="I256" s="221" t="n"/>
    </row>
    <row r="257" ht="15" customHeight="1" s="131">
      <c r="A257" s="220" t="n"/>
      <c r="B257" s="222" t="n"/>
      <c r="C257" s="222" t="n"/>
      <c r="D257" s="220" t="n"/>
      <c r="E257" s="220" t="n"/>
      <c r="F257" s="181" t="n"/>
      <c r="G257" s="219" t="n"/>
      <c r="H257" s="220" t="n"/>
      <c r="I257" s="221" t="n"/>
    </row>
    <row r="258" ht="15" customHeight="1" s="131">
      <c r="A258" s="220" t="n"/>
      <c r="B258" s="222" t="n"/>
      <c r="C258" s="222" t="n"/>
      <c r="D258" s="220" t="n"/>
      <c r="E258" s="220" t="n"/>
      <c r="F258" s="181" t="n"/>
      <c r="G258" s="219" t="n"/>
      <c r="H258" s="220" t="n"/>
      <c r="I258" s="221" t="n"/>
    </row>
    <row r="259" ht="15" customHeight="1" s="131">
      <c r="A259" s="220" t="n"/>
      <c r="B259" s="222" t="n"/>
      <c r="C259" s="222" t="n"/>
      <c r="D259" s="220" t="n"/>
      <c r="E259" s="220" t="n"/>
      <c r="F259" s="181" t="n"/>
      <c r="G259" s="219" t="n"/>
      <c r="H259" s="220" t="n"/>
      <c r="I259" s="221" t="n"/>
    </row>
    <row r="260" ht="15" customHeight="1" s="131">
      <c r="A260" s="220" t="n"/>
      <c r="B260" s="222" t="n"/>
      <c r="C260" s="222" t="n"/>
      <c r="D260" s="220" t="n"/>
      <c r="E260" s="220" t="n"/>
      <c r="F260" s="181" t="n"/>
      <c r="G260" s="219" t="n"/>
      <c r="H260" s="220" t="n"/>
      <c r="I260" s="221" t="n"/>
    </row>
    <row r="261" ht="15" customHeight="1" s="131">
      <c r="A261" s="220" t="n"/>
      <c r="B261" s="222" t="n"/>
      <c r="C261" s="222" t="n"/>
      <c r="D261" s="220" t="n"/>
      <c r="E261" s="220" t="n"/>
      <c r="F261" s="181" t="n"/>
      <c r="G261" s="219" t="n"/>
      <c r="H261" s="220" t="n"/>
      <c r="I261" s="221" t="n"/>
    </row>
    <row r="262" ht="15" customHeight="1" s="131">
      <c r="A262" s="220" t="n"/>
      <c r="B262" s="222" t="n"/>
      <c r="C262" s="222" t="n"/>
      <c r="D262" s="220" t="n"/>
      <c r="E262" s="220" t="n"/>
      <c r="F262" s="181" t="n"/>
      <c r="G262" s="219" t="n"/>
      <c r="H262" s="220" t="n"/>
      <c r="I262" s="221" t="n"/>
    </row>
    <row r="263" ht="15" customHeight="1" s="131">
      <c r="A263" s="220" t="n"/>
      <c r="B263" s="222" t="n"/>
      <c r="C263" s="222" t="n"/>
      <c r="D263" s="220" t="n"/>
      <c r="E263" s="220" t="n"/>
      <c r="F263" s="181" t="n"/>
      <c r="G263" s="219" t="n"/>
      <c r="H263" s="220" t="n"/>
      <c r="I263" s="221" t="n"/>
    </row>
    <row r="264" ht="15" customHeight="1" s="131">
      <c r="A264" s="220" t="n"/>
      <c r="B264" s="222" t="n"/>
      <c r="C264" s="222" t="n"/>
      <c r="D264" s="220" t="n"/>
      <c r="E264" s="220" t="n"/>
      <c r="F264" s="181" t="n"/>
      <c r="G264" s="219" t="n"/>
      <c r="H264" s="220" t="n"/>
      <c r="I264" s="221" t="n"/>
    </row>
    <row r="265" ht="15" customHeight="1" s="131">
      <c r="A265" s="220" t="n"/>
      <c r="B265" s="222" t="n"/>
      <c r="C265" s="222" t="n"/>
      <c r="D265" s="220" t="n"/>
      <c r="E265" s="220" t="n"/>
      <c r="F265" s="181" t="n"/>
      <c r="G265" s="219" t="n"/>
      <c r="H265" s="220" t="n"/>
      <c r="I265" s="221" t="n"/>
    </row>
    <row r="266" ht="15" customHeight="1" s="131">
      <c r="A266" s="220" t="n"/>
      <c r="B266" s="222" t="n"/>
      <c r="C266" s="222" t="n"/>
      <c r="D266" s="220" t="n"/>
      <c r="E266" s="220" t="n"/>
      <c r="F266" s="181" t="n"/>
      <c r="G266" s="219" t="n"/>
      <c r="H266" s="220" t="n"/>
      <c r="I266" s="221" t="n"/>
    </row>
    <row r="267" ht="15" customHeight="1" s="131">
      <c r="A267" s="220" t="n"/>
      <c r="B267" s="222" t="n"/>
      <c r="C267" s="222" t="n"/>
      <c r="D267" s="220" t="n"/>
      <c r="E267" s="220" t="n"/>
      <c r="F267" s="181" t="n"/>
      <c r="G267" s="219" t="n"/>
      <c r="H267" s="220" t="n"/>
      <c r="I267" s="221" t="n"/>
    </row>
    <row r="268" ht="15" customHeight="1" s="131">
      <c r="A268" s="220" t="n"/>
      <c r="B268" s="222" t="n"/>
      <c r="C268" s="222" t="n"/>
      <c r="D268" s="220" t="n"/>
      <c r="E268" s="220" t="n"/>
      <c r="F268" s="181" t="n"/>
      <c r="G268" s="219" t="n"/>
      <c r="H268" s="220" t="n"/>
      <c r="I268" s="221" t="n"/>
    </row>
    <row r="269" ht="15" customHeight="1" s="131">
      <c r="A269" s="220" t="n"/>
      <c r="B269" s="222" t="n"/>
      <c r="C269" s="222" t="n"/>
      <c r="D269" s="220" t="n"/>
      <c r="E269" s="220" t="n"/>
      <c r="F269" s="181" t="n"/>
      <c r="G269" s="219" t="n"/>
      <c r="H269" s="220" t="n"/>
      <c r="I269" s="221" t="n"/>
    </row>
    <row r="270" ht="15" customHeight="1" s="131">
      <c r="A270" s="220" t="n"/>
      <c r="B270" s="222" t="n"/>
      <c r="C270" s="222" t="n"/>
      <c r="D270" s="220" t="n"/>
      <c r="E270" s="220" t="n"/>
      <c r="F270" s="181" t="n"/>
      <c r="G270" s="219" t="n"/>
      <c r="H270" s="220" t="n"/>
      <c r="I270" s="221" t="n"/>
    </row>
    <row r="271" ht="15" customHeight="1" s="131">
      <c r="A271" s="220" t="n"/>
      <c r="B271" s="222" t="n"/>
      <c r="C271" s="222" t="n"/>
      <c r="D271" s="220" t="n"/>
      <c r="E271" s="220" t="n"/>
      <c r="F271" s="181" t="n"/>
      <c r="G271" s="219" t="n"/>
      <c r="H271" s="220" t="n"/>
      <c r="I271" s="221" t="n"/>
    </row>
    <row r="272" ht="15" customHeight="1" s="131">
      <c r="A272" s="220" t="n"/>
      <c r="B272" s="222" t="n"/>
      <c r="C272" s="222" t="n"/>
      <c r="D272" s="220" t="n"/>
      <c r="E272" s="220" t="n"/>
      <c r="F272" s="181" t="n"/>
      <c r="G272" s="219" t="n"/>
      <c r="H272" s="220" t="n"/>
      <c r="I272" s="221" t="n"/>
    </row>
    <row r="273" ht="15" customHeight="1" s="131">
      <c r="A273" s="220" t="n"/>
      <c r="B273" s="222" t="n"/>
      <c r="C273" s="222" t="n"/>
      <c r="D273" s="220" t="n"/>
      <c r="E273" s="220" t="n"/>
      <c r="F273" s="181" t="n"/>
      <c r="G273" s="219" t="n"/>
      <c r="H273" s="220" t="n"/>
      <c r="I273" s="221" t="n"/>
    </row>
    <row r="274" ht="15" customHeight="1" s="131">
      <c r="A274" s="220" t="n"/>
      <c r="B274" s="222" t="n"/>
      <c r="C274" s="222" t="n"/>
      <c r="D274" s="220" t="n"/>
      <c r="E274" s="220" t="n"/>
      <c r="F274" s="181" t="n"/>
      <c r="G274" s="219" t="n"/>
      <c r="H274" s="220" t="n"/>
      <c r="I274" s="221" t="n"/>
    </row>
    <row r="275" ht="15" customHeight="1" s="131">
      <c r="A275" s="220" t="n"/>
      <c r="B275" s="222" t="n"/>
      <c r="C275" s="222" t="n"/>
      <c r="D275" s="220" t="n"/>
      <c r="E275" s="220" t="n"/>
      <c r="F275" s="181" t="n"/>
      <c r="G275" s="219" t="n"/>
      <c r="H275" s="220" t="n"/>
      <c r="I275" s="221" t="n"/>
    </row>
    <row r="276" ht="15" customHeight="1" s="131">
      <c r="A276" s="220" t="n"/>
      <c r="B276" s="222" t="n"/>
      <c r="C276" s="222" t="n"/>
      <c r="D276" s="220" t="n"/>
      <c r="E276" s="220" t="n"/>
      <c r="F276" s="181" t="n"/>
      <c r="G276" s="219" t="n"/>
      <c r="H276" s="220" t="n"/>
      <c r="I276" s="221" t="n"/>
    </row>
    <row r="277" ht="15" customHeight="1" s="131">
      <c r="A277" s="220" t="n"/>
      <c r="B277" s="222" t="n"/>
      <c r="C277" s="222" t="n"/>
      <c r="D277" s="220" t="n"/>
      <c r="E277" s="220" t="n"/>
      <c r="F277" s="181" t="n"/>
      <c r="G277" s="219" t="n"/>
      <c r="H277" s="220" t="n"/>
      <c r="I277" s="221" t="n"/>
    </row>
    <row r="278" ht="15" customHeight="1" s="131">
      <c r="A278" s="220" t="n"/>
      <c r="B278" s="222" t="n"/>
      <c r="C278" s="222" t="n"/>
      <c r="D278" s="220" t="n"/>
      <c r="E278" s="220" t="n"/>
      <c r="F278" s="181" t="n"/>
      <c r="G278" s="219" t="n"/>
      <c r="H278" s="220" t="n"/>
      <c r="I278" s="221" t="n"/>
    </row>
    <row r="279" ht="15" customHeight="1" s="131">
      <c r="A279" s="220" t="n"/>
      <c r="B279" s="222" t="n"/>
      <c r="C279" s="222" t="n"/>
      <c r="D279" s="220" t="n"/>
      <c r="E279" s="220" t="n"/>
      <c r="F279" s="181" t="n"/>
      <c r="G279" s="219" t="n"/>
      <c r="H279" s="220" t="n"/>
      <c r="I279" s="221" t="n"/>
    </row>
    <row r="280" ht="15" customHeight="1" s="131">
      <c r="A280" s="220" t="n"/>
      <c r="B280" s="222" t="n"/>
      <c r="C280" s="222" t="n"/>
      <c r="D280" s="220" t="n"/>
      <c r="E280" s="220" t="n"/>
      <c r="F280" s="181" t="n"/>
      <c r="G280" s="219" t="n"/>
      <c r="H280" s="220" t="n"/>
      <c r="I280" s="221" t="n"/>
    </row>
    <row r="281" ht="15" customHeight="1" s="131">
      <c r="A281" s="220" t="n"/>
      <c r="B281" s="222" t="n"/>
      <c r="C281" s="222" t="n"/>
      <c r="D281" s="220" t="n"/>
      <c r="E281" s="220" t="n"/>
      <c r="F281" s="181" t="n"/>
      <c r="G281" s="219" t="n"/>
      <c r="H281" s="220" t="n"/>
      <c r="I281" s="221" t="n"/>
    </row>
    <row r="282" ht="15" customHeight="1" s="131">
      <c r="A282" s="220" t="n"/>
      <c r="B282" s="222" t="n"/>
      <c r="C282" s="222" t="n"/>
      <c r="D282" s="220" t="n"/>
      <c r="E282" s="220" t="n"/>
      <c r="F282" s="181" t="n"/>
      <c r="G282" s="219" t="n"/>
      <c r="H282" s="220" t="n"/>
      <c r="I282" s="221" t="n"/>
    </row>
    <row r="283" ht="15" customHeight="1" s="131">
      <c r="A283" s="220" t="n"/>
      <c r="B283" s="222" t="n"/>
      <c r="C283" s="222" t="n"/>
      <c r="D283" s="220" t="n"/>
      <c r="E283" s="220" t="n"/>
      <c r="F283" s="181" t="n"/>
      <c r="G283" s="219" t="n"/>
      <c r="H283" s="220" t="n"/>
      <c r="I283" s="221" t="n"/>
    </row>
    <row r="284" ht="15" customHeight="1" s="131">
      <c r="A284" s="220" t="n"/>
      <c r="B284" s="222" t="n"/>
      <c r="C284" s="222" t="n"/>
      <c r="D284" s="220" t="n"/>
      <c r="E284" s="220" t="n"/>
      <c r="F284" s="181" t="n"/>
      <c r="G284" s="219" t="n"/>
      <c r="H284" s="220" t="n"/>
      <c r="I284" s="221" t="n"/>
    </row>
    <row r="285" ht="15" customHeight="1" s="131">
      <c r="A285" s="220" t="n"/>
      <c r="B285" s="222" t="n"/>
      <c r="C285" s="222" t="n"/>
      <c r="D285" s="220" t="n"/>
      <c r="E285" s="220" t="n"/>
      <c r="F285" s="181" t="n"/>
      <c r="G285" s="219" t="n"/>
      <c r="H285" s="220" t="n"/>
      <c r="I285" s="221" t="n"/>
    </row>
    <row r="286" ht="15" customHeight="1" s="131">
      <c r="A286" s="220" t="n"/>
      <c r="B286" s="222" t="n"/>
      <c r="C286" s="222" t="n"/>
      <c r="D286" s="220" t="n"/>
      <c r="E286" s="220" t="n"/>
      <c r="F286" s="181" t="n"/>
      <c r="G286" s="219" t="n"/>
      <c r="H286" s="220" t="n"/>
      <c r="I286" s="221" t="n"/>
    </row>
    <row r="287" ht="15" customHeight="1" s="131">
      <c r="A287" s="220" t="n"/>
      <c r="B287" s="222" t="n"/>
      <c r="C287" s="222" t="n"/>
      <c r="D287" s="220" t="n"/>
      <c r="E287" s="220" t="n"/>
      <c r="F287" s="181" t="n"/>
      <c r="G287" s="219" t="n"/>
      <c r="H287" s="220" t="n"/>
      <c r="I287" s="221" t="n"/>
    </row>
    <row r="288" ht="15" customHeight="1" s="131">
      <c r="A288" s="220" t="n"/>
      <c r="B288" s="222" t="n"/>
      <c r="C288" s="222" t="n"/>
      <c r="D288" s="220" t="n"/>
      <c r="E288" s="220" t="n"/>
      <c r="F288" s="181" t="n"/>
      <c r="G288" s="219" t="n"/>
      <c r="H288" s="220" t="n"/>
      <c r="I288" s="221" t="n"/>
    </row>
    <row r="289" ht="15" customHeight="1" s="131">
      <c r="A289" s="220" t="n"/>
      <c r="B289" s="222" t="n"/>
      <c r="C289" s="222" t="n"/>
      <c r="D289" s="220" t="n"/>
      <c r="E289" s="220" t="n"/>
      <c r="F289" s="181" t="n"/>
      <c r="G289" s="219" t="n"/>
      <c r="H289" s="220" t="n"/>
      <c r="I289" s="221" t="n"/>
    </row>
    <row r="290" ht="15" customHeight="1" s="131">
      <c r="A290" s="220" t="n"/>
      <c r="B290" s="222" t="n"/>
      <c r="C290" s="222" t="n"/>
      <c r="D290" s="220" t="n"/>
      <c r="E290" s="220" t="n"/>
      <c r="F290" s="181" t="n"/>
      <c r="G290" s="219" t="n"/>
      <c r="H290" s="220" t="n"/>
      <c r="I290" s="221" t="n"/>
    </row>
    <row r="291" ht="15" customHeight="1" s="131">
      <c r="A291" s="220" t="n"/>
      <c r="B291" s="222" t="n"/>
      <c r="C291" s="222" t="n"/>
      <c r="D291" s="220" t="n"/>
      <c r="E291" s="220" t="n"/>
      <c r="F291" s="181" t="n"/>
      <c r="G291" s="219" t="n"/>
      <c r="H291" s="220" t="n"/>
      <c r="I291" s="221" t="n"/>
    </row>
    <row r="292" ht="15" customHeight="1" s="131">
      <c r="A292" s="220" t="n"/>
      <c r="B292" s="222" t="n"/>
      <c r="C292" s="222" t="n"/>
      <c r="D292" s="220" t="n"/>
      <c r="E292" s="220" t="n"/>
      <c r="F292" s="181" t="n"/>
      <c r="G292" s="219" t="n"/>
      <c r="H292" s="220" t="n"/>
      <c r="I292" s="221" t="n"/>
    </row>
    <row r="293" ht="15" customHeight="1" s="131">
      <c r="A293" s="220" t="n"/>
      <c r="B293" s="222" t="n"/>
      <c r="C293" s="222" t="n"/>
      <c r="D293" s="220" t="n"/>
      <c r="E293" s="220" t="n"/>
      <c r="F293" s="181" t="n"/>
      <c r="G293" s="219" t="n"/>
      <c r="H293" s="220" t="n"/>
      <c r="I293" s="221" t="n"/>
    </row>
    <row r="294" ht="15" customHeight="1" s="131">
      <c r="A294" s="220" t="n"/>
      <c r="B294" s="222" t="n"/>
      <c r="C294" s="222" t="n"/>
      <c r="D294" s="220" t="n"/>
      <c r="E294" s="220" t="n"/>
      <c r="F294" s="181" t="n"/>
      <c r="G294" s="219" t="n"/>
      <c r="H294" s="220" t="n"/>
      <c r="I294" s="221" t="n"/>
    </row>
    <row r="295" ht="15" customHeight="1" s="131">
      <c r="A295" s="220" t="n"/>
      <c r="B295" s="222" t="n"/>
      <c r="C295" s="222" t="n"/>
      <c r="D295" s="220" t="n"/>
      <c r="E295" s="220" t="n"/>
      <c r="F295" s="181" t="n"/>
      <c r="G295" s="219" t="n"/>
      <c r="H295" s="220" t="n"/>
      <c r="I295" s="221" t="n"/>
    </row>
    <row r="296" ht="15" customHeight="1" s="131">
      <c r="A296" s="220" t="n"/>
      <c r="B296" s="222" t="n"/>
      <c r="C296" s="222" t="n"/>
      <c r="D296" s="220" t="n"/>
      <c r="E296" s="220" t="n"/>
      <c r="F296" s="181" t="n"/>
      <c r="G296" s="219" t="n"/>
      <c r="H296" s="220" t="n"/>
      <c r="I296" s="221" t="n"/>
    </row>
    <row r="297" ht="15" customHeight="1" s="131">
      <c r="A297" s="220" t="n"/>
      <c r="B297" s="222" t="n"/>
      <c r="C297" s="222" t="n"/>
      <c r="D297" s="220" t="n"/>
      <c r="E297" s="220" t="n"/>
      <c r="F297" s="181" t="n"/>
      <c r="G297" s="219" t="n"/>
      <c r="H297" s="220" t="n"/>
      <c r="I297" s="221" t="n"/>
    </row>
    <row r="298" ht="15" customHeight="1" s="131">
      <c r="A298" s="220" t="n"/>
      <c r="B298" s="222" t="n"/>
      <c r="C298" s="222" t="n"/>
      <c r="D298" s="220" t="n"/>
      <c r="E298" s="220" t="n"/>
      <c r="F298" s="181" t="n"/>
      <c r="G298" s="219" t="n"/>
      <c r="H298" s="220" t="n"/>
      <c r="I298" s="221" t="n"/>
    </row>
    <row r="299" ht="15" customHeight="1" s="131">
      <c r="A299" s="220" t="n"/>
      <c r="B299" s="222" t="n"/>
      <c r="C299" s="222" t="n"/>
      <c r="D299" s="220" t="n"/>
      <c r="E299" s="220" t="n"/>
      <c r="F299" s="181" t="n"/>
      <c r="G299" s="219" t="n"/>
      <c r="H299" s="220" t="n"/>
      <c r="I299" s="221" t="n"/>
    </row>
    <row r="300" ht="15" customHeight="1" s="131">
      <c r="A300" s="220" t="n"/>
      <c r="B300" s="222" t="n"/>
      <c r="C300" s="222" t="n"/>
      <c r="D300" s="220" t="n"/>
      <c r="E300" s="220" t="n"/>
      <c r="F300" s="181" t="n"/>
      <c r="G300" s="219" t="n"/>
      <c r="H300" s="220" t="n"/>
      <c r="I300" s="221" t="n"/>
    </row>
    <row r="301" ht="15" customHeight="1" s="131">
      <c r="A301" s="220" t="n"/>
      <c r="B301" s="222" t="n"/>
      <c r="C301" s="222" t="n"/>
      <c r="D301" s="220" t="n"/>
      <c r="E301" s="220" t="n"/>
      <c r="F301" s="181" t="n"/>
      <c r="G301" s="219" t="n"/>
      <c r="H301" s="220" t="n"/>
      <c r="I301" s="221" t="n"/>
    </row>
    <row r="302" ht="15" customHeight="1" s="131">
      <c r="A302" s="220" t="n"/>
      <c r="B302" s="222" t="n"/>
      <c r="C302" s="222" t="n"/>
      <c r="D302" s="220" t="n"/>
      <c r="E302" s="220" t="n"/>
      <c r="F302" s="181" t="n"/>
      <c r="G302" s="219" t="n"/>
      <c r="H302" s="220" t="n"/>
      <c r="I302" s="221" t="n"/>
    </row>
    <row r="303" ht="15" customHeight="1" s="131">
      <c r="A303" s="220" t="n"/>
      <c r="B303" s="222" t="n"/>
      <c r="C303" s="222" t="n"/>
      <c r="D303" s="220" t="n"/>
      <c r="E303" s="220" t="n"/>
      <c r="F303" s="181" t="n"/>
      <c r="G303" s="219" t="n"/>
      <c r="H303" s="220" t="n"/>
      <c r="I303" s="221" t="n"/>
    </row>
    <row r="304" ht="15" customHeight="1" s="131">
      <c r="A304" s="220" t="n"/>
      <c r="B304" s="222" t="n"/>
      <c r="C304" s="222" t="n"/>
      <c r="D304" s="220" t="n"/>
      <c r="E304" s="220" t="n"/>
      <c r="F304" s="181" t="n"/>
      <c r="G304" s="219" t="n"/>
      <c r="H304" s="220" t="n"/>
      <c r="I304" s="221" t="n"/>
    </row>
    <row r="305" ht="15" customHeight="1" s="131">
      <c r="A305" s="220" t="n"/>
      <c r="B305" s="222" t="n"/>
      <c r="C305" s="222" t="n"/>
      <c r="D305" s="220" t="n"/>
      <c r="E305" s="220" t="n"/>
      <c r="F305" s="181" t="n"/>
      <c r="G305" s="219" t="n"/>
      <c r="H305" s="220" t="n"/>
      <c r="I305" s="221" t="n"/>
    </row>
    <row r="306" ht="15" customHeight="1" s="131">
      <c r="A306" s="220" t="n"/>
      <c r="B306" s="222" t="n"/>
      <c r="C306" s="222" t="n"/>
      <c r="D306" s="220" t="n"/>
      <c r="E306" s="220" t="n"/>
      <c r="F306" s="181" t="n"/>
      <c r="G306" s="219" t="n"/>
      <c r="H306" s="220" t="n"/>
      <c r="I306" s="221" t="n"/>
    </row>
    <row r="307" ht="15" customHeight="1" s="131">
      <c r="A307" s="220" t="n"/>
      <c r="B307" s="222" t="n"/>
      <c r="C307" s="222" t="n"/>
      <c r="D307" s="220" t="n"/>
      <c r="E307" s="220" t="n"/>
      <c r="F307" s="181" t="n"/>
      <c r="G307" s="219" t="n"/>
      <c r="H307" s="220" t="n"/>
      <c r="I307" s="221" t="n"/>
    </row>
    <row r="308" ht="15" customHeight="1" s="131">
      <c r="A308" s="220" t="n"/>
      <c r="B308" s="222" t="n"/>
      <c r="C308" s="222" t="n"/>
      <c r="D308" s="220" t="n"/>
      <c r="E308" s="220" t="n"/>
      <c r="F308" s="181" t="n"/>
      <c r="G308" s="219" t="n"/>
      <c r="H308" s="220" t="n"/>
      <c r="I308" s="221" t="n"/>
    </row>
    <row r="309" ht="15" customHeight="1" s="131">
      <c r="A309" s="220" t="n"/>
      <c r="B309" s="222" t="n"/>
      <c r="C309" s="222" t="n"/>
      <c r="D309" s="220" t="n"/>
      <c r="E309" s="220" t="n"/>
      <c r="F309" s="181" t="n"/>
      <c r="G309" s="219" t="n"/>
      <c r="H309" s="220" t="n"/>
      <c r="I309" s="221" t="n"/>
    </row>
    <row r="310" ht="15" customHeight="1" s="131">
      <c r="A310" s="220" t="n"/>
      <c r="B310" s="222" t="n"/>
      <c r="C310" s="222" t="n"/>
      <c r="D310" s="220" t="n"/>
      <c r="E310" s="220" t="n"/>
      <c r="F310" s="181" t="n"/>
      <c r="G310" s="219" t="n"/>
      <c r="H310" s="220" t="n"/>
      <c r="I310" s="221" t="n"/>
    </row>
    <row r="311" ht="15" customHeight="1" s="131">
      <c r="A311" s="220" t="n"/>
      <c r="B311" s="222" t="n"/>
      <c r="C311" s="222" t="n"/>
      <c r="D311" s="220" t="n"/>
      <c r="E311" s="220" t="n"/>
      <c r="F311" s="181" t="n"/>
      <c r="G311" s="219" t="n"/>
      <c r="H311" s="220" t="n"/>
      <c r="I311" s="221" t="n"/>
    </row>
    <row r="312" ht="15" customHeight="1" s="131">
      <c r="A312" s="220" t="n"/>
      <c r="B312" s="222" t="n"/>
      <c r="C312" s="222" t="n"/>
      <c r="D312" s="220" t="n"/>
      <c r="E312" s="220" t="n"/>
      <c r="F312" s="181" t="n"/>
      <c r="G312" s="219" t="n"/>
      <c r="H312" s="220" t="n"/>
      <c r="I312" s="221" t="n"/>
    </row>
    <row r="313" ht="15" customHeight="1" s="131">
      <c r="A313" s="220" t="n"/>
      <c r="B313" s="222" t="n"/>
      <c r="C313" s="222" t="n"/>
      <c r="D313" s="220" t="n"/>
      <c r="E313" s="220" t="n"/>
      <c r="F313" s="181" t="n"/>
      <c r="G313" s="219" t="n"/>
      <c r="H313" s="220" t="n"/>
      <c r="I313" s="221" t="n"/>
    </row>
    <row r="314" ht="15" customHeight="1" s="131">
      <c r="A314" s="220" t="n"/>
      <c r="B314" s="222" t="n"/>
      <c r="C314" s="222" t="n"/>
      <c r="D314" s="220" t="n"/>
      <c r="E314" s="220" t="n"/>
      <c r="F314" s="181" t="n"/>
      <c r="G314" s="219" t="n"/>
      <c r="H314" s="220" t="n"/>
      <c r="I314" s="221" t="n"/>
    </row>
    <row r="315" ht="15" customHeight="1" s="131">
      <c r="A315" s="220" t="n"/>
      <c r="B315" s="222" t="n"/>
      <c r="C315" s="222" t="n"/>
      <c r="D315" s="220" t="n"/>
      <c r="E315" s="220" t="n"/>
      <c r="F315" s="181" t="n"/>
      <c r="G315" s="219" t="n"/>
      <c r="H315" s="220" t="n"/>
      <c r="I315" s="221" t="n"/>
    </row>
    <row r="316" ht="15" customHeight="1" s="131">
      <c r="A316" s="220" t="n"/>
      <c r="B316" s="222" t="n"/>
      <c r="C316" s="222" t="n"/>
      <c r="D316" s="220" t="n"/>
      <c r="E316" s="220" t="n"/>
      <c r="F316" s="181" t="n"/>
      <c r="G316" s="219" t="n"/>
      <c r="H316" s="220" t="n"/>
      <c r="I316" s="221" t="n"/>
    </row>
    <row r="317" ht="15" customHeight="1" s="131">
      <c r="A317" s="220" t="n"/>
      <c r="B317" s="222" t="n"/>
      <c r="C317" s="222" t="n"/>
      <c r="D317" s="220" t="n"/>
      <c r="E317" s="220" t="n"/>
      <c r="F317" s="181" t="n"/>
      <c r="G317" s="219" t="n"/>
      <c r="H317" s="220" t="n"/>
      <c r="I317" s="221" t="n"/>
    </row>
    <row r="318" ht="15" customHeight="1" s="131">
      <c r="A318" s="220" t="n"/>
      <c r="B318" s="222" t="n"/>
      <c r="C318" s="222" t="n"/>
      <c r="D318" s="220" t="n"/>
      <c r="E318" s="220" t="n"/>
      <c r="F318" s="181" t="n"/>
      <c r="G318" s="219" t="n"/>
      <c r="H318" s="220" t="n"/>
      <c r="I318" s="221" t="n"/>
    </row>
    <row r="319" ht="15" customHeight="1" s="131">
      <c r="A319" s="220" t="n"/>
      <c r="B319" s="222" t="n"/>
      <c r="C319" s="222" t="n"/>
      <c r="D319" s="220" t="n"/>
      <c r="E319" s="220" t="n"/>
      <c r="F319" s="181" t="n"/>
      <c r="G319" s="219" t="n"/>
      <c r="H319" s="220" t="n"/>
      <c r="I319" s="221" t="n"/>
    </row>
    <row r="320" ht="15" customHeight="1" s="131">
      <c r="A320" s="220" t="n"/>
      <c r="B320" s="222" t="n"/>
      <c r="C320" s="222" t="n"/>
      <c r="D320" s="220" t="n"/>
      <c r="E320" s="220" t="n"/>
      <c r="F320" s="181" t="n"/>
      <c r="G320" s="219" t="n"/>
      <c r="H320" s="220" t="n"/>
      <c r="I320" s="221" t="n"/>
    </row>
    <row r="321" ht="15" customHeight="1" s="131">
      <c r="A321" s="220" t="n"/>
      <c r="B321" s="222" t="n"/>
      <c r="C321" s="222" t="n"/>
      <c r="D321" s="220" t="n"/>
      <c r="E321" s="220" t="n"/>
      <c r="F321" s="181" t="n"/>
      <c r="G321" s="219" t="n"/>
      <c r="H321" s="220" t="n"/>
      <c r="I321" s="221" t="n"/>
    </row>
    <row r="322" ht="15" customHeight="1" s="131">
      <c r="A322" s="220" t="n"/>
      <c r="B322" s="222" t="n"/>
      <c r="C322" s="222" t="n"/>
      <c r="D322" s="220" t="n"/>
      <c r="E322" s="220" t="n"/>
      <c r="F322" s="181" t="n"/>
      <c r="G322" s="219" t="n"/>
      <c r="H322" s="220" t="n"/>
      <c r="I322" s="221" t="n"/>
    </row>
    <row r="323" ht="15" customHeight="1" s="131">
      <c r="A323" s="220" t="n"/>
      <c r="B323" s="222" t="n"/>
      <c r="C323" s="222" t="n"/>
      <c r="D323" s="220" t="n"/>
      <c r="E323" s="220" t="n"/>
      <c r="F323" s="181" t="n"/>
      <c r="G323" s="219" t="n"/>
      <c r="H323" s="220" t="n"/>
      <c r="I323" s="221" t="n"/>
    </row>
    <row r="324" ht="15" customHeight="1" s="131">
      <c r="A324" s="220" t="n"/>
      <c r="B324" s="222" t="n"/>
      <c r="C324" s="222" t="n"/>
      <c r="D324" s="220" t="n"/>
      <c r="E324" s="220" t="n"/>
      <c r="F324" s="181" t="n"/>
      <c r="G324" s="219" t="n"/>
      <c r="H324" s="220" t="n"/>
      <c r="I324" s="221" t="n"/>
    </row>
    <row r="325" ht="15" customHeight="1" s="131">
      <c r="A325" s="220" t="n"/>
      <c r="B325" s="222" t="n"/>
      <c r="C325" s="222" t="n"/>
      <c r="D325" s="220" t="n"/>
      <c r="E325" s="220" t="n"/>
      <c r="F325" s="181" t="n"/>
      <c r="G325" s="219" t="n"/>
      <c r="H325" s="220" t="n"/>
      <c r="I325" s="221" t="n"/>
    </row>
    <row r="326" ht="15" customHeight="1" s="131">
      <c r="A326" s="220" t="n"/>
      <c r="B326" s="222" t="n"/>
      <c r="C326" s="222" t="n"/>
      <c r="D326" s="220" t="n"/>
      <c r="E326" s="220" t="n"/>
      <c r="F326" s="181" t="n"/>
      <c r="G326" s="219" t="n"/>
      <c r="H326" s="220" t="n"/>
      <c r="I326" s="221" t="n"/>
    </row>
    <row r="327" ht="15" customHeight="1" s="131">
      <c r="A327" s="220" t="n"/>
      <c r="B327" s="222" t="n"/>
      <c r="C327" s="222" t="n"/>
      <c r="D327" s="220" t="n"/>
      <c r="E327" s="220" t="n"/>
      <c r="F327" s="181" t="n"/>
      <c r="G327" s="219" t="n"/>
      <c r="H327" s="220" t="n"/>
      <c r="I327" s="221" t="n"/>
    </row>
    <row r="328" ht="15" customHeight="1" s="131">
      <c r="A328" s="220" t="n"/>
      <c r="B328" s="222" t="n"/>
      <c r="C328" s="222" t="n"/>
      <c r="D328" s="220" t="n"/>
      <c r="E328" s="220" t="n"/>
      <c r="F328" s="181" t="n"/>
      <c r="G328" s="219" t="n"/>
      <c r="H328" s="220" t="n"/>
      <c r="I328" s="221" t="n"/>
    </row>
    <row r="329" ht="15" customHeight="1" s="131">
      <c r="A329" s="220" t="n"/>
      <c r="B329" s="222" t="n"/>
      <c r="C329" s="222" t="n"/>
      <c r="D329" s="220" t="n"/>
      <c r="E329" s="220" t="n"/>
      <c r="F329" s="181" t="n"/>
      <c r="G329" s="219" t="n"/>
      <c r="H329" s="220" t="n"/>
      <c r="I329" s="221" t="n"/>
    </row>
    <row r="330" ht="15" customHeight="1" s="131">
      <c r="A330" s="220" t="n"/>
      <c r="B330" s="222" t="n"/>
      <c r="C330" s="222" t="n"/>
      <c r="D330" s="220" t="n"/>
      <c r="E330" s="220" t="n"/>
      <c r="F330" s="181" t="n"/>
      <c r="G330" s="219" t="n"/>
      <c r="H330" s="220" t="n"/>
      <c r="I330" s="221" t="n"/>
    </row>
    <row r="331" ht="15" customHeight="1" s="131">
      <c r="A331" s="220" t="n"/>
      <c r="B331" s="222" t="n"/>
      <c r="C331" s="222" t="n"/>
      <c r="D331" s="220" t="n"/>
      <c r="E331" s="220" t="n"/>
      <c r="F331" s="181" t="n"/>
      <c r="G331" s="219" t="n"/>
      <c r="H331" s="220" t="n"/>
      <c r="I331" s="221" t="n"/>
    </row>
    <row r="332" ht="15" customHeight="1" s="131">
      <c r="A332" s="220" t="n"/>
      <c r="B332" s="222" t="n"/>
      <c r="C332" s="222" t="n"/>
      <c r="D332" s="220" t="n"/>
      <c r="E332" s="220" t="n"/>
      <c r="F332" s="181" t="n"/>
      <c r="G332" s="219" t="n"/>
      <c r="H332" s="220" t="n"/>
      <c r="I332" s="221" t="n"/>
    </row>
    <row r="333" ht="15" customHeight="1" s="131">
      <c r="A333" s="220" t="n"/>
      <c r="B333" s="222" t="n"/>
      <c r="C333" s="222" t="n"/>
      <c r="D333" s="220" t="n"/>
      <c r="E333" s="220" t="n"/>
      <c r="F333" s="181" t="n"/>
      <c r="G333" s="219" t="n"/>
      <c r="H333" s="220" t="n"/>
      <c r="I333" s="221" t="n"/>
    </row>
    <row r="334" ht="15" customHeight="1" s="131">
      <c r="A334" s="220" t="n"/>
      <c r="B334" s="222" t="n"/>
      <c r="C334" s="222" t="n"/>
      <c r="D334" s="220" t="n"/>
      <c r="E334" s="220" t="n"/>
      <c r="F334" s="181" t="n"/>
      <c r="G334" s="219" t="n"/>
      <c r="H334" s="220" t="n"/>
      <c r="I334" s="221" t="n"/>
    </row>
    <row r="335" ht="15" customHeight="1" s="131">
      <c r="A335" s="220" t="n"/>
      <c r="B335" s="222" t="n"/>
      <c r="C335" s="222" t="n"/>
      <c r="D335" s="220" t="n"/>
      <c r="E335" s="220" t="n"/>
      <c r="F335" s="181" t="n"/>
      <c r="G335" s="219" t="n"/>
      <c r="H335" s="220" t="n"/>
      <c r="I335" s="221" t="n"/>
    </row>
    <row r="336" ht="15" customHeight="1" s="131">
      <c r="A336" s="220" t="n"/>
      <c r="B336" s="222" t="n"/>
      <c r="C336" s="222" t="n"/>
      <c r="D336" s="220" t="n"/>
      <c r="E336" s="220" t="n"/>
      <c r="F336" s="181" t="n"/>
      <c r="G336" s="219" t="n"/>
      <c r="H336" s="220" t="n"/>
      <c r="I336" s="221" t="n"/>
    </row>
    <row r="337" ht="15" customHeight="1" s="131">
      <c r="A337" s="220" t="n"/>
      <c r="B337" s="222" t="n"/>
      <c r="C337" s="222" t="n"/>
      <c r="D337" s="220" t="n"/>
      <c r="E337" s="220" t="n"/>
      <c r="F337" s="181" t="n"/>
      <c r="G337" s="219" t="n"/>
      <c r="H337" s="220" t="n"/>
      <c r="I337" s="221" t="n"/>
    </row>
    <row r="338" ht="15" customHeight="1" s="131">
      <c r="A338" s="220" t="n"/>
      <c r="B338" s="222" t="n"/>
      <c r="C338" s="222" t="n"/>
      <c r="D338" s="220" t="n"/>
      <c r="E338" s="220" t="n"/>
      <c r="F338" s="181" t="n"/>
      <c r="G338" s="219" t="n"/>
      <c r="H338" s="220" t="n"/>
      <c r="I338" s="221" t="n"/>
    </row>
    <row r="339" ht="15" customHeight="1" s="131">
      <c r="A339" s="220" t="n"/>
      <c r="B339" s="222" t="n"/>
      <c r="C339" s="222" t="n"/>
      <c r="D339" s="220" t="n"/>
      <c r="E339" s="220" t="n"/>
      <c r="F339" s="181" t="n"/>
      <c r="G339" s="219" t="n"/>
      <c r="H339" s="220" t="n"/>
      <c r="I339" s="221" t="n"/>
    </row>
    <row r="340" ht="15" customHeight="1" s="131">
      <c r="A340" s="220" t="n"/>
      <c r="B340" s="222" t="n"/>
      <c r="C340" s="222" t="n"/>
      <c r="D340" s="220" t="n"/>
      <c r="E340" s="220" t="n"/>
      <c r="F340" s="181" t="n"/>
      <c r="G340" s="219" t="n"/>
      <c r="H340" s="220" t="n"/>
      <c r="I340" s="221" t="n"/>
    </row>
    <row r="341" ht="15" customHeight="1" s="131">
      <c r="A341" s="220" t="n"/>
      <c r="B341" s="222" t="n"/>
      <c r="C341" s="222" t="n"/>
      <c r="D341" s="220" t="n"/>
      <c r="E341" s="220" t="n"/>
      <c r="F341" s="181" t="n"/>
      <c r="G341" s="219" t="n"/>
      <c r="H341" s="220" t="n"/>
      <c r="I341" s="221" t="n"/>
    </row>
    <row r="342" ht="15" customHeight="1" s="131">
      <c r="A342" s="220" t="n"/>
      <c r="B342" s="222" t="n"/>
      <c r="C342" s="222" t="n"/>
      <c r="D342" s="220" t="n"/>
      <c r="E342" s="220" t="n"/>
      <c r="F342" s="181" t="n"/>
      <c r="G342" s="219" t="n"/>
      <c r="H342" s="220" t="n"/>
      <c r="I342" s="221" t="n"/>
    </row>
    <row r="343" ht="15" customHeight="1" s="131">
      <c r="A343" s="220" t="n"/>
      <c r="B343" s="222" t="n"/>
      <c r="C343" s="222" t="n"/>
      <c r="D343" s="220" t="n"/>
      <c r="E343" s="220" t="n"/>
      <c r="F343" s="181" t="n"/>
      <c r="G343" s="219" t="n"/>
      <c r="H343" s="220" t="n"/>
      <c r="I343" s="221" t="n"/>
    </row>
    <row r="344" ht="15" customHeight="1" s="131">
      <c r="A344" s="220" t="n"/>
      <c r="B344" s="222" t="n"/>
      <c r="C344" s="222" t="n"/>
      <c r="D344" s="220" t="n"/>
      <c r="E344" s="220" t="n"/>
      <c r="F344" s="181" t="n"/>
      <c r="G344" s="219" t="n"/>
      <c r="H344" s="220" t="n"/>
      <c r="I344" s="221" t="n"/>
    </row>
    <row r="345" ht="15" customHeight="1" s="131">
      <c r="A345" s="220" t="n"/>
      <c r="B345" s="222" t="n"/>
      <c r="C345" s="222" t="n"/>
      <c r="D345" s="220" t="n"/>
      <c r="E345" s="220" t="n"/>
      <c r="F345" s="181" t="n"/>
      <c r="G345" s="219" t="n"/>
      <c r="H345" s="220" t="n"/>
      <c r="I345" s="221" t="n"/>
    </row>
    <row r="346" ht="15" customHeight="1" s="131">
      <c r="A346" s="220" t="n"/>
      <c r="B346" s="222" t="n"/>
      <c r="C346" s="222" t="n"/>
      <c r="D346" s="220" t="n"/>
      <c r="E346" s="220" t="n"/>
      <c r="F346" s="181" t="n"/>
      <c r="G346" s="219" t="n"/>
      <c r="H346" s="220" t="n"/>
      <c r="I346" s="221" t="n"/>
    </row>
    <row r="347" ht="15" customHeight="1" s="131">
      <c r="A347" s="220" t="n"/>
      <c r="B347" s="222" t="n"/>
      <c r="C347" s="222" t="n"/>
      <c r="D347" s="220" t="n"/>
      <c r="E347" s="220" t="n"/>
      <c r="F347" s="181" t="n"/>
      <c r="G347" s="219" t="n"/>
      <c r="H347" s="220" t="n"/>
      <c r="I347" s="221" t="n"/>
    </row>
    <row r="348" ht="15" customHeight="1" s="131">
      <c r="A348" s="220" t="n"/>
      <c r="B348" s="222" t="n"/>
      <c r="C348" s="222" t="n"/>
      <c r="D348" s="220" t="n"/>
      <c r="E348" s="220" t="n"/>
      <c r="F348" s="181" t="n"/>
      <c r="G348" s="219" t="n"/>
      <c r="H348" s="220" t="n"/>
      <c r="I348" s="221" t="n"/>
    </row>
    <row r="349" ht="15" customHeight="1" s="131">
      <c r="A349" s="220" t="n"/>
      <c r="B349" s="222" t="n"/>
      <c r="C349" s="222" t="n"/>
      <c r="D349" s="220" t="n"/>
      <c r="E349" s="220" t="n"/>
      <c r="F349" s="181" t="n"/>
      <c r="G349" s="219" t="n"/>
      <c r="H349" s="220" t="n"/>
      <c r="I349" s="221" t="n"/>
    </row>
    <row r="350" ht="15" customHeight="1" s="131">
      <c r="A350" s="220" t="n"/>
      <c r="B350" s="222" t="n"/>
      <c r="C350" s="222" t="n"/>
      <c r="D350" s="220" t="n"/>
      <c r="E350" s="220" t="n"/>
      <c r="F350" s="181" t="n"/>
      <c r="G350" s="219" t="n"/>
      <c r="H350" s="220" t="n"/>
      <c r="I350" s="221" t="n"/>
    </row>
    <row r="351" ht="15" customHeight="1" s="131">
      <c r="A351" s="220" t="n"/>
      <c r="B351" s="222" t="n"/>
      <c r="C351" s="222" t="n"/>
      <c r="D351" s="220" t="n"/>
      <c r="E351" s="220" t="n"/>
      <c r="F351" s="181" t="n"/>
      <c r="G351" s="219" t="n"/>
      <c r="H351" s="220" t="n"/>
      <c r="I351" s="221" t="n"/>
    </row>
    <row r="352" ht="15" customHeight="1" s="131">
      <c r="A352" s="220" t="n"/>
      <c r="B352" s="222" t="n"/>
      <c r="C352" s="222" t="n"/>
      <c r="D352" s="220" t="n"/>
      <c r="E352" s="220" t="n"/>
      <c r="F352" s="181" t="n"/>
      <c r="G352" s="219" t="n"/>
      <c r="H352" s="220" t="n"/>
      <c r="I352" s="221" t="n"/>
    </row>
    <row r="353" ht="15" customHeight="1" s="131">
      <c r="A353" s="220" t="n"/>
      <c r="B353" s="222" t="n"/>
      <c r="C353" s="222" t="n"/>
      <c r="D353" s="220" t="n"/>
      <c r="E353" s="220" t="n"/>
      <c r="F353" s="181" t="n"/>
      <c r="G353" s="219" t="n"/>
      <c r="H353" s="220" t="n"/>
      <c r="I353" s="221" t="n"/>
    </row>
    <row r="354" ht="15" customHeight="1" s="131">
      <c r="A354" s="220" t="n"/>
      <c r="B354" s="222" t="n"/>
      <c r="C354" s="222" t="n"/>
      <c r="D354" s="220" t="n"/>
      <c r="E354" s="220" t="n"/>
      <c r="F354" s="181" t="n"/>
      <c r="G354" s="219" t="n"/>
      <c r="H354" s="220" t="n"/>
      <c r="I354" s="221" t="n"/>
    </row>
    <row r="355" ht="15" customHeight="1" s="131">
      <c r="A355" s="220" t="n"/>
      <c r="B355" s="222" t="n"/>
      <c r="C355" s="222" t="n"/>
      <c r="D355" s="220" t="n"/>
      <c r="E355" s="220" t="n"/>
      <c r="F355" s="181" t="n"/>
      <c r="G355" s="219" t="n"/>
      <c r="H355" s="220" t="n"/>
      <c r="I355" s="221" t="n"/>
    </row>
    <row r="356" ht="15" customHeight="1" s="131">
      <c r="A356" s="220" t="n"/>
      <c r="B356" s="222" t="n"/>
      <c r="C356" s="222" t="n"/>
      <c r="D356" s="220" t="n"/>
      <c r="E356" s="220" t="n"/>
      <c r="F356" s="181" t="n"/>
      <c r="G356" s="219" t="n"/>
      <c r="H356" s="220" t="n"/>
      <c r="I356" s="221" t="n"/>
    </row>
    <row r="357" ht="15" customHeight="1" s="131">
      <c r="A357" s="220" t="n"/>
      <c r="B357" s="222" t="n"/>
      <c r="C357" s="222" t="n"/>
      <c r="D357" s="220" t="n"/>
      <c r="E357" s="220" t="n"/>
      <c r="F357" s="181" t="n"/>
      <c r="G357" s="219" t="n"/>
      <c r="H357" s="220" t="n"/>
      <c r="I357" s="221" t="n"/>
    </row>
    <row r="358" ht="15" customHeight="1" s="131">
      <c r="A358" s="220" t="n"/>
      <c r="B358" s="222" t="n"/>
      <c r="C358" s="222" t="n"/>
      <c r="D358" s="220" t="n"/>
      <c r="E358" s="220" t="n"/>
      <c r="F358" s="181" t="n"/>
      <c r="G358" s="219" t="n"/>
      <c r="H358" s="220" t="n"/>
      <c r="I358" s="221" t="n"/>
    </row>
    <row r="359" ht="15" customHeight="1" s="131">
      <c r="A359" s="220" t="n"/>
      <c r="B359" s="222" t="n"/>
      <c r="C359" s="222" t="n"/>
      <c r="D359" s="220" t="n"/>
      <c r="E359" s="220" t="n"/>
      <c r="F359" s="181" t="n"/>
      <c r="G359" s="219" t="n"/>
      <c r="H359" s="220" t="n"/>
      <c r="I359" s="221" t="n"/>
    </row>
    <row r="360" ht="15" customHeight="1" s="131">
      <c r="A360" s="220" t="n"/>
      <c r="B360" s="222" t="n"/>
      <c r="C360" s="222" t="n"/>
      <c r="D360" s="220" t="n"/>
      <c r="E360" s="220" t="n"/>
      <c r="F360" s="181" t="n"/>
      <c r="G360" s="219" t="n"/>
      <c r="H360" s="220" t="n"/>
      <c r="I360" s="221" t="n"/>
    </row>
    <row r="361" ht="15" customHeight="1" s="131">
      <c r="A361" s="220" t="n"/>
      <c r="B361" s="222" t="n"/>
      <c r="C361" s="222" t="n"/>
      <c r="D361" s="220" t="n"/>
      <c r="E361" s="220" t="n"/>
      <c r="F361" s="181" t="n"/>
      <c r="G361" s="219" t="n"/>
      <c r="H361" s="220" t="n"/>
      <c r="I361" s="221" t="n"/>
    </row>
    <row r="362" ht="15" customHeight="1" s="131">
      <c r="A362" s="220" t="n"/>
      <c r="B362" s="222" t="n"/>
      <c r="C362" s="222" t="n"/>
      <c r="D362" s="220" t="n"/>
      <c r="E362" s="220" t="n"/>
      <c r="F362" s="181" t="n"/>
      <c r="G362" s="219" t="n"/>
      <c r="H362" s="220" t="n"/>
      <c r="I362" s="221" t="n"/>
    </row>
    <row r="363" ht="15" customHeight="1" s="131">
      <c r="A363" s="220" t="n"/>
      <c r="B363" s="222" t="n"/>
      <c r="C363" s="222" t="n"/>
      <c r="D363" s="220" t="n"/>
      <c r="E363" s="220" t="n"/>
      <c r="F363" s="181" t="n"/>
      <c r="G363" s="219" t="n"/>
      <c r="H363" s="220" t="n"/>
      <c r="I363" s="221" t="n"/>
    </row>
    <row r="364" ht="15" customHeight="1" s="131">
      <c r="A364" s="220" t="n"/>
      <c r="B364" s="222" t="n"/>
      <c r="C364" s="222" t="n"/>
      <c r="D364" s="220" t="n"/>
      <c r="E364" s="220" t="n"/>
      <c r="F364" s="181" t="n"/>
      <c r="G364" s="219" t="n"/>
      <c r="H364" s="220" t="n"/>
      <c r="I364" s="221" t="n"/>
    </row>
    <row r="365" ht="15" customHeight="1" s="131">
      <c r="A365" s="220" t="n"/>
      <c r="B365" s="222" t="n"/>
      <c r="C365" s="222" t="n"/>
      <c r="D365" s="220" t="n"/>
      <c r="E365" s="220" t="n"/>
      <c r="F365" s="181" t="n"/>
      <c r="G365" s="219" t="n"/>
      <c r="H365" s="220" t="n"/>
      <c r="I365" s="221" t="n"/>
    </row>
    <row r="366" ht="15" customHeight="1" s="131">
      <c r="A366" s="220" t="n"/>
      <c r="B366" s="222" t="n"/>
      <c r="C366" s="222" t="n"/>
      <c r="D366" s="220" t="n"/>
      <c r="E366" s="220" t="n"/>
      <c r="F366" s="181" t="n"/>
      <c r="G366" s="219" t="n"/>
      <c r="H366" s="220" t="n"/>
      <c r="I366" s="221" t="n"/>
    </row>
    <row r="367" ht="15" customHeight="1" s="131">
      <c r="A367" s="220" t="n"/>
      <c r="B367" s="222" t="n"/>
      <c r="C367" s="222" t="n"/>
      <c r="D367" s="220" t="n"/>
      <c r="E367" s="220" t="n"/>
      <c r="F367" s="181" t="n"/>
      <c r="G367" s="219" t="n"/>
      <c r="H367" s="220" t="n"/>
      <c r="I367" s="221" t="n"/>
    </row>
    <row r="368" ht="15" customHeight="1" s="131">
      <c r="A368" s="220" t="n"/>
      <c r="B368" s="222" t="n"/>
      <c r="C368" s="222" t="n"/>
      <c r="D368" s="220" t="n"/>
      <c r="E368" s="220" t="n"/>
      <c r="F368" s="181" t="n"/>
      <c r="G368" s="219" t="n"/>
      <c r="H368" s="220" t="n"/>
      <c r="I368" s="221" t="n"/>
    </row>
    <row r="369" ht="15" customHeight="1" s="131">
      <c r="A369" s="220" t="n"/>
      <c r="B369" s="222" t="n"/>
      <c r="C369" s="222" t="n"/>
      <c r="D369" s="220" t="n"/>
      <c r="E369" s="220" t="n"/>
      <c r="F369" s="181" t="n"/>
      <c r="G369" s="219" t="n"/>
      <c r="H369" s="220" t="n"/>
      <c r="I369" s="221" t="n"/>
    </row>
    <row r="370" ht="15" customHeight="1" s="131">
      <c r="A370" s="220" t="n"/>
      <c r="B370" s="222" t="n"/>
      <c r="C370" s="222" t="n"/>
      <c r="D370" s="220" t="n"/>
      <c r="E370" s="220" t="n"/>
      <c r="F370" s="181" t="n"/>
      <c r="G370" s="219" t="n"/>
      <c r="H370" s="220" t="n"/>
      <c r="I370" s="221" t="n"/>
    </row>
    <row r="371" ht="15" customHeight="1" s="131">
      <c r="A371" s="220" t="n"/>
      <c r="B371" s="222" t="n"/>
      <c r="C371" s="222" t="n"/>
      <c r="D371" s="220" t="n"/>
      <c r="E371" s="220" t="n"/>
      <c r="F371" s="181" t="n"/>
      <c r="G371" s="219" t="n"/>
      <c r="H371" s="220" t="n"/>
      <c r="I371" s="221" t="n"/>
    </row>
    <row r="372" ht="15" customHeight="1" s="131">
      <c r="A372" s="220" t="n"/>
      <c r="B372" s="222" t="n"/>
      <c r="C372" s="222" t="n"/>
      <c r="D372" s="220" t="n"/>
      <c r="E372" s="220" t="n"/>
      <c r="F372" s="181" t="n"/>
      <c r="G372" s="219" t="n"/>
      <c r="H372" s="220" t="n"/>
      <c r="I372" s="221" t="n"/>
    </row>
    <row r="373" ht="15" customHeight="1" s="131">
      <c r="A373" s="220" t="n"/>
      <c r="B373" s="222" t="n"/>
      <c r="C373" s="222" t="n"/>
      <c r="D373" s="220" t="n"/>
      <c r="E373" s="220" t="n"/>
      <c r="F373" s="181" t="n"/>
      <c r="G373" s="219" t="n"/>
      <c r="H373" s="220" t="n"/>
      <c r="I373" s="221" t="n"/>
    </row>
    <row r="374" ht="15" customHeight="1" s="131">
      <c r="A374" s="220" t="n"/>
      <c r="B374" s="222" t="n"/>
      <c r="C374" s="222" t="n"/>
      <c r="D374" s="220" t="n"/>
      <c r="E374" s="220" t="n"/>
      <c r="F374" s="181" t="n"/>
      <c r="G374" s="219" t="n"/>
      <c r="H374" s="220" t="n"/>
      <c r="I374" s="221" t="n"/>
    </row>
    <row r="375" ht="15" customHeight="1" s="131">
      <c r="A375" s="220" t="n"/>
      <c r="B375" s="222" t="n"/>
      <c r="C375" s="222" t="n"/>
      <c r="D375" s="220" t="n"/>
      <c r="E375" s="220" t="n"/>
      <c r="F375" s="181" t="n"/>
      <c r="G375" s="219" t="n"/>
      <c r="H375" s="220" t="n"/>
      <c r="I375" s="221" t="n"/>
    </row>
    <row r="376" ht="15" customHeight="1" s="131">
      <c r="A376" s="220" t="n"/>
      <c r="B376" s="222" t="n"/>
      <c r="C376" s="222" t="n"/>
      <c r="D376" s="220" t="n"/>
      <c r="E376" s="220" t="n"/>
      <c r="F376" s="181" t="n"/>
      <c r="G376" s="219" t="n"/>
      <c r="H376" s="220" t="n"/>
      <c r="I376" s="221" t="n"/>
    </row>
    <row r="377" ht="15" customHeight="1" s="131">
      <c r="A377" s="220" t="n"/>
      <c r="B377" s="222" t="n"/>
      <c r="C377" s="222" t="n"/>
      <c r="D377" s="220" t="n"/>
      <c r="E377" s="220" t="n"/>
      <c r="F377" s="181" t="n"/>
      <c r="G377" s="219" t="n"/>
      <c r="H377" s="220" t="n"/>
      <c r="I377" s="221" t="n"/>
    </row>
    <row r="378" ht="15" customHeight="1" s="131">
      <c r="A378" s="220" t="n"/>
      <c r="B378" s="222" t="n"/>
      <c r="C378" s="222" t="n"/>
      <c r="D378" s="220" t="n"/>
      <c r="E378" s="220" t="n"/>
      <c r="F378" s="181" t="n"/>
      <c r="G378" s="219" t="n"/>
      <c r="H378" s="220" t="n"/>
      <c r="I378" s="221" t="n"/>
    </row>
    <row r="379" ht="15" customHeight="1" s="131">
      <c r="A379" s="220" t="n"/>
      <c r="B379" s="222" t="n"/>
      <c r="C379" s="222" t="n"/>
      <c r="D379" s="220" t="n"/>
      <c r="E379" s="220" t="n"/>
      <c r="F379" s="181" t="n"/>
      <c r="G379" s="219" t="n"/>
      <c r="H379" s="220" t="n"/>
      <c r="I379" s="221" t="n"/>
    </row>
    <row r="380" ht="15" customHeight="1" s="131">
      <c r="A380" s="220" t="n"/>
      <c r="B380" s="222" t="n"/>
      <c r="C380" s="222" t="n"/>
      <c r="D380" s="220" t="n"/>
      <c r="E380" s="220" t="n"/>
      <c r="F380" s="181" t="n"/>
      <c r="G380" s="219" t="n"/>
      <c r="H380" s="220" t="n"/>
      <c r="I380" s="221" t="n"/>
    </row>
    <row r="381" ht="15" customHeight="1" s="131">
      <c r="A381" s="220" t="n"/>
      <c r="B381" s="222" t="n"/>
      <c r="C381" s="222" t="n"/>
      <c r="D381" s="220" t="n"/>
      <c r="E381" s="220" t="n"/>
      <c r="F381" s="181" t="n"/>
      <c r="G381" s="219" t="n"/>
      <c r="H381" s="220" t="n"/>
      <c r="I381" s="221" t="n"/>
    </row>
    <row r="382" ht="15" customHeight="1" s="131">
      <c r="A382" s="220" t="n"/>
      <c r="B382" s="222" t="n"/>
      <c r="C382" s="222" t="n"/>
      <c r="D382" s="220" t="n"/>
      <c r="E382" s="220" t="n"/>
      <c r="F382" s="181" t="n"/>
      <c r="G382" s="219" t="n"/>
      <c r="H382" s="220" t="n"/>
      <c r="I382" s="221" t="n"/>
    </row>
    <row r="383" ht="15" customHeight="1" s="131">
      <c r="A383" s="220" t="n"/>
      <c r="B383" s="222" t="n"/>
      <c r="C383" s="222" t="n"/>
      <c r="D383" s="220" t="n"/>
      <c r="E383" s="220" t="n"/>
      <c r="F383" s="181" t="n"/>
      <c r="G383" s="219" t="n"/>
      <c r="H383" s="220" t="n"/>
      <c r="I383" s="221" t="n"/>
    </row>
    <row r="384" ht="15" customHeight="1" s="131">
      <c r="A384" s="220" t="n"/>
      <c r="B384" s="222" t="n"/>
      <c r="C384" s="222" t="n"/>
      <c r="D384" s="220" t="n"/>
      <c r="E384" s="220" t="n"/>
      <c r="F384" s="181" t="n"/>
      <c r="G384" s="219" t="n"/>
      <c r="H384" s="220" t="n"/>
      <c r="I384" s="221" t="n"/>
    </row>
    <row r="385" ht="15" customHeight="1" s="131">
      <c r="A385" s="220" t="n"/>
      <c r="B385" s="222" t="n"/>
      <c r="C385" s="222" t="n"/>
      <c r="D385" s="220" t="n"/>
      <c r="E385" s="220" t="n"/>
      <c r="F385" s="181" t="n"/>
      <c r="G385" s="219" t="n"/>
      <c r="H385" s="220" t="n"/>
      <c r="I385" s="221" t="n"/>
    </row>
    <row r="386" ht="15" customHeight="1" s="131">
      <c r="A386" s="220" t="n"/>
      <c r="B386" s="222" t="n"/>
      <c r="C386" s="222" t="n"/>
      <c r="D386" s="220" t="n"/>
      <c r="E386" s="220" t="n"/>
      <c r="F386" s="181" t="n"/>
      <c r="G386" s="219" t="n"/>
      <c r="H386" s="220" t="n"/>
      <c r="I386" s="221" t="n"/>
    </row>
    <row r="387" ht="15" customHeight="1" s="131">
      <c r="A387" s="220" t="n"/>
      <c r="B387" s="222" t="n"/>
      <c r="C387" s="222" t="n"/>
      <c r="D387" s="220" t="n"/>
      <c r="E387" s="220" t="n"/>
      <c r="F387" s="181" t="n"/>
      <c r="G387" s="219" t="n"/>
      <c r="H387" s="220" t="n"/>
      <c r="I387" s="221" t="n"/>
    </row>
    <row r="388" ht="15" customHeight="1" s="131">
      <c r="A388" s="220" t="n"/>
      <c r="B388" s="222" t="n"/>
      <c r="C388" s="222" t="n"/>
      <c r="D388" s="220" t="n"/>
      <c r="E388" s="220" t="n"/>
      <c r="F388" s="181" t="n"/>
      <c r="G388" s="219" t="n"/>
      <c r="H388" s="220" t="n"/>
      <c r="I388" s="221" t="n"/>
    </row>
    <row r="389" ht="15" customHeight="1" s="131">
      <c r="A389" s="220" t="n"/>
      <c r="B389" s="222" t="n"/>
      <c r="C389" s="222" t="n"/>
      <c r="D389" s="220" t="n"/>
      <c r="E389" s="220" t="n"/>
      <c r="F389" s="181" t="n"/>
      <c r="G389" s="219" t="n"/>
      <c r="H389" s="220" t="n"/>
      <c r="I389" s="221" t="n"/>
    </row>
    <row r="390" ht="15" customHeight="1" s="131">
      <c r="A390" s="220" t="n"/>
      <c r="B390" s="222" t="n"/>
      <c r="C390" s="222" t="n"/>
      <c r="D390" s="220" t="n"/>
      <c r="E390" s="220" t="n"/>
      <c r="F390" s="181" t="n"/>
      <c r="G390" s="219" t="n"/>
      <c r="H390" s="220" t="n"/>
      <c r="I390" s="221" t="n"/>
    </row>
    <row r="391" ht="15" customHeight="1" s="131">
      <c r="A391" s="220" t="n"/>
      <c r="B391" s="222" t="n"/>
      <c r="C391" s="222" t="n"/>
      <c r="D391" s="220" t="n"/>
      <c r="E391" s="220" t="n"/>
      <c r="F391" s="181" t="n"/>
      <c r="G391" s="219" t="n"/>
      <c r="H391" s="220" t="n"/>
      <c r="I391" s="221" t="n"/>
    </row>
    <row r="392" ht="15" customHeight="1" s="131">
      <c r="A392" s="220" t="n"/>
      <c r="B392" s="222" t="n"/>
      <c r="C392" s="222" t="n"/>
      <c r="D392" s="220" t="n"/>
      <c r="E392" s="220" t="n"/>
      <c r="F392" s="181" t="n"/>
      <c r="G392" s="219" t="n"/>
      <c r="H392" s="220" t="n"/>
      <c r="I392" s="221" t="n"/>
    </row>
    <row r="393" ht="15" customHeight="1" s="131">
      <c r="A393" s="220" t="n"/>
      <c r="B393" s="222" t="n"/>
      <c r="C393" s="222" t="n"/>
      <c r="D393" s="220" t="n"/>
      <c r="E393" s="220" t="n"/>
      <c r="F393" s="181" t="n"/>
      <c r="G393" s="219" t="n"/>
      <c r="H393" s="220" t="n"/>
      <c r="I393" s="221" t="n"/>
    </row>
    <row r="394" ht="15" customHeight="1" s="131">
      <c r="A394" s="220" t="n"/>
      <c r="B394" s="222" t="n"/>
      <c r="C394" s="222" t="n"/>
      <c r="D394" s="220" t="n"/>
      <c r="E394" s="220" t="n"/>
      <c r="F394" s="181" t="n"/>
      <c r="G394" s="219" t="n"/>
      <c r="H394" s="220" t="n"/>
      <c r="I394" s="221" t="n"/>
    </row>
    <row r="395" ht="15" customHeight="1" s="131">
      <c r="A395" s="220" t="n"/>
      <c r="B395" s="222" t="n"/>
      <c r="C395" s="222" t="n"/>
      <c r="D395" s="220" t="n"/>
      <c r="E395" s="220" t="n"/>
      <c r="F395" s="181" t="n"/>
      <c r="G395" s="219" t="n"/>
      <c r="H395" s="220" t="n"/>
      <c r="I395" s="221" t="n"/>
    </row>
    <row r="396" ht="15" customHeight="1" s="131">
      <c r="A396" s="220" t="n"/>
      <c r="B396" s="222" t="n"/>
      <c r="C396" s="222" t="n"/>
      <c r="D396" s="220" t="n"/>
      <c r="E396" s="220" t="n"/>
      <c r="F396" s="181" t="n"/>
      <c r="G396" s="219" t="n"/>
      <c r="H396" s="220" t="n"/>
      <c r="I396" s="221" t="n"/>
    </row>
    <row r="397" ht="15" customHeight="1" s="131">
      <c r="A397" s="220" t="n"/>
      <c r="B397" s="222" t="n"/>
      <c r="C397" s="222" t="n"/>
      <c r="D397" s="220" t="n"/>
      <c r="E397" s="220" t="n"/>
      <c r="F397" s="181" t="n"/>
      <c r="G397" s="219" t="n"/>
      <c r="H397" s="220" t="n"/>
      <c r="I397" s="221" t="n"/>
    </row>
    <row r="398" ht="15" customHeight="1" s="131">
      <c r="A398" s="220" t="n"/>
      <c r="B398" s="222" t="n"/>
      <c r="C398" s="222" t="n"/>
      <c r="D398" s="220" t="n"/>
      <c r="E398" s="220" t="n"/>
      <c r="F398" s="181" t="n"/>
      <c r="G398" s="219" t="n"/>
      <c r="H398" s="220" t="n"/>
      <c r="I398" s="221" t="n"/>
    </row>
    <row r="399" ht="15" customHeight="1" s="131">
      <c r="A399" s="220" t="n"/>
      <c r="B399" s="222" t="n"/>
      <c r="C399" s="222" t="n"/>
      <c r="D399" s="220" t="n"/>
      <c r="E399" s="220" t="n"/>
      <c r="F399" s="181" t="n"/>
      <c r="G399" s="219" t="n"/>
      <c r="H399" s="220" t="n"/>
      <c r="I399" s="221" t="n"/>
    </row>
    <row r="400" ht="15" customHeight="1" s="131">
      <c r="A400" s="220" t="n"/>
      <c r="B400" s="222" t="n"/>
      <c r="C400" s="222" t="n"/>
      <c r="D400" s="220" t="n"/>
      <c r="E400" s="220" t="n"/>
      <c r="F400" s="181" t="n"/>
      <c r="G400" s="219" t="n"/>
      <c r="H400" s="220" t="n"/>
      <c r="I400" s="221" t="n"/>
    </row>
    <row r="401" ht="15" customHeight="1" s="131">
      <c r="A401" s="220" t="n"/>
      <c r="B401" s="222" t="n"/>
      <c r="C401" s="222" t="n"/>
      <c r="D401" s="220" t="n"/>
      <c r="E401" s="220" t="n"/>
      <c r="F401" s="181" t="n"/>
      <c r="G401" s="219" t="n"/>
      <c r="H401" s="220" t="n"/>
      <c r="I401" s="221" t="n"/>
    </row>
    <row r="402" ht="15" customHeight="1" s="131">
      <c r="A402" s="220" t="n"/>
      <c r="B402" s="222" t="n"/>
      <c r="C402" s="222" t="n"/>
      <c r="D402" s="220" t="n"/>
      <c r="E402" s="220" t="n"/>
      <c r="F402" s="181" t="n"/>
      <c r="G402" s="219" t="n"/>
      <c r="H402" s="220" t="n"/>
      <c r="I402" s="221" t="n"/>
    </row>
    <row r="403" ht="15" customHeight="1" s="131">
      <c r="A403" s="220" t="n"/>
      <c r="B403" s="222" t="n"/>
      <c r="C403" s="222" t="n"/>
      <c r="D403" s="220" t="n"/>
      <c r="E403" s="220" t="n"/>
      <c r="F403" s="181" t="n"/>
      <c r="G403" s="219" t="n"/>
      <c r="H403" s="220" t="n"/>
      <c r="I403" s="221" t="n"/>
    </row>
    <row r="404" ht="15" customHeight="1" s="131">
      <c r="A404" s="220" t="n"/>
      <c r="B404" s="222" t="n"/>
      <c r="C404" s="222" t="n"/>
      <c r="D404" s="220" t="n"/>
      <c r="E404" s="220" t="n"/>
      <c r="F404" s="181" t="n"/>
      <c r="G404" s="219" t="n"/>
      <c r="H404" s="220" t="n"/>
      <c r="I404" s="221" t="n"/>
    </row>
    <row r="405" ht="15" customHeight="1" s="131">
      <c r="A405" s="220" t="n"/>
      <c r="B405" s="222" t="n"/>
      <c r="C405" s="222" t="n"/>
      <c r="D405" s="220" t="n"/>
      <c r="E405" s="220" t="n"/>
      <c r="F405" s="181" t="n"/>
      <c r="G405" s="219" t="n"/>
      <c r="H405" s="220" t="n"/>
      <c r="I405" s="221" t="n"/>
    </row>
    <row r="406" ht="15" customHeight="1" s="131">
      <c r="A406" s="220" t="n"/>
      <c r="B406" s="222" t="n"/>
      <c r="C406" s="222" t="n"/>
      <c r="D406" s="220" t="n"/>
      <c r="E406" s="220" t="n"/>
      <c r="F406" s="181" t="n"/>
      <c r="G406" s="219" t="n"/>
      <c r="H406" s="220" t="n"/>
      <c r="I406" s="221" t="n"/>
    </row>
    <row r="407" ht="15" customHeight="1" s="131">
      <c r="A407" s="220" t="n"/>
      <c r="B407" s="222" t="n"/>
      <c r="C407" s="222" t="n"/>
      <c r="D407" s="220" t="n"/>
      <c r="E407" s="220" t="n"/>
      <c r="F407" s="181" t="n"/>
      <c r="G407" s="219" t="n"/>
      <c r="H407" s="220" t="n"/>
      <c r="I407" s="221" t="n"/>
    </row>
    <row r="408" ht="15" customHeight="1" s="131">
      <c r="A408" s="220" t="n"/>
      <c r="B408" s="222" t="n"/>
      <c r="C408" s="222" t="n"/>
      <c r="D408" s="220" t="n"/>
      <c r="E408" s="220" t="n"/>
      <c r="F408" s="181" t="n"/>
      <c r="G408" s="219" t="n"/>
      <c r="H408" s="220" t="n"/>
      <c r="I408" s="221" t="n"/>
    </row>
    <row r="409" ht="15" customHeight="1" s="131">
      <c r="A409" s="220" t="n"/>
      <c r="B409" s="222" t="n"/>
      <c r="C409" s="222" t="n"/>
      <c r="D409" s="220" t="n"/>
      <c r="E409" s="220" t="n"/>
      <c r="F409" s="181" t="n"/>
      <c r="G409" s="219" t="n"/>
      <c r="H409" s="220" t="n"/>
      <c r="I409" s="221" t="n"/>
    </row>
    <row r="410" ht="15" customHeight="1" s="131">
      <c r="A410" s="220" t="n"/>
      <c r="B410" s="222" t="n"/>
      <c r="C410" s="222" t="n"/>
      <c r="D410" s="220" t="n"/>
      <c r="E410" s="220" t="n"/>
      <c r="F410" s="181" t="n"/>
      <c r="G410" s="219" t="n"/>
      <c r="H410" s="220" t="n"/>
      <c r="I410" s="221" t="n"/>
    </row>
    <row r="411" ht="15" customHeight="1" s="131">
      <c r="A411" s="220" t="n"/>
      <c r="B411" s="222" t="n"/>
      <c r="C411" s="222" t="n"/>
      <c r="D411" s="220" t="n"/>
      <c r="E411" s="220" t="n"/>
      <c r="F411" s="181" t="n"/>
      <c r="G411" s="219" t="n"/>
      <c r="H411" s="220" t="n"/>
      <c r="I411" s="221" t="n"/>
    </row>
    <row r="412" ht="15" customHeight="1" s="131">
      <c r="A412" s="220" t="n"/>
      <c r="B412" s="222" t="n"/>
      <c r="C412" s="222" t="n"/>
      <c r="D412" s="220" t="n"/>
      <c r="E412" s="220" t="n"/>
      <c r="F412" s="181" t="n"/>
      <c r="G412" s="219" t="n"/>
      <c r="H412" s="220" t="n"/>
      <c r="I412" s="221" t="n"/>
    </row>
    <row r="413" ht="15" customHeight="1" s="131">
      <c r="A413" s="220" t="n"/>
      <c r="B413" s="222" t="n"/>
      <c r="C413" s="222" t="n"/>
      <c r="D413" s="220" t="n"/>
      <c r="E413" s="220" t="n"/>
      <c r="F413" s="181" t="n"/>
      <c r="G413" s="219" t="n"/>
      <c r="H413" s="220" t="n"/>
      <c r="I413" s="221" t="n"/>
    </row>
    <row r="414" ht="15" customHeight="1" s="131">
      <c r="A414" s="220" t="n"/>
      <c r="B414" s="222" t="n"/>
      <c r="C414" s="222" t="n"/>
      <c r="D414" s="220" t="n"/>
      <c r="E414" s="220" t="n"/>
      <c r="F414" s="181" t="n"/>
      <c r="G414" s="219" t="n"/>
      <c r="H414" s="220" t="n"/>
      <c r="I414" s="221" t="n"/>
    </row>
    <row r="415" ht="15" customHeight="1" s="131">
      <c r="A415" s="220" t="n"/>
      <c r="B415" s="222" t="n"/>
      <c r="C415" s="222" t="n"/>
      <c r="D415" s="220" t="n"/>
      <c r="E415" s="220" t="n"/>
      <c r="F415" s="181" t="n"/>
      <c r="G415" s="219" t="n"/>
      <c r="H415" s="220" t="n"/>
      <c r="I415" s="221" t="n"/>
    </row>
    <row r="416" ht="15" customHeight="1" s="131">
      <c r="A416" s="220" t="n"/>
      <c r="B416" s="222" t="n"/>
      <c r="C416" s="222" t="n"/>
      <c r="D416" s="220" t="n"/>
      <c r="E416" s="220" t="n"/>
      <c r="F416" s="181" t="n"/>
      <c r="G416" s="219" t="n"/>
      <c r="H416" s="220" t="n"/>
      <c r="I416" s="221" t="n"/>
    </row>
    <row r="417" ht="15" customHeight="1" s="131">
      <c r="A417" s="220" t="n"/>
      <c r="B417" s="222" t="n"/>
      <c r="C417" s="222" t="n"/>
      <c r="D417" s="220" t="n"/>
      <c r="E417" s="220" t="n"/>
      <c r="F417" s="181" t="n"/>
      <c r="G417" s="219" t="n"/>
      <c r="H417" s="220" t="n"/>
      <c r="I417" s="221" t="n"/>
    </row>
    <row r="418" ht="15" customHeight="1" s="131">
      <c r="A418" s="220" t="n"/>
      <c r="B418" s="222" t="n"/>
      <c r="C418" s="222" t="n"/>
      <c r="D418" s="220" t="n"/>
      <c r="E418" s="220" t="n"/>
      <c r="F418" s="181" t="n"/>
      <c r="G418" s="219" t="n"/>
      <c r="H418" s="220" t="n"/>
      <c r="I418" s="221" t="n"/>
    </row>
    <row r="419" ht="15" customHeight="1" s="131">
      <c r="A419" s="220" t="n"/>
      <c r="B419" s="222" t="n"/>
      <c r="C419" s="222" t="n"/>
      <c r="D419" s="220" t="n"/>
      <c r="E419" s="220" t="n"/>
      <c r="F419" s="181" t="n"/>
      <c r="G419" s="219" t="n"/>
      <c r="H419" s="220" t="n"/>
      <c r="I419" s="221" t="n"/>
    </row>
    <row r="420" ht="15" customHeight="1" s="131">
      <c r="A420" s="220" t="n"/>
      <c r="B420" s="222" t="n"/>
      <c r="C420" s="222" t="n"/>
      <c r="D420" s="220" t="n"/>
      <c r="E420" s="220" t="n"/>
      <c r="F420" s="181" t="n"/>
      <c r="G420" s="219" t="n"/>
      <c r="H420" s="220" t="n"/>
      <c r="I420" s="221" t="n"/>
    </row>
    <row r="421" ht="15" customHeight="1" s="131">
      <c r="A421" s="220" t="n"/>
      <c r="B421" s="222" t="n"/>
      <c r="C421" s="222" t="n"/>
      <c r="D421" s="220" t="n"/>
      <c r="E421" s="220" t="n"/>
      <c r="F421" s="181" t="n"/>
      <c r="G421" s="219" t="n"/>
      <c r="H421" s="220" t="n"/>
      <c r="I421" s="221" t="n"/>
    </row>
    <row r="422" ht="15" customHeight="1" s="131">
      <c r="A422" s="220" t="n"/>
      <c r="B422" s="222" t="n"/>
      <c r="C422" s="222" t="n"/>
      <c r="D422" s="220" t="n"/>
      <c r="E422" s="220" t="n"/>
      <c r="F422" s="181" t="n"/>
      <c r="G422" s="219" t="n"/>
      <c r="H422" s="220" t="n"/>
      <c r="I422" s="221" t="n"/>
    </row>
    <row r="423" ht="15" customHeight="1" s="131">
      <c r="A423" s="220" t="n"/>
      <c r="B423" s="222" t="n"/>
      <c r="C423" s="222" t="n"/>
      <c r="D423" s="220" t="n"/>
      <c r="E423" s="220" t="n"/>
      <c r="F423" s="181" t="n"/>
      <c r="G423" s="219" t="n"/>
      <c r="H423" s="220" t="n"/>
      <c r="I423" s="221" t="n"/>
    </row>
    <row r="424" ht="15" customHeight="1" s="131">
      <c r="A424" s="220" t="n"/>
      <c r="B424" s="222" t="n"/>
      <c r="C424" s="222" t="n"/>
      <c r="D424" s="220" t="n"/>
      <c r="E424" s="220" t="n"/>
      <c r="F424" s="181" t="n"/>
      <c r="G424" s="219" t="n"/>
      <c r="H424" s="220" t="n"/>
      <c r="I424" s="221" t="n"/>
    </row>
    <row r="425" ht="15" customHeight="1" s="131">
      <c r="A425" s="220" t="n"/>
      <c r="B425" s="222" t="n"/>
      <c r="C425" s="222" t="n"/>
      <c r="D425" s="220" t="n"/>
      <c r="E425" s="220" t="n"/>
      <c r="F425" s="181" t="n"/>
      <c r="G425" s="219" t="n"/>
      <c r="H425" s="220" t="n"/>
      <c r="I425" s="221" t="n"/>
    </row>
    <row r="426" ht="15" customHeight="1" s="131">
      <c r="A426" s="220" t="n"/>
      <c r="B426" s="222" t="n"/>
      <c r="C426" s="222" t="n"/>
      <c r="D426" s="220" t="n"/>
      <c r="E426" s="220" t="n"/>
      <c r="F426" s="181" t="n"/>
      <c r="G426" s="219" t="n"/>
      <c r="H426" s="220" t="n"/>
      <c r="I426" s="221" t="n"/>
    </row>
    <row r="427" ht="15" customHeight="1" s="131">
      <c r="A427" s="220" t="n"/>
      <c r="B427" s="222" t="n"/>
      <c r="C427" s="222" t="n"/>
      <c r="D427" s="220" t="n"/>
      <c r="E427" s="220" t="n"/>
      <c r="F427" s="181" t="n"/>
      <c r="G427" s="219" t="n"/>
      <c r="H427" s="220" t="n"/>
      <c r="I427" s="221" t="n"/>
    </row>
    <row r="428" ht="15" customHeight="1" s="131">
      <c r="A428" s="220" t="n"/>
      <c r="B428" s="222" t="n"/>
      <c r="C428" s="222" t="n"/>
      <c r="D428" s="220" t="n"/>
      <c r="E428" s="220" t="n"/>
      <c r="F428" s="181" t="n"/>
      <c r="G428" s="219" t="n"/>
      <c r="H428" s="220" t="n"/>
      <c r="I428" s="221" t="n"/>
    </row>
    <row r="429" ht="15" customHeight="1" s="131">
      <c r="A429" s="220" t="n"/>
      <c r="B429" s="222" t="n"/>
      <c r="C429" s="222" t="n"/>
      <c r="D429" s="220" t="n"/>
      <c r="E429" s="220" t="n"/>
      <c r="F429" s="181" t="n"/>
      <c r="G429" s="219" t="n"/>
      <c r="H429" s="220" t="n"/>
      <c r="I429" s="221" t="n"/>
    </row>
    <row r="430" ht="15" customHeight="1" s="131">
      <c r="A430" s="220" t="n"/>
      <c r="B430" s="222" t="n"/>
      <c r="C430" s="222" t="n"/>
      <c r="D430" s="220" t="n"/>
      <c r="E430" s="220" t="n"/>
      <c r="F430" s="181" t="n"/>
      <c r="G430" s="219" t="n"/>
      <c r="H430" s="220" t="n"/>
      <c r="I430" s="221" t="n"/>
    </row>
    <row r="431" ht="15" customHeight="1" s="131">
      <c r="A431" s="220" t="n"/>
      <c r="B431" s="222" t="n"/>
      <c r="C431" s="222" t="n"/>
      <c r="D431" s="220" t="n"/>
      <c r="E431" s="220" t="n"/>
      <c r="F431" s="181" t="n"/>
      <c r="G431" s="219" t="n"/>
      <c r="H431" s="220" t="n"/>
      <c r="I431" s="221" t="n"/>
    </row>
    <row r="432" ht="15" customHeight="1" s="131">
      <c r="A432" s="220" t="n"/>
      <c r="B432" s="222" t="n"/>
      <c r="C432" s="222" t="n"/>
      <c r="D432" s="220" t="n"/>
      <c r="E432" s="220" t="n"/>
      <c r="F432" s="181" t="n"/>
      <c r="G432" s="219" t="n"/>
      <c r="H432" s="220" t="n"/>
      <c r="I432" s="221" t="n"/>
    </row>
    <row r="433" ht="15" customHeight="1" s="131">
      <c r="A433" s="220" t="n"/>
      <c r="B433" s="222" t="n"/>
      <c r="C433" s="222" t="n"/>
      <c r="D433" s="220" t="n"/>
      <c r="E433" s="220" t="n"/>
      <c r="F433" s="181" t="n"/>
      <c r="G433" s="219" t="n"/>
      <c r="H433" s="220" t="n"/>
      <c r="I433" s="221" t="n"/>
    </row>
    <row r="434" ht="15" customHeight="1" s="131">
      <c r="A434" s="220" t="n"/>
      <c r="B434" s="222" t="n"/>
      <c r="C434" s="222" t="n"/>
      <c r="D434" s="220" t="n"/>
      <c r="E434" s="220" t="n"/>
      <c r="F434" s="181" t="n"/>
      <c r="G434" s="219" t="n"/>
      <c r="H434" s="220" t="n"/>
      <c r="I434" s="221" t="n"/>
    </row>
    <row r="435" ht="15" customHeight="1" s="131">
      <c r="A435" s="220" t="n"/>
      <c r="B435" s="222" t="n"/>
      <c r="C435" s="222" t="n"/>
      <c r="D435" s="220" t="n"/>
      <c r="E435" s="220" t="n"/>
      <c r="F435" s="181" t="n"/>
      <c r="G435" s="219" t="n"/>
      <c r="H435" s="220" t="n"/>
      <c r="I435" s="221" t="n"/>
    </row>
    <row r="436" ht="15" customHeight="1" s="131">
      <c r="A436" s="220" t="n"/>
      <c r="B436" s="222" t="n"/>
      <c r="C436" s="222" t="n"/>
      <c r="D436" s="220" t="n"/>
      <c r="E436" s="220" t="n"/>
      <c r="F436" s="181" t="n"/>
      <c r="G436" s="219" t="n"/>
      <c r="H436" s="220" t="n"/>
      <c r="I436" s="221" t="n"/>
    </row>
    <row r="437" ht="15" customHeight="1" s="131">
      <c r="A437" s="220" t="n"/>
      <c r="B437" s="222" t="n"/>
      <c r="C437" s="222" t="n"/>
      <c r="D437" s="220" t="n"/>
      <c r="E437" s="220" t="n"/>
      <c r="F437" s="181" t="n"/>
      <c r="G437" s="219" t="n"/>
      <c r="H437" s="220" t="n"/>
      <c r="I437" s="221" t="n"/>
    </row>
    <row r="438" ht="15" customHeight="1" s="131">
      <c r="A438" s="220" t="n"/>
      <c r="B438" s="222" t="n"/>
      <c r="C438" s="222" t="n"/>
      <c r="D438" s="220" t="n"/>
      <c r="E438" s="220" t="n"/>
      <c r="F438" s="181" t="n"/>
      <c r="G438" s="219" t="n"/>
      <c r="H438" s="220" t="n"/>
      <c r="I438" s="221" t="n"/>
    </row>
    <row r="439" ht="15" customHeight="1" s="131">
      <c r="A439" s="220" t="n"/>
      <c r="B439" s="222" t="n"/>
      <c r="C439" s="222" t="n"/>
      <c r="D439" s="220" t="n"/>
      <c r="E439" s="220" t="n"/>
      <c r="F439" s="181" t="n"/>
      <c r="G439" s="219" t="n"/>
      <c r="H439" s="220" t="n"/>
      <c r="I439" s="221" t="n"/>
    </row>
    <row r="440" ht="15" customHeight="1" s="131">
      <c r="A440" s="220" t="n"/>
      <c r="B440" s="222" t="n"/>
      <c r="C440" s="222" t="n"/>
      <c r="D440" s="220" t="n"/>
      <c r="E440" s="220" t="n"/>
      <c r="F440" s="181" t="n"/>
      <c r="G440" s="219" t="n"/>
      <c r="H440" s="220" t="n"/>
      <c r="I440" s="221" t="n"/>
    </row>
    <row r="441" ht="15" customHeight="1" s="131">
      <c r="A441" s="220" t="n"/>
      <c r="B441" s="222" t="n"/>
      <c r="C441" s="222" t="n"/>
      <c r="D441" s="220" t="n"/>
      <c r="E441" s="220" t="n"/>
      <c r="F441" s="181" t="n"/>
      <c r="G441" s="219" t="n"/>
      <c r="H441" s="220" t="n"/>
      <c r="I441" s="221" t="n"/>
    </row>
    <row r="442" ht="15" customHeight="1" s="131">
      <c r="A442" s="220" t="n"/>
      <c r="B442" s="222" t="n"/>
      <c r="C442" s="222" t="n"/>
      <c r="D442" s="220" t="n"/>
      <c r="E442" s="220" t="n"/>
      <c r="F442" s="181" t="n"/>
      <c r="G442" s="219" t="n"/>
      <c r="H442" s="220" t="n"/>
      <c r="I442" s="221" t="n"/>
    </row>
    <row r="443" ht="15" customHeight="1" s="131">
      <c r="A443" s="220" t="n"/>
      <c r="B443" s="222" t="n"/>
      <c r="C443" s="222" t="n"/>
      <c r="D443" s="220" t="n"/>
      <c r="E443" s="220" t="n"/>
      <c r="F443" s="181" t="n"/>
      <c r="G443" s="219" t="n"/>
      <c r="H443" s="220" t="n"/>
      <c r="I443" s="221" t="n"/>
    </row>
    <row r="444" ht="15" customHeight="1" s="131">
      <c r="A444" s="220" t="n"/>
      <c r="B444" s="222" t="n"/>
      <c r="C444" s="222" t="n"/>
      <c r="D444" s="220" t="n"/>
      <c r="E444" s="220" t="n"/>
      <c r="F444" s="181" t="n"/>
      <c r="G444" s="219" t="n"/>
      <c r="H444" s="220" t="n"/>
      <c r="I444" s="221" t="n"/>
    </row>
    <row r="445" ht="15" customHeight="1" s="131">
      <c r="A445" s="220" t="n"/>
      <c r="B445" s="222" t="n"/>
      <c r="C445" s="222" t="n"/>
      <c r="D445" s="220" t="n"/>
      <c r="E445" s="220" t="n"/>
      <c r="F445" s="181" t="n"/>
      <c r="G445" s="219" t="n"/>
      <c r="H445" s="220" t="n"/>
      <c r="I445" s="221" t="n"/>
    </row>
    <row r="446" ht="15" customHeight="1" s="131">
      <c r="A446" s="220" t="n"/>
      <c r="B446" s="222" t="n"/>
      <c r="C446" s="222" t="n"/>
      <c r="D446" s="220" t="n"/>
      <c r="E446" s="220" t="n"/>
      <c r="F446" s="181" t="n"/>
      <c r="G446" s="219" t="n"/>
      <c r="H446" s="220" t="n"/>
      <c r="I446" s="221" t="n"/>
    </row>
    <row r="447" ht="15" customHeight="1" s="131">
      <c r="A447" s="220" t="n"/>
      <c r="B447" s="222" t="n"/>
      <c r="C447" s="222" t="n"/>
      <c r="D447" s="220" t="n"/>
      <c r="E447" s="220" t="n"/>
      <c r="F447" s="181" t="n"/>
      <c r="G447" s="219" t="n"/>
      <c r="H447" s="220" t="n"/>
      <c r="I447" s="221" t="n"/>
    </row>
    <row r="448" ht="15" customHeight="1" s="131">
      <c r="A448" s="220" t="n"/>
      <c r="B448" s="222" t="n"/>
      <c r="C448" s="222" t="n"/>
      <c r="D448" s="220" t="n"/>
      <c r="E448" s="220" t="n"/>
      <c r="F448" s="181" t="n"/>
      <c r="G448" s="219" t="n"/>
      <c r="H448" s="220" t="n"/>
      <c r="I448" s="221" t="n"/>
    </row>
    <row r="449" ht="15" customHeight="1" s="131">
      <c r="A449" s="220" t="n"/>
      <c r="B449" s="222" t="n"/>
      <c r="C449" s="222" t="n"/>
      <c r="D449" s="220" t="n"/>
      <c r="E449" s="220" t="n"/>
      <c r="F449" s="181" t="n"/>
      <c r="G449" s="219" t="n"/>
      <c r="H449" s="220" t="n"/>
      <c r="I449" s="221" t="n"/>
    </row>
    <row r="450" ht="15" customHeight="1" s="131">
      <c r="A450" s="220" t="n"/>
      <c r="B450" s="222" t="n"/>
      <c r="C450" s="222" t="n"/>
      <c r="D450" s="220" t="n"/>
      <c r="E450" s="220" t="n"/>
      <c r="F450" s="181" t="n"/>
      <c r="G450" s="219" t="n"/>
      <c r="H450" s="220" t="n"/>
      <c r="I450" s="221" t="n"/>
    </row>
    <row r="451" ht="15" customHeight="1" s="131">
      <c r="A451" s="220" t="n"/>
      <c r="B451" s="222" t="n"/>
      <c r="C451" s="222" t="n"/>
      <c r="D451" s="220" t="n"/>
      <c r="E451" s="220" t="n"/>
      <c r="F451" s="181" t="n"/>
      <c r="G451" s="219" t="n"/>
      <c r="H451" s="220" t="n"/>
      <c r="I451" s="221" t="n"/>
    </row>
    <row r="452" ht="15" customHeight="1" s="131">
      <c r="A452" s="220" t="n"/>
      <c r="B452" s="222" t="n"/>
      <c r="C452" s="222" t="n"/>
      <c r="D452" s="220" t="n"/>
      <c r="E452" s="220" t="n"/>
      <c r="F452" s="181" t="n"/>
      <c r="G452" s="219" t="n"/>
      <c r="H452" s="220" t="n"/>
      <c r="I452" s="221" t="n"/>
    </row>
    <row r="453" ht="15" customHeight="1" s="131">
      <c r="A453" s="220" t="n"/>
      <c r="B453" s="222" t="n"/>
      <c r="C453" s="222" t="n"/>
      <c r="D453" s="220" t="n"/>
      <c r="E453" s="220" t="n"/>
      <c r="F453" s="181" t="n"/>
      <c r="G453" s="219" t="n"/>
      <c r="H453" s="220" t="n"/>
      <c r="I453" s="221" t="n"/>
    </row>
    <row r="454" ht="15" customHeight="1" s="131">
      <c r="A454" s="220" t="n"/>
      <c r="B454" s="222" t="n"/>
      <c r="C454" s="222" t="n"/>
      <c r="D454" s="220" t="n"/>
      <c r="E454" s="220" t="n"/>
      <c r="F454" s="181" t="n"/>
      <c r="G454" s="219" t="n"/>
      <c r="H454" s="220" t="n"/>
      <c r="I454" s="221" t="n"/>
    </row>
    <row r="455" ht="15" customHeight="1" s="131">
      <c r="A455" s="220" t="n"/>
      <c r="B455" s="222" t="n"/>
      <c r="C455" s="222" t="n"/>
      <c r="D455" s="220" t="n"/>
      <c r="E455" s="220" t="n"/>
      <c r="F455" s="181" t="n"/>
      <c r="G455" s="219" t="n"/>
      <c r="H455" s="220" t="n"/>
      <c r="I455" s="221" t="n"/>
    </row>
    <row r="456" ht="15" customHeight="1" s="131">
      <c r="A456" s="220" t="n"/>
      <c r="B456" s="222" t="n"/>
      <c r="C456" s="222" t="n"/>
      <c r="D456" s="220" t="n"/>
      <c r="E456" s="220" t="n"/>
      <c r="F456" s="181" t="n"/>
      <c r="G456" s="219" t="n"/>
      <c r="H456" s="220" t="n"/>
      <c r="I456" s="221" t="n"/>
    </row>
    <row r="457" ht="15" customHeight="1" s="131">
      <c r="A457" s="220" t="n"/>
      <c r="B457" s="222" t="n"/>
      <c r="C457" s="222" t="n"/>
      <c r="D457" s="220" t="n"/>
      <c r="E457" s="220" t="n"/>
      <c r="F457" s="181" t="n"/>
      <c r="G457" s="219" t="n"/>
      <c r="H457" s="220" t="n"/>
      <c r="I457" s="221" t="n"/>
    </row>
    <row r="458" ht="15" customHeight="1" s="131">
      <c r="A458" s="220" t="n"/>
      <c r="B458" s="222" t="n"/>
      <c r="C458" s="222" t="n"/>
      <c r="D458" s="220" t="n"/>
      <c r="E458" s="220" t="n"/>
      <c r="F458" s="181" t="n"/>
      <c r="G458" s="219" t="n"/>
      <c r="H458" s="220" t="n"/>
      <c r="I458" s="221" t="n"/>
    </row>
    <row r="459" ht="15" customHeight="1" s="131">
      <c r="A459" s="220" t="n"/>
      <c r="B459" s="222" t="n"/>
      <c r="C459" s="222" t="n"/>
      <c r="D459" s="220" t="n"/>
      <c r="E459" s="220" t="n"/>
      <c r="F459" s="181" t="n"/>
      <c r="G459" s="219" t="n"/>
      <c r="H459" s="220" t="n"/>
      <c r="I459" s="221" t="n"/>
    </row>
    <row r="460" ht="15" customHeight="1" s="131">
      <c r="A460" s="220" t="n"/>
      <c r="B460" s="222" t="n"/>
      <c r="C460" s="222" t="n"/>
      <c r="D460" s="220" t="n"/>
      <c r="E460" s="220" t="n"/>
      <c r="F460" s="181" t="n"/>
      <c r="G460" s="219" t="n"/>
      <c r="H460" s="220" t="n"/>
      <c r="I460" s="221" t="n"/>
    </row>
    <row r="461" ht="15" customHeight="1" s="131">
      <c r="A461" s="220" t="n"/>
      <c r="B461" s="222" t="n"/>
      <c r="C461" s="222" t="n"/>
      <c r="D461" s="220" t="n"/>
      <c r="E461" s="220" t="n"/>
      <c r="F461" s="181" t="n"/>
      <c r="G461" s="219" t="n"/>
      <c r="H461" s="220" t="n"/>
      <c r="I461" s="221" t="n"/>
    </row>
    <row r="462" ht="15" customHeight="1" s="131">
      <c r="A462" s="220" t="n"/>
      <c r="B462" s="222" t="n"/>
      <c r="C462" s="222" t="n"/>
      <c r="D462" s="220" t="n"/>
      <c r="E462" s="220" t="n"/>
      <c r="F462" s="181" t="n"/>
      <c r="G462" s="219" t="n"/>
      <c r="H462" s="220" t="n"/>
      <c r="I462" s="221" t="n"/>
    </row>
    <row r="463" ht="15" customHeight="1" s="131">
      <c r="A463" s="220" t="n"/>
      <c r="B463" s="222" t="n"/>
      <c r="C463" s="222" t="n"/>
      <c r="D463" s="220" t="n"/>
      <c r="E463" s="220" t="n"/>
      <c r="F463" s="181" t="n"/>
      <c r="G463" s="219" t="n"/>
      <c r="H463" s="220" t="n"/>
      <c r="I463" s="221" t="n"/>
    </row>
    <row r="464" ht="15" customHeight="1" s="131">
      <c r="A464" s="220" t="n"/>
      <c r="B464" s="222" t="n"/>
      <c r="C464" s="222" t="n"/>
      <c r="D464" s="220" t="n"/>
      <c r="E464" s="220" t="n"/>
      <c r="F464" s="181" t="n"/>
      <c r="G464" s="219" t="n"/>
      <c r="H464" s="220" t="n"/>
      <c r="I464" s="221" t="n"/>
    </row>
    <row r="465" ht="15" customHeight="1" s="131">
      <c r="A465" s="220" t="n"/>
      <c r="B465" s="222" t="n"/>
      <c r="C465" s="222" t="n"/>
      <c r="D465" s="220" t="n"/>
      <c r="E465" s="220" t="n"/>
      <c r="F465" s="181" t="n"/>
      <c r="G465" s="219" t="n"/>
      <c r="H465" s="220" t="n"/>
      <c r="I465" s="221" t="n"/>
    </row>
    <row r="466" ht="15" customHeight="1" s="131">
      <c r="A466" s="220" t="n"/>
      <c r="B466" s="222" t="n"/>
      <c r="C466" s="222" t="n"/>
      <c r="D466" s="220" t="n"/>
      <c r="E466" s="220" t="n"/>
      <c r="F466" s="181" t="n"/>
      <c r="G466" s="219" t="n"/>
      <c r="H466" s="220" t="n"/>
      <c r="I466" s="221" t="n"/>
    </row>
    <row r="467" ht="15" customHeight="1" s="131">
      <c r="A467" s="220" t="n"/>
      <c r="B467" s="222" t="n"/>
      <c r="C467" s="222" t="n"/>
      <c r="D467" s="220" t="n"/>
      <c r="E467" s="220" t="n"/>
      <c r="F467" s="181" t="n"/>
      <c r="G467" s="219" t="n"/>
      <c r="H467" s="220" t="n"/>
      <c r="I467" s="221" t="n"/>
    </row>
    <row r="468" ht="15" customHeight="1" s="131">
      <c r="A468" s="220" t="n"/>
      <c r="B468" s="222" t="n"/>
      <c r="C468" s="222" t="n"/>
      <c r="D468" s="220" t="n"/>
      <c r="E468" s="220" t="n"/>
      <c r="F468" s="181" t="n"/>
      <c r="G468" s="219" t="n"/>
      <c r="H468" s="220" t="n"/>
      <c r="I468" s="221" t="n"/>
    </row>
    <row r="469" ht="15" customHeight="1" s="131">
      <c r="A469" s="220" t="n"/>
      <c r="B469" s="222" t="n"/>
      <c r="C469" s="222" t="n"/>
      <c r="D469" s="220" t="n"/>
      <c r="E469" s="220" t="n"/>
      <c r="F469" s="181" t="n"/>
      <c r="G469" s="219" t="n"/>
      <c r="H469" s="220" t="n"/>
      <c r="I469" s="221" t="n"/>
    </row>
    <row r="470" ht="15" customHeight="1" s="131">
      <c r="A470" s="220" t="n"/>
      <c r="B470" s="222" t="n"/>
      <c r="C470" s="222" t="n"/>
      <c r="D470" s="220" t="n"/>
      <c r="E470" s="220" t="n"/>
      <c r="F470" s="181" t="n"/>
      <c r="G470" s="219" t="n"/>
      <c r="H470" s="220" t="n"/>
      <c r="I470" s="221" t="n"/>
    </row>
    <row r="471" ht="15" customHeight="1" s="131">
      <c r="A471" s="220" t="n"/>
      <c r="B471" s="222" t="n"/>
      <c r="C471" s="222" t="n"/>
      <c r="D471" s="220" t="n"/>
      <c r="E471" s="220" t="n"/>
      <c r="F471" s="181" t="n"/>
      <c r="G471" s="219" t="n"/>
      <c r="H471" s="220" t="n"/>
      <c r="I471" s="221" t="n"/>
    </row>
    <row r="472" ht="15" customHeight="1" s="131">
      <c r="A472" s="220" t="n"/>
      <c r="B472" s="222" t="n"/>
      <c r="C472" s="222" t="n"/>
      <c r="D472" s="220" t="n"/>
      <c r="E472" s="220" t="n"/>
      <c r="F472" s="181" t="n"/>
      <c r="G472" s="219" t="n"/>
      <c r="H472" s="220" t="n"/>
      <c r="I472" s="221" t="n"/>
    </row>
    <row r="473" ht="15" customHeight="1" s="131">
      <c r="A473" s="220" t="n"/>
      <c r="B473" s="222" t="n"/>
      <c r="C473" s="222" t="n"/>
      <c r="D473" s="220" t="n"/>
      <c r="E473" s="220" t="n"/>
      <c r="F473" s="181" t="n"/>
      <c r="G473" s="219" t="n"/>
      <c r="H473" s="220" t="n"/>
      <c r="I473" s="221" t="n"/>
    </row>
    <row r="474" ht="15" customHeight="1" s="131">
      <c r="A474" s="220" t="n"/>
      <c r="B474" s="222" t="n"/>
      <c r="C474" s="222" t="n"/>
      <c r="D474" s="220" t="n"/>
      <c r="E474" s="220" t="n"/>
      <c r="F474" s="181" t="n"/>
      <c r="G474" s="219" t="n"/>
      <c r="H474" s="220" t="n"/>
      <c r="I474" s="221" t="n"/>
    </row>
    <row r="475" ht="15" customHeight="1" s="131">
      <c r="A475" s="220" t="n"/>
      <c r="B475" s="222" t="n"/>
      <c r="C475" s="222" t="n"/>
      <c r="D475" s="220" t="n"/>
      <c r="E475" s="220" t="n"/>
      <c r="F475" s="181" t="n"/>
      <c r="G475" s="219" t="n"/>
      <c r="H475" s="220" t="n"/>
      <c r="I475" s="221" t="n"/>
    </row>
    <row r="476" ht="15" customHeight="1" s="131">
      <c r="A476" s="220" t="n"/>
      <c r="B476" s="222" t="n"/>
      <c r="C476" s="222" t="n"/>
      <c r="D476" s="220" t="n"/>
      <c r="E476" s="220" t="n"/>
      <c r="F476" s="181" t="n"/>
      <c r="G476" s="219" t="n"/>
      <c r="H476" s="220" t="n"/>
      <c r="I476" s="221" t="n"/>
    </row>
    <row r="477" ht="15" customHeight="1" s="131">
      <c r="A477" s="220" t="n"/>
      <c r="B477" s="222" t="n"/>
      <c r="C477" s="222" t="n"/>
      <c r="D477" s="220" t="n"/>
      <c r="E477" s="220" t="n"/>
      <c r="F477" s="181" t="n"/>
      <c r="G477" s="219" t="n"/>
      <c r="H477" s="220" t="n"/>
      <c r="I477" s="221" t="n"/>
    </row>
    <row r="478" ht="15" customHeight="1" s="131">
      <c r="A478" s="220" t="n"/>
      <c r="B478" s="222" t="n"/>
      <c r="C478" s="222" t="n"/>
      <c r="D478" s="220" t="n"/>
      <c r="E478" s="220" t="n"/>
      <c r="F478" s="181" t="n"/>
      <c r="G478" s="219" t="n"/>
      <c r="H478" s="220" t="n"/>
      <c r="I478" s="221" t="n"/>
    </row>
    <row r="479" ht="15" customHeight="1" s="131">
      <c r="A479" s="220" t="n"/>
      <c r="B479" s="222" t="n"/>
      <c r="C479" s="222" t="n"/>
      <c r="D479" s="220" t="n"/>
      <c r="E479" s="220" t="n"/>
      <c r="F479" s="181" t="n"/>
      <c r="G479" s="219" t="n"/>
      <c r="H479" s="220" t="n"/>
      <c r="I479" s="221" t="n"/>
    </row>
    <row r="480" ht="15" customHeight="1" s="131">
      <c r="A480" s="220" t="n"/>
      <c r="B480" s="222" t="n"/>
      <c r="C480" s="222" t="n"/>
      <c r="D480" s="220" t="n"/>
      <c r="E480" s="220" t="n"/>
      <c r="F480" s="181" t="n"/>
      <c r="G480" s="219" t="n"/>
      <c r="H480" s="220" t="n"/>
      <c r="I480" s="221" t="n"/>
    </row>
    <row r="481" ht="15" customHeight="1" s="131">
      <c r="A481" s="220" t="n"/>
      <c r="B481" s="222" t="n"/>
      <c r="C481" s="222" t="n"/>
      <c r="D481" s="220" t="n"/>
      <c r="E481" s="220" t="n"/>
      <c r="F481" s="181" t="n"/>
      <c r="G481" s="219" t="n"/>
      <c r="H481" s="220" t="n"/>
      <c r="I481" s="221" t="n"/>
    </row>
    <row r="482" ht="15" customHeight="1" s="131">
      <c r="A482" s="220" t="n"/>
      <c r="B482" s="222" t="n"/>
      <c r="C482" s="222" t="n"/>
      <c r="D482" s="220" t="n"/>
      <c r="E482" s="220" t="n"/>
      <c r="F482" s="181" t="n"/>
      <c r="G482" s="219" t="n"/>
      <c r="H482" s="220" t="n"/>
      <c r="I482" s="221" t="n"/>
    </row>
    <row r="483" ht="15" customHeight="1" s="131">
      <c r="A483" s="220" t="n"/>
      <c r="B483" s="222" t="n"/>
      <c r="C483" s="222" t="n"/>
      <c r="D483" s="220" t="n"/>
      <c r="E483" s="220" t="n"/>
      <c r="F483" s="181" t="n"/>
      <c r="G483" s="219" t="n"/>
      <c r="H483" s="220" t="n"/>
      <c r="I483" s="221" t="n"/>
    </row>
    <row r="484" ht="15" customHeight="1" s="131">
      <c r="A484" s="220" t="n"/>
      <c r="B484" s="222" t="n"/>
      <c r="C484" s="222" t="n"/>
      <c r="D484" s="220" t="n"/>
      <c r="E484" s="220" t="n"/>
      <c r="F484" s="181" t="n"/>
      <c r="G484" s="219" t="n"/>
      <c r="H484" s="220" t="n"/>
      <c r="I484" s="221" t="n"/>
    </row>
    <row r="485" ht="15" customHeight="1" s="131">
      <c r="A485" s="220" t="n"/>
      <c r="B485" s="222" t="n"/>
      <c r="C485" s="222" t="n"/>
      <c r="D485" s="220" t="n"/>
      <c r="E485" s="220" t="n"/>
      <c r="F485" s="181" t="n"/>
      <c r="G485" s="219" t="n"/>
      <c r="H485" s="220" t="n"/>
      <c r="I485" s="221" t="n"/>
    </row>
    <row r="486" ht="15" customHeight="1" s="131">
      <c r="A486" s="220" t="n"/>
      <c r="B486" s="222" t="n"/>
      <c r="C486" s="222" t="n"/>
      <c r="D486" s="220" t="n"/>
      <c r="E486" s="220" t="n"/>
      <c r="F486" s="181" t="n"/>
      <c r="G486" s="219" t="n"/>
      <c r="H486" s="220" t="n"/>
      <c r="I486" s="221" t="n"/>
    </row>
    <row r="487" ht="15" customHeight="1" s="131">
      <c r="A487" s="220" t="n"/>
      <c r="B487" s="222" t="n"/>
      <c r="C487" s="222" t="n"/>
      <c r="D487" s="220" t="n"/>
      <c r="E487" s="220" t="n"/>
      <c r="F487" s="181" t="n"/>
      <c r="G487" s="219" t="n"/>
      <c r="H487" s="220" t="n"/>
      <c r="I487" s="221" t="n"/>
    </row>
    <row r="488" ht="15" customHeight="1" s="131">
      <c r="A488" s="220" t="n"/>
      <c r="B488" s="222" t="n"/>
      <c r="C488" s="222" t="n"/>
      <c r="D488" s="220" t="n"/>
      <c r="E488" s="220" t="n"/>
      <c r="F488" s="181" t="n"/>
      <c r="G488" s="219" t="n"/>
      <c r="H488" s="220" t="n"/>
      <c r="I488" s="221" t="n"/>
    </row>
    <row r="489" ht="15" customHeight="1" s="131">
      <c r="A489" s="220" t="n"/>
      <c r="B489" s="222" t="n"/>
      <c r="C489" s="222" t="n"/>
      <c r="D489" s="220" t="n"/>
      <c r="E489" s="220" t="n"/>
      <c r="F489" s="181" t="n"/>
      <c r="G489" s="219" t="n"/>
      <c r="H489" s="220" t="n"/>
      <c r="I489" s="221" t="n"/>
    </row>
    <row r="490" ht="15" customHeight="1" s="131">
      <c r="A490" s="220" t="n"/>
      <c r="B490" s="222" t="n"/>
      <c r="C490" s="222" t="n"/>
      <c r="D490" s="220" t="n"/>
      <c r="E490" s="220" t="n"/>
      <c r="F490" s="181" t="n"/>
      <c r="G490" s="219" t="n"/>
      <c r="H490" s="220" t="n"/>
      <c r="I490" s="221" t="n"/>
    </row>
    <row r="491" ht="15" customHeight="1" s="131">
      <c r="A491" s="220" t="n"/>
      <c r="B491" s="222" t="n"/>
      <c r="C491" s="222" t="n"/>
      <c r="D491" s="220" t="n"/>
      <c r="E491" s="220" t="n"/>
      <c r="F491" s="181" t="n"/>
      <c r="G491" s="219" t="n"/>
      <c r="H491" s="220" t="n"/>
      <c r="I491" s="221" t="n"/>
    </row>
    <row r="492" ht="15" customHeight="1" s="131">
      <c r="A492" s="220" t="n"/>
      <c r="B492" s="222" t="n"/>
      <c r="C492" s="222" t="n"/>
      <c r="D492" s="220" t="n"/>
      <c r="E492" s="220" t="n"/>
      <c r="F492" s="181" t="n"/>
      <c r="G492" s="219" t="n"/>
      <c r="H492" s="220" t="n"/>
      <c r="I492" s="221" t="n"/>
    </row>
    <row r="493" ht="15" customHeight="1" s="131">
      <c r="A493" s="220" t="n"/>
      <c r="B493" s="222" t="n"/>
      <c r="C493" s="222" t="n"/>
      <c r="D493" s="220" t="n"/>
      <c r="E493" s="220" t="n"/>
      <c r="F493" s="181" t="n"/>
      <c r="G493" s="219" t="n"/>
      <c r="H493" s="220" t="n"/>
      <c r="I493" s="221" t="n"/>
    </row>
    <row r="494" ht="15" customHeight="1" s="131">
      <c r="A494" s="220" t="n"/>
      <c r="B494" s="222" t="n"/>
      <c r="C494" s="222" t="n"/>
      <c r="D494" s="220" t="n"/>
      <c r="E494" s="220" t="n"/>
      <c r="F494" s="181" t="n"/>
      <c r="G494" s="219" t="n"/>
      <c r="H494" s="220" t="n"/>
      <c r="I494" s="221" t="n"/>
    </row>
    <row r="495" ht="15" customHeight="1" s="131">
      <c r="A495" s="220" t="n"/>
      <c r="B495" s="222" t="n"/>
      <c r="C495" s="222" t="n"/>
      <c r="D495" s="220" t="n"/>
      <c r="E495" s="220" t="n"/>
      <c r="F495" s="181" t="n"/>
      <c r="G495" s="219" t="n"/>
      <c r="H495" s="220" t="n"/>
      <c r="I495" s="221" t="n"/>
    </row>
    <row r="496" ht="15" customHeight="1" s="131">
      <c r="A496" s="220" t="n"/>
      <c r="B496" s="222" t="n"/>
      <c r="C496" s="222" t="n"/>
      <c r="D496" s="220" t="n"/>
      <c r="E496" s="220" t="n"/>
      <c r="F496" s="181" t="n"/>
      <c r="G496" s="219" t="n"/>
      <c r="H496" s="220" t="n"/>
      <c r="I496" s="221" t="n"/>
    </row>
    <row r="497" ht="15" customHeight="1" s="131">
      <c r="A497" s="220" t="n"/>
      <c r="B497" s="222" t="n"/>
      <c r="C497" s="222" t="n"/>
      <c r="D497" s="220" t="n"/>
      <c r="E497" s="220" t="n"/>
      <c r="F497" s="181" t="n"/>
      <c r="G497" s="219" t="n"/>
      <c r="H497" s="220" t="n"/>
      <c r="I497" s="221" t="n"/>
    </row>
    <row r="498" ht="15" customHeight="1" s="131">
      <c r="A498" s="220" t="n"/>
      <c r="B498" s="222" t="n"/>
      <c r="C498" s="222" t="n"/>
      <c r="D498" s="220" t="n"/>
      <c r="E498" s="220" t="n"/>
      <c r="F498" s="181" t="n"/>
      <c r="G498" s="219" t="n"/>
      <c r="H498" s="220" t="n"/>
      <c r="I498" s="221" t="n"/>
    </row>
    <row r="499" ht="15" customHeight="1" s="131">
      <c r="A499" s="220" t="n"/>
      <c r="B499" s="222" t="n"/>
      <c r="C499" s="222" t="n"/>
      <c r="D499" s="220" t="n"/>
      <c r="E499" s="220" t="n"/>
      <c r="F499" s="181" t="n"/>
      <c r="G499" s="219" t="n"/>
      <c r="H499" s="220" t="n"/>
      <c r="I499" s="221" t="n"/>
    </row>
    <row r="500" ht="15" customHeight="1" s="131">
      <c r="A500" s="220" t="n"/>
      <c r="B500" s="222" t="n"/>
      <c r="C500" s="222" t="n"/>
      <c r="D500" s="220" t="n"/>
      <c r="E500" s="220" t="n"/>
      <c r="F500" s="181" t="n"/>
      <c r="G500" s="219" t="n"/>
      <c r="H500" s="220" t="n"/>
      <c r="I500" s="221" t="n"/>
    </row>
    <row r="501" ht="15" customHeight="1" s="131">
      <c r="A501" s="220" t="n"/>
      <c r="B501" s="222" t="n"/>
      <c r="C501" s="222" t="n"/>
      <c r="D501" s="220" t="n"/>
      <c r="E501" s="220" t="n"/>
      <c r="F501" s="181" t="n"/>
      <c r="G501" s="219" t="n"/>
      <c r="H501" s="220" t="n"/>
      <c r="I501" s="221" t="n"/>
    </row>
    <row r="502" ht="15" customHeight="1" s="131">
      <c r="A502" s="220" t="n"/>
      <c r="B502" s="222" t="n"/>
      <c r="C502" s="222" t="n"/>
      <c r="D502" s="220" t="n"/>
      <c r="E502" s="220" t="n"/>
      <c r="F502" s="181" t="n"/>
      <c r="G502" s="219" t="n"/>
      <c r="H502" s="220" t="n"/>
      <c r="I502" s="221" t="n"/>
    </row>
    <row r="503" ht="15" customHeight="1" s="131">
      <c r="A503" s="220" t="n"/>
      <c r="B503" s="222" t="n"/>
      <c r="C503" s="222" t="n"/>
      <c r="D503" s="220" t="n"/>
      <c r="E503" s="220" t="n"/>
      <c r="F503" s="181" t="n"/>
      <c r="G503" s="219" t="n"/>
      <c r="H503" s="220" t="n"/>
      <c r="I503" s="221" t="n"/>
    </row>
    <row r="504" ht="15" customHeight="1" s="131">
      <c r="A504" s="220" t="n"/>
      <c r="B504" s="222" t="n"/>
      <c r="C504" s="222" t="n"/>
      <c r="D504" s="220" t="n"/>
      <c r="E504" s="220" t="n"/>
      <c r="F504" s="181" t="n"/>
      <c r="G504" s="219" t="n"/>
      <c r="H504" s="220" t="n"/>
      <c r="I504" s="221" t="n"/>
    </row>
    <row r="505" ht="15" customHeight="1" s="131">
      <c r="A505" s="220" t="n"/>
      <c r="B505" s="222" t="n"/>
      <c r="C505" s="222" t="n"/>
      <c r="D505" s="220" t="n"/>
      <c r="E505" s="220" t="n"/>
      <c r="F505" s="181" t="n"/>
      <c r="G505" s="219" t="n"/>
      <c r="H505" s="220" t="n"/>
      <c r="I505" s="221" t="n"/>
    </row>
    <row r="506" ht="15" customHeight="1" s="131">
      <c r="A506" s="220" t="n"/>
      <c r="B506" s="222" t="n"/>
      <c r="C506" s="222" t="n"/>
      <c r="D506" s="220" t="n"/>
      <c r="E506" s="220" t="n"/>
      <c r="F506" s="181" t="n"/>
      <c r="G506" s="219" t="n"/>
      <c r="H506" s="220" t="n"/>
      <c r="I506" s="221" t="n"/>
    </row>
    <row r="507" ht="15" customHeight="1" s="131">
      <c r="A507" s="220" t="n"/>
      <c r="B507" s="222" t="n"/>
      <c r="C507" s="222" t="n"/>
      <c r="D507" s="220" t="n"/>
      <c r="E507" s="220" t="n"/>
      <c r="F507" s="181" t="n"/>
      <c r="G507" s="219" t="n"/>
      <c r="H507" s="220" t="n"/>
      <c r="I507" s="221" t="n"/>
    </row>
    <row r="508" ht="15" customHeight="1" s="131">
      <c r="A508" s="220" t="n"/>
      <c r="B508" s="222" t="n"/>
      <c r="C508" s="222" t="n"/>
      <c r="D508" s="220" t="n"/>
      <c r="E508" s="220" t="n"/>
      <c r="F508" s="181" t="n"/>
      <c r="G508" s="219" t="n"/>
      <c r="H508" s="220" t="n"/>
      <c r="I508" s="221" t="n"/>
    </row>
    <row r="509" ht="15" customHeight="1" s="131">
      <c r="A509" s="220" t="n"/>
      <c r="B509" s="222" t="n"/>
      <c r="C509" s="222" t="n"/>
      <c r="D509" s="220" t="n"/>
      <c r="E509" s="220" t="n"/>
      <c r="F509" s="181" t="n"/>
      <c r="G509" s="219" t="n"/>
      <c r="H509" s="220" t="n"/>
      <c r="I509" s="221" t="n"/>
    </row>
    <row r="510" ht="15" customHeight="1" s="131">
      <c r="A510" s="220" t="n"/>
      <c r="B510" s="222" t="n"/>
      <c r="C510" s="222" t="n"/>
      <c r="D510" s="220" t="n"/>
      <c r="E510" s="220" t="n"/>
      <c r="F510" s="181" t="n"/>
      <c r="G510" s="219" t="n"/>
      <c r="H510" s="220" t="n"/>
      <c r="I510" s="221" t="n"/>
    </row>
    <row r="511" ht="15" customHeight="1" s="131">
      <c r="A511" s="220" t="n"/>
      <c r="B511" s="222" t="n"/>
      <c r="C511" s="222" t="n"/>
      <c r="D511" s="220" t="n"/>
      <c r="E511" s="220" t="n"/>
      <c r="F511" s="181" t="n"/>
      <c r="G511" s="219" t="n"/>
      <c r="H511" s="220" t="n"/>
      <c r="I511" s="221" t="n"/>
    </row>
    <row r="512" ht="15" customHeight="1" s="131">
      <c r="A512" s="220" t="n"/>
      <c r="B512" s="222" t="n"/>
      <c r="C512" s="222" t="n"/>
      <c r="D512" s="220" t="n"/>
      <c r="E512" s="220" t="n"/>
      <c r="F512" s="181" t="n"/>
      <c r="G512" s="219" t="n"/>
      <c r="H512" s="220" t="n"/>
      <c r="I512" s="221" t="n"/>
    </row>
    <row r="513" ht="15" customHeight="1" s="131">
      <c r="A513" s="220" t="n"/>
      <c r="B513" s="222" t="n"/>
      <c r="C513" s="222" t="n"/>
      <c r="D513" s="220" t="n"/>
      <c r="E513" s="220" t="n"/>
      <c r="F513" s="181" t="n"/>
      <c r="G513" s="219" t="n"/>
      <c r="H513" s="220" t="n"/>
      <c r="I513" s="221" t="n"/>
    </row>
    <row r="514" ht="15" customHeight="1" s="131">
      <c r="A514" s="220" t="n"/>
      <c r="B514" s="222" t="n"/>
      <c r="C514" s="222" t="n"/>
      <c r="D514" s="220" t="n"/>
      <c r="E514" s="220" t="n"/>
      <c r="F514" s="181" t="n"/>
      <c r="G514" s="219" t="n"/>
      <c r="H514" s="220" t="n"/>
      <c r="I514" s="221" t="n"/>
    </row>
    <row r="515" ht="15" customHeight="1" s="131">
      <c r="A515" s="220" t="n"/>
      <c r="B515" s="222" t="n"/>
      <c r="C515" s="222" t="n"/>
      <c r="D515" s="220" t="n"/>
      <c r="E515" s="220" t="n"/>
      <c r="F515" s="181" t="n"/>
      <c r="G515" s="219" t="n"/>
      <c r="H515" s="220" t="n"/>
      <c r="I515" s="221" t="n"/>
    </row>
    <row r="516" ht="15" customHeight="1" s="131">
      <c r="A516" s="220" t="n"/>
      <c r="B516" s="222" t="n"/>
      <c r="C516" s="222" t="n"/>
      <c r="D516" s="220" t="n"/>
      <c r="E516" s="220" t="n"/>
      <c r="F516" s="181" t="n"/>
      <c r="G516" s="219" t="n"/>
      <c r="H516" s="220" t="n"/>
      <c r="I516" s="221" t="n"/>
    </row>
    <row r="517" ht="15" customHeight="1" s="131">
      <c r="A517" s="220" t="n"/>
      <c r="B517" s="222" t="n"/>
      <c r="C517" s="222" t="n"/>
      <c r="D517" s="220" t="n"/>
      <c r="E517" s="220" t="n"/>
      <c r="F517" s="181" t="n"/>
      <c r="G517" s="219" t="n"/>
      <c r="H517" s="220" t="n"/>
      <c r="I517" s="221" t="n"/>
    </row>
    <row r="518" ht="15" customHeight="1" s="131">
      <c r="A518" s="220" t="n"/>
      <c r="B518" s="222" t="n"/>
      <c r="C518" s="222" t="n"/>
      <c r="D518" s="220" t="n"/>
      <c r="E518" s="220" t="n"/>
      <c r="F518" s="181" t="n"/>
      <c r="G518" s="219" t="n"/>
      <c r="H518" s="220" t="n"/>
      <c r="I518" s="221" t="n"/>
    </row>
    <row r="519" ht="15" customHeight="1" s="131">
      <c r="A519" s="220" t="n"/>
      <c r="B519" s="222" t="n"/>
      <c r="C519" s="222" t="n"/>
      <c r="D519" s="220" t="n"/>
      <c r="E519" s="220" t="n"/>
      <c r="F519" s="181" t="n"/>
      <c r="G519" s="219" t="n"/>
      <c r="H519" s="220" t="n"/>
      <c r="I519" s="221" t="n"/>
    </row>
    <row r="520" ht="15" customHeight="1" s="131">
      <c r="A520" s="220" t="n"/>
      <c r="B520" s="222" t="n"/>
      <c r="C520" s="222" t="n"/>
      <c r="D520" s="220" t="n"/>
      <c r="E520" s="220" t="n"/>
      <c r="F520" s="181" t="n"/>
      <c r="G520" s="219" t="n"/>
      <c r="H520" s="220" t="n"/>
      <c r="I520" s="221" t="n"/>
    </row>
    <row r="521" ht="15" customHeight="1" s="131">
      <c r="A521" s="220" t="n"/>
      <c r="B521" s="222" t="n"/>
      <c r="C521" s="222" t="n"/>
      <c r="D521" s="220" t="n"/>
      <c r="E521" s="220" t="n"/>
      <c r="F521" s="181" t="n"/>
      <c r="G521" s="219" t="n"/>
      <c r="H521" s="220" t="n"/>
      <c r="I521" s="221" t="n"/>
    </row>
    <row r="522" ht="15" customHeight="1" s="131">
      <c r="A522" s="220" t="n"/>
      <c r="B522" s="222" t="n"/>
      <c r="C522" s="222" t="n"/>
      <c r="D522" s="220" t="n"/>
      <c r="E522" s="220" t="n"/>
      <c r="F522" s="181" t="n"/>
      <c r="G522" s="219" t="n"/>
      <c r="H522" s="220" t="n"/>
      <c r="I522" s="221" t="n"/>
    </row>
    <row r="523" ht="15" customHeight="1" s="131">
      <c r="A523" s="220" t="n"/>
      <c r="B523" s="222" t="n"/>
      <c r="C523" s="222" t="n"/>
      <c r="D523" s="220" t="n"/>
      <c r="E523" s="220" t="n"/>
      <c r="F523" s="181" t="n"/>
      <c r="G523" s="219" t="n"/>
      <c r="H523" s="220" t="n"/>
      <c r="I523" s="221" t="n"/>
    </row>
    <row r="524" ht="15" customHeight="1" s="131">
      <c r="A524" s="220" t="n"/>
      <c r="B524" s="222" t="n"/>
      <c r="C524" s="222" t="n"/>
      <c r="D524" s="220" t="n"/>
      <c r="E524" s="220" t="n"/>
      <c r="F524" s="181" t="n"/>
      <c r="G524" s="219" t="n"/>
      <c r="H524" s="220" t="n"/>
      <c r="I524" s="221" t="n"/>
    </row>
    <row r="525" ht="15" customHeight="1" s="131">
      <c r="A525" s="220" t="n"/>
      <c r="B525" s="222" t="n"/>
      <c r="C525" s="222" t="n"/>
      <c r="D525" s="220" t="n"/>
      <c r="E525" s="220" t="n"/>
      <c r="F525" s="181" t="n"/>
      <c r="G525" s="219" t="n"/>
      <c r="H525" s="220" t="n"/>
      <c r="I525" s="221" t="n"/>
    </row>
    <row r="526" ht="15" customHeight="1" s="131">
      <c r="A526" s="220" t="n"/>
      <c r="B526" s="222" t="n"/>
      <c r="C526" s="222" t="n"/>
      <c r="D526" s="220" t="n"/>
      <c r="E526" s="220" t="n"/>
      <c r="F526" s="181" t="n"/>
      <c r="G526" s="219" t="n"/>
      <c r="H526" s="220" t="n"/>
      <c r="I526" s="221" t="n"/>
    </row>
    <row r="527" ht="15" customHeight="1" s="131">
      <c r="A527" s="220" t="n"/>
      <c r="B527" s="222" t="n"/>
      <c r="C527" s="222" t="n"/>
      <c r="D527" s="220" t="n"/>
      <c r="E527" s="220" t="n"/>
      <c r="F527" s="181" t="n"/>
      <c r="G527" s="219" t="n"/>
      <c r="H527" s="220" t="n"/>
      <c r="I527" s="221" t="n"/>
    </row>
    <row r="528" ht="15" customHeight="1" s="131">
      <c r="A528" s="220" t="n"/>
      <c r="B528" s="222" t="n"/>
      <c r="C528" s="222" t="n"/>
      <c r="D528" s="220" t="n"/>
      <c r="E528" s="220" t="n"/>
      <c r="F528" s="181" t="n"/>
      <c r="G528" s="219" t="n"/>
      <c r="H528" s="220" t="n"/>
      <c r="I528" s="221" t="n"/>
    </row>
    <row r="529" ht="15" customHeight="1" s="131">
      <c r="A529" s="220" t="n"/>
      <c r="B529" s="222" t="n"/>
      <c r="C529" s="222" t="n"/>
      <c r="D529" s="220" t="n"/>
      <c r="E529" s="220" t="n"/>
      <c r="F529" s="181" t="n"/>
      <c r="G529" s="219" t="n"/>
      <c r="H529" s="220" t="n"/>
      <c r="I529" s="221" t="n"/>
    </row>
    <row r="530" ht="15" customHeight="1" s="131">
      <c r="A530" s="220" t="n"/>
      <c r="B530" s="222" t="n"/>
      <c r="C530" s="222" t="n"/>
      <c r="D530" s="220" t="n"/>
      <c r="E530" s="220" t="n"/>
      <c r="F530" s="181" t="n"/>
      <c r="G530" s="219" t="n"/>
      <c r="H530" s="220" t="n"/>
      <c r="I530" s="221" t="n"/>
    </row>
    <row r="531" ht="15" customHeight="1" s="131">
      <c r="A531" s="220" t="n"/>
      <c r="B531" s="222" t="n"/>
      <c r="C531" s="222" t="n"/>
      <c r="D531" s="220" t="n"/>
      <c r="E531" s="220" t="n"/>
      <c r="F531" s="181" t="n"/>
      <c r="G531" s="219" t="n"/>
      <c r="H531" s="220" t="n"/>
      <c r="I531" s="221" t="n"/>
    </row>
    <row r="532" ht="15" customHeight="1" s="131">
      <c r="A532" s="220" t="n"/>
      <c r="B532" s="222" t="n"/>
      <c r="C532" s="222" t="n"/>
      <c r="D532" s="220" t="n"/>
      <c r="E532" s="220" t="n"/>
      <c r="F532" s="181" t="n"/>
      <c r="G532" s="219" t="n"/>
      <c r="H532" s="220" t="n"/>
      <c r="I532" s="221" t="n"/>
    </row>
    <row r="533" ht="15" customHeight="1" s="131">
      <c r="A533" s="220" t="n"/>
      <c r="B533" s="222" t="n"/>
      <c r="C533" s="222" t="n"/>
      <c r="D533" s="220" t="n"/>
      <c r="E533" s="220" t="n"/>
      <c r="F533" s="181" t="n"/>
      <c r="G533" s="219" t="n"/>
      <c r="H533" s="220" t="n"/>
      <c r="I533" s="221" t="n"/>
    </row>
    <row r="534" ht="15" customHeight="1" s="131">
      <c r="A534" s="220" t="n"/>
      <c r="B534" s="222" t="n"/>
      <c r="C534" s="222" t="n"/>
      <c r="D534" s="220" t="n"/>
      <c r="E534" s="220" t="n"/>
      <c r="F534" s="181" t="n"/>
      <c r="G534" s="219" t="n"/>
      <c r="H534" s="220" t="n"/>
      <c r="I534" s="221" t="n"/>
    </row>
    <row r="535" ht="15" customHeight="1" s="131">
      <c r="A535" s="220" t="n"/>
      <c r="B535" s="222" t="n"/>
      <c r="C535" s="222" t="n"/>
      <c r="D535" s="220" t="n"/>
      <c r="E535" s="220" t="n"/>
      <c r="F535" s="181" t="n"/>
      <c r="G535" s="219" t="n"/>
      <c r="H535" s="220" t="n"/>
      <c r="I535" s="221" t="n"/>
    </row>
    <row r="536" ht="15" customHeight="1" s="131">
      <c r="A536" s="220" t="n"/>
      <c r="B536" s="222" t="n"/>
      <c r="C536" s="222" t="n"/>
      <c r="D536" s="220" t="n"/>
      <c r="E536" s="220" t="n"/>
      <c r="F536" s="181" t="n"/>
      <c r="G536" s="219" t="n"/>
      <c r="H536" s="220" t="n"/>
      <c r="I536" s="221" t="n"/>
    </row>
    <row r="537" ht="15" customHeight="1" s="131">
      <c r="A537" s="220" t="n"/>
      <c r="B537" s="222" t="n"/>
      <c r="C537" s="222" t="n"/>
      <c r="D537" s="220" t="n"/>
      <c r="E537" s="220" t="n"/>
      <c r="F537" s="181" t="n"/>
      <c r="G537" s="219" t="n"/>
      <c r="H537" s="220" t="n"/>
      <c r="I537" s="221" t="n"/>
    </row>
    <row r="538" ht="15" customHeight="1" s="131">
      <c r="A538" s="220" t="n"/>
      <c r="B538" s="222" t="n"/>
      <c r="C538" s="222" t="n"/>
      <c r="D538" s="220" t="n"/>
      <c r="E538" s="220" t="n"/>
      <c r="F538" s="181" t="n"/>
      <c r="G538" s="219" t="n"/>
      <c r="H538" s="220" t="n"/>
      <c r="I538" s="221" t="n"/>
    </row>
    <row r="539" ht="15" customHeight="1" s="131">
      <c r="A539" s="220" t="n"/>
      <c r="B539" s="222" t="n"/>
      <c r="C539" s="222" t="n"/>
      <c r="D539" s="220" t="n"/>
      <c r="E539" s="220" t="n"/>
      <c r="F539" s="181" t="n"/>
      <c r="G539" s="219" t="n"/>
      <c r="H539" s="220" t="n"/>
      <c r="I539" s="221" t="n"/>
    </row>
    <row r="540" ht="15" customHeight="1" s="131">
      <c r="A540" s="220" t="n"/>
      <c r="B540" s="222" t="n"/>
      <c r="C540" s="222" t="n"/>
      <c r="D540" s="220" t="n"/>
      <c r="E540" s="220" t="n"/>
      <c r="F540" s="181" t="n"/>
      <c r="G540" s="219" t="n"/>
      <c r="H540" s="220" t="n"/>
      <c r="I540" s="221" t="n"/>
    </row>
    <row r="541" ht="15" customHeight="1" s="131">
      <c r="A541" s="220" t="n"/>
      <c r="B541" s="222" t="n"/>
      <c r="C541" s="222" t="n"/>
      <c r="D541" s="220" t="n"/>
      <c r="E541" s="220" t="n"/>
      <c r="F541" s="181" t="n"/>
      <c r="G541" s="219" t="n"/>
      <c r="H541" s="220" t="n"/>
      <c r="I541" s="221" t="n"/>
    </row>
    <row r="542" ht="15" customHeight="1" s="131">
      <c r="A542" s="220" t="n"/>
      <c r="B542" s="222" t="n"/>
      <c r="C542" s="222" t="n"/>
      <c r="D542" s="220" t="n"/>
      <c r="E542" s="220" t="n"/>
      <c r="F542" s="181" t="n"/>
      <c r="G542" s="219" t="n"/>
      <c r="H542" s="220" t="n"/>
      <c r="I542" s="221" t="n"/>
    </row>
    <row r="543" ht="15" customHeight="1" s="131">
      <c r="A543" s="220" t="n"/>
      <c r="B543" s="222" t="n"/>
      <c r="C543" s="222" t="n"/>
      <c r="D543" s="220" t="n"/>
      <c r="E543" s="220" t="n"/>
      <c r="F543" s="181" t="n"/>
      <c r="G543" s="219" t="n"/>
      <c r="H543" s="220" t="n"/>
      <c r="I543" s="221" t="n"/>
    </row>
    <row r="544" ht="15" customHeight="1" s="131">
      <c r="A544" s="220" t="n"/>
      <c r="B544" s="222" t="n"/>
      <c r="C544" s="222" t="n"/>
      <c r="D544" s="220" t="n"/>
      <c r="E544" s="220" t="n"/>
      <c r="F544" s="181" t="n"/>
      <c r="G544" s="219" t="n"/>
      <c r="H544" s="220" t="n"/>
      <c r="I544" s="221" t="n"/>
    </row>
    <row r="545" ht="15" customHeight="1" s="131">
      <c r="A545" s="220" t="n"/>
      <c r="B545" s="222" t="n"/>
      <c r="C545" s="222" t="n"/>
      <c r="D545" s="220" t="n"/>
      <c r="E545" s="220" t="n"/>
      <c r="F545" s="181" t="n"/>
      <c r="G545" s="219" t="n"/>
      <c r="H545" s="220" t="n"/>
      <c r="I545" s="221" t="n"/>
    </row>
    <row r="546" ht="15" customHeight="1" s="131">
      <c r="A546" s="220" t="n"/>
      <c r="B546" s="222" t="n"/>
      <c r="C546" s="222" t="n"/>
      <c r="D546" s="220" t="n"/>
      <c r="E546" s="220" t="n"/>
      <c r="F546" s="181" t="n"/>
      <c r="G546" s="219" t="n"/>
      <c r="H546" s="220" t="n"/>
      <c r="I546" s="221" t="n"/>
    </row>
    <row r="547" ht="15" customHeight="1" s="131">
      <c r="A547" s="220" t="n"/>
      <c r="B547" s="222" t="n"/>
      <c r="C547" s="222" t="n"/>
      <c r="D547" s="220" t="n"/>
      <c r="E547" s="220" t="n"/>
      <c r="F547" s="181" t="n"/>
      <c r="G547" s="219" t="n"/>
      <c r="H547" s="220" t="n"/>
      <c r="I547" s="221" t="n"/>
    </row>
    <row r="548" ht="15" customHeight="1" s="131">
      <c r="A548" s="220" t="n"/>
      <c r="B548" s="222" t="n"/>
      <c r="C548" s="222" t="n"/>
      <c r="D548" s="220" t="n"/>
      <c r="E548" s="220" t="n"/>
      <c r="F548" s="181" t="n"/>
      <c r="G548" s="219" t="n"/>
      <c r="H548" s="220" t="n"/>
      <c r="I548" s="221" t="n"/>
    </row>
    <row r="549" ht="15" customHeight="1" s="131">
      <c r="A549" s="220" t="n"/>
      <c r="B549" s="222" t="n"/>
      <c r="C549" s="222" t="n"/>
      <c r="D549" s="220" t="n"/>
      <c r="E549" s="220" t="n"/>
      <c r="F549" s="181" t="n"/>
      <c r="G549" s="219" t="n"/>
      <c r="H549" s="220" t="n"/>
      <c r="I549" s="221" t="n"/>
    </row>
    <row r="550" ht="15" customHeight="1" s="131">
      <c r="A550" s="220" t="n"/>
      <c r="B550" s="222" t="n"/>
      <c r="C550" s="222" t="n"/>
      <c r="D550" s="220" t="n"/>
      <c r="E550" s="220" t="n"/>
      <c r="F550" s="181" t="n"/>
      <c r="G550" s="219" t="n"/>
      <c r="H550" s="220" t="n"/>
      <c r="I550" s="221" t="n"/>
    </row>
    <row r="551" ht="15" customHeight="1" s="131">
      <c r="A551" s="220" t="n"/>
      <c r="B551" s="222" t="n"/>
      <c r="C551" s="222" t="n"/>
      <c r="D551" s="220" t="n"/>
      <c r="E551" s="220" t="n"/>
      <c r="F551" s="181" t="n"/>
      <c r="G551" s="219" t="n"/>
      <c r="H551" s="220" t="n"/>
      <c r="I551" s="221" t="n"/>
    </row>
    <row r="552" ht="15" customHeight="1" s="131">
      <c r="A552" s="220" t="n"/>
      <c r="B552" s="222" t="n"/>
      <c r="C552" s="222" t="n"/>
      <c r="D552" s="220" t="n"/>
      <c r="E552" s="220" t="n"/>
      <c r="F552" s="181" t="n"/>
      <c r="G552" s="219" t="n"/>
      <c r="H552" s="220" t="n"/>
      <c r="I552" s="221" t="n"/>
    </row>
    <row r="553" ht="15" customHeight="1" s="131">
      <c r="A553" s="220" t="n"/>
      <c r="B553" s="222" t="n"/>
      <c r="C553" s="222" t="n"/>
      <c r="D553" s="220" t="n"/>
      <c r="E553" s="220" t="n"/>
      <c r="F553" s="181" t="n"/>
      <c r="G553" s="219" t="n"/>
      <c r="H553" s="220" t="n"/>
      <c r="I553" s="221" t="n"/>
    </row>
    <row r="554" ht="15" customHeight="1" s="131">
      <c r="A554" s="220" t="n"/>
      <c r="B554" s="222" t="n"/>
      <c r="C554" s="222" t="n"/>
      <c r="D554" s="220" t="n"/>
      <c r="E554" s="220" t="n"/>
      <c r="F554" s="181" t="n"/>
      <c r="G554" s="219" t="n"/>
      <c r="H554" s="220" t="n"/>
      <c r="I554" s="221" t="n"/>
    </row>
    <row r="555" ht="15" customHeight="1" s="131">
      <c r="A555" s="220" t="n"/>
      <c r="B555" s="222" t="n"/>
      <c r="C555" s="222" t="n"/>
      <c r="D555" s="220" t="n"/>
      <c r="E555" s="220" t="n"/>
      <c r="F555" s="181" t="n"/>
      <c r="G555" s="219" t="n"/>
      <c r="H555" s="220" t="n"/>
      <c r="I555" s="221" t="n"/>
    </row>
    <row r="556" ht="15" customHeight="1" s="131">
      <c r="A556" s="220" t="n"/>
      <c r="B556" s="222" t="n"/>
      <c r="C556" s="222" t="n"/>
      <c r="D556" s="220" t="n"/>
      <c r="E556" s="220" t="n"/>
      <c r="F556" s="181" t="n"/>
      <c r="G556" s="219" t="n"/>
      <c r="H556" s="220" t="n"/>
      <c r="I556" s="221" t="n"/>
    </row>
    <row r="557" ht="15" customHeight="1" s="131">
      <c r="A557" s="220" t="n"/>
      <c r="B557" s="222" t="n"/>
      <c r="C557" s="222" t="n"/>
      <c r="D557" s="220" t="n"/>
      <c r="E557" s="220" t="n"/>
      <c r="F557" s="181" t="n"/>
      <c r="G557" s="219" t="n"/>
      <c r="H557" s="220" t="n"/>
      <c r="I557" s="221" t="n"/>
    </row>
    <row r="558" ht="15" customHeight="1" s="131">
      <c r="A558" s="220" t="n"/>
      <c r="B558" s="222" t="n"/>
      <c r="C558" s="222" t="n"/>
      <c r="D558" s="220" t="n"/>
      <c r="E558" s="220" t="n"/>
      <c r="F558" s="181" t="n"/>
      <c r="G558" s="219" t="n"/>
      <c r="H558" s="220" t="n"/>
      <c r="I558" s="221" t="n"/>
    </row>
    <row r="559" ht="15" customHeight="1" s="131">
      <c r="A559" s="220" t="n"/>
      <c r="B559" s="222" t="n"/>
      <c r="C559" s="222" t="n"/>
      <c r="D559" s="220" t="n"/>
      <c r="E559" s="220" t="n"/>
      <c r="F559" s="181" t="n"/>
      <c r="G559" s="219" t="n"/>
      <c r="H559" s="220" t="n"/>
      <c r="I559" s="221" t="n"/>
    </row>
    <row r="560" ht="15" customHeight="1" s="131">
      <c r="A560" s="220" t="n"/>
      <c r="B560" s="222" t="n"/>
      <c r="C560" s="222" t="n"/>
      <c r="D560" s="220" t="n"/>
      <c r="E560" s="220" t="n"/>
      <c r="F560" s="181" t="n"/>
      <c r="G560" s="219" t="n"/>
      <c r="H560" s="220" t="n"/>
      <c r="I560" s="221" t="n"/>
    </row>
    <row r="561" ht="15" customHeight="1" s="131">
      <c r="A561" s="220" t="n"/>
      <c r="B561" s="222" t="n"/>
      <c r="C561" s="222" t="n"/>
      <c r="D561" s="220" t="n"/>
      <c r="E561" s="220" t="n"/>
      <c r="F561" s="181" t="n"/>
      <c r="G561" s="219" t="n"/>
      <c r="H561" s="220" t="n"/>
      <c r="I561" s="221" t="n"/>
    </row>
    <row r="562" ht="15" customHeight="1" s="131">
      <c r="A562" s="220" t="n"/>
      <c r="B562" s="222" t="n"/>
      <c r="C562" s="222" t="n"/>
      <c r="D562" s="220" t="n"/>
      <c r="E562" s="220" t="n"/>
      <c r="F562" s="181" t="n"/>
      <c r="G562" s="219" t="n"/>
      <c r="H562" s="220" t="n"/>
      <c r="I562" s="221" t="n"/>
    </row>
    <row r="563" ht="15" customHeight="1" s="131">
      <c r="A563" s="220" t="n"/>
      <c r="B563" s="222" t="n"/>
      <c r="C563" s="222" t="n"/>
      <c r="D563" s="220" t="n"/>
      <c r="E563" s="220" t="n"/>
      <c r="F563" s="181" t="n"/>
      <c r="G563" s="219" t="n"/>
      <c r="H563" s="220" t="n"/>
      <c r="I563" s="221" t="n"/>
    </row>
    <row r="564" ht="15" customHeight="1" s="131">
      <c r="A564" s="220" t="n"/>
      <c r="B564" s="222" t="n"/>
      <c r="C564" s="222" t="n"/>
      <c r="D564" s="220" t="n"/>
      <c r="E564" s="220" t="n"/>
      <c r="F564" s="181" t="n"/>
      <c r="G564" s="219" t="n"/>
      <c r="H564" s="220" t="n"/>
      <c r="I564" s="221" t="n"/>
    </row>
    <row r="565" ht="15" customHeight="1" s="131">
      <c r="A565" s="220" t="n"/>
      <c r="B565" s="222" t="n"/>
      <c r="C565" s="222" t="n"/>
      <c r="D565" s="220" t="n"/>
      <c r="E565" s="220" t="n"/>
      <c r="F565" s="181" t="n"/>
      <c r="G565" s="219" t="n"/>
      <c r="H565" s="220" t="n"/>
      <c r="I565" s="221" t="n"/>
    </row>
    <row r="566" ht="15" customHeight="1" s="131">
      <c r="A566" s="220" t="n"/>
      <c r="B566" s="222" t="n"/>
      <c r="C566" s="222" t="n"/>
      <c r="D566" s="220" t="n"/>
      <c r="E566" s="220" t="n"/>
      <c r="F566" s="181" t="n"/>
      <c r="G566" s="219" t="n"/>
      <c r="H566" s="220" t="n"/>
      <c r="I566" s="221" t="n"/>
    </row>
    <row r="567" ht="15" customHeight="1" s="131">
      <c r="A567" s="220" t="n"/>
      <c r="B567" s="222" t="n"/>
      <c r="C567" s="222" t="n"/>
      <c r="D567" s="220" t="n"/>
      <c r="E567" s="220" t="n"/>
      <c r="F567" s="181" t="n"/>
      <c r="G567" s="219" t="n"/>
      <c r="H567" s="220" t="n"/>
      <c r="I567" s="221" t="n"/>
    </row>
    <row r="568" ht="15" customHeight="1" s="131">
      <c r="A568" s="220" t="n"/>
      <c r="B568" s="222" t="n"/>
      <c r="C568" s="222" t="n"/>
      <c r="D568" s="220" t="n"/>
      <c r="E568" s="220" t="n"/>
      <c r="F568" s="181" t="n"/>
      <c r="G568" s="219" t="n"/>
      <c r="H568" s="220" t="n"/>
      <c r="I568" s="221" t="n"/>
    </row>
    <row r="569" ht="15" customHeight="1" s="131">
      <c r="A569" s="220" t="n"/>
      <c r="B569" s="222" t="n"/>
      <c r="C569" s="222" t="n"/>
      <c r="D569" s="220" t="n"/>
      <c r="E569" s="220" t="n"/>
      <c r="F569" s="181" t="n"/>
      <c r="G569" s="219" t="n"/>
      <c r="H569" s="220" t="n"/>
      <c r="I569" s="221" t="n"/>
    </row>
    <row r="570" ht="15" customHeight="1" s="131">
      <c r="A570" s="220" t="n"/>
      <c r="B570" s="222" t="n"/>
      <c r="C570" s="222" t="n"/>
      <c r="D570" s="220" t="n"/>
      <c r="E570" s="220" t="n"/>
      <c r="F570" s="181" t="n"/>
      <c r="G570" s="219" t="n"/>
      <c r="H570" s="220" t="n"/>
      <c r="I570" s="221" t="n"/>
    </row>
    <row r="571" ht="15" customHeight="1" s="131">
      <c r="A571" s="220" t="n"/>
      <c r="B571" s="222" t="n"/>
      <c r="C571" s="222" t="n"/>
      <c r="D571" s="220" t="n"/>
      <c r="E571" s="220" t="n"/>
      <c r="F571" s="181" t="n"/>
      <c r="G571" s="219" t="n"/>
      <c r="H571" s="220" t="n"/>
      <c r="I571" s="221" t="n"/>
    </row>
    <row r="572" ht="15" customHeight="1" s="131">
      <c r="A572" s="220" t="n"/>
      <c r="B572" s="222" t="n"/>
      <c r="C572" s="222" t="n"/>
      <c r="D572" s="220" t="n"/>
      <c r="E572" s="220" t="n"/>
      <c r="F572" s="181" t="n"/>
      <c r="G572" s="219" t="n"/>
      <c r="H572" s="220" t="n"/>
      <c r="I572" s="221" t="n"/>
    </row>
    <row r="573" ht="15" customHeight="1" s="131">
      <c r="A573" s="220" t="n"/>
      <c r="B573" s="222" t="n"/>
      <c r="C573" s="222" t="n"/>
      <c r="D573" s="220" t="n"/>
      <c r="E573" s="220" t="n"/>
      <c r="F573" s="181" t="n"/>
      <c r="G573" s="219" t="n"/>
      <c r="H573" s="220" t="n"/>
      <c r="I573" s="221" t="n"/>
    </row>
    <row r="574" ht="15" customHeight="1" s="131">
      <c r="A574" s="220" t="n"/>
      <c r="B574" s="222" t="n"/>
      <c r="C574" s="222" t="n"/>
      <c r="D574" s="220" t="n"/>
      <c r="E574" s="220" t="n"/>
      <c r="F574" s="181" t="n"/>
      <c r="G574" s="219" t="n"/>
      <c r="H574" s="220" t="n"/>
      <c r="I574" s="221" t="n"/>
    </row>
    <row r="575" ht="15" customHeight="1" s="131">
      <c r="A575" s="220" t="n"/>
      <c r="B575" s="222" t="n"/>
      <c r="C575" s="222" t="n"/>
      <c r="D575" s="220" t="n"/>
      <c r="E575" s="220" t="n"/>
      <c r="F575" s="181" t="n"/>
      <c r="G575" s="219" t="n"/>
      <c r="H575" s="220" t="n"/>
      <c r="I575" s="221" t="n"/>
    </row>
    <row r="576" ht="15" customHeight="1" s="131">
      <c r="A576" s="220" t="n"/>
      <c r="B576" s="222" t="n"/>
      <c r="C576" s="222" t="n"/>
      <c r="D576" s="220" t="n"/>
      <c r="E576" s="220" t="n"/>
      <c r="F576" s="181" t="n"/>
      <c r="G576" s="219" t="n"/>
      <c r="H576" s="220" t="n"/>
      <c r="I576" s="221" t="n"/>
    </row>
    <row r="577" ht="15" customHeight="1" s="131">
      <c r="A577" s="220" t="n"/>
      <c r="B577" s="222" t="n"/>
      <c r="C577" s="222" t="n"/>
      <c r="D577" s="220" t="n"/>
      <c r="E577" s="220" t="n"/>
      <c r="F577" s="181" t="n"/>
      <c r="G577" s="219" t="n"/>
      <c r="H577" s="220" t="n"/>
      <c r="I577" s="221" t="n"/>
    </row>
    <row r="578" ht="15" customHeight="1" s="131">
      <c r="A578" s="220" t="n"/>
      <c r="B578" s="222" t="n"/>
      <c r="C578" s="222" t="n"/>
      <c r="D578" s="220" t="n"/>
      <c r="E578" s="220" t="n"/>
      <c r="F578" s="181" t="n"/>
      <c r="G578" s="219" t="n"/>
      <c r="H578" s="220" t="n"/>
      <c r="I578" s="221" t="n"/>
    </row>
    <row r="579" ht="15" customHeight="1" s="131">
      <c r="A579" s="220" t="n"/>
      <c r="B579" s="222" t="n"/>
      <c r="C579" s="222" t="n"/>
      <c r="D579" s="220" t="n"/>
      <c r="E579" s="220" t="n"/>
      <c r="F579" s="181" t="n"/>
      <c r="G579" s="219" t="n"/>
      <c r="H579" s="220" t="n"/>
      <c r="I579" s="221" t="n"/>
    </row>
    <row r="580" ht="15" customHeight="1" s="131">
      <c r="A580" s="220" t="n"/>
      <c r="B580" s="222" t="n"/>
      <c r="C580" s="222" t="n"/>
      <c r="D580" s="220" t="n"/>
      <c r="E580" s="220" t="n"/>
      <c r="F580" s="181" t="n"/>
      <c r="G580" s="219" t="n"/>
      <c r="H580" s="220" t="n"/>
      <c r="I580" s="221" t="n"/>
    </row>
    <row r="581" ht="15" customHeight="1" s="131">
      <c r="A581" s="220" t="n"/>
      <c r="B581" s="222" t="n"/>
      <c r="C581" s="222" t="n"/>
      <c r="D581" s="220" t="n"/>
      <c r="E581" s="220" t="n"/>
      <c r="F581" s="181" t="n"/>
      <c r="G581" s="219" t="n"/>
      <c r="H581" s="220" t="n"/>
      <c r="I581" s="221" t="n"/>
    </row>
    <row r="582" ht="15" customHeight="1" s="131">
      <c r="A582" s="220" t="n"/>
      <c r="B582" s="222" t="n"/>
      <c r="C582" s="222" t="n"/>
      <c r="D582" s="220" t="n"/>
      <c r="E582" s="220" t="n"/>
      <c r="F582" s="181" t="n"/>
      <c r="G582" s="219" t="n"/>
      <c r="H582" s="220" t="n"/>
      <c r="I582" s="221" t="n"/>
    </row>
    <row r="583" ht="15" customHeight="1" s="131">
      <c r="A583" s="220" t="n"/>
      <c r="B583" s="222" t="n"/>
      <c r="C583" s="222" t="n"/>
      <c r="D583" s="220" t="n"/>
      <c r="E583" s="220" t="n"/>
      <c r="F583" s="181" t="n"/>
      <c r="G583" s="219" t="n"/>
      <c r="H583" s="220" t="n"/>
      <c r="I583" s="221" t="n"/>
    </row>
    <row r="584" ht="15" customHeight="1" s="131">
      <c r="A584" s="220" t="n"/>
      <c r="B584" s="222" t="n"/>
      <c r="C584" s="222" t="n"/>
      <c r="D584" s="220" t="n"/>
      <c r="E584" s="220" t="n"/>
      <c r="F584" s="181" t="n"/>
      <c r="G584" s="219" t="n"/>
      <c r="H584" s="220" t="n"/>
      <c r="I584" s="221" t="n"/>
    </row>
    <row r="585" ht="15" customHeight="1" s="131">
      <c r="A585" s="220" t="n"/>
      <c r="B585" s="222" t="n"/>
      <c r="C585" s="222" t="n"/>
      <c r="D585" s="220" t="n"/>
      <c r="E585" s="220" t="n"/>
      <c r="F585" s="181" t="n"/>
      <c r="G585" s="219" t="n"/>
      <c r="H585" s="220" t="n"/>
      <c r="I585" s="221" t="n"/>
    </row>
    <row r="586" ht="15" customHeight="1" s="131">
      <c r="A586" s="220" t="n"/>
      <c r="B586" s="222" t="n"/>
      <c r="C586" s="222" t="n"/>
      <c r="D586" s="220" t="n"/>
      <c r="E586" s="220" t="n"/>
      <c r="F586" s="181" t="n"/>
      <c r="G586" s="219" t="n"/>
      <c r="H586" s="220" t="n"/>
      <c r="I586" s="221" t="n"/>
    </row>
    <row r="587" ht="15" customHeight="1" s="131">
      <c r="A587" s="220" t="n"/>
      <c r="B587" s="222" t="n"/>
      <c r="C587" s="222" t="n"/>
      <c r="D587" s="220" t="n"/>
      <c r="E587" s="220" t="n"/>
      <c r="F587" s="181" t="n"/>
      <c r="G587" s="219" t="n"/>
      <c r="H587" s="220" t="n"/>
      <c r="I587" s="221" t="n"/>
    </row>
    <row r="588" ht="15" customHeight="1" s="131">
      <c r="A588" s="220" t="n"/>
      <c r="B588" s="222" t="n"/>
      <c r="C588" s="222" t="n"/>
      <c r="D588" s="220" t="n"/>
      <c r="E588" s="220" t="n"/>
      <c r="F588" s="181" t="n"/>
      <c r="G588" s="219" t="n"/>
      <c r="H588" s="220" t="n"/>
      <c r="I588" s="221" t="n"/>
    </row>
    <row r="589" ht="15" customHeight="1" s="131">
      <c r="A589" s="220" t="n"/>
      <c r="B589" s="222" t="n"/>
      <c r="C589" s="222" t="n"/>
      <c r="D589" s="220" t="n"/>
      <c r="E589" s="220" t="n"/>
      <c r="F589" s="181" t="n"/>
      <c r="G589" s="219" t="n"/>
      <c r="H589" s="220" t="n"/>
      <c r="I589" s="221" t="n"/>
    </row>
    <row r="590" ht="15" customHeight="1" s="131">
      <c r="A590" s="220" t="n"/>
      <c r="B590" s="222" t="n"/>
      <c r="C590" s="222" t="n"/>
      <c r="D590" s="220" t="n"/>
      <c r="E590" s="220" t="n"/>
      <c r="F590" s="181" t="n"/>
      <c r="G590" s="219" t="n"/>
      <c r="H590" s="220" t="n"/>
      <c r="I590" s="221" t="n"/>
    </row>
    <row r="591" ht="15" customHeight="1" s="131">
      <c r="A591" s="220" t="n"/>
      <c r="B591" s="222" t="n"/>
      <c r="C591" s="222" t="n"/>
      <c r="D591" s="220" t="n"/>
      <c r="E591" s="220" t="n"/>
      <c r="F591" s="181" t="n"/>
      <c r="G591" s="219" t="n"/>
      <c r="H591" s="220" t="n"/>
      <c r="I591" s="221" t="n"/>
    </row>
    <row r="592" ht="15" customHeight="1" s="131">
      <c r="A592" s="220" t="n"/>
      <c r="B592" s="222" t="n"/>
      <c r="C592" s="222" t="n"/>
      <c r="D592" s="220" t="n"/>
      <c r="E592" s="220" t="n"/>
      <c r="F592" s="181" t="n"/>
      <c r="G592" s="219" t="n"/>
      <c r="H592" s="220" t="n"/>
      <c r="I592" s="221" t="n"/>
    </row>
    <row r="593" ht="15" customHeight="1" s="131">
      <c r="A593" s="220" t="n"/>
      <c r="B593" s="222" t="n"/>
      <c r="C593" s="222" t="n"/>
      <c r="D593" s="220" t="n"/>
      <c r="E593" s="220" t="n"/>
      <c r="F593" s="181" t="n"/>
      <c r="G593" s="219" t="n"/>
      <c r="H593" s="220" t="n"/>
      <c r="I593" s="221" t="n"/>
    </row>
    <row r="594" ht="15" customHeight="1" s="131">
      <c r="A594" s="220" t="n"/>
      <c r="B594" s="222" t="n"/>
      <c r="C594" s="222" t="n"/>
      <c r="D594" s="220" t="n"/>
      <c r="E594" s="220" t="n"/>
      <c r="F594" s="181" t="n"/>
      <c r="G594" s="219" t="n"/>
      <c r="H594" s="220" t="n"/>
      <c r="I594" s="221" t="n"/>
    </row>
    <row r="595" ht="15" customHeight="1" s="131">
      <c r="A595" s="220" t="n"/>
      <c r="B595" s="222" t="n"/>
      <c r="C595" s="222" t="n"/>
      <c r="D595" s="220" t="n"/>
      <c r="E595" s="220" t="n"/>
      <c r="F595" s="181" t="n"/>
      <c r="G595" s="219" t="n"/>
      <c r="H595" s="220" t="n"/>
      <c r="I595" s="221" t="n"/>
    </row>
    <row r="596" ht="15" customHeight="1" s="131">
      <c r="A596" s="220" t="n"/>
      <c r="B596" s="222" t="n"/>
      <c r="C596" s="222" t="n"/>
      <c r="D596" s="220" t="n"/>
      <c r="E596" s="220" t="n"/>
      <c r="F596" s="181" t="n"/>
      <c r="G596" s="219" t="n"/>
      <c r="H596" s="220" t="n"/>
      <c r="I596" s="221" t="n"/>
    </row>
    <row r="597" ht="15" customHeight="1" s="131">
      <c r="A597" s="220" t="n"/>
      <c r="B597" s="222" t="n"/>
      <c r="C597" s="222" t="n"/>
      <c r="D597" s="220" t="n"/>
      <c r="E597" s="220" t="n"/>
      <c r="F597" s="181" t="n"/>
      <c r="G597" s="219" t="n"/>
      <c r="H597" s="220" t="n"/>
      <c r="I597" s="221" t="n"/>
    </row>
    <row r="598" ht="15" customHeight="1" s="131">
      <c r="A598" s="220" t="n"/>
      <c r="B598" s="222" t="n"/>
      <c r="C598" s="222" t="n"/>
      <c r="D598" s="220" t="n"/>
      <c r="E598" s="220" t="n"/>
      <c r="F598" s="181" t="n"/>
      <c r="G598" s="219" t="n"/>
      <c r="H598" s="220" t="n"/>
      <c r="I598" s="221" t="n"/>
    </row>
    <row r="599" ht="15" customHeight="1" s="131">
      <c r="A599" s="220" t="n"/>
      <c r="B599" s="222" t="n"/>
      <c r="C599" s="222" t="n"/>
      <c r="D599" s="220" t="n"/>
      <c r="E599" s="220" t="n"/>
      <c r="F599" s="181" t="n"/>
      <c r="G599" s="219" t="n"/>
      <c r="H599" s="220" t="n"/>
      <c r="I599" s="221" t="n"/>
    </row>
    <row r="600" ht="15" customHeight="1" s="131">
      <c r="A600" s="220" t="n"/>
      <c r="B600" s="222" t="n"/>
      <c r="C600" s="222" t="n"/>
      <c r="D600" s="220" t="n"/>
      <c r="E600" s="220" t="n"/>
      <c r="F600" s="181" t="n"/>
      <c r="G600" s="219" t="n"/>
      <c r="H600" s="220" t="n"/>
      <c r="I600" s="221" t="n"/>
    </row>
    <row r="601" ht="15" customHeight="1" s="131">
      <c r="A601" s="220" t="n"/>
      <c r="B601" s="222" t="n"/>
      <c r="C601" s="222" t="n"/>
      <c r="D601" s="220" t="n"/>
      <c r="E601" s="220" t="n"/>
      <c r="F601" s="181" t="n"/>
      <c r="G601" s="219" t="n"/>
      <c r="H601" s="220" t="n"/>
      <c r="I601" s="221" t="n"/>
    </row>
    <row r="602" ht="15" customHeight="1" s="131">
      <c r="A602" s="220" t="n"/>
      <c r="B602" s="222" t="n"/>
      <c r="C602" s="222" t="n"/>
      <c r="D602" s="220" t="n"/>
      <c r="E602" s="220" t="n"/>
      <c r="F602" s="181" t="n"/>
      <c r="G602" s="219" t="n"/>
      <c r="H602" s="220" t="n"/>
      <c r="I602" s="221" t="n"/>
    </row>
    <row r="603" ht="15" customHeight="1" s="131">
      <c r="A603" s="220" t="n"/>
      <c r="B603" s="222" t="n"/>
      <c r="C603" s="222" t="n"/>
      <c r="D603" s="220" t="n"/>
      <c r="E603" s="220" t="n"/>
      <c r="F603" s="181" t="n"/>
      <c r="G603" s="219" t="n"/>
      <c r="H603" s="220" t="n"/>
      <c r="I603" s="221" t="n"/>
    </row>
    <row r="604" ht="15" customHeight="1" s="131">
      <c r="A604" s="220" t="n"/>
      <c r="B604" s="222" t="n"/>
      <c r="C604" s="222" t="n"/>
      <c r="D604" s="220" t="n"/>
      <c r="E604" s="220" t="n"/>
      <c r="F604" s="181" t="n"/>
      <c r="G604" s="219" t="n"/>
      <c r="H604" s="220" t="n"/>
      <c r="I604" s="221" t="n"/>
    </row>
    <row r="605" ht="15" customHeight="1" s="131">
      <c r="A605" s="220" t="n"/>
      <c r="B605" s="222" t="n"/>
      <c r="C605" s="222" t="n"/>
      <c r="D605" s="220" t="n"/>
      <c r="E605" s="220" t="n"/>
      <c r="F605" s="181" t="n"/>
      <c r="G605" s="219" t="n"/>
      <c r="H605" s="220" t="n"/>
      <c r="I605" s="221" t="n"/>
    </row>
    <row r="606" ht="15" customHeight="1" s="131">
      <c r="A606" s="220" t="n"/>
      <c r="B606" s="222" t="n"/>
      <c r="C606" s="222" t="n"/>
      <c r="D606" s="220" t="n"/>
      <c r="E606" s="220" t="n"/>
      <c r="F606" s="181" t="n"/>
      <c r="G606" s="219" t="n"/>
      <c r="H606" s="220" t="n"/>
      <c r="I606" s="221" t="n"/>
    </row>
    <row r="607" ht="15" customHeight="1" s="131">
      <c r="A607" s="220" t="n"/>
      <c r="B607" s="222" t="n"/>
      <c r="C607" s="222" t="n"/>
      <c r="D607" s="220" t="n"/>
      <c r="E607" s="220" t="n"/>
      <c r="F607" s="181" t="n"/>
      <c r="G607" s="219" t="n"/>
      <c r="H607" s="220" t="n"/>
      <c r="I607" s="221" t="n"/>
    </row>
    <row r="608" ht="15" customHeight="1" s="131">
      <c r="A608" s="220" t="n"/>
      <c r="B608" s="222" t="n"/>
      <c r="C608" s="222" t="n"/>
      <c r="D608" s="220" t="n"/>
      <c r="E608" s="220" t="n"/>
      <c r="F608" s="181" t="n"/>
      <c r="G608" s="219" t="n"/>
      <c r="H608" s="220" t="n"/>
      <c r="I608" s="221" t="n"/>
    </row>
    <row r="609" ht="15" customHeight="1" s="131">
      <c r="A609" s="220" t="n"/>
      <c r="B609" s="222" t="n"/>
      <c r="C609" s="222" t="n"/>
      <c r="D609" s="220" t="n"/>
      <c r="E609" s="220" t="n"/>
      <c r="F609" s="181" t="n"/>
      <c r="G609" s="219" t="n"/>
      <c r="H609" s="220" t="n"/>
      <c r="I609" s="221" t="n"/>
    </row>
    <row r="610" ht="15" customHeight="1" s="131">
      <c r="A610" s="220" t="n"/>
      <c r="B610" s="222" t="n"/>
      <c r="C610" s="222" t="n"/>
      <c r="D610" s="220" t="n"/>
      <c r="E610" s="220" t="n"/>
      <c r="F610" s="181" t="n"/>
      <c r="G610" s="219" t="n"/>
      <c r="H610" s="220" t="n"/>
      <c r="I610" s="221" t="n"/>
    </row>
    <row r="611" ht="15" customHeight="1" s="131">
      <c r="A611" s="220" t="n"/>
      <c r="B611" s="222" t="n"/>
      <c r="C611" s="222" t="n"/>
      <c r="D611" s="220" t="n"/>
      <c r="E611" s="220" t="n"/>
      <c r="F611" s="181" t="n"/>
      <c r="G611" s="219" t="n"/>
      <c r="H611" s="220" t="n"/>
      <c r="I611" s="221" t="n"/>
    </row>
    <row r="612" ht="15" customHeight="1" s="131">
      <c r="A612" s="220" t="n"/>
      <c r="B612" s="222" t="n"/>
      <c r="C612" s="222" t="n"/>
      <c r="D612" s="220" t="n"/>
      <c r="E612" s="220" t="n"/>
      <c r="F612" s="181" t="n"/>
      <c r="G612" s="219" t="n"/>
      <c r="H612" s="220" t="n"/>
      <c r="I612" s="221" t="n"/>
    </row>
    <row r="613" ht="15" customHeight="1" s="131">
      <c r="A613" s="220" t="n"/>
      <c r="B613" s="222" t="n"/>
      <c r="C613" s="222" t="n"/>
      <c r="D613" s="220" t="n"/>
      <c r="E613" s="220" t="n"/>
      <c r="F613" s="181" t="n"/>
      <c r="G613" s="219" t="n"/>
      <c r="H613" s="220" t="n"/>
      <c r="I613" s="221" t="n"/>
    </row>
    <row r="614" ht="15" customHeight="1" s="131">
      <c r="A614" s="220" t="n"/>
      <c r="B614" s="222" t="n"/>
      <c r="C614" s="222" t="n"/>
      <c r="D614" s="220" t="n"/>
      <c r="E614" s="220" t="n"/>
      <c r="F614" s="181" t="n"/>
      <c r="G614" s="219" t="n"/>
      <c r="H614" s="220" t="n"/>
      <c r="I614" s="221" t="n"/>
    </row>
    <row r="615" ht="15" customHeight="1" s="131">
      <c r="A615" s="220" t="n"/>
      <c r="B615" s="222" t="n"/>
      <c r="C615" s="222" t="n"/>
      <c r="D615" s="220" t="n"/>
      <c r="E615" s="220" t="n"/>
      <c r="F615" s="181" t="n"/>
      <c r="G615" s="219" t="n"/>
      <c r="H615" s="220" t="n"/>
      <c r="I615" s="221" t="n"/>
    </row>
    <row r="616" ht="15" customHeight="1" s="131">
      <c r="A616" s="220" t="n"/>
      <c r="B616" s="222" t="n"/>
      <c r="C616" s="222" t="n"/>
      <c r="D616" s="220" t="n"/>
      <c r="E616" s="220" t="n"/>
      <c r="F616" s="181" t="n"/>
      <c r="G616" s="219" t="n"/>
      <c r="H616" s="220" t="n"/>
      <c r="I616" s="221" t="n"/>
    </row>
    <row r="617" ht="15" customHeight="1" s="131">
      <c r="A617" s="220" t="n"/>
      <c r="B617" s="222" t="n"/>
      <c r="C617" s="222" t="n"/>
      <c r="D617" s="220" t="n"/>
      <c r="E617" s="220" t="n"/>
      <c r="F617" s="181" t="n"/>
      <c r="G617" s="219" t="n"/>
      <c r="H617" s="220" t="n"/>
      <c r="I617" s="221" t="n"/>
    </row>
    <row r="618" ht="15" customHeight="1" s="131">
      <c r="A618" s="220" t="n"/>
      <c r="B618" s="222" t="n"/>
      <c r="C618" s="222" t="n"/>
      <c r="D618" s="220" t="n"/>
      <c r="E618" s="220" t="n"/>
      <c r="F618" s="181" t="n"/>
      <c r="G618" s="219" t="n"/>
      <c r="H618" s="220" t="n"/>
      <c r="I618" s="221" t="n"/>
    </row>
    <row r="619" ht="15" customHeight="1" s="131">
      <c r="A619" s="220" t="n"/>
      <c r="B619" s="222" t="n"/>
      <c r="C619" s="222" t="n"/>
      <c r="D619" s="220" t="n"/>
      <c r="E619" s="220" t="n"/>
      <c r="F619" s="181" t="n"/>
      <c r="G619" s="219" t="n"/>
      <c r="H619" s="220" t="n"/>
      <c r="I619" s="221" t="n"/>
    </row>
    <row r="620" ht="15" customHeight="1" s="131">
      <c r="A620" s="220" t="n"/>
      <c r="B620" s="222" t="n"/>
      <c r="C620" s="222" t="n"/>
      <c r="D620" s="220" t="n"/>
      <c r="E620" s="220" t="n"/>
      <c r="F620" s="181" t="n"/>
      <c r="G620" s="219" t="n"/>
      <c r="H620" s="220" t="n"/>
      <c r="I620" s="221" t="n"/>
    </row>
    <row r="621" ht="15" customHeight="1" s="131">
      <c r="A621" s="220" t="n"/>
      <c r="B621" s="222" t="n"/>
      <c r="C621" s="222" t="n"/>
      <c r="D621" s="220" t="n"/>
      <c r="E621" s="220" t="n"/>
      <c r="F621" s="181" t="n"/>
      <c r="G621" s="219" t="n"/>
      <c r="H621" s="220" t="n"/>
      <c r="I621" s="221" t="n"/>
    </row>
    <row r="622" ht="15" customHeight="1" s="131">
      <c r="A622" s="220" t="n"/>
      <c r="B622" s="222" t="n"/>
      <c r="C622" s="222" t="n"/>
      <c r="D622" s="220" t="n"/>
      <c r="E622" s="220" t="n"/>
      <c r="F622" s="181" t="n"/>
      <c r="G622" s="219" t="n"/>
      <c r="H622" s="220" t="n"/>
      <c r="I622" s="221" t="n"/>
    </row>
    <row r="623" ht="15" customHeight="1" s="131">
      <c r="A623" s="220" t="n"/>
      <c r="B623" s="222" t="n"/>
      <c r="C623" s="222" t="n"/>
      <c r="D623" s="220" t="n"/>
      <c r="E623" s="220" t="n"/>
      <c r="F623" s="181" t="n"/>
      <c r="G623" s="219" t="n"/>
      <c r="H623" s="220" t="n"/>
      <c r="I623" s="221" t="n"/>
    </row>
    <row r="624" ht="15" customHeight="1" s="131">
      <c r="A624" s="220" t="n"/>
      <c r="B624" s="222" t="n"/>
      <c r="C624" s="222" t="n"/>
      <c r="D624" s="220" t="n"/>
      <c r="E624" s="220" t="n"/>
      <c r="F624" s="181" t="n"/>
      <c r="G624" s="219" t="n"/>
      <c r="H624" s="220" t="n"/>
      <c r="I624" s="221" t="n"/>
    </row>
    <row r="625" ht="15" customHeight="1" s="131">
      <c r="A625" s="220" t="n"/>
      <c r="B625" s="222" t="n"/>
      <c r="C625" s="222" t="n"/>
      <c r="D625" s="220" t="n"/>
      <c r="E625" s="220" t="n"/>
      <c r="F625" s="181" t="n"/>
      <c r="G625" s="219" t="n"/>
      <c r="H625" s="220" t="n"/>
      <c r="I625" s="221" t="n"/>
    </row>
    <row r="626" ht="15" customHeight="1" s="131">
      <c r="A626" s="220" t="n"/>
      <c r="B626" s="222" t="n"/>
      <c r="C626" s="222" t="n"/>
      <c r="D626" s="220" t="n"/>
      <c r="E626" s="220" t="n"/>
      <c r="F626" s="181" t="n"/>
      <c r="G626" s="219" t="n"/>
      <c r="H626" s="220" t="n"/>
      <c r="I626" s="221" t="n"/>
    </row>
    <row r="627" ht="15" customHeight="1" s="131">
      <c r="A627" s="220" t="n"/>
      <c r="B627" s="222" t="n"/>
      <c r="C627" s="222" t="n"/>
      <c r="D627" s="220" t="n"/>
      <c r="E627" s="220" t="n"/>
      <c r="F627" s="181" t="n"/>
      <c r="G627" s="219" t="n"/>
      <c r="H627" s="220" t="n"/>
      <c r="I627" s="221" t="n"/>
    </row>
    <row r="628" ht="15" customHeight="1" s="131">
      <c r="A628" s="220" t="n"/>
      <c r="B628" s="222" t="n"/>
      <c r="C628" s="222" t="n"/>
      <c r="D628" s="220" t="n"/>
      <c r="E628" s="220" t="n"/>
      <c r="F628" s="181" t="n"/>
      <c r="G628" s="219" t="n"/>
      <c r="H628" s="220" t="n"/>
      <c r="I628" s="221" t="n"/>
    </row>
    <row r="629" ht="15" customHeight="1" s="131">
      <c r="A629" s="220" t="n"/>
      <c r="B629" s="222" t="n"/>
      <c r="C629" s="222" t="n"/>
      <c r="D629" s="220" t="n"/>
      <c r="E629" s="220" t="n"/>
      <c r="F629" s="181" t="n"/>
      <c r="G629" s="219" t="n"/>
      <c r="H629" s="220" t="n"/>
      <c r="I629" s="221" t="n"/>
    </row>
    <row r="630" ht="15" customHeight="1" s="131">
      <c r="A630" s="220" t="n"/>
      <c r="B630" s="222" t="n"/>
      <c r="C630" s="222" t="n"/>
      <c r="D630" s="220" t="n"/>
      <c r="E630" s="220" t="n"/>
      <c r="F630" s="181" t="n"/>
      <c r="G630" s="219" t="n"/>
      <c r="H630" s="220" t="n"/>
      <c r="I630" s="221" t="n"/>
    </row>
    <row r="631" ht="15" customHeight="1" s="131">
      <c r="A631" s="220" t="n"/>
      <c r="B631" s="222" t="n"/>
      <c r="C631" s="222" t="n"/>
      <c r="D631" s="220" t="n"/>
      <c r="E631" s="220" t="n"/>
      <c r="F631" s="181" t="n"/>
      <c r="G631" s="219" t="n"/>
      <c r="H631" s="220" t="n"/>
      <c r="I631" s="221" t="n"/>
    </row>
    <row r="632" ht="15" customHeight="1" s="131">
      <c r="A632" s="220" t="n"/>
      <c r="B632" s="222" t="n"/>
      <c r="C632" s="222" t="n"/>
      <c r="D632" s="220" t="n"/>
      <c r="E632" s="220" t="n"/>
      <c r="F632" s="181" t="n"/>
      <c r="G632" s="219" t="n"/>
      <c r="H632" s="220" t="n"/>
      <c r="I632" s="221" t="n"/>
    </row>
    <row r="633" ht="15" customHeight="1" s="131">
      <c r="A633" s="220" t="n"/>
      <c r="B633" s="222" t="n"/>
      <c r="C633" s="222" t="n"/>
      <c r="D633" s="220" t="n"/>
      <c r="E633" s="220" t="n"/>
      <c r="F633" s="181" t="n"/>
      <c r="G633" s="219" t="n"/>
      <c r="H633" s="220" t="n"/>
      <c r="I633" s="221" t="n"/>
    </row>
    <row r="634" ht="15" customHeight="1" s="131">
      <c r="A634" s="220" t="n"/>
      <c r="B634" s="222" t="n"/>
      <c r="C634" s="222" t="n"/>
      <c r="D634" s="220" t="n"/>
      <c r="E634" s="220" t="n"/>
      <c r="F634" s="181" t="n"/>
      <c r="G634" s="219" t="n"/>
      <c r="H634" s="220" t="n"/>
      <c r="I634" s="221" t="n"/>
    </row>
    <row r="635" ht="15" customHeight="1" s="131">
      <c r="A635" s="220" t="n"/>
      <c r="B635" s="222" t="n"/>
      <c r="C635" s="222" t="n"/>
      <c r="D635" s="220" t="n"/>
      <c r="E635" s="220" t="n"/>
      <c r="F635" s="181" t="n"/>
      <c r="G635" s="219" t="n"/>
      <c r="H635" s="220" t="n"/>
      <c r="I635" s="221" t="n"/>
    </row>
    <row r="636" ht="15" customHeight="1" s="131">
      <c r="A636" s="220" t="n"/>
      <c r="B636" s="222" t="n"/>
      <c r="C636" s="222" t="n"/>
      <c r="D636" s="220" t="n"/>
      <c r="E636" s="220" t="n"/>
      <c r="F636" s="181" t="n"/>
      <c r="G636" s="219" t="n"/>
      <c r="H636" s="220" t="n"/>
      <c r="I636" s="221" t="n"/>
    </row>
    <row r="637" ht="15" customHeight="1" s="131">
      <c r="A637" s="220" t="n"/>
      <c r="B637" s="222" t="n"/>
      <c r="C637" s="222" t="n"/>
      <c r="D637" s="220" t="n"/>
      <c r="E637" s="220" t="n"/>
      <c r="F637" s="181" t="n"/>
      <c r="G637" s="219" t="n"/>
      <c r="H637" s="220" t="n"/>
      <c r="I637" s="221" t="n"/>
    </row>
    <row r="638" ht="15" customHeight="1" s="131">
      <c r="A638" s="220" t="n"/>
      <c r="B638" s="222" t="n"/>
      <c r="C638" s="222" t="n"/>
      <c r="D638" s="220" t="n"/>
      <c r="E638" s="220" t="n"/>
      <c r="F638" s="181" t="n"/>
      <c r="G638" s="219" t="n"/>
      <c r="H638" s="220" t="n"/>
      <c r="I638" s="221" t="n"/>
    </row>
    <row r="639" ht="15" customHeight="1" s="131">
      <c r="A639" s="220" t="n"/>
      <c r="B639" s="222" t="n"/>
      <c r="C639" s="222" t="n"/>
      <c r="D639" s="220" t="n"/>
      <c r="E639" s="220" t="n"/>
      <c r="F639" s="181" t="n"/>
      <c r="G639" s="219" t="n"/>
      <c r="H639" s="220" t="n"/>
      <c r="I639" s="221" t="n"/>
    </row>
    <row r="640" ht="15" customHeight="1" s="131">
      <c r="A640" s="220" t="n"/>
      <c r="B640" s="222" t="n"/>
      <c r="C640" s="222" t="n"/>
      <c r="D640" s="220" t="n"/>
      <c r="E640" s="220" t="n"/>
      <c r="F640" s="181" t="n"/>
      <c r="G640" s="219" t="n"/>
      <c r="H640" s="220" t="n"/>
      <c r="I640" s="221" t="n"/>
    </row>
    <row r="641" ht="15" customHeight="1" s="131">
      <c r="A641" s="220" t="n"/>
      <c r="B641" s="222" t="n"/>
      <c r="C641" s="222" t="n"/>
      <c r="D641" s="220" t="n"/>
      <c r="E641" s="220" t="n"/>
      <c r="F641" s="181" t="n"/>
      <c r="G641" s="219" t="n"/>
      <c r="H641" s="220" t="n"/>
      <c r="I641" s="221" t="n"/>
    </row>
    <row r="642" ht="15" customHeight="1" s="131">
      <c r="A642" s="220" t="n"/>
      <c r="B642" s="222" t="n"/>
      <c r="C642" s="222" t="n"/>
      <c r="D642" s="220" t="n"/>
      <c r="E642" s="220" t="n"/>
      <c r="F642" s="181" t="n"/>
      <c r="G642" s="219" t="n"/>
      <c r="H642" s="220" t="n"/>
      <c r="I642" s="221" t="n"/>
    </row>
    <row r="643" ht="15" customHeight="1" s="131">
      <c r="A643" s="220" t="n"/>
      <c r="B643" s="222" t="n"/>
      <c r="C643" s="222" t="n"/>
      <c r="D643" s="220" t="n"/>
      <c r="E643" s="220" t="n"/>
      <c r="F643" s="181" t="n"/>
      <c r="G643" s="219" t="n"/>
      <c r="H643" s="220" t="n"/>
      <c r="I643" s="221" t="n"/>
    </row>
    <row r="644" ht="15" customHeight="1" s="131">
      <c r="A644" s="220" t="n"/>
      <c r="B644" s="222" t="n"/>
      <c r="C644" s="222" t="n"/>
      <c r="D644" s="220" t="n"/>
      <c r="E644" s="220" t="n"/>
      <c r="F644" s="181" t="n"/>
      <c r="G644" s="219" t="n"/>
      <c r="H644" s="220" t="n"/>
      <c r="I644" s="221" t="n"/>
    </row>
    <row r="645" ht="15" customHeight="1" s="131">
      <c r="A645" s="220" t="n"/>
      <c r="B645" s="222" t="n"/>
      <c r="C645" s="222" t="n"/>
      <c r="D645" s="220" t="n"/>
      <c r="E645" s="220" t="n"/>
      <c r="F645" s="181" t="n"/>
      <c r="G645" s="219" t="n"/>
      <c r="H645" s="220" t="n"/>
      <c r="I645" s="221" t="n"/>
    </row>
    <row r="646" ht="15" customHeight="1" s="131">
      <c r="A646" s="220" t="n"/>
      <c r="B646" s="222" t="n"/>
      <c r="C646" s="222" t="n"/>
      <c r="D646" s="220" t="n"/>
      <c r="E646" s="220" t="n"/>
      <c r="F646" s="181" t="n"/>
      <c r="G646" s="219" t="n"/>
      <c r="H646" s="220" t="n"/>
      <c r="I646" s="221" t="n"/>
    </row>
    <row r="647" ht="15" customHeight="1" s="131">
      <c r="A647" s="220" t="n"/>
      <c r="B647" s="222" t="n"/>
      <c r="C647" s="222" t="n"/>
      <c r="D647" s="220" t="n"/>
      <c r="E647" s="220" t="n"/>
      <c r="F647" s="181" t="n"/>
      <c r="G647" s="219" t="n"/>
      <c r="H647" s="220" t="n"/>
      <c r="I647" s="221" t="n"/>
    </row>
    <row r="648" ht="15" customHeight="1" s="131">
      <c r="A648" s="220" t="n"/>
      <c r="B648" s="222" t="n"/>
      <c r="C648" s="222" t="n"/>
      <c r="D648" s="220" t="n"/>
      <c r="E648" s="220" t="n"/>
      <c r="F648" s="181" t="n"/>
      <c r="G648" s="219" t="n"/>
      <c r="H648" s="220" t="n"/>
      <c r="I648" s="221" t="n"/>
    </row>
    <row r="649" ht="15" customHeight="1" s="131">
      <c r="A649" s="220" t="n"/>
      <c r="B649" s="222" t="n"/>
      <c r="C649" s="222" t="n"/>
      <c r="D649" s="220" t="n"/>
      <c r="E649" s="220" t="n"/>
      <c r="F649" s="181" t="n"/>
      <c r="G649" s="219" t="n"/>
      <c r="H649" s="220" t="n"/>
      <c r="I649" s="221" t="n"/>
    </row>
    <row r="650" ht="15" customHeight="1" s="131">
      <c r="A650" s="220" t="n"/>
      <c r="B650" s="222" t="n"/>
      <c r="C650" s="222" t="n"/>
      <c r="D650" s="220" t="n"/>
      <c r="E650" s="220" t="n"/>
      <c r="F650" s="181" t="n"/>
      <c r="G650" s="219" t="n"/>
      <c r="H650" s="220" t="n"/>
      <c r="I650" s="221" t="n"/>
    </row>
    <row r="651" ht="15" customHeight="1" s="131">
      <c r="A651" s="220" t="n"/>
      <c r="B651" s="222" t="n"/>
      <c r="C651" s="222" t="n"/>
      <c r="D651" s="220" t="n"/>
      <c r="E651" s="220" t="n"/>
      <c r="F651" s="181" t="n"/>
      <c r="G651" s="219" t="n"/>
      <c r="H651" s="220" t="n"/>
      <c r="I651" s="221" t="n"/>
    </row>
    <row r="652" ht="15" customHeight="1" s="131">
      <c r="A652" s="220" t="n"/>
      <c r="B652" s="222" t="n"/>
      <c r="C652" s="222" t="n"/>
      <c r="D652" s="220" t="n"/>
      <c r="E652" s="220" t="n"/>
      <c r="F652" s="181" t="n"/>
      <c r="G652" s="219" t="n"/>
      <c r="H652" s="220" t="n"/>
      <c r="I652" s="221" t="n"/>
    </row>
    <row r="653" ht="15" customHeight="1" s="131">
      <c r="A653" s="220" t="n"/>
      <c r="B653" s="222" t="n"/>
      <c r="C653" s="222" t="n"/>
      <c r="D653" s="220" t="n"/>
      <c r="E653" s="220" t="n"/>
      <c r="F653" s="181" t="n"/>
      <c r="G653" s="219" t="n"/>
      <c r="H653" s="220" t="n"/>
      <c r="I653" s="221" t="n"/>
    </row>
    <row r="654" ht="15" customHeight="1" s="131">
      <c r="A654" s="220" t="n"/>
      <c r="B654" s="222" t="n"/>
      <c r="C654" s="222" t="n"/>
      <c r="D654" s="220" t="n"/>
      <c r="E654" s="220" t="n"/>
      <c r="F654" s="181" t="n"/>
      <c r="G654" s="219" t="n"/>
      <c r="H654" s="220" t="n"/>
      <c r="I654" s="221" t="n"/>
    </row>
    <row r="655" ht="15" customHeight="1" s="131">
      <c r="A655" s="220" t="n"/>
      <c r="B655" s="222" t="n"/>
      <c r="C655" s="222" t="n"/>
      <c r="D655" s="220" t="n"/>
      <c r="E655" s="220" t="n"/>
      <c r="F655" s="181" t="n"/>
      <c r="G655" s="219" t="n"/>
      <c r="H655" s="220" t="n"/>
      <c r="I655" s="221" t="n"/>
    </row>
    <row r="656" ht="15" customHeight="1" s="131">
      <c r="A656" s="220" t="n"/>
      <c r="B656" s="222" t="n"/>
      <c r="C656" s="222" t="n"/>
      <c r="D656" s="220" t="n"/>
      <c r="E656" s="220" t="n"/>
      <c r="F656" s="181" t="n"/>
      <c r="G656" s="219" t="n"/>
      <c r="H656" s="220" t="n"/>
      <c r="I656" s="221" t="n"/>
    </row>
    <row r="657" ht="15" customHeight="1" s="131">
      <c r="A657" s="220" t="n"/>
      <c r="B657" s="222" t="n"/>
      <c r="C657" s="222" t="n"/>
      <c r="D657" s="220" t="n"/>
      <c r="E657" s="220" t="n"/>
      <c r="F657" s="181" t="n"/>
      <c r="G657" s="219" t="n"/>
      <c r="H657" s="220" t="n"/>
      <c r="I657" s="221" t="n"/>
    </row>
    <row r="658" ht="15" customHeight="1" s="131">
      <c r="A658" s="220" t="n"/>
      <c r="B658" s="222" t="n"/>
      <c r="C658" s="222" t="n"/>
      <c r="D658" s="220" t="n"/>
      <c r="E658" s="220" t="n"/>
      <c r="F658" s="181" t="n"/>
      <c r="G658" s="219" t="n"/>
      <c r="H658" s="220" t="n"/>
      <c r="I658" s="221" t="n"/>
    </row>
    <row r="659" ht="15" customHeight="1" s="131">
      <c r="A659" s="220" t="n"/>
      <c r="B659" s="222" t="n"/>
      <c r="C659" s="222" t="n"/>
      <c r="D659" s="220" t="n"/>
      <c r="E659" s="220" t="n"/>
      <c r="F659" s="181" t="n"/>
      <c r="G659" s="219" t="n"/>
      <c r="H659" s="220" t="n"/>
      <c r="I659" s="221" t="n"/>
    </row>
    <row r="660" ht="15" customHeight="1" s="131">
      <c r="A660" s="220" t="n"/>
      <c r="B660" s="222" t="n"/>
      <c r="C660" s="222" t="n"/>
      <c r="D660" s="220" t="n"/>
      <c r="E660" s="220" t="n"/>
      <c r="F660" s="181" t="n"/>
      <c r="G660" s="219" t="n"/>
      <c r="H660" s="220" t="n"/>
      <c r="I660" s="221" t="n"/>
    </row>
    <row r="661" ht="15" customHeight="1" s="131">
      <c r="A661" s="220" t="n"/>
      <c r="B661" s="222" t="n"/>
      <c r="C661" s="222" t="n"/>
      <c r="D661" s="220" t="n"/>
      <c r="E661" s="220" t="n"/>
      <c r="F661" s="181" t="n"/>
      <c r="G661" s="219" t="n"/>
      <c r="H661" s="220" t="n"/>
      <c r="I661" s="221" t="n"/>
    </row>
    <row r="662" ht="15" customHeight="1" s="131">
      <c r="A662" s="220" t="n"/>
      <c r="B662" s="222" t="n"/>
      <c r="C662" s="222" t="n"/>
      <c r="D662" s="220" t="n"/>
      <c r="E662" s="220" t="n"/>
      <c r="F662" s="181" t="n"/>
      <c r="G662" s="219" t="n"/>
      <c r="H662" s="220" t="n"/>
      <c r="I662" s="221" t="n"/>
    </row>
    <row r="663" ht="15" customHeight="1" s="131">
      <c r="A663" s="220" t="n"/>
      <c r="B663" s="222" t="n"/>
      <c r="C663" s="222" t="n"/>
      <c r="D663" s="220" t="n"/>
      <c r="E663" s="220" t="n"/>
      <c r="F663" s="181" t="n"/>
      <c r="G663" s="219" t="n"/>
      <c r="H663" s="220" t="n"/>
      <c r="I663" s="221" t="n"/>
    </row>
    <row r="664" ht="15" customHeight="1" s="131">
      <c r="A664" s="220" t="n"/>
      <c r="B664" s="222" t="n"/>
      <c r="C664" s="222" t="n"/>
      <c r="D664" s="220" t="n"/>
      <c r="E664" s="220" t="n"/>
      <c r="F664" s="181" t="n"/>
      <c r="G664" s="219" t="n"/>
      <c r="H664" s="220" t="n"/>
      <c r="I664" s="221" t="n"/>
    </row>
    <row r="665" ht="15" customHeight="1" s="131">
      <c r="A665" s="220" t="n"/>
      <c r="B665" s="222" t="n"/>
      <c r="C665" s="222" t="n"/>
      <c r="D665" s="220" t="n"/>
      <c r="E665" s="220" t="n"/>
      <c r="F665" s="181" t="n"/>
      <c r="G665" s="219" t="n"/>
      <c r="H665" s="220" t="n"/>
      <c r="I665" s="221" t="n"/>
    </row>
    <row r="666" ht="15" customHeight="1" s="131">
      <c r="A666" s="220" t="n"/>
      <c r="B666" s="222" t="n"/>
      <c r="C666" s="222" t="n"/>
      <c r="D666" s="220" t="n"/>
      <c r="E666" s="220" t="n"/>
      <c r="F666" s="181" t="n"/>
      <c r="G666" s="219" t="n"/>
      <c r="H666" s="220" t="n"/>
      <c r="I666" s="221" t="n"/>
    </row>
    <row r="667" ht="15" customHeight="1" s="131">
      <c r="A667" s="220" t="n"/>
      <c r="B667" s="222" t="n"/>
      <c r="C667" s="222" t="n"/>
      <c r="D667" s="220" t="n"/>
      <c r="E667" s="220" t="n"/>
      <c r="F667" s="181" t="n"/>
      <c r="G667" s="219" t="n"/>
      <c r="H667" s="220" t="n"/>
      <c r="I667" s="221" t="n"/>
    </row>
    <row r="668" ht="15" customHeight="1" s="131">
      <c r="A668" s="220" t="n"/>
      <c r="B668" s="222" t="n"/>
      <c r="C668" s="222" t="n"/>
      <c r="D668" s="220" t="n"/>
      <c r="E668" s="220" t="n"/>
      <c r="F668" s="181" t="n"/>
      <c r="G668" s="219" t="n"/>
      <c r="H668" s="220" t="n"/>
      <c r="I668" s="221" t="n"/>
    </row>
    <row r="669" ht="15" customHeight="1" s="131">
      <c r="A669" s="220" t="n"/>
      <c r="B669" s="222" t="n"/>
      <c r="C669" s="222" t="n"/>
      <c r="D669" s="220" t="n"/>
      <c r="E669" s="220" t="n"/>
      <c r="F669" s="181" t="n"/>
      <c r="G669" s="219" t="n"/>
      <c r="H669" s="220" t="n"/>
      <c r="I669" s="221" t="n"/>
    </row>
    <row r="670" ht="15" customHeight="1" s="131">
      <c r="A670" s="220" t="n"/>
      <c r="B670" s="222" t="n"/>
      <c r="C670" s="222" t="n"/>
      <c r="D670" s="220" t="n"/>
      <c r="E670" s="220" t="n"/>
      <c r="F670" s="181" t="n"/>
      <c r="G670" s="219" t="n"/>
      <c r="H670" s="220" t="n"/>
      <c r="I670" s="221" t="n"/>
    </row>
    <row r="671" ht="15" customHeight="1" s="131">
      <c r="A671" s="220" t="n"/>
      <c r="B671" s="222" t="n"/>
      <c r="C671" s="222" t="n"/>
      <c r="D671" s="220" t="n"/>
      <c r="E671" s="220" t="n"/>
      <c r="F671" s="181" t="n"/>
      <c r="G671" s="219" t="n"/>
      <c r="H671" s="220" t="n"/>
      <c r="I671" s="221" t="n"/>
    </row>
    <row r="672" ht="15" customHeight="1" s="131">
      <c r="A672" s="220" t="n"/>
      <c r="B672" s="222" t="n"/>
      <c r="C672" s="222" t="n"/>
      <c r="D672" s="220" t="n"/>
      <c r="E672" s="220" t="n"/>
      <c r="F672" s="181" t="n"/>
      <c r="G672" s="219" t="n"/>
      <c r="H672" s="220" t="n"/>
      <c r="I672" s="221" t="n"/>
    </row>
    <row r="673" ht="15" customHeight="1" s="131">
      <c r="A673" s="220" t="n"/>
      <c r="B673" s="222" t="n"/>
      <c r="C673" s="222" t="n"/>
      <c r="D673" s="220" t="n"/>
      <c r="E673" s="220" t="n"/>
      <c r="F673" s="181" t="n"/>
      <c r="G673" s="219" t="n"/>
      <c r="H673" s="220" t="n"/>
      <c r="I673" s="221" t="n"/>
    </row>
    <row r="674" ht="15" customHeight="1" s="131">
      <c r="A674" s="220" t="n"/>
      <c r="B674" s="222" t="n"/>
      <c r="C674" s="222" t="n"/>
      <c r="D674" s="220" t="n"/>
      <c r="E674" s="220" t="n"/>
      <c r="F674" s="181" t="n"/>
      <c r="G674" s="219" t="n"/>
      <c r="H674" s="220" t="n"/>
      <c r="I674" s="221" t="n"/>
    </row>
    <row r="675" ht="15" customHeight="1" s="131">
      <c r="A675" s="220" t="n"/>
      <c r="B675" s="222" t="n"/>
      <c r="C675" s="222" t="n"/>
      <c r="D675" s="220" t="n"/>
      <c r="E675" s="220" t="n"/>
      <c r="F675" s="181" t="n"/>
      <c r="G675" s="219" t="n"/>
      <c r="H675" s="220" t="n"/>
      <c r="I675" s="221" t="n"/>
    </row>
    <row r="676" ht="15" customHeight="1" s="131">
      <c r="A676" s="220" t="n"/>
      <c r="B676" s="222" t="n"/>
      <c r="C676" s="222" t="n"/>
      <c r="D676" s="220" t="n"/>
      <c r="E676" s="220" t="n"/>
      <c r="F676" s="181" t="n"/>
      <c r="G676" s="219" t="n"/>
      <c r="H676" s="220" t="n"/>
      <c r="I676" s="221" t="n"/>
    </row>
    <row r="677" ht="15" customHeight="1" s="131">
      <c r="A677" s="220" t="n"/>
      <c r="B677" s="222" t="n"/>
      <c r="C677" s="222" t="n"/>
      <c r="D677" s="220" t="n"/>
      <c r="E677" s="220" t="n"/>
      <c r="F677" s="181" t="n"/>
      <c r="G677" s="219" t="n"/>
      <c r="H677" s="220" t="n"/>
      <c r="I677" s="221" t="n"/>
    </row>
    <row r="678" ht="15" customHeight="1" s="131">
      <c r="A678" s="220" t="n"/>
      <c r="B678" s="222" t="n"/>
      <c r="C678" s="222" t="n"/>
      <c r="D678" s="220" t="n"/>
      <c r="E678" s="220" t="n"/>
      <c r="F678" s="181" t="n"/>
      <c r="G678" s="219" t="n"/>
      <c r="H678" s="220" t="n"/>
      <c r="I678" s="221" t="n"/>
    </row>
    <row r="679" ht="15" customHeight="1" s="131">
      <c r="A679" s="220" t="n"/>
      <c r="B679" s="222" t="n"/>
      <c r="C679" s="222" t="n"/>
      <c r="D679" s="220" t="n"/>
      <c r="E679" s="220" t="n"/>
      <c r="F679" s="181" t="n"/>
      <c r="G679" s="219" t="n"/>
      <c r="H679" s="220" t="n"/>
      <c r="I679" s="221" t="n"/>
    </row>
    <row r="680" ht="15" customHeight="1" s="131">
      <c r="A680" s="220" t="n"/>
      <c r="B680" s="222" t="n"/>
      <c r="C680" s="222" t="n"/>
      <c r="D680" s="220" t="n"/>
      <c r="E680" s="220" t="n"/>
      <c r="F680" s="181" t="n"/>
      <c r="G680" s="219" t="n"/>
      <c r="H680" s="220" t="n"/>
      <c r="I680" s="221" t="n"/>
    </row>
    <row r="681" ht="15" customHeight="1" s="131">
      <c r="A681" s="220" t="n"/>
      <c r="B681" s="222" t="n"/>
      <c r="C681" s="222" t="n"/>
      <c r="D681" s="220" t="n"/>
      <c r="E681" s="220" t="n"/>
      <c r="F681" s="181" t="n"/>
      <c r="G681" s="219" t="n"/>
      <c r="H681" s="220" t="n"/>
      <c r="I681" s="221" t="n"/>
    </row>
    <row r="682" ht="15" customHeight="1" s="131">
      <c r="A682" s="220" t="n"/>
      <c r="B682" s="222" t="n"/>
      <c r="C682" s="222" t="n"/>
      <c r="D682" s="220" t="n"/>
      <c r="E682" s="220" t="n"/>
      <c r="F682" s="181" t="n"/>
      <c r="G682" s="219" t="n"/>
      <c r="H682" s="220" t="n"/>
      <c r="I682" s="221" t="n"/>
    </row>
    <row r="683" ht="15" customHeight="1" s="131">
      <c r="A683" s="220" t="n"/>
      <c r="B683" s="222" t="n"/>
      <c r="C683" s="222" t="n"/>
      <c r="D683" s="220" t="n"/>
      <c r="E683" s="220" t="n"/>
      <c r="F683" s="181" t="n"/>
      <c r="G683" s="219" t="n"/>
      <c r="H683" s="220" t="n"/>
      <c r="I683" s="221" t="n"/>
    </row>
    <row r="684" ht="15" customHeight="1" s="131">
      <c r="A684" s="220" t="n"/>
      <c r="B684" s="222" t="n"/>
      <c r="C684" s="222" t="n"/>
      <c r="D684" s="220" t="n"/>
      <c r="E684" s="220" t="n"/>
      <c r="F684" s="181" t="n"/>
      <c r="G684" s="219" t="n"/>
      <c r="H684" s="220" t="n"/>
      <c r="I684" s="221" t="n"/>
    </row>
    <row r="685" ht="15" customHeight="1" s="131">
      <c r="A685" s="220" t="n"/>
      <c r="B685" s="222" t="n"/>
      <c r="C685" s="222" t="n"/>
      <c r="D685" s="220" t="n"/>
      <c r="E685" s="220" t="n"/>
      <c r="F685" s="181" t="n"/>
      <c r="G685" s="219" t="n"/>
      <c r="H685" s="220" t="n"/>
      <c r="I685" s="221" t="n"/>
    </row>
    <row r="686" ht="15" customHeight="1" s="131">
      <c r="A686" s="220" t="n"/>
      <c r="B686" s="222" t="n"/>
      <c r="C686" s="222" t="n"/>
      <c r="D686" s="220" t="n"/>
      <c r="E686" s="220" t="n"/>
      <c r="F686" s="181" t="n"/>
      <c r="G686" s="219" t="n"/>
      <c r="H686" s="220" t="n"/>
      <c r="I686" s="221" t="n"/>
    </row>
    <row r="687" ht="15" customHeight="1" s="131">
      <c r="A687" s="220" t="n"/>
      <c r="B687" s="222" t="n"/>
      <c r="C687" s="222" t="n"/>
      <c r="D687" s="220" t="n"/>
      <c r="E687" s="220" t="n"/>
      <c r="F687" s="181" t="n"/>
      <c r="G687" s="219" t="n"/>
      <c r="H687" s="220" t="n"/>
      <c r="I687" s="221" t="n"/>
    </row>
    <row r="688" ht="15" customHeight="1" s="131">
      <c r="A688" s="220" t="n"/>
      <c r="B688" s="222" t="n"/>
      <c r="C688" s="222" t="n"/>
      <c r="D688" s="220" t="n"/>
      <c r="E688" s="220" t="n"/>
      <c r="F688" s="181" t="n"/>
      <c r="G688" s="219" t="n"/>
      <c r="H688" s="220" t="n"/>
      <c r="I688" s="221" t="n"/>
    </row>
    <row r="689" ht="15" customHeight="1" s="131">
      <c r="A689" s="220" t="n"/>
      <c r="B689" s="222" t="n"/>
      <c r="C689" s="222" t="n"/>
      <c r="D689" s="220" t="n"/>
      <c r="E689" s="220" t="n"/>
      <c r="F689" s="181" t="n"/>
      <c r="G689" s="219" t="n"/>
      <c r="H689" s="220" t="n"/>
      <c r="I689" s="221" t="n"/>
    </row>
    <row r="690" ht="15" customHeight="1" s="131">
      <c r="A690" s="220" t="n"/>
      <c r="B690" s="222" t="n"/>
      <c r="C690" s="222" t="n"/>
      <c r="D690" s="220" t="n"/>
      <c r="E690" s="220" t="n"/>
      <c r="F690" s="181" t="n"/>
      <c r="G690" s="219" t="n"/>
      <c r="H690" s="220" t="n"/>
      <c r="I690" s="221" t="n"/>
    </row>
    <row r="691" ht="15" customHeight="1" s="131">
      <c r="A691" s="220" t="n"/>
      <c r="B691" s="222" t="n"/>
      <c r="C691" s="222" t="n"/>
      <c r="D691" s="220" t="n"/>
      <c r="E691" s="220" t="n"/>
      <c r="F691" s="181" t="n"/>
      <c r="G691" s="219" t="n"/>
      <c r="H691" s="220" t="n"/>
      <c r="I691" s="221" t="n"/>
    </row>
    <row r="692" ht="15" customHeight="1" s="131">
      <c r="A692" s="220" t="n"/>
      <c r="B692" s="222" t="n"/>
      <c r="C692" s="222" t="n"/>
      <c r="D692" s="220" t="n"/>
      <c r="E692" s="220" t="n"/>
      <c r="F692" s="181" t="n"/>
      <c r="G692" s="219" t="n"/>
      <c r="H692" s="220" t="n"/>
      <c r="I692" s="221" t="n"/>
    </row>
    <row r="693" ht="15" customHeight="1" s="131">
      <c r="A693" s="220" t="n"/>
      <c r="B693" s="222" t="n"/>
      <c r="C693" s="222" t="n"/>
      <c r="D693" s="220" t="n"/>
      <c r="E693" s="220" t="n"/>
      <c r="F693" s="181" t="n"/>
      <c r="G693" s="219" t="n"/>
      <c r="H693" s="220" t="n"/>
      <c r="I693" s="221" t="n"/>
    </row>
    <row r="694" ht="15" customHeight="1" s="131">
      <c r="A694" s="220" t="n"/>
      <c r="B694" s="222" t="n"/>
      <c r="C694" s="222" t="n"/>
      <c r="D694" s="220" t="n"/>
      <c r="E694" s="220" t="n"/>
      <c r="F694" s="181" t="n"/>
      <c r="G694" s="219" t="n"/>
      <c r="H694" s="220" t="n"/>
      <c r="I694" s="221" t="n"/>
    </row>
    <row r="695" ht="15" customHeight="1" s="131">
      <c r="A695" s="220" t="n"/>
      <c r="B695" s="222" t="n"/>
      <c r="C695" s="222" t="n"/>
      <c r="D695" s="220" t="n"/>
      <c r="E695" s="220" t="n"/>
      <c r="F695" s="181" t="n"/>
      <c r="G695" s="219" t="n"/>
      <c r="H695" s="220" t="n"/>
      <c r="I695" s="221" t="n"/>
    </row>
    <row r="696" ht="15" customHeight="1" s="131">
      <c r="A696" s="220" t="n"/>
      <c r="B696" s="222" t="n"/>
      <c r="C696" s="222" t="n"/>
      <c r="D696" s="220" t="n"/>
      <c r="E696" s="220" t="n"/>
      <c r="F696" s="181" t="n"/>
      <c r="G696" s="219" t="n"/>
      <c r="H696" s="220" t="n"/>
      <c r="I696" s="221" t="n"/>
    </row>
    <row r="697" ht="15" customHeight="1" s="131">
      <c r="A697" s="220" t="n"/>
      <c r="B697" s="222" t="n"/>
      <c r="C697" s="222" t="n"/>
      <c r="D697" s="220" t="n"/>
      <c r="E697" s="220" t="n"/>
      <c r="F697" s="181" t="n"/>
      <c r="G697" s="219" t="n"/>
      <c r="H697" s="220" t="n"/>
      <c r="I697" s="221" t="n"/>
    </row>
    <row r="698" ht="15" customHeight="1" s="131">
      <c r="A698" s="220" t="n"/>
      <c r="B698" s="222" t="n"/>
      <c r="C698" s="222" t="n"/>
      <c r="D698" s="220" t="n"/>
      <c r="E698" s="220" t="n"/>
      <c r="F698" s="181" t="n"/>
      <c r="G698" s="219" t="n"/>
      <c r="H698" s="220" t="n"/>
      <c r="I698" s="221" t="n"/>
    </row>
    <row r="699" ht="15" customHeight="1" s="131">
      <c r="A699" s="220" t="n"/>
      <c r="B699" s="222" t="n"/>
      <c r="C699" s="222" t="n"/>
      <c r="D699" s="220" t="n"/>
      <c r="E699" s="220" t="n"/>
      <c r="F699" s="181" t="n"/>
      <c r="G699" s="219" t="n"/>
      <c r="H699" s="220" t="n"/>
      <c r="I699" s="221" t="n"/>
    </row>
    <row r="700" ht="15" customHeight="1" s="131">
      <c r="A700" s="220" t="n"/>
      <c r="B700" s="222" t="n"/>
      <c r="C700" s="222" t="n"/>
      <c r="D700" s="220" t="n"/>
      <c r="E700" s="220" t="n"/>
      <c r="F700" s="181" t="n"/>
      <c r="G700" s="219" t="n"/>
      <c r="H700" s="220" t="n"/>
      <c r="I700" s="221" t="n"/>
    </row>
    <row r="701" ht="15" customHeight="1" s="131">
      <c r="A701" s="220" t="n"/>
      <c r="B701" s="222" t="n"/>
      <c r="C701" s="222" t="n"/>
      <c r="D701" s="220" t="n"/>
      <c r="E701" s="220" t="n"/>
      <c r="F701" s="181" t="n"/>
      <c r="G701" s="219" t="n"/>
      <c r="H701" s="220" t="n"/>
      <c r="I701" s="221" t="n"/>
    </row>
    <row r="702" ht="15" customHeight="1" s="131">
      <c r="A702" s="220" t="n"/>
      <c r="B702" s="222" t="n"/>
      <c r="C702" s="222" t="n"/>
      <c r="D702" s="220" t="n"/>
      <c r="E702" s="220" t="n"/>
      <c r="F702" s="181" t="n"/>
      <c r="G702" s="219" t="n"/>
      <c r="H702" s="220" t="n"/>
      <c r="I702" s="221" t="n"/>
    </row>
    <row r="703" ht="15" customHeight="1" s="131">
      <c r="A703" s="220" t="n"/>
      <c r="B703" s="222" t="n"/>
      <c r="C703" s="222" t="n"/>
      <c r="D703" s="220" t="n"/>
      <c r="E703" s="220" t="n"/>
      <c r="F703" s="181" t="n"/>
      <c r="G703" s="219" t="n"/>
      <c r="H703" s="220" t="n"/>
      <c r="I703" s="221" t="n"/>
    </row>
    <row r="704" ht="15" customHeight="1" s="131">
      <c r="A704" s="220" t="n"/>
      <c r="B704" s="222" t="n"/>
      <c r="C704" s="222" t="n"/>
      <c r="D704" s="220" t="n"/>
      <c r="E704" s="220" t="n"/>
      <c r="F704" s="181" t="n"/>
      <c r="G704" s="219" t="n"/>
      <c r="H704" s="220" t="n"/>
      <c r="I704" s="221" t="n"/>
    </row>
    <row r="705" ht="15" customHeight="1" s="131">
      <c r="A705" s="220" t="n"/>
      <c r="B705" s="222" t="n"/>
      <c r="C705" s="222" t="n"/>
      <c r="D705" s="220" t="n"/>
      <c r="E705" s="220" t="n"/>
      <c r="F705" s="181" t="n"/>
      <c r="G705" s="219" t="n"/>
      <c r="H705" s="220" t="n"/>
      <c r="I705" s="221" t="n"/>
    </row>
    <row r="706" ht="15" customHeight="1" s="131">
      <c r="A706" s="220" t="n"/>
      <c r="B706" s="222" t="n"/>
      <c r="C706" s="222" t="n"/>
      <c r="D706" s="220" t="n"/>
      <c r="E706" s="220" t="n"/>
      <c r="F706" s="181" t="n"/>
      <c r="G706" s="219" t="n"/>
      <c r="H706" s="220" t="n"/>
      <c r="I706" s="221" t="n"/>
    </row>
    <row r="707" ht="15" customHeight="1" s="131">
      <c r="A707" s="220" t="n"/>
      <c r="B707" s="222" t="n"/>
      <c r="C707" s="222" t="n"/>
      <c r="D707" s="220" t="n"/>
      <c r="E707" s="220" t="n"/>
      <c r="F707" s="181" t="n"/>
      <c r="G707" s="219" t="n"/>
      <c r="H707" s="220" t="n"/>
      <c r="I707" s="221" t="n"/>
    </row>
    <row r="708" ht="15" customHeight="1" s="131">
      <c r="A708" s="220" t="n"/>
      <c r="B708" s="222" t="n"/>
      <c r="C708" s="222" t="n"/>
      <c r="D708" s="220" t="n"/>
      <c r="E708" s="220" t="n"/>
      <c r="F708" s="181" t="n"/>
      <c r="G708" s="219" t="n"/>
      <c r="H708" s="220" t="n"/>
      <c r="I708" s="221" t="n"/>
    </row>
    <row r="709" ht="15" customHeight="1" s="131">
      <c r="A709" s="220" t="n"/>
      <c r="B709" s="222" t="n"/>
      <c r="C709" s="222" t="n"/>
      <c r="D709" s="220" t="n"/>
      <c r="E709" s="220" t="n"/>
      <c r="F709" s="181" t="n"/>
      <c r="G709" s="219" t="n"/>
      <c r="H709" s="220" t="n"/>
      <c r="I709" s="221" t="n"/>
    </row>
    <row r="710" ht="15" customHeight="1" s="131">
      <c r="A710" s="220" t="n"/>
      <c r="B710" s="222" t="n"/>
      <c r="C710" s="222" t="n"/>
      <c r="D710" s="220" t="n"/>
      <c r="E710" s="220" t="n"/>
      <c r="F710" s="181" t="n"/>
      <c r="G710" s="219" t="n"/>
      <c r="H710" s="220" t="n"/>
      <c r="I710" s="221" t="n"/>
    </row>
    <row r="711" ht="15" customHeight="1" s="131">
      <c r="A711" s="220" t="n"/>
      <c r="B711" s="222" t="n"/>
      <c r="C711" s="222" t="n"/>
      <c r="D711" s="220" t="n"/>
      <c r="E711" s="220" t="n"/>
      <c r="F711" s="181" t="n"/>
      <c r="G711" s="219" t="n"/>
      <c r="H711" s="220" t="n"/>
      <c r="I711" s="221" t="n"/>
    </row>
    <row r="712" ht="15" customHeight="1" s="131">
      <c r="A712" s="220" t="n"/>
      <c r="B712" s="222" t="n"/>
      <c r="C712" s="222" t="n"/>
      <c r="D712" s="220" t="n"/>
      <c r="E712" s="220" t="n"/>
      <c r="F712" s="181" t="n"/>
      <c r="G712" s="219" t="n"/>
      <c r="H712" s="220" t="n"/>
      <c r="I712" s="221" t="n"/>
    </row>
    <row r="713" ht="15" customHeight="1" s="131">
      <c r="A713" s="220" t="n"/>
      <c r="B713" s="222" t="n"/>
      <c r="C713" s="222" t="n"/>
      <c r="D713" s="220" t="n"/>
      <c r="E713" s="220" t="n"/>
      <c r="F713" s="181" t="n"/>
      <c r="G713" s="219" t="n"/>
      <c r="H713" s="220" t="n"/>
      <c r="I713" s="221" t="n"/>
    </row>
    <row r="714" ht="15" customHeight="1" s="131">
      <c r="A714" s="220" t="n"/>
      <c r="B714" s="222" t="n"/>
      <c r="C714" s="222" t="n"/>
      <c r="D714" s="220" t="n"/>
      <c r="E714" s="220" t="n"/>
      <c r="F714" s="181" t="n"/>
      <c r="G714" s="219" t="n"/>
      <c r="H714" s="220" t="n"/>
      <c r="I714" s="221" t="n"/>
    </row>
    <row r="715" ht="15" customHeight="1" s="131">
      <c r="A715" s="220" t="n"/>
      <c r="B715" s="222" t="n"/>
      <c r="C715" s="222" t="n"/>
      <c r="D715" s="220" t="n"/>
      <c r="E715" s="220" t="n"/>
      <c r="F715" s="181" t="n"/>
      <c r="G715" s="219" t="n"/>
      <c r="H715" s="220" t="n"/>
      <c r="I715" s="221" t="n"/>
    </row>
    <row r="716" ht="15" customHeight="1" s="131">
      <c r="A716" s="220" t="n"/>
      <c r="B716" s="222" t="n"/>
      <c r="C716" s="222" t="n"/>
      <c r="D716" s="220" t="n"/>
      <c r="E716" s="220" t="n"/>
      <c r="F716" s="181" t="n"/>
      <c r="G716" s="219" t="n"/>
      <c r="H716" s="220" t="n"/>
      <c r="I716" s="221" t="n"/>
    </row>
    <row r="717" ht="15" customHeight="1" s="131">
      <c r="A717" s="220" t="n"/>
      <c r="B717" s="222" t="n"/>
      <c r="C717" s="222" t="n"/>
      <c r="D717" s="220" t="n"/>
      <c r="E717" s="220" t="n"/>
      <c r="F717" s="181" t="n"/>
      <c r="G717" s="219" t="n"/>
      <c r="H717" s="220" t="n"/>
      <c r="I717" s="221" t="n"/>
    </row>
    <row r="718" ht="15" customHeight="1" s="131">
      <c r="A718" s="220" t="n"/>
      <c r="B718" s="222" t="n"/>
      <c r="C718" s="222" t="n"/>
      <c r="D718" s="220" t="n"/>
      <c r="E718" s="220" t="n"/>
      <c r="F718" s="181" t="n"/>
      <c r="G718" s="219" t="n"/>
      <c r="H718" s="220" t="n"/>
      <c r="I718" s="221" t="n"/>
    </row>
    <row r="719" ht="15" customHeight="1" s="131">
      <c r="A719" s="220" t="n"/>
      <c r="B719" s="222" t="n"/>
      <c r="C719" s="222" t="n"/>
      <c r="D719" s="220" t="n"/>
      <c r="E719" s="220" t="n"/>
      <c r="F719" s="181" t="n"/>
      <c r="G719" s="219" t="n"/>
      <c r="H719" s="220" t="n"/>
      <c r="I719" s="221" t="n"/>
    </row>
    <row r="720" ht="15" customHeight="1" s="131">
      <c r="A720" s="220" t="n"/>
      <c r="B720" s="222" t="n"/>
      <c r="C720" s="222" t="n"/>
      <c r="D720" s="220" t="n"/>
      <c r="E720" s="220" t="n"/>
      <c r="F720" s="181" t="n"/>
      <c r="G720" s="219" t="n"/>
      <c r="H720" s="220" t="n"/>
      <c r="I720" s="221" t="n"/>
    </row>
    <row r="721" ht="15" customHeight="1" s="131">
      <c r="A721" s="220" t="n"/>
      <c r="B721" s="222" t="n"/>
      <c r="C721" s="222" t="n"/>
      <c r="D721" s="220" t="n"/>
      <c r="E721" s="220" t="n"/>
      <c r="F721" s="181" t="n"/>
      <c r="G721" s="219" t="n"/>
      <c r="H721" s="220" t="n"/>
      <c r="I721" s="221" t="n"/>
    </row>
    <row r="722" ht="15" customHeight="1" s="131">
      <c r="A722" s="220" t="n"/>
      <c r="B722" s="222" t="n"/>
      <c r="C722" s="222" t="n"/>
      <c r="D722" s="220" t="n"/>
      <c r="E722" s="220" t="n"/>
      <c r="F722" s="181" t="n"/>
      <c r="G722" s="219" t="n"/>
      <c r="H722" s="220" t="n"/>
      <c r="I722" s="221" t="n"/>
    </row>
    <row r="723" ht="15" customHeight="1" s="131">
      <c r="A723" s="220" t="n"/>
      <c r="B723" s="222" t="n"/>
      <c r="C723" s="222" t="n"/>
      <c r="D723" s="220" t="n"/>
      <c r="E723" s="220" t="n"/>
      <c r="F723" s="181" t="n"/>
      <c r="G723" s="219" t="n"/>
      <c r="H723" s="220" t="n"/>
      <c r="I723" s="221" t="n"/>
    </row>
    <row r="724" ht="15" customHeight="1" s="131">
      <c r="A724" s="220" t="n"/>
      <c r="B724" s="222" t="n"/>
      <c r="C724" s="222" t="n"/>
      <c r="D724" s="220" t="n"/>
      <c r="E724" s="220" t="n"/>
      <c r="F724" s="181" t="n"/>
      <c r="G724" s="219" t="n"/>
      <c r="H724" s="220" t="n"/>
      <c r="I724" s="221" t="n"/>
    </row>
    <row r="725" ht="15" customHeight="1" s="131">
      <c r="A725" s="220" t="n"/>
      <c r="B725" s="222" t="n"/>
      <c r="C725" s="222" t="n"/>
      <c r="D725" s="220" t="n"/>
      <c r="E725" s="220" t="n"/>
      <c r="F725" s="181" t="n"/>
      <c r="G725" s="219" t="n"/>
      <c r="H725" s="220" t="n"/>
      <c r="I725" s="221" t="n"/>
    </row>
    <row r="726" ht="15" customHeight="1" s="131">
      <c r="A726" s="220" t="n"/>
      <c r="B726" s="222" t="n"/>
      <c r="C726" s="222" t="n"/>
      <c r="D726" s="220" t="n"/>
      <c r="E726" s="220" t="n"/>
      <c r="F726" s="181" t="n"/>
      <c r="G726" s="219" t="n"/>
      <c r="H726" s="220" t="n"/>
      <c r="I726" s="221" t="n"/>
    </row>
    <row r="727" ht="15" customHeight="1" s="131">
      <c r="A727" s="220" t="n"/>
      <c r="B727" s="222" t="n"/>
      <c r="C727" s="222" t="n"/>
      <c r="D727" s="220" t="n"/>
      <c r="E727" s="220" t="n"/>
      <c r="F727" s="181" t="n"/>
      <c r="G727" s="219" t="n"/>
      <c r="H727" s="220" t="n"/>
      <c r="I727" s="221" t="n"/>
    </row>
    <row r="728" ht="15" customHeight="1" s="131">
      <c r="A728" s="220" t="n"/>
      <c r="B728" s="222" t="n"/>
      <c r="C728" s="222" t="n"/>
      <c r="D728" s="220" t="n"/>
      <c r="E728" s="220" t="n"/>
      <c r="F728" s="181" t="n"/>
      <c r="G728" s="219" t="n"/>
      <c r="H728" s="220" t="n"/>
      <c r="I728" s="221" t="n"/>
    </row>
    <row r="729" ht="15" customHeight="1" s="131">
      <c r="A729" s="220" t="n"/>
      <c r="B729" s="222" t="n"/>
      <c r="C729" s="222" t="n"/>
      <c r="D729" s="220" t="n"/>
      <c r="E729" s="220" t="n"/>
      <c r="F729" s="181" t="n"/>
      <c r="G729" s="219" t="n"/>
      <c r="H729" s="220" t="n"/>
      <c r="I729" s="221" t="n"/>
    </row>
    <row r="730" ht="15" customHeight="1" s="131">
      <c r="A730" s="220" t="n"/>
      <c r="B730" s="222" t="n"/>
      <c r="C730" s="222" t="n"/>
      <c r="D730" s="220" t="n"/>
      <c r="E730" s="220" t="n"/>
      <c r="F730" s="181" t="n"/>
      <c r="G730" s="219" t="n"/>
      <c r="H730" s="220" t="n"/>
      <c r="I730" s="221" t="n"/>
    </row>
    <row r="731" ht="15" customHeight="1" s="131">
      <c r="A731" s="220" t="n"/>
      <c r="B731" s="222" t="n"/>
      <c r="C731" s="222" t="n"/>
      <c r="D731" s="220" t="n"/>
      <c r="E731" s="220" t="n"/>
      <c r="F731" s="181" t="n"/>
      <c r="G731" s="219" t="n"/>
      <c r="H731" s="220" t="n"/>
      <c r="I731" s="221" t="n"/>
    </row>
    <row r="732" ht="15" customHeight="1" s="131">
      <c r="A732" s="220" t="n"/>
      <c r="B732" s="222" t="n"/>
      <c r="C732" s="222" t="n"/>
      <c r="D732" s="220" t="n"/>
      <c r="E732" s="220" t="n"/>
      <c r="F732" s="181" t="n"/>
      <c r="G732" s="219" t="n"/>
      <c r="H732" s="220" t="n"/>
      <c r="I732" s="221" t="n"/>
    </row>
    <row r="733" ht="15" customHeight="1" s="131">
      <c r="A733" s="220" t="n"/>
      <c r="B733" s="222" t="n"/>
      <c r="C733" s="222" t="n"/>
      <c r="D733" s="220" t="n"/>
      <c r="E733" s="220" t="n"/>
      <c r="F733" s="181" t="n"/>
      <c r="G733" s="219" t="n"/>
      <c r="H733" s="220" t="n"/>
      <c r="I733" s="221" t="n"/>
    </row>
    <row r="734" ht="15" customHeight="1" s="131">
      <c r="A734" s="220" t="n"/>
      <c r="B734" s="222" t="n"/>
      <c r="C734" s="222" t="n"/>
      <c r="D734" s="220" t="n"/>
      <c r="E734" s="220" t="n"/>
      <c r="F734" s="181" t="n"/>
      <c r="G734" s="219" t="n"/>
      <c r="H734" s="220" t="n"/>
      <c r="I734" s="221" t="n"/>
    </row>
    <row r="735" ht="15" customHeight="1" s="131">
      <c r="A735" s="220" t="n"/>
      <c r="B735" s="222" t="n"/>
      <c r="C735" s="222" t="n"/>
      <c r="D735" s="220" t="n"/>
      <c r="E735" s="220" t="n"/>
      <c r="F735" s="181" t="n"/>
      <c r="G735" s="219" t="n"/>
      <c r="H735" s="220" t="n"/>
      <c r="I735" s="221" t="n"/>
    </row>
    <row r="736" ht="15" customHeight="1" s="131">
      <c r="A736" s="220" t="n"/>
      <c r="B736" s="222" t="n"/>
      <c r="C736" s="222" t="n"/>
      <c r="D736" s="220" t="n"/>
      <c r="E736" s="220" t="n"/>
      <c r="F736" s="181" t="n"/>
      <c r="G736" s="219" t="n"/>
      <c r="H736" s="220" t="n"/>
      <c r="I736" s="221" t="n"/>
    </row>
    <row r="737" ht="15" customHeight="1" s="131">
      <c r="A737" s="220" t="n"/>
      <c r="B737" s="222" t="n"/>
      <c r="C737" s="222" t="n"/>
      <c r="D737" s="220" t="n"/>
      <c r="E737" s="220" t="n"/>
      <c r="F737" s="181" t="n"/>
      <c r="G737" s="219" t="n"/>
      <c r="H737" s="220" t="n"/>
      <c r="I737" s="221" t="n"/>
    </row>
    <row r="738" ht="15" customHeight="1" s="131">
      <c r="A738" s="220" t="n"/>
      <c r="B738" s="222" t="n"/>
      <c r="C738" s="222" t="n"/>
      <c r="D738" s="220" t="n"/>
      <c r="E738" s="220" t="n"/>
      <c r="F738" s="181" t="n"/>
      <c r="G738" s="219" t="n"/>
      <c r="H738" s="220" t="n"/>
      <c r="I738" s="221" t="n"/>
    </row>
    <row r="739" ht="15" customHeight="1" s="131">
      <c r="A739" s="220" t="n"/>
      <c r="B739" s="222" t="n"/>
      <c r="C739" s="222" t="n"/>
      <c r="D739" s="220" t="n"/>
      <c r="E739" s="220" t="n"/>
      <c r="F739" s="181" t="n"/>
      <c r="G739" s="219" t="n"/>
      <c r="H739" s="220" t="n"/>
      <c r="I739" s="221" t="n"/>
    </row>
    <row r="740" ht="15" customHeight="1" s="131">
      <c r="A740" s="220" t="n"/>
      <c r="B740" s="222" t="n"/>
      <c r="C740" s="222" t="n"/>
      <c r="D740" s="220" t="n"/>
      <c r="E740" s="220" t="n"/>
      <c r="F740" s="181" t="n"/>
      <c r="G740" s="219" t="n"/>
      <c r="H740" s="220" t="n"/>
      <c r="I740" s="221" t="n"/>
    </row>
    <row r="741" ht="15" customHeight="1" s="131">
      <c r="A741" s="220" t="n"/>
      <c r="B741" s="222" t="n"/>
      <c r="C741" s="222" t="n"/>
      <c r="D741" s="220" t="n"/>
      <c r="E741" s="220" t="n"/>
      <c r="F741" s="181" t="n"/>
      <c r="G741" s="219" t="n"/>
      <c r="H741" s="220" t="n"/>
      <c r="I741" s="221" t="n"/>
    </row>
    <row r="742" ht="15" customHeight="1" s="131">
      <c r="A742" s="220" t="n"/>
      <c r="B742" s="222" t="n"/>
      <c r="C742" s="222" t="n"/>
      <c r="D742" s="220" t="n"/>
      <c r="E742" s="220" t="n"/>
      <c r="F742" s="181" t="n"/>
      <c r="G742" s="219" t="n"/>
      <c r="H742" s="220" t="n"/>
      <c r="I742" s="221" t="n"/>
    </row>
    <row r="743" ht="15" customHeight="1" s="131">
      <c r="A743" s="220" t="n"/>
      <c r="B743" s="222" t="n"/>
      <c r="C743" s="222" t="n"/>
      <c r="D743" s="220" t="n"/>
      <c r="E743" s="220" t="n"/>
      <c r="F743" s="181" t="n"/>
      <c r="G743" s="219" t="n"/>
      <c r="H743" s="220" t="n"/>
      <c r="I743" s="221" t="n"/>
    </row>
    <row r="744" ht="15" customHeight="1" s="131">
      <c r="A744" s="220" t="n"/>
      <c r="B744" s="222" t="n"/>
      <c r="C744" s="222" t="n"/>
      <c r="D744" s="220" t="n"/>
      <c r="E744" s="220" t="n"/>
      <c r="F744" s="181" t="n"/>
      <c r="G744" s="219" t="n"/>
      <c r="H744" s="220" t="n"/>
      <c r="I744" s="221" t="n"/>
    </row>
    <row r="745" ht="15" customHeight="1" s="131">
      <c r="A745" s="220" t="n"/>
      <c r="B745" s="222" t="n"/>
      <c r="C745" s="222" t="n"/>
      <c r="D745" s="220" t="n"/>
      <c r="E745" s="220" t="n"/>
      <c r="F745" s="181" t="n"/>
      <c r="G745" s="219" t="n"/>
      <c r="H745" s="220" t="n"/>
      <c r="I745" s="221" t="n"/>
    </row>
    <row r="746" ht="15" customHeight="1" s="131">
      <c r="A746" s="220" t="n"/>
      <c r="B746" s="222" t="n"/>
      <c r="C746" s="222" t="n"/>
      <c r="D746" s="220" t="n"/>
      <c r="E746" s="220" t="n"/>
      <c r="F746" s="181" t="n"/>
      <c r="G746" s="219" t="n"/>
      <c r="H746" s="220" t="n"/>
      <c r="I746" s="221" t="n"/>
    </row>
    <row r="747" ht="15" customHeight="1" s="131">
      <c r="A747" s="220" t="n"/>
      <c r="B747" s="222" t="n"/>
      <c r="C747" s="222" t="n"/>
      <c r="D747" s="220" t="n"/>
      <c r="E747" s="220" t="n"/>
      <c r="F747" s="181" t="n"/>
      <c r="G747" s="219" t="n"/>
      <c r="H747" s="220" t="n"/>
      <c r="I747" s="221" t="n"/>
    </row>
    <row r="748" ht="15" customHeight="1" s="131">
      <c r="A748" s="220" t="n"/>
      <c r="B748" s="222" t="n"/>
      <c r="C748" s="222" t="n"/>
      <c r="D748" s="220" t="n"/>
      <c r="E748" s="220" t="n"/>
      <c r="F748" s="181" t="n"/>
      <c r="G748" s="219" t="n"/>
      <c r="H748" s="220" t="n"/>
      <c r="I748" s="221" t="n"/>
    </row>
    <row r="749" ht="15" customHeight="1" s="131">
      <c r="A749" s="220" t="n"/>
      <c r="B749" s="222" t="n"/>
      <c r="C749" s="222" t="n"/>
      <c r="D749" s="220" t="n"/>
      <c r="E749" s="220" t="n"/>
      <c r="F749" s="181" t="n"/>
      <c r="G749" s="219" t="n"/>
      <c r="H749" s="220" t="n"/>
      <c r="I749" s="221" t="n"/>
    </row>
    <row r="750" ht="15" customHeight="1" s="131">
      <c r="A750" s="220" t="n"/>
      <c r="B750" s="222" t="n"/>
      <c r="C750" s="222" t="n"/>
      <c r="D750" s="220" t="n"/>
      <c r="E750" s="220" t="n"/>
      <c r="F750" s="181" t="n"/>
      <c r="G750" s="219" t="n"/>
      <c r="H750" s="220" t="n"/>
      <c r="I750" s="221" t="n"/>
    </row>
    <row r="751" ht="15" customHeight="1" s="131">
      <c r="A751" s="220" t="n"/>
      <c r="B751" s="222" t="n"/>
      <c r="C751" s="222" t="n"/>
      <c r="D751" s="220" t="n"/>
      <c r="E751" s="220" t="n"/>
      <c r="F751" s="181" t="n"/>
      <c r="G751" s="219" t="n"/>
      <c r="H751" s="220" t="n"/>
      <c r="I751" s="221" t="n"/>
    </row>
    <row r="752" ht="15" customHeight="1" s="131">
      <c r="A752" s="220" t="n"/>
      <c r="B752" s="222" t="n"/>
      <c r="C752" s="222" t="n"/>
      <c r="D752" s="220" t="n"/>
      <c r="E752" s="220" t="n"/>
      <c r="F752" s="181" t="n"/>
      <c r="G752" s="219" t="n"/>
      <c r="H752" s="220" t="n"/>
      <c r="I752" s="221" t="n"/>
    </row>
    <row r="753" ht="15" customHeight="1" s="131">
      <c r="A753" s="220" t="n"/>
      <c r="B753" s="222" t="n"/>
      <c r="C753" s="222" t="n"/>
      <c r="D753" s="220" t="n"/>
      <c r="E753" s="220" t="n"/>
      <c r="F753" s="181" t="n"/>
      <c r="G753" s="219" t="n"/>
      <c r="H753" s="220" t="n"/>
      <c r="I753" s="221" t="n"/>
    </row>
    <row r="754" ht="15" customHeight="1" s="131">
      <c r="A754" s="220" t="n"/>
      <c r="B754" s="222" t="n"/>
      <c r="C754" s="222" t="n"/>
      <c r="D754" s="220" t="n"/>
      <c r="E754" s="220" t="n"/>
      <c r="F754" s="181" t="n"/>
      <c r="G754" s="219" t="n"/>
      <c r="H754" s="220" t="n"/>
      <c r="I754" s="221" t="n"/>
    </row>
    <row r="755" ht="15" customHeight="1" s="131">
      <c r="A755" s="220" t="n"/>
      <c r="B755" s="222" t="n"/>
      <c r="C755" s="222" t="n"/>
      <c r="D755" s="220" t="n"/>
      <c r="E755" s="220" t="n"/>
      <c r="F755" s="181" t="n"/>
      <c r="G755" s="219" t="n"/>
      <c r="H755" s="220" t="n"/>
      <c r="I755" s="221" t="n"/>
    </row>
    <row r="756" ht="15" customHeight="1" s="131">
      <c r="A756" s="220" t="n"/>
      <c r="B756" s="222" t="n"/>
      <c r="C756" s="222" t="n"/>
      <c r="D756" s="220" t="n"/>
      <c r="E756" s="220" t="n"/>
      <c r="F756" s="181" t="n"/>
      <c r="G756" s="219" t="n"/>
      <c r="H756" s="220" t="n"/>
      <c r="I756" s="221" t="n"/>
    </row>
    <row r="757" ht="15" customHeight="1" s="131">
      <c r="A757" s="220" t="n"/>
      <c r="B757" s="222" t="n"/>
      <c r="C757" s="222" t="n"/>
      <c r="D757" s="220" t="n"/>
      <c r="E757" s="220" t="n"/>
      <c r="F757" s="181" t="n"/>
      <c r="G757" s="219" t="n"/>
      <c r="H757" s="220" t="n"/>
      <c r="I757" s="221" t="n"/>
    </row>
    <row r="758" ht="15" customHeight="1" s="131">
      <c r="A758" s="220" t="n"/>
      <c r="B758" s="222" t="n"/>
      <c r="C758" s="222" t="n"/>
      <c r="D758" s="220" t="n"/>
      <c r="E758" s="220" t="n"/>
      <c r="F758" s="181" t="n"/>
      <c r="G758" s="219" t="n"/>
      <c r="H758" s="220" t="n"/>
      <c r="I758" s="221" t="n"/>
    </row>
    <row r="759" ht="15" customHeight="1" s="131">
      <c r="A759" s="220" t="n"/>
      <c r="B759" s="222" t="n"/>
      <c r="C759" s="222" t="n"/>
      <c r="D759" s="220" t="n"/>
      <c r="E759" s="220" t="n"/>
      <c r="F759" s="181" t="n"/>
      <c r="G759" s="219" t="n"/>
      <c r="H759" s="220" t="n"/>
      <c r="I759" s="221" t="n"/>
    </row>
    <row r="760" ht="15" customHeight="1" s="131">
      <c r="A760" s="220" t="n"/>
      <c r="B760" s="222" t="n"/>
      <c r="C760" s="222" t="n"/>
      <c r="D760" s="220" t="n"/>
      <c r="E760" s="220" t="n"/>
      <c r="F760" s="181" t="n"/>
      <c r="G760" s="219" t="n"/>
      <c r="H760" s="220" t="n"/>
      <c r="I760" s="221" t="n"/>
    </row>
    <row r="761" ht="15" customHeight="1" s="131">
      <c r="A761" s="220" t="n"/>
      <c r="B761" s="222" t="n"/>
      <c r="C761" s="222" t="n"/>
      <c r="D761" s="220" t="n"/>
      <c r="E761" s="220" t="n"/>
      <c r="F761" s="181" t="n"/>
      <c r="G761" s="219" t="n"/>
      <c r="H761" s="220" t="n"/>
      <c r="I761" s="221" t="n"/>
    </row>
    <row r="762" ht="15" customHeight="1" s="131">
      <c r="A762" s="220" t="n"/>
      <c r="B762" s="222" t="n"/>
      <c r="C762" s="222" t="n"/>
      <c r="D762" s="220" t="n"/>
      <c r="E762" s="220" t="n"/>
      <c r="F762" s="181" t="n"/>
      <c r="G762" s="219" t="n"/>
      <c r="H762" s="220" t="n"/>
      <c r="I762" s="221" t="n"/>
    </row>
    <row r="763" ht="15" customHeight="1" s="131">
      <c r="A763" s="220" t="n"/>
      <c r="B763" s="222" t="n"/>
      <c r="C763" s="222" t="n"/>
      <c r="D763" s="220" t="n"/>
      <c r="E763" s="220" t="n"/>
      <c r="F763" s="181" t="n"/>
      <c r="G763" s="219" t="n"/>
      <c r="H763" s="220" t="n"/>
      <c r="I763" s="221" t="n"/>
    </row>
    <row r="764" ht="15" customHeight="1" s="131">
      <c r="A764" s="220" t="n"/>
      <c r="B764" s="222" t="n"/>
      <c r="C764" s="222" t="n"/>
      <c r="D764" s="220" t="n"/>
      <c r="E764" s="220" t="n"/>
      <c r="F764" s="181" t="n"/>
      <c r="G764" s="219" t="n"/>
      <c r="H764" s="220" t="n"/>
      <c r="I764" s="221" t="n"/>
    </row>
    <row r="765" ht="15" customHeight="1" s="131">
      <c r="A765" s="220" t="n"/>
      <c r="B765" s="222" t="n"/>
      <c r="C765" s="222" t="n"/>
      <c r="D765" s="220" t="n"/>
      <c r="E765" s="220" t="n"/>
      <c r="F765" s="181" t="n"/>
      <c r="G765" s="219" t="n"/>
      <c r="H765" s="220" t="n"/>
      <c r="I765" s="221" t="n"/>
    </row>
    <row r="766" ht="15" customHeight="1" s="131">
      <c r="A766" s="220" t="n"/>
      <c r="B766" s="222" t="n"/>
      <c r="C766" s="222" t="n"/>
      <c r="D766" s="220" t="n"/>
      <c r="E766" s="220" t="n"/>
      <c r="F766" s="181" t="n"/>
      <c r="G766" s="219" t="n"/>
      <c r="H766" s="220" t="n"/>
      <c r="I766" s="221" t="n"/>
    </row>
    <row r="767" ht="15" customHeight="1" s="131">
      <c r="A767" s="220" t="n"/>
      <c r="B767" s="222" t="n"/>
      <c r="C767" s="222" t="n"/>
      <c r="D767" s="220" t="n"/>
      <c r="E767" s="220" t="n"/>
      <c r="F767" s="181" t="n"/>
      <c r="G767" s="219" t="n"/>
      <c r="H767" s="220" t="n"/>
      <c r="I767" s="221" t="n"/>
    </row>
    <row r="768" ht="15" customHeight="1" s="131">
      <c r="A768" s="220" t="n"/>
      <c r="B768" s="222" t="n"/>
      <c r="C768" s="222" t="n"/>
      <c r="D768" s="220" t="n"/>
      <c r="E768" s="220" t="n"/>
      <c r="F768" s="181" t="n"/>
      <c r="G768" s="219" t="n"/>
      <c r="H768" s="220" t="n"/>
      <c r="I768" s="221" t="n"/>
    </row>
    <row r="769" ht="15" customHeight="1" s="131">
      <c r="A769" s="220" t="n"/>
      <c r="B769" s="222" t="n"/>
      <c r="C769" s="222" t="n"/>
      <c r="D769" s="220" t="n"/>
      <c r="E769" s="220" t="n"/>
      <c r="F769" s="181" t="n"/>
      <c r="G769" s="219" t="n"/>
      <c r="H769" s="220" t="n"/>
      <c r="I769" s="221" t="n"/>
    </row>
    <row r="770" ht="15" customHeight="1" s="131">
      <c r="A770" s="220" t="n"/>
      <c r="B770" s="222" t="n"/>
      <c r="C770" s="222" t="n"/>
      <c r="D770" s="220" t="n"/>
      <c r="E770" s="220" t="n"/>
      <c r="F770" s="181" t="n"/>
      <c r="G770" s="219" t="n"/>
      <c r="H770" s="220" t="n"/>
      <c r="I770" s="221" t="n"/>
    </row>
    <row r="771" ht="15" customHeight="1" s="131">
      <c r="A771" s="220" t="n"/>
      <c r="B771" s="222" t="n"/>
      <c r="C771" s="222" t="n"/>
      <c r="D771" s="220" t="n"/>
      <c r="E771" s="220" t="n"/>
      <c r="F771" s="181" t="n"/>
      <c r="G771" s="219" t="n"/>
      <c r="H771" s="220" t="n"/>
      <c r="I771" s="221" t="n"/>
    </row>
    <row r="772" ht="15" customHeight="1" s="131">
      <c r="A772" s="220" t="n"/>
      <c r="B772" s="222" t="n"/>
      <c r="C772" s="222" t="n"/>
      <c r="D772" s="220" t="n"/>
      <c r="E772" s="220" t="n"/>
      <c r="F772" s="181" t="n"/>
      <c r="G772" s="219" t="n"/>
      <c r="H772" s="220" t="n"/>
      <c r="I772" s="221" t="n"/>
    </row>
    <row r="773" ht="15" customHeight="1" s="131">
      <c r="A773" s="220" t="n"/>
      <c r="B773" s="222" t="n"/>
      <c r="C773" s="222" t="n"/>
      <c r="D773" s="220" t="n"/>
      <c r="E773" s="220" t="n"/>
      <c r="F773" s="181" t="n"/>
      <c r="G773" s="219" t="n"/>
      <c r="H773" s="220" t="n"/>
      <c r="I773" s="221" t="n"/>
    </row>
    <row r="774" ht="15" customHeight="1" s="131">
      <c r="A774" s="220" t="n"/>
      <c r="B774" s="222" t="n"/>
      <c r="C774" s="222" t="n"/>
      <c r="D774" s="220" t="n"/>
      <c r="E774" s="220" t="n"/>
      <c r="F774" s="181" t="n"/>
      <c r="G774" s="219" t="n"/>
      <c r="H774" s="220" t="n"/>
      <c r="I774" s="221" t="n"/>
    </row>
    <row r="775" ht="15" customHeight="1" s="131">
      <c r="A775" s="220" t="n"/>
      <c r="B775" s="222" t="n"/>
      <c r="C775" s="222" t="n"/>
      <c r="D775" s="220" t="n"/>
      <c r="E775" s="220" t="n"/>
      <c r="F775" s="181" t="n"/>
      <c r="G775" s="219" t="n"/>
      <c r="H775" s="220" t="n"/>
      <c r="I775" s="221" t="n"/>
    </row>
    <row r="776" ht="15" customHeight="1" s="131">
      <c r="A776" s="220" t="n"/>
      <c r="B776" s="222" t="n"/>
      <c r="C776" s="222" t="n"/>
      <c r="D776" s="220" t="n"/>
      <c r="E776" s="220" t="n"/>
      <c r="F776" s="181" t="n"/>
      <c r="G776" s="219" t="n"/>
      <c r="H776" s="220" t="n"/>
      <c r="I776" s="221" t="n"/>
    </row>
    <row r="777" ht="15" customHeight="1" s="131">
      <c r="A777" s="220" t="n"/>
      <c r="B777" s="222" t="n"/>
      <c r="C777" s="222" t="n"/>
      <c r="D777" s="220" t="n"/>
      <c r="E777" s="220" t="n"/>
      <c r="F777" s="181" t="n"/>
      <c r="G777" s="219" t="n"/>
      <c r="H777" s="220" t="n"/>
      <c r="I777" s="221" t="n"/>
    </row>
    <row r="778" ht="15" customHeight="1" s="131">
      <c r="A778" s="220" t="n"/>
      <c r="B778" s="222" t="n"/>
      <c r="C778" s="222" t="n"/>
      <c r="D778" s="220" t="n"/>
      <c r="E778" s="220" t="n"/>
      <c r="F778" s="181" t="n"/>
      <c r="G778" s="219" t="n"/>
      <c r="H778" s="220" t="n"/>
      <c r="I778" s="221" t="n"/>
    </row>
    <row r="779" ht="15" customHeight="1" s="131">
      <c r="A779" s="220" t="n"/>
      <c r="B779" s="222" t="n"/>
      <c r="C779" s="222" t="n"/>
      <c r="D779" s="220" t="n"/>
      <c r="E779" s="220" t="n"/>
      <c r="F779" s="181" t="n"/>
      <c r="G779" s="219" t="n"/>
      <c r="H779" s="220" t="n"/>
      <c r="I779" s="221" t="n"/>
    </row>
    <row r="780" ht="15" customHeight="1" s="131">
      <c r="A780" s="220" t="n"/>
      <c r="B780" s="222" t="n"/>
      <c r="C780" s="222" t="n"/>
      <c r="D780" s="220" t="n"/>
      <c r="E780" s="220" t="n"/>
      <c r="F780" s="181" t="n"/>
      <c r="G780" s="219" t="n"/>
      <c r="H780" s="220" t="n"/>
      <c r="I780" s="221" t="n"/>
    </row>
    <row r="781" ht="15" customHeight="1" s="131">
      <c r="A781" s="220" t="n"/>
      <c r="B781" s="222" t="n"/>
      <c r="C781" s="222" t="n"/>
      <c r="D781" s="220" t="n"/>
      <c r="E781" s="220" t="n"/>
      <c r="F781" s="181" t="n"/>
      <c r="G781" s="219" t="n"/>
      <c r="H781" s="220" t="n"/>
      <c r="I781" s="221" t="n"/>
    </row>
    <row r="782" ht="15" customHeight="1" s="131">
      <c r="A782" s="220" t="n"/>
      <c r="B782" s="222" t="n"/>
      <c r="C782" s="222" t="n"/>
      <c r="D782" s="220" t="n"/>
      <c r="E782" s="220" t="n"/>
      <c r="F782" s="181" t="n"/>
      <c r="G782" s="219" t="n"/>
      <c r="H782" s="220" t="n"/>
      <c r="I782" s="221" t="n"/>
    </row>
    <row r="783" ht="15" customHeight="1" s="131">
      <c r="A783" s="220" t="n"/>
      <c r="B783" s="222" t="n"/>
      <c r="C783" s="222" t="n"/>
      <c r="D783" s="220" t="n"/>
      <c r="E783" s="220" t="n"/>
      <c r="F783" s="181" t="n"/>
      <c r="G783" s="219" t="n"/>
      <c r="H783" s="220" t="n"/>
      <c r="I783" s="221" t="n"/>
    </row>
    <row r="784" ht="15" customHeight="1" s="131">
      <c r="A784" s="220" t="n"/>
      <c r="B784" s="222" t="n"/>
      <c r="C784" s="222" t="n"/>
      <c r="D784" s="220" t="n"/>
      <c r="E784" s="220" t="n"/>
      <c r="F784" s="181" t="n"/>
      <c r="G784" s="219" t="n"/>
      <c r="H784" s="220" t="n"/>
      <c r="I784" s="221" t="n"/>
    </row>
    <row r="785" ht="15" customHeight="1" s="131">
      <c r="A785" s="220" t="n"/>
      <c r="B785" s="222" t="n"/>
      <c r="C785" s="222" t="n"/>
      <c r="D785" s="220" t="n"/>
      <c r="E785" s="220" t="n"/>
      <c r="F785" s="181" t="n"/>
      <c r="G785" s="219" t="n"/>
      <c r="H785" s="220" t="n"/>
      <c r="I785" s="221" t="n"/>
    </row>
    <row r="786" ht="15" customHeight="1" s="131">
      <c r="A786" s="220" t="n"/>
      <c r="B786" s="222" t="n"/>
      <c r="C786" s="222" t="n"/>
      <c r="D786" s="220" t="n"/>
      <c r="E786" s="220" t="n"/>
      <c r="F786" s="181" t="n"/>
      <c r="G786" s="219" t="n"/>
      <c r="H786" s="220" t="n"/>
      <c r="I786" s="221" t="n"/>
    </row>
    <row r="787" ht="15" customHeight="1" s="131">
      <c r="A787" s="220" t="n"/>
      <c r="B787" s="222" t="n"/>
      <c r="C787" s="222" t="n"/>
      <c r="D787" s="220" t="n"/>
      <c r="E787" s="220" t="n"/>
      <c r="F787" s="181" t="n"/>
      <c r="G787" s="219" t="n"/>
      <c r="H787" s="220" t="n"/>
      <c r="I787" s="221" t="n"/>
    </row>
    <row r="788" ht="15" customHeight="1" s="131">
      <c r="A788" s="220" t="n"/>
      <c r="B788" s="222" t="n"/>
      <c r="C788" s="222" t="n"/>
      <c r="D788" s="220" t="n"/>
      <c r="E788" s="220" t="n"/>
      <c r="F788" s="181" t="n"/>
      <c r="G788" s="219" t="n"/>
      <c r="H788" s="220" t="n"/>
      <c r="I788" s="221" t="n"/>
    </row>
    <row r="789" ht="15" customHeight="1" s="131">
      <c r="A789" s="220" t="n"/>
      <c r="B789" s="222" t="n"/>
      <c r="C789" s="222" t="n"/>
      <c r="D789" s="220" t="n"/>
      <c r="E789" s="220" t="n"/>
      <c r="F789" s="181" t="n"/>
      <c r="G789" s="219" t="n"/>
      <c r="H789" s="220" t="n"/>
      <c r="I789" s="221" t="n"/>
    </row>
    <row r="790" ht="15" customHeight="1" s="131">
      <c r="A790" s="220" t="n"/>
      <c r="B790" s="222" t="n"/>
      <c r="C790" s="222" t="n"/>
      <c r="D790" s="220" t="n"/>
      <c r="E790" s="220" t="n"/>
      <c r="F790" s="181" t="n"/>
      <c r="G790" s="219" t="n"/>
      <c r="H790" s="220" t="n"/>
      <c r="I790" s="221" t="n"/>
    </row>
    <row r="791" ht="15" customHeight="1" s="131">
      <c r="A791" s="220" t="n"/>
      <c r="B791" s="222" t="n"/>
      <c r="C791" s="222" t="n"/>
      <c r="D791" s="220" t="n"/>
      <c r="E791" s="220" t="n"/>
      <c r="F791" s="181" t="n"/>
      <c r="G791" s="219" t="n"/>
      <c r="H791" s="220" t="n"/>
      <c r="I791" s="221" t="n"/>
    </row>
    <row r="792" ht="15" customHeight="1" s="131">
      <c r="A792" s="220" t="n"/>
      <c r="B792" s="222" t="n"/>
      <c r="C792" s="222" t="n"/>
      <c r="D792" s="220" t="n"/>
      <c r="E792" s="220" t="n"/>
      <c r="F792" s="181" t="n"/>
      <c r="G792" s="219" t="n"/>
      <c r="H792" s="220" t="n"/>
      <c r="I792" s="221" t="n"/>
    </row>
    <row r="793" ht="15" customHeight="1" s="131">
      <c r="A793" s="220" t="n"/>
      <c r="B793" s="222" t="n"/>
      <c r="C793" s="222" t="n"/>
      <c r="D793" s="220" t="n"/>
      <c r="E793" s="220" t="n"/>
      <c r="F793" s="181" t="n"/>
      <c r="G793" s="219" t="n"/>
      <c r="H793" s="220" t="n"/>
      <c r="I793" s="221" t="n"/>
    </row>
    <row r="794" ht="15" customHeight="1" s="131">
      <c r="A794" s="220" t="n"/>
      <c r="B794" s="222" t="n"/>
      <c r="C794" s="222" t="n"/>
      <c r="D794" s="220" t="n"/>
      <c r="E794" s="220" t="n"/>
      <c r="F794" s="181" t="n"/>
      <c r="G794" s="219" t="n"/>
      <c r="H794" s="220" t="n"/>
      <c r="I794" s="221" t="n"/>
    </row>
    <row r="795" ht="15" customHeight="1" s="131">
      <c r="A795" s="220" t="n"/>
      <c r="B795" s="222" t="n"/>
      <c r="C795" s="222" t="n"/>
      <c r="D795" s="220" t="n"/>
      <c r="E795" s="220" t="n"/>
      <c r="F795" s="181" t="n"/>
      <c r="G795" s="219" t="n"/>
      <c r="H795" s="220" t="n"/>
      <c r="I795" s="221" t="n"/>
    </row>
    <row r="796" ht="15" customHeight="1" s="131">
      <c r="A796" s="220" t="n"/>
      <c r="B796" s="222" t="n"/>
      <c r="C796" s="222" t="n"/>
      <c r="D796" s="220" t="n"/>
      <c r="E796" s="220" t="n"/>
      <c r="F796" s="181" t="n"/>
      <c r="G796" s="219" t="n"/>
      <c r="H796" s="220" t="n"/>
      <c r="I796" s="221" t="n"/>
    </row>
    <row r="797" ht="15" customHeight="1" s="131">
      <c r="A797" s="220" t="n"/>
      <c r="B797" s="222" t="n"/>
      <c r="C797" s="222" t="n"/>
      <c r="D797" s="220" t="n"/>
      <c r="E797" s="220" t="n"/>
      <c r="F797" s="181" t="n"/>
      <c r="G797" s="219" t="n"/>
      <c r="H797" s="220" t="n"/>
      <c r="I797" s="221" t="n"/>
    </row>
    <row r="798" ht="15" customHeight="1" s="131">
      <c r="A798" s="220" t="n"/>
      <c r="B798" s="222" t="n"/>
      <c r="C798" s="222" t="n"/>
      <c r="D798" s="220" t="n"/>
      <c r="E798" s="220" t="n"/>
      <c r="F798" s="181" t="n"/>
      <c r="G798" s="219" t="n"/>
      <c r="H798" s="220" t="n"/>
      <c r="I798" s="221" t="n"/>
    </row>
    <row r="799" ht="15" customHeight="1" s="131">
      <c r="A799" s="220" t="n"/>
      <c r="B799" s="222" t="n"/>
      <c r="C799" s="222" t="n"/>
      <c r="D799" s="220" t="n"/>
      <c r="E799" s="220" t="n"/>
      <c r="F799" s="181" t="n"/>
      <c r="G799" s="219" t="n"/>
      <c r="H799" s="220" t="n"/>
      <c r="I799" s="221" t="n"/>
    </row>
    <row r="800" ht="15" customHeight="1" s="131">
      <c r="A800" s="220" t="n"/>
      <c r="B800" s="222" t="n"/>
      <c r="C800" s="222" t="n"/>
      <c r="D800" s="220" t="n"/>
      <c r="E800" s="220" t="n"/>
      <c r="F800" s="181" t="n"/>
      <c r="G800" s="219" t="n"/>
      <c r="H800" s="220" t="n"/>
      <c r="I800" s="221" t="n"/>
    </row>
    <row r="801" ht="15" customHeight="1" s="131">
      <c r="A801" s="220" t="n"/>
      <c r="B801" s="222" t="n"/>
      <c r="C801" s="222" t="n"/>
      <c r="D801" s="220" t="n"/>
      <c r="E801" s="220" t="n"/>
      <c r="F801" s="181" t="n"/>
      <c r="G801" s="219" t="n"/>
      <c r="H801" s="220" t="n"/>
      <c r="I801" s="221" t="n"/>
    </row>
    <row r="802" ht="15" customHeight="1" s="131">
      <c r="A802" s="220" t="n"/>
      <c r="B802" s="222" t="n"/>
      <c r="C802" s="222" t="n"/>
      <c r="D802" s="220" t="n"/>
      <c r="E802" s="220" t="n"/>
      <c r="F802" s="181" t="n"/>
      <c r="G802" s="219" t="n"/>
      <c r="H802" s="220" t="n"/>
      <c r="I802" s="221" t="n"/>
    </row>
    <row r="803" ht="15" customHeight="1" s="131">
      <c r="A803" s="220" t="n"/>
      <c r="B803" s="222" t="n"/>
      <c r="C803" s="222" t="n"/>
      <c r="D803" s="220" t="n"/>
      <c r="E803" s="220" t="n"/>
      <c r="F803" s="181" t="n"/>
      <c r="G803" s="219" t="n"/>
      <c r="H803" s="220" t="n"/>
      <c r="I803" s="221" t="n"/>
    </row>
    <row r="804" ht="15" customHeight="1" s="131">
      <c r="A804" s="220" t="n"/>
      <c r="B804" s="222" t="n"/>
      <c r="C804" s="222" t="n"/>
      <c r="D804" s="220" t="n"/>
      <c r="E804" s="220" t="n"/>
      <c r="F804" s="181" t="n"/>
      <c r="G804" s="219" t="n"/>
      <c r="H804" s="220" t="n"/>
      <c r="I804" s="221" t="n"/>
    </row>
    <row r="805" ht="15" customHeight="1" s="131">
      <c r="A805" s="220" t="n"/>
      <c r="B805" s="222" t="n"/>
      <c r="C805" s="222" t="n"/>
      <c r="D805" s="220" t="n"/>
      <c r="E805" s="220" t="n"/>
      <c r="F805" s="181" t="n"/>
      <c r="G805" s="219" t="n"/>
      <c r="H805" s="220" t="n"/>
      <c r="I805" s="221" t="n"/>
    </row>
    <row r="806" ht="15" customHeight="1" s="131">
      <c r="A806" s="220" t="n"/>
      <c r="B806" s="222" t="n"/>
      <c r="C806" s="222" t="n"/>
      <c r="D806" s="220" t="n"/>
      <c r="E806" s="220" t="n"/>
      <c r="F806" s="181" t="n"/>
      <c r="G806" s="219" t="n"/>
      <c r="H806" s="220" t="n"/>
      <c r="I806" s="221" t="n"/>
    </row>
    <row r="807" ht="15" customHeight="1" s="131">
      <c r="A807" s="220" t="n"/>
      <c r="B807" s="222" t="n"/>
      <c r="C807" s="222" t="n"/>
      <c r="D807" s="220" t="n"/>
      <c r="E807" s="220" t="n"/>
      <c r="F807" s="181" t="n"/>
      <c r="G807" s="219" t="n"/>
      <c r="H807" s="220" t="n"/>
      <c r="I807" s="221" t="n"/>
    </row>
    <row r="808" ht="15" customHeight="1" s="131">
      <c r="A808" s="220" t="n"/>
      <c r="B808" s="222" t="n"/>
      <c r="C808" s="222" t="n"/>
      <c r="D808" s="220" t="n"/>
      <c r="E808" s="220" t="n"/>
      <c r="F808" s="181" t="n"/>
      <c r="G808" s="219" t="n"/>
      <c r="H808" s="220" t="n"/>
      <c r="I808" s="221" t="n"/>
    </row>
    <row r="809" ht="15" customHeight="1" s="131">
      <c r="A809" s="220" t="n"/>
      <c r="B809" s="222" t="n"/>
      <c r="C809" s="222" t="n"/>
      <c r="D809" s="220" t="n"/>
      <c r="E809" s="220" t="n"/>
      <c r="F809" s="181" t="n"/>
      <c r="G809" s="219" t="n"/>
      <c r="H809" s="220" t="n"/>
      <c r="I809" s="221" t="n"/>
    </row>
    <row r="810" ht="15" customHeight="1" s="131">
      <c r="A810" s="220" t="n"/>
      <c r="B810" s="222" t="n"/>
      <c r="C810" s="222" t="n"/>
      <c r="D810" s="220" t="n"/>
      <c r="E810" s="220" t="n"/>
      <c r="F810" s="181" t="n"/>
      <c r="G810" s="219" t="n"/>
      <c r="H810" s="220" t="n"/>
      <c r="I810" s="221" t="n"/>
    </row>
    <row r="811" ht="15" customHeight="1" s="131">
      <c r="A811" s="220" t="n"/>
      <c r="B811" s="222" t="n"/>
      <c r="C811" s="222" t="n"/>
      <c r="D811" s="220" t="n"/>
      <c r="E811" s="220" t="n"/>
      <c r="F811" s="181" t="n"/>
      <c r="G811" s="219" t="n"/>
      <c r="H811" s="220" t="n"/>
      <c r="I811" s="221" t="n"/>
    </row>
    <row r="812" ht="15" customHeight="1" s="131">
      <c r="A812" s="220" t="n"/>
      <c r="B812" s="222" t="n"/>
      <c r="C812" s="222" t="n"/>
      <c r="D812" s="220" t="n"/>
      <c r="E812" s="220" t="n"/>
      <c r="F812" s="181" t="n"/>
      <c r="G812" s="219" t="n"/>
      <c r="H812" s="220" t="n"/>
      <c r="I812" s="221" t="n"/>
    </row>
    <row r="813" ht="15" customHeight="1" s="131">
      <c r="A813" s="220" t="n"/>
      <c r="B813" s="222" t="n"/>
      <c r="C813" s="222" t="n"/>
      <c r="D813" s="220" t="n"/>
      <c r="E813" s="220" t="n"/>
      <c r="F813" s="181" t="n"/>
      <c r="G813" s="219" t="n"/>
      <c r="H813" s="220" t="n"/>
      <c r="I813" s="221" t="n"/>
    </row>
    <row r="814" ht="15" customHeight="1" s="131">
      <c r="A814" s="220" t="n"/>
      <c r="B814" s="222" t="n"/>
      <c r="C814" s="222" t="n"/>
      <c r="D814" s="220" t="n"/>
      <c r="E814" s="220" t="n"/>
      <c r="F814" s="181" t="n"/>
      <c r="G814" s="219" t="n"/>
      <c r="H814" s="220" t="n"/>
      <c r="I814" s="221" t="n"/>
    </row>
    <row r="815" ht="15" customHeight="1" s="131">
      <c r="A815" s="220" t="n"/>
      <c r="B815" s="222" t="n"/>
      <c r="C815" s="222" t="n"/>
      <c r="D815" s="220" t="n"/>
      <c r="E815" s="220" t="n"/>
      <c r="F815" s="181" t="n"/>
      <c r="G815" s="219" t="n"/>
      <c r="H815" s="220" t="n"/>
      <c r="I815" s="221" t="n"/>
    </row>
    <row r="816" ht="15" customHeight="1" s="131">
      <c r="A816" s="220" t="n"/>
      <c r="B816" s="222" t="n"/>
      <c r="C816" s="222" t="n"/>
      <c r="D816" s="220" t="n"/>
      <c r="E816" s="220" t="n"/>
      <c r="F816" s="181" t="n"/>
      <c r="G816" s="219" t="n"/>
      <c r="H816" s="220" t="n"/>
      <c r="I816" s="221" t="n"/>
    </row>
    <row r="817" ht="15" customHeight="1" s="131">
      <c r="A817" s="220" t="n"/>
      <c r="B817" s="222" t="n"/>
      <c r="C817" s="222" t="n"/>
      <c r="D817" s="220" t="n"/>
      <c r="E817" s="220" t="n"/>
      <c r="F817" s="181" t="n"/>
      <c r="G817" s="219" t="n"/>
      <c r="H817" s="220" t="n"/>
      <c r="I817" s="221" t="n"/>
    </row>
    <row r="818" ht="15" customHeight="1" s="131">
      <c r="A818" s="220" t="n"/>
      <c r="B818" s="222" t="n"/>
      <c r="C818" s="222" t="n"/>
      <c r="D818" s="220" t="n"/>
      <c r="E818" s="220" t="n"/>
      <c r="F818" s="181" t="n"/>
      <c r="G818" s="219" t="n"/>
      <c r="H818" s="220" t="n"/>
      <c r="I818" s="221" t="n"/>
    </row>
    <row r="819" ht="15" customHeight="1" s="131">
      <c r="A819" s="220" t="n"/>
      <c r="B819" s="222" t="n"/>
      <c r="C819" s="222" t="n"/>
      <c r="D819" s="220" t="n"/>
      <c r="E819" s="220" t="n"/>
      <c r="F819" s="181" t="n"/>
      <c r="G819" s="219" t="n"/>
      <c r="H819" s="220" t="n"/>
      <c r="I819" s="221" t="n"/>
    </row>
    <row r="820" ht="15" customHeight="1" s="131">
      <c r="A820" s="220" t="n"/>
      <c r="B820" s="222" t="n"/>
      <c r="C820" s="222" t="n"/>
      <c r="D820" s="220" t="n"/>
      <c r="E820" s="220" t="n"/>
      <c r="F820" s="181" t="n"/>
      <c r="G820" s="219" t="n"/>
      <c r="H820" s="220" t="n"/>
      <c r="I820" s="221" t="n"/>
    </row>
    <row r="821" ht="15" customHeight="1" s="131">
      <c r="A821" s="220" t="n"/>
      <c r="B821" s="222" t="n"/>
      <c r="C821" s="222" t="n"/>
      <c r="D821" s="220" t="n"/>
      <c r="E821" s="220" t="n"/>
      <c r="F821" s="181" t="n"/>
      <c r="G821" s="219" t="n"/>
      <c r="H821" s="220" t="n"/>
      <c r="I821" s="221" t="n"/>
    </row>
    <row r="822" ht="15" customHeight="1" s="131">
      <c r="A822" s="220" t="n"/>
      <c r="B822" s="222" t="n"/>
      <c r="C822" s="222" t="n"/>
      <c r="D822" s="220" t="n"/>
      <c r="E822" s="220" t="n"/>
      <c r="F822" s="181" t="n"/>
      <c r="G822" s="219" t="n"/>
      <c r="H822" s="220" t="n"/>
      <c r="I822" s="221" t="n"/>
    </row>
    <row r="823" ht="15" customHeight="1" s="131">
      <c r="A823" s="220" t="n"/>
      <c r="B823" s="222" t="n"/>
      <c r="C823" s="222" t="n"/>
      <c r="D823" s="220" t="n"/>
      <c r="E823" s="220" t="n"/>
      <c r="F823" s="181" t="n"/>
      <c r="G823" s="219" t="n"/>
      <c r="H823" s="220" t="n"/>
      <c r="I823" s="221" t="n"/>
    </row>
    <row r="824" ht="15" customHeight="1" s="131">
      <c r="A824" s="220" t="n"/>
      <c r="B824" s="222" t="n"/>
      <c r="C824" s="222" t="n"/>
      <c r="D824" s="220" t="n"/>
      <c r="E824" s="220" t="n"/>
      <c r="F824" s="181" t="n"/>
      <c r="G824" s="219" t="n"/>
      <c r="H824" s="220" t="n"/>
      <c r="I824" s="221" t="n"/>
    </row>
    <row r="825" ht="15" customHeight="1" s="131">
      <c r="A825" s="220" t="n"/>
      <c r="B825" s="222" t="n"/>
      <c r="C825" s="222" t="n"/>
      <c r="D825" s="220" t="n"/>
      <c r="E825" s="220" t="n"/>
      <c r="F825" s="181" t="n"/>
      <c r="G825" s="219" t="n"/>
      <c r="H825" s="220" t="n"/>
      <c r="I825" s="221" t="n"/>
    </row>
    <row r="826" ht="15" customHeight="1" s="131">
      <c r="A826" s="220" t="n"/>
      <c r="B826" s="222" t="n"/>
      <c r="C826" s="222" t="n"/>
      <c r="D826" s="220" t="n"/>
      <c r="E826" s="220" t="n"/>
      <c r="F826" s="181" t="n"/>
      <c r="G826" s="219" t="n"/>
      <c r="H826" s="220" t="n"/>
      <c r="I826" s="221" t="n"/>
    </row>
    <row r="827" ht="15" customHeight="1" s="131">
      <c r="A827" s="220" t="n"/>
      <c r="B827" s="222" t="n"/>
      <c r="C827" s="222" t="n"/>
      <c r="D827" s="220" t="n"/>
      <c r="E827" s="220" t="n"/>
      <c r="F827" s="181" t="n"/>
      <c r="G827" s="219" t="n"/>
      <c r="H827" s="220" t="n"/>
      <c r="I827" s="221" t="n"/>
    </row>
    <row r="828" ht="15" customHeight="1" s="131">
      <c r="A828" s="220" t="n"/>
      <c r="B828" s="222" t="n"/>
      <c r="C828" s="222" t="n"/>
      <c r="D828" s="220" t="n"/>
      <c r="E828" s="220" t="n"/>
      <c r="F828" s="181" t="n"/>
      <c r="G828" s="219" t="n"/>
      <c r="H828" s="220" t="n"/>
      <c r="I828" s="221" t="n"/>
    </row>
    <row r="829" ht="15" customHeight="1" s="131">
      <c r="A829" s="220" t="n"/>
      <c r="B829" s="222" t="n"/>
      <c r="C829" s="222" t="n"/>
      <c r="D829" s="220" t="n"/>
      <c r="E829" s="220" t="n"/>
      <c r="F829" s="181" t="n"/>
      <c r="G829" s="219" t="n"/>
      <c r="H829" s="220" t="n"/>
      <c r="I829" s="221" t="n"/>
    </row>
    <row r="830" ht="15" customHeight="1" s="131">
      <c r="A830" s="220" t="n"/>
      <c r="B830" s="222" t="n"/>
      <c r="C830" s="222" t="n"/>
      <c r="D830" s="220" t="n"/>
      <c r="E830" s="220" t="n"/>
      <c r="F830" s="181" t="n"/>
      <c r="G830" s="219" t="n"/>
      <c r="H830" s="220" t="n"/>
      <c r="I830" s="221" t="n"/>
    </row>
    <row r="831" ht="15" customHeight="1" s="131">
      <c r="A831" s="220" t="n"/>
      <c r="B831" s="222" t="n"/>
      <c r="C831" s="222" t="n"/>
      <c r="D831" s="220" t="n"/>
      <c r="E831" s="220" t="n"/>
      <c r="F831" s="181" t="n"/>
      <c r="G831" s="219" t="n"/>
      <c r="H831" s="220" t="n"/>
      <c r="I831" s="221" t="n"/>
    </row>
    <row r="832" ht="15" customHeight="1" s="131">
      <c r="A832" s="220" t="n"/>
      <c r="B832" s="222" t="n"/>
      <c r="C832" s="222" t="n"/>
      <c r="D832" s="220" t="n"/>
      <c r="E832" s="220" t="n"/>
      <c r="F832" s="181" t="n"/>
      <c r="G832" s="219" t="n"/>
      <c r="H832" s="220" t="n"/>
      <c r="I832" s="221" t="n"/>
    </row>
    <row r="833" ht="15" customHeight="1" s="131">
      <c r="A833" s="220" t="n"/>
      <c r="B833" s="222" t="n"/>
      <c r="C833" s="222" t="n"/>
      <c r="D833" s="220" t="n"/>
      <c r="E833" s="220" t="n"/>
      <c r="F833" s="181" t="n"/>
      <c r="G833" s="219" t="n"/>
      <c r="H833" s="220" t="n"/>
      <c r="I833" s="221" t="n"/>
    </row>
    <row r="834" ht="15" customHeight="1" s="131">
      <c r="A834" s="220" t="n"/>
      <c r="B834" s="222" t="n"/>
      <c r="C834" s="222" t="n"/>
      <c r="D834" s="220" t="n"/>
      <c r="E834" s="220" t="n"/>
      <c r="F834" s="181" t="n"/>
      <c r="G834" s="219" t="n"/>
      <c r="H834" s="220" t="n"/>
      <c r="I834" s="221" t="n"/>
    </row>
    <row r="835" ht="15" customHeight="1" s="131">
      <c r="A835" s="220" t="n"/>
      <c r="B835" s="222" t="n"/>
      <c r="C835" s="222" t="n"/>
      <c r="D835" s="220" t="n"/>
      <c r="E835" s="220" t="n"/>
      <c r="F835" s="181" t="n"/>
      <c r="G835" s="219" t="n"/>
      <c r="H835" s="220" t="n"/>
      <c r="I835" s="221" t="n"/>
    </row>
    <row r="836" ht="15" customHeight="1" s="131">
      <c r="A836" s="220" t="n"/>
      <c r="B836" s="222" t="n"/>
      <c r="C836" s="222" t="n"/>
      <c r="D836" s="220" t="n"/>
      <c r="E836" s="220" t="n"/>
      <c r="F836" s="181" t="n"/>
      <c r="G836" s="219" t="n"/>
      <c r="H836" s="220" t="n"/>
      <c r="I836" s="221" t="n"/>
    </row>
    <row r="837" ht="15" customHeight="1" s="131">
      <c r="A837" s="220" t="n"/>
      <c r="B837" s="222" t="n"/>
      <c r="C837" s="222" t="n"/>
      <c r="D837" s="220" t="n"/>
      <c r="E837" s="220" t="n"/>
      <c r="F837" s="181" t="n"/>
      <c r="G837" s="219" t="n"/>
      <c r="H837" s="220" t="n"/>
      <c r="I837" s="221" t="n"/>
    </row>
    <row r="838" ht="15" customHeight="1" s="131">
      <c r="A838" s="220" t="n"/>
      <c r="B838" s="222" t="n"/>
      <c r="C838" s="222" t="n"/>
      <c r="D838" s="220" t="n"/>
      <c r="E838" s="220" t="n"/>
      <c r="F838" s="181" t="n"/>
      <c r="G838" s="219" t="n"/>
      <c r="H838" s="220" t="n"/>
      <c r="I838" s="221" t="n"/>
    </row>
    <row r="839" ht="15" customHeight="1" s="131">
      <c r="A839" s="220" t="n"/>
      <c r="B839" s="222" t="n"/>
      <c r="C839" s="222" t="n"/>
      <c r="D839" s="220" t="n"/>
      <c r="E839" s="220" t="n"/>
      <c r="F839" s="181" t="n"/>
      <c r="G839" s="219" t="n"/>
      <c r="H839" s="220" t="n"/>
      <c r="I839" s="221" t="n"/>
    </row>
    <row r="840" ht="15" customHeight="1" s="131">
      <c r="A840" s="220" t="n"/>
      <c r="B840" s="222" t="n"/>
      <c r="C840" s="222" t="n"/>
      <c r="D840" s="220" t="n"/>
      <c r="E840" s="220" t="n"/>
      <c r="F840" s="181" t="n"/>
      <c r="G840" s="219" t="n"/>
      <c r="H840" s="220" t="n"/>
      <c r="I840" s="221" t="n"/>
    </row>
    <row r="841" ht="15" customHeight="1" s="131">
      <c r="A841" s="220" t="n"/>
      <c r="B841" s="222" t="n"/>
      <c r="C841" s="222" t="n"/>
      <c r="D841" s="220" t="n"/>
      <c r="E841" s="220" t="n"/>
      <c r="F841" s="181" t="n"/>
      <c r="G841" s="219" t="n"/>
      <c r="H841" s="220" t="n"/>
      <c r="I841" s="221" t="n"/>
    </row>
    <row r="842" ht="15" customHeight="1" s="131">
      <c r="A842" s="220" t="n"/>
      <c r="B842" s="222" t="n"/>
      <c r="C842" s="222" t="n"/>
      <c r="D842" s="220" t="n"/>
      <c r="E842" s="220" t="n"/>
      <c r="F842" s="181" t="n"/>
      <c r="G842" s="219" t="n"/>
      <c r="H842" s="220" t="n"/>
      <c r="I842" s="221" t="n"/>
    </row>
    <row r="843" ht="15" customHeight="1" s="131">
      <c r="A843" s="220" t="n"/>
      <c r="B843" s="222" t="n"/>
      <c r="C843" s="222" t="n"/>
      <c r="D843" s="220" t="n"/>
      <c r="E843" s="220" t="n"/>
      <c r="F843" s="181" t="n"/>
      <c r="G843" s="219" t="n"/>
      <c r="H843" s="220" t="n"/>
      <c r="I843" s="221" t="n"/>
    </row>
    <row r="844" ht="15" customHeight="1" s="131">
      <c r="A844" s="220" t="n"/>
      <c r="B844" s="222" t="n"/>
      <c r="C844" s="222" t="n"/>
      <c r="D844" s="220" t="n"/>
      <c r="E844" s="220" t="n"/>
      <c r="F844" s="181" t="n"/>
      <c r="G844" s="219" t="n"/>
      <c r="H844" s="220" t="n"/>
      <c r="I844" s="221" t="n"/>
    </row>
    <row r="845" ht="15" customHeight="1" s="131">
      <c r="A845" s="220" t="n"/>
      <c r="B845" s="222" t="n"/>
      <c r="C845" s="222" t="n"/>
      <c r="D845" s="220" t="n"/>
      <c r="E845" s="220" t="n"/>
      <c r="F845" s="181" t="n"/>
      <c r="G845" s="219" t="n"/>
      <c r="H845" s="220" t="n"/>
      <c r="I845" s="221" t="n"/>
    </row>
    <row r="846" ht="15" customHeight="1" s="131">
      <c r="A846" s="220" t="n"/>
      <c r="B846" s="222" t="n"/>
      <c r="C846" s="222" t="n"/>
      <c r="D846" s="220" t="n"/>
      <c r="E846" s="220" t="n"/>
      <c r="F846" s="181" t="n"/>
      <c r="G846" s="219" t="n"/>
      <c r="H846" s="220" t="n"/>
      <c r="I846" s="221" t="n"/>
    </row>
    <row r="847" ht="15" customHeight="1" s="131">
      <c r="A847" s="220" t="n"/>
      <c r="B847" s="222" t="n"/>
      <c r="C847" s="222" t="n"/>
      <c r="D847" s="220" t="n"/>
      <c r="E847" s="220" t="n"/>
      <c r="F847" s="181" t="n"/>
      <c r="G847" s="219" t="n"/>
      <c r="H847" s="220" t="n"/>
      <c r="I847" s="221" t="n"/>
    </row>
    <row r="848" ht="15" customHeight="1" s="131">
      <c r="A848" s="220" t="n"/>
      <c r="B848" s="222" t="n"/>
      <c r="C848" s="222" t="n"/>
      <c r="D848" s="220" t="n"/>
      <c r="E848" s="220" t="n"/>
      <c r="F848" s="181" t="n"/>
      <c r="G848" s="219" t="n"/>
      <c r="H848" s="220" t="n"/>
      <c r="I848" s="221" t="n"/>
    </row>
    <row r="849" ht="15" customHeight="1" s="131">
      <c r="A849" s="220" t="n"/>
      <c r="B849" s="222" t="n"/>
      <c r="C849" s="222" t="n"/>
      <c r="D849" s="220" t="n"/>
      <c r="E849" s="220" t="n"/>
      <c r="F849" s="181" t="n"/>
      <c r="G849" s="219" t="n"/>
      <c r="H849" s="220" t="n"/>
      <c r="I849" s="221" t="n"/>
    </row>
    <row r="850" ht="15" customHeight="1" s="131">
      <c r="A850" s="220" t="n"/>
      <c r="B850" s="222" t="n"/>
      <c r="C850" s="222" t="n"/>
      <c r="D850" s="220" t="n"/>
      <c r="E850" s="220" t="n"/>
      <c r="F850" s="181" t="n"/>
      <c r="G850" s="219" t="n"/>
      <c r="H850" s="220" t="n"/>
      <c r="I850" s="221" t="n"/>
    </row>
    <row r="851" ht="15" customHeight="1" s="131">
      <c r="A851" s="220" t="n"/>
      <c r="B851" s="222" t="n"/>
      <c r="C851" s="222" t="n"/>
      <c r="D851" s="220" t="n"/>
      <c r="E851" s="220" t="n"/>
      <c r="F851" s="181" t="n"/>
      <c r="G851" s="219" t="n"/>
      <c r="H851" s="220" t="n"/>
      <c r="I851" s="221" t="n"/>
    </row>
    <row r="852" ht="15" customHeight="1" s="131">
      <c r="A852" s="220" t="n"/>
      <c r="B852" s="222" t="n"/>
      <c r="C852" s="222" t="n"/>
      <c r="D852" s="220" t="n"/>
      <c r="E852" s="220" t="n"/>
      <c r="F852" s="181" t="n"/>
      <c r="G852" s="219" t="n"/>
      <c r="H852" s="220" t="n"/>
      <c r="I852" s="221" t="n"/>
    </row>
    <row r="853" ht="15" customHeight="1" s="131">
      <c r="A853" s="220" t="n"/>
      <c r="B853" s="222" t="n"/>
      <c r="C853" s="222" t="n"/>
      <c r="D853" s="220" t="n"/>
      <c r="E853" s="220" t="n"/>
      <c r="F853" s="181" t="n"/>
      <c r="G853" s="219" t="n"/>
      <c r="H853" s="220" t="n"/>
      <c r="I853" s="221" t="n"/>
    </row>
    <row r="854" ht="15" customHeight="1" s="131">
      <c r="A854" s="220" t="n"/>
      <c r="B854" s="222" t="n"/>
      <c r="C854" s="222" t="n"/>
      <c r="D854" s="220" t="n"/>
      <c r="E854" s="220" t="n"/>
      <c r="F854" s="181" t="n"/>
      <c r="G854" s="219" t="n"/>
      <c r="H854" s="220" t="n"/>
      <c r="I854" s="221" t="n"/>
    </row>
    <row r="855" ht="15" customHeight="1" s="131">
      <c r="A855" s="220" t="n"/>
      <c r="B855" s="222" t="n"/>
      <c r="C855" s="222" t="n"/>
      <c r="D855" s="220" t="n"/>
      <c r="E855" s="220" t="n"/>
      <c r="F855" s="181" t="n"/>
      <c r="G855" s="219" t="n"/>
      <c r="H855" s="220" t="n"/>
      <c r="I855" s="221" t="n"/>
    </row>
    <row r="856" ht="15" customHeight="1" s="131">
      <c r="A856" s="220" t="n"/>
      <c r="B856" s="222" t="n"/>
      <c r="C856" s="222" t="n"/>
      <c r="D856" s="220" t="n"/>
      <c r="E856" s="220" t="n"/>
      <c r="F856" s="181" t="n"/>
      <c r="G856" s="219" t="n"/>
      <c r="H856" s="220" t="n"/>
      <c r="I856" s="221" t="n"/>
    </row>
    <row r="857" ht="15" customHeight="1" s="131">
      <c r="A857" s="220" t="n"/>
      <c r="B857" s="222" t="n"/>
      <c r="C857" s="222" t="n"/>
      <c r="D857" s="220" t="n"/>
      <c r="E857" s="220" t="n"/>
      <c r="F857" s="181" t="n"/>
      <c r="G857" s="219" t="n"/>
      <c r="H857" s="220" t="n"/>
      <c r="I857" s="221" t="n"/>
    </row>
    <row r="858" ht="15" customHeight="1" s="131">
      <c r="A858" s="220" t="n"/>
      <c r="B858" s="222" t="n"/>
      <c r="C858" s="222" t="n"/>
      <c r="D858" s="220" t="n"/>
      <c r="E858" s="220" t="n"/>
      <c r="F858" s="181" t="n"/>
      <c r="G858" s="219" t="n"/>
      <c r="H858" s="220" t="n"/>
      <c r="I858" s="221" t="n"/>
    </row>
    <row r="859" ht="15" customHeight="1" s="131">
      <c r="A859" s="220" t="n"/>
      <c r="B859" s="222" t="n"/>
      <c r="C859" s="222" t="n"/>
      <c r="D859" s="220" t="n"/>
      <c r="E859" s="220" t="n"/>
      <c r="F859" s="181" t="n"/>
      <c r="G859" s="219" t="n"/>
      <c r="H859" s="220" t="n"/>
      <c r="I859" s="221" t="n"/>
    </row>
    <row r="860" ht="15" customHeight="1" s="131">
      <c r="A860" s="220" t="n"/>
      <c r="B860" s="222" t="n"/>
      <c r="C860" s="222" t="n"/>
      <c r="D860" s="220" t="n"/>
      <c r="E860" s="220" t="n"/>
      <c r="F860" s="181" t="n"/>
      <c r="G860" s="219" t="n"/>
      <c r="H860" s="220" t="n"/>
      <c r="I860" s="221" t="n"/>
    </row>
    <row r="861" ht="15" customHeight="1" s="131">
      <c r="A861" s="220" t="n"/>
      <c r="B861" s="222" t="n"/>
      <c r="C861" s="222" t="n"/>
      <c r="D861" s="220" t="n"/>
      <c r="E861" s="220" t="n"/>
      <c r="F861" s="181" t="n"/>
      <c r="G861" s="219" t="n"/>
      <c r="H861" s="220" t="n"/>
      <c r="I861" s="221" t="n"/>
    </row>
    <row r="862" ht="15" customHeight="1" s="131">
      <c r="A862" s="220" t="n"/>
      <c r="B862" s="222" t="n"/>
      <c r="C862" s="222" t="n"/>
      <c r="D862" s="220" t="n"/>
      <c r="E862" s="220" t="n"/>
      <c r="F862" s="181" t="n"/>
      <c r="G862" s="219" t="n"/>
      <c r="H862" s="220" t="n"/>
      <c r="I862" s="221" t="n"/>
    </row>
    <row r="863" ht="15" customHeight="1" s="131">
      <c r="A863" s="220" t="n"/>
      <c r="B863" s="222" t="n"/>
      <c r="C863" s="222" t="n"/>
      <c r="D863" s="220" t="n"/>
      <c r="E863" s="220" t="n"/>
      <c r="F863" s="181" t="n"/>
      <c r="G863" s="219" t="n"/>
      <c r="H863" s="220" t="n"/>
      <c r="I863" s="221" t="n"/>
    </row>
    <row r="864" ht="15" customHeight="1" s="131">
      <c r="A864" s="220" t="n"/>
      <c r="B864" s="222" t="n"/>
      <c r="C864" s="222" t="n"/>
      <c r="D864" s="220" t="n"/>
      <c r="E864" s="220" t="n"/>
      <c r="F864" s="181" t="n"/>
      <c r="G864" s="219" t="n"/>
      <c r="H864" s="220" t="n"/>
      <c r="I864" s="221" t="n"/>
    </row>
    <row r="865" ht="15" customHeight="1" s="131">
      <c r="A865" s="220" t="n"/>
      <c r="B865" s="222" t="n"/>
      <c r="C865" s="222" t="n"/>
      <c r="D865" s="220" t="n"/>
      <c r="E865" s="220" t="n"/>
      <c r="F865" s="181" t="n"/>
      <c r="G865" s="219" t="n"/>
      <c r="H865" s="220" t="n"/>
      <c r="I865" s="221" t="n"/>
    </row>
    <row r="866" ht="15" customHeight="1" s="131">
      <c r="A866" s="220" t="n"/>
      <c r="B866" s="222" t="n"/>
      <c r="C866" s="222" t="n"/>
      <c r="D866" s="220" t="n"/>
      <c r="E866" s="220" t="n"/>
      <c r="F866" s="181" t="n"/>
      <c r="G866" s="219" t="n"/>
      <c r="H866" s="220" t="n"/>
      <c r="I866" s="221" t="n"/>
    </row>
    <row r="867" ht="15" customHeight="1" s="131">
      <c r="A867" s="220" t="n"/>
      <c r="B867" s="222" t="n"/>
      <c r="C867" s="222" t="n"/>
      <c r="D867" s="220" t="n"/>
      <c r="E867" s="220" t="n"/>
      <c r="F867" s="181" t="n"/>
      <c r="G867" s="219" t="n"/>
      <c r="H867" s="220" t="n"/>
      <c r="I867" s="221" t="n"/>
    </row>
    <row r="868" ht="15" customHeight="1" s="131">
      <c r="A868" s="220" t="n"/>
      <c r="B868" s="222" t="n"/>
      <c r="C868" s="222" t="n"/>
      <c r="D868" s="220" t="n"/>
      <c r="E868" s="220" t="n"/>
      <c r="F868" s="181" t="n"/>
      <c r="G868" s="219" t="n"/>
      <c r="H868" s="220" t="n"/>
      <c r="I868" s="221" t="n"/>
    </row>
    <row r="869" ht="15" customHeight="1" s="131">
      <c r="A869" s="220" t="n"/>
      <c r="B869" s="222" t="n"/>
      <c r="C869" s="222" t="n"/>
      <c r="D869" s="220" t="n"/>
      <c r="E869" s="220" t="n"/>
      <c r="F869" s="181" t="n"/>
      <c r="G869" s="219" t="n"/>
      <c r="H869" s="220" t="n"/>
      <c r="I869" s="221" t="n"/>
    </row>
    <row r="870" ht="15" customHeight="1" s="131">
      <c r="A870" s="220" t="n"/>
      <c r="B870" s="222" t="n"/>
      <c r="C870" s="222" t="n"/>
      <c r="D870" s="220" t="n"/>
      <c r="E870" s="220" t="n"/>
      <c r="F870" s="181" t="n"/>
      <c r="G870" s="219" t="n"/>
      <c r="H870" s="220" t="n"/>
      <c r="I870" s="221" t="n"/>
    </row>
    <row r="871" ht="15" customHeight="1" s="131">
      <c r="A871" s="220" t="n"/>
      <c r="B871" s="222" t="n"/>
      <c r="C871" s="222" t="n"/>
      <c r="D871" s="220" t="n"/>
      <c r="E871" s="220" t="n"/>
      <c r="F871" s="181" t="n"/>
      <c r="G871" s="219" t="n"/>
      <c r="H871" s="220" t="n"/>
      <c r="I871" s="221" t="n"/>
    </row>
    <row r="872" ht="15" customHeight="1" s="131">
      <c r="A872" s="220" t="n"/>
      <c r="B872" s="222" t="n"/>
      <c r="C872" s="222" t="n"/>
      <c r="D872" s="220" t="n"/>
      <c r="E872" s="220" t="n"/>
      <c r="F872" s="181" t="n"/>
      <c r="G872" s="219" t="n"/>
      <c r="H872" s="220" t="n"/>
      <c r="I872" s="221" t="n"/>
    </row>
    <row r="873" ht="15" customHeight="1" s="131">
      <c r="A873" s="220" t="n"/>
      <c r="B873" s="222" t="n"/>
      <c r="C873" s="222" t="n"/>
      <c r="D873" s="220" t="n"/>
      <c r="E873" s="220" t="n"/>
      <c r="F873" s="181" t="n"/>
      <c r="G873" s="219" t="n"/>
      <c r="H873" s="220" t="n"/>
      <c r="I873" s="221" t="n"/>
    </row>
    <row r="874" ht="15" customHeight="1" s="131">
      <c r="A874" s="220" t="n"/>
      <c r="B874" s="222" t="n"/>
      <c r="C874" s="222" t="n"/>
      <c r="D874" s="220" t="n"/>
      <c r="E874" s="220" t="n"/>
      <c r="F874" s="181" t="n"/>
      <c r="G874" s="219" t="n"/>
      <c r="H874" s="220" t="n"/>
      <c r="I874" s="221" t="n"/>
    </row>
    <row r="875" ht="15" customHeight="1" s="131">
      <c r="A875" s="220" t="n"/>
      <c r="B875" s="222" t="n"/>
      <c r="C875" s="222" t="n"/>
      <c r="D875" s="220" t="n"/>
      <c r="E875" s="220" t="n"/>
      <c r="F875" s="181" t="n"/>
      <c r="G875" s="219" t="n"/>
      <c r="H875" s="220" t="n"/>
      <c r="I875" s="221" t="n"/>
    </row>
    <row r="876" ht="15" customHeight="1" s="131">
      <c r="A876" s="220" t="n"/>
      <c r="B876" s="222" t="n"/>
      <c r="C876" s="222" t="n"/>
      <c r="D876" s="220" t="n"/>
      <c r="E876" s="220" t="n"/>
      <c r="F876" s="181" t="n"/>
      <c r="G876" s="219" t="n"/>
      <c r="H876" s="220" t="n"/>
      <c r="I876" s="221" t="n"/>
    </row>
    <row r="877" ht="15" customHeight="1" s="131">
      <c r="A877" s="220" t="n"/>
      <c r="B877" s="222" t="n"/>
      <c r="C877" s="222" t="n"/>
      <c r="D877" s="220" t="n"/>
      <c r="E877" s="220" t="n"/>
      <c r="F877" s="181" t="n"/>
      <c r="G877" s="219" t="n"/>
      <c r="H877" s="220" t="n"/>
      <c r="I877" s="221" t="n"/>
    </row>
    <row r="878" ht="15" customHeight="1" s="131">
      <c r="A878" s="220" t="n"/>
      <c r="B878" s="222" t="n"/>
      <c r="C878" s="222" t="n"/>
      <c r="D878" s="220" t="n"/>
      <c r="E878" s="220" t="n"/>
      <c r="F878" s="181" t="n"/>
      <c r="G878" s="219" t="n"/>
      <c r="H878" s="220" t="n"/>
      <c r="I878" s="221" t="n"/>
    </row>
    <row r="879" ht="15" customHeight="1" s="131">
      <c r="A879" s="220" t="n"/>
      <c r="B879" s="222" t="n"/>
      <c r="C879" s="222" t="n"/>
      <c r="D879" s="220" t="n"/>
      <c r="E879" s="220" t="n"/>
      <c r="F879" s="181" t="n"/>
      <c r="G879" s="219" t="n"/>
      <c r="H879" s="220" t="n"/>
      <c r="I879" s="221" t="n"/>
    </row>
    <row r="880" ht="15" customHeight="1" s="131">
      <c r="A880" s="220" t="n"/>
      <c r="B880" s="222" t="n"/>
      <c r="C880" s="222" t="n"/>
      <c r="D880" s="220" t="n"/>
      <c r="E880" s="220" t="n"/>
      <c r="F880" s="181" t="n"/>
      <c r="G880" s="219" t="n"/>
      <c r="H880" s="220" t="n"/>
      <c r="I880" s="221" t="n"/>
    </row>
    <row r="881" ht="15" customHeight="1" s="131">
      <c r="A881" s="220" t="n"/>
      <c r="B881" s="222" t="n"/>
      <c r="C881" s="222" t="n"/>
      <c r="D881" s="220" t="n"/>
      <c r="E881" s="220" t="n"/>
      <c r="F881" s="181" t="n"/>
      <c r="G881" s="219" t="n"/>
      <c r="H881" s="220" t="n"/>
      <c r="I881" s="221" t="n"/>
    </row>
    <row r="882" ht="15" customHeight="1" s="131">
      <c r="A882" s="220" t="n"/>
      <c r="B882" s="222" t="n"/>
      <c r="C882" s="222" t="n"/>
      <c r="D882" s="220" t="n"/>
      <c r="E882" s="220" t="n"/>
      <c r="F882" s="181" t="n"/>
      <c r="G882" s="219" t="n"/>
      <c r="H882" s="220" t="n"/>
      <c r="I882" s="221" t="n"/>
    </row>
    <row r="883" ht="15" customHeight="1" s="131">
      <c r="A883" s="220" t="n"/>
      <c r="B883" s="222" t="n"/>
      <c r="C883" s="222" t="n"/>
      <c r="D883" s="220" t="n"/>
      <c r="E883" s="220" t="n"/>
      <c r="F883" s="181" t="n"/>
      <c r="G883" s="219" t="n"/>
      <c r="H883" s="220" t="n"/>
      <c r="I883" s="221" t="n"/>
    </row>
    <row r="884" ht="15" customHeight="1" s="131">
      <c r="A884" s="220" t="n"/>
      <c r="B884" s="222" t="n"/>
      <c r="C884" s="222" t="n"/>
      <c r="D884" s="220" t="n"/>
      <c r="E884" s="220" t="n"/>
      <c r="F884" s="181" t="n"/>
      <c r="G884" s="219" t="n"/>
      <c r="H884" s="220" t="n"/>
      <c r="I884" s="221" t="n"/>
    </row>
    <row r="885" ht="15" customHeight="1" s="131">
      <c r="A885" s="220" t="n"/>
      <c r="B885" s="222" t="n"/>
      <c r="C885" s="222" t="n"/>
      <c r="D885" s="220" t="n"/>
      <c r="E885" s="220" t="n"/>
      <c r="F885" s="181" t="n"/>
      <c r="G885" s="219" t="n"/>
      <c r="H885" s="220" t="n"/>
      <c r="I885" s="221" t="n"/>
    </row>
    <row r="886" ht="15" customHeight="1" s="131">
      <c r="A886" s="220" t="n"/>
      <c r="B886" s="222" t="n"/>
      <c r="C886" s="222" t="n"/>
      <c r="D886" s="220" t="n"/>
      <c r="E886" s="220" t="n"/>
      <c r="F886" s="181" t="n"/>
      <c r="G886" s="219" t="n"/>
      <c r="H886" s="220" t="n"/>
      <c r="I886" s="221" t="n"/>
    </row>
    <row r="887" ht="15" customHeight="1" s="131">
      <c r="A887" s="220" t="n"/>
      <c r="B887" s="222" t="n"/>
      <c r="C887" s="222" t="n"/>
      <c r="D887" s="220" t="n"/>
      <c r="E887" s="220" t="n"/>
      <c r="F887" s="181" t="n"/>
      <c r="G887" s="219" t="n"/>
      <c r="H887" s="220" t="n"/>
      <c r="I887" s="221" t="n"/>
    </row>
    <row r="888" ht="15" customHeight="1" s="131">
      <c r="A888" s="220" t="n"/>
      <c r="B888" s="222" t="n"/>
      <c r="C888" s="222" t="n"/>
      <c r="D888" s="220" t="n"/>
      <c r="E888" s="220" t="n"/>
      <c r="F888" s="181" t="n"/>
      <c r="G888" s="219" t="n"/>
      <c r="H888" s="220" t="n"/>
      <c r="I888" s="221" t="n"/>
    </row>
    <row r="889" ht="15" customHeight="1" s="131">
      <c r="A889" s="220" t="n"/>
      <c r="B889" s="222" t="n"/>
      <c r="C889" s="222" t="n"/>
      <c r="D889" s="220" t="n"/>
      <c r="E889" s="220" t="n"/>
      <c r="F889" s="181" t="n"/>
      <c r="G889" s="219" t="n"/>
      <c r="H889" s="220" t="n"/>
      <c r="I889" s="221" t="n"/>
    </row>
    <row r="890" ht="15" customHeight="1" s="131">
      <c r="A890" s="220" t="n"/>
      <c r="B890" s="222" t="n"/>
      <c r="C890" s="222" t="n"/>
      <c r="D890" s="220" t="n"/>
      <c r="E890" s="220" t="n"/>
      <c r="F890" s="181" t="n"/>
      <c r="G890" s="219" t="n"/>
      <c r="H890" s="220" t="n"/>
      <c r="I890" s="221" t="n"/>
    </row>
    <row r="891" ht="15" customHeight="1" s="131">
      <c r="A891" s="220" t="n"/>
      <c r="B891" s="222" t="n"/>
      <c r="C891" s="222" t="n"/>
      <c r="D891" s="220" t="n"/>
      <c r="E891" s="220" t="n"/>
      <c r="F891" s="181" t="n"/>
      <c r="G891" s="219" t="n"/>
      <c r="H891" s="220" t="n"/>
      <c r="I891" s="221" t="n"/>
    </row>
    <row r="892" ht="15" customHeight="1" s="131">
      <c r="A892" s="220" t="n"/>
      <c r="B892" s="222" t="n"/>
      <c r="C892" s="222" t="n"/>
      <c r="D892" s="220" t="n"/>
      <c r="E892" s="220" t="n"/>
      <c r="F892" s="181" t="n"/>
      <c r="G892" s="219" t="n"/>
      <c r="H892" s="220" t="n"/>
      <c r="I892" s="221" t="n"/>
    </row>
    <row r="893" ht="15" customHeight="1" s="131">
      <c r="A893" s="220" t="n"/>
      <c r="B893" s="222" t="n"/>
      <c r="C893" s="222" t="n"/>
      <c r="D893" s="220" t="n"/>
      <c r="E893" s="220" t="n"/>
      <c r="F893" s="181" t="n"/>
      <c r="G893" s="219" t="n"/>
      <c r="H893" s="220" t="n"/>
      <c r="I893" s="221" t="n"/>
    </row>
    <row r="894" ht="15" customHeight="1" s="131">
      <c r="A894" s="220" t="n"/>
      <c r="B894" s="222" t="n"/>
      <c r="C894" s="222" t="n"/>
      <c r="D894" s="220" t="n"/>
      <c r="E894" s="220" t="n"/>
      <c r="F894" s="181" t="n"/>
      <c r="G894" s="219" t="n"/>
      <c r="H894" s="220" t="n"/>
      <c r="I894" s="221" t="n"/>
    </row>
    <row r="895" ht="15" customHeight="1" s="131">
      <c r="A895" s="220" t="n"/>
      <c r="B895" s="222" t="n"/>
      <c r="C895" s="222" t="n"/>
      <c r="D895" s="220" t="n"/>
      <c r="E895" s="220" t="n"/>
      <c r="F895" s="181" t="n"/>
      <c r="G895" s="219" t="n"/>
      <c r="H895" s="220" t="n"/>
      <c r="I895" s="221" t="n"/>
    </row>
    <row r="896" ht="15" customHeight="1" s="131">
      <c r="A896" s="220" t="n"/>
      <c r="B896" s="222" t="n"/>
      <c r="C896" s="222" t="n"/>
      <c r="D896" s="220" t="n"/>
      <c r="E896" s="220" t="n"/>
      <c r="F896" s="181" t="n"/>
      <c r="G896" s="219" t="n"/>
      <c r="H896" s="220" t="n"/>
      <c r="I896" s="221" t="n"/>
    </row>
    <row r="897" ht="15" customHeight="1" s="131">
      <c r="A897" s="220" t="n"/>
      <c r="B897" s="222" t="n"/>
      <c r="C897" s="222" t="n"/>
      <c r="D897" s="220" t="n"/>
      <c r="E897" s="220" t="n"/>
      <c r="F897" s="181" t="n"/>
      <c r="G897" s="219" t="n"/>
      <c r="H897" s="220" t="n"/>
      <c r="I897" s="221" t="n"/>
    </row>
    <row r="898" ht="15" customHeight="1" s="131">
      <c r="A898" s="220" t="n"/>
      <c r="B898" s="222" t="n"/>
      <c r="C898" s="222" t="n"/>
      <c r="D898" s="220" t="n"/>
      <c r="E898" s="220" t="n"/>
      <c r="F898" s="181" t="n"/>
      <c r="G898" s="219" t="n"/>
      <c r="H898" s="220" t="n"/>
      <c r="I898" s="221" t="n"/>
    </row>
    <row r="899" ht="15" customHeight="1" s="131">
      <c r="A899" s="220" t="n"/>
      <c r="B899" s="222" t="n"/>
      <c r="C899" s="222" t="n"/>
      <c r="D899" s="220" t="n"/>
      <c r="E899" s="220" t="n"/>
      <c r="F899" s="181" t="n"/>
      <c r="G899" s="219" t="n"/>
      <c r="H899" s="220" t="n"/>
      <c r="I899" s="221" t="n"/>
    </row>
    <row r="900" ht="15" customHeight="1" s="131">
      <c r="A900" s="220" t="n"/>
      <c r="B900" s="222" t="n"/>
      <c r="C900" s="222" t="n"/>
      <c r="D900" s="220" t="n"/>
      <c r="E900" s="220" t="n"/>
      <c r="F900" s="181" t="n"/>
      <c r="G900" s="219" t="n"/>
      <c r="H900" s="220" t="n"/>
      <c r="I900" s="221" t="n"/>
    </row>
    <row r="901" ht="15" customHeight="1" s="131">
      <c r="A901" s="220" t="n"/>
      <c r="B901" s="222" t="n"/>
      <c r="C901" s="222" t="n"/>
      <c r="D901" s="220" t="n"/>
      <c r="E901" s="220" t="n"/>
      <c r="F901" s="181" t="n"/>
      <c r="G901" s="219" t="n"/>
      <c r="H901" s="220" t="n"/>
      <c r="I901" s="221" t="n"/>
    </row>
    <row r="902" ht="15" customHeight="1" s="131">
      <c r="A902" s="220" t="n"/>
      <c r="B902" s="222" t="n"/>
      <c r="C902" s="222" t="n"/>
      <c r="D902" s="220" t="n"/>
      <c r="E902" s="220" t="n"/>
      <c r="F902" s="181" t="n"/>
      <c r="G902" s="219" t="n"/>
      <c r="H902" s="220" t="n"/>
      <c r="I902" s="221" t="n"/>
    </row>
    <row r="903" ht="15" customHeight="1" s="131">
      <c r="A903" s="220" t="n"/>
      <c r="B903" s="222" t="n"/>
      <c r="C903" s="222" t="n"/>
      <c r="D903" s="220" t="n"/>
      <c r="E903" s="220" t="n"/>
      <c r="F903" s="181" t="n"/>
      <c r="G903" s="219" t="n"/>
      <c r="H903" s="220" t="n"/>
      <c r="I903" s="221" t="n"/>
    </row>
    <row r="904" ht="15" customHeight="1" s="131">
      <c r="A904" s="220" t="n"/>
      <c r="B904" s="222" t="n"/>
      <c r="C904" s="222" t="n"/>
      <c r="D904" s="220" t="n"/>
      <c r="E904" s="220" t="n"/>
      <c r="F904" s="181" t="n"/>
      <c r="G904" s="219" t="n"/>
      <c r="H904" s="220" t="n"/>
      <c r="I904" s="221" t="n"/>
    </row>
    <row r="905" ht="15" customHeight="1" s="131">
      <c r="A905" s="220" t="n"/>
      <c r="B905" s="222" t="n"/>
      <c r="C905" s="222" t="n"/>
      <c r="D905" s="220" t="n"/>
      <c r="E905" s="220" t="n"/>
      <c r="F905" s="181" t="n"/>
      <c r="G905" s="219" t="n"/>
      <c r="H905" s="220" t="n"/>
      <c r="I905" s="221" t="n"/>
    </row>
    <row r="906" ht="15" customHeight="1" s="131">
      <c r="A906" s="220" t="n"/>
      <c r="B906" s="222" t="n"/>
      <c r="C906" s="222" t="n"/>
      <c r="D906" s="220" t="n"/>
      <c r="E906" s="220" t="n"/>
      <c r="F906" s="181" t="n"/>
      <c r="G906" s="219" t="n"/>
      <c r="H906" s="220" t="n"/>
      <c r="I906" s="221" t="n"/>
    </row>
    <row r="907" ht="15" customHeight="1" s="131">
      <c r="A907" s="220" t="n"/>
      <c r="B907" s="222" t="n"/>
      <c r="C907" s="222" t="n"/>
      <c r="D907" s="220" t="n"/>
      <c r="E907" s="220" t="n"/>
      <c r="F907" s="181" t="n"/>
      <c r="G907" s="219" t="n"/>
      <c r="H907" s="220" t="n"/>
      <c r="I907" s="221" t="n"/>
    </row>
    <row r="908" ht="15" customHeight="1" s="131">
      <c r="A908" s="220" t="n"/>
      <c r="B908" s="222" t="n"/>
      <c r="C908" s="222" t="n"/>
      <c r="D908" s="220" t="n"/>
      <c r="E908" s="220" t="n"/>
      <c r="F908" s="181" t="n"/>
      <c r="G908" s="219" t="n"/>
      <c r="H908" s="220" t="n"/>
      <c r="I908" s="221" t="n"/>
    </row>
    <row r="909" ht="15" customHeight="1" s="131">
      <c r="A909" s="220" t="n"/>
      <c r="B909" s="222" t="n"/>
      <c r="C909" s="222" t="n"/>
      <c r="D909" s="220" t="n"/>
      <c r="E909" s="220" t="n"/>
      <c r="F909" s="181" t="n"/>
      <c r="G909" s="219" t="n"/>
      <c r="H909" s="220" t="n"/>
      <c r="I909" s="221" t="n"/>
    </row>
    <row r="910" ht="15" customHeight="1" s="131">
      <c r="A910" s="220" t="n"/>
      <c r="B910" s="222" t="n"/>
      <c r="C910" s="222" t="n"/>
      <c r="D910" s="220" t="n"/>
      <c r="E910" s="220" t="n"/>
      <c r="F910" s="181" t="n"/>
      <c r="G910" s="219" t="n"/>
      <c r="H910" s="220" t="n"/>
      <c r="I910" s="221" t="n"/>
    </row>
    <row r="911" ht="15" customHeight="1" s="131">
      <c r="A911" s="220" t="n"/>
      <c r="B911" s="222" t="n"/>
      <c r="C911" s="222" t="n"/>
      <c r="D911" s="220" t="n"/>
      <c r="E911" s="220" t="n"/>
      <c r="F911" s="181" t="n"/>
      <c r="G911" s="219" t="n"/>
      <c r="H911" s="220" t="n"/>
      <c r="I911" s="221" t="n"/>
    </row>
    <row r="912" ht="15" customHeight="1" s="131">
      <c r="A912" s="220" t="n"/>
      <c r="B912" s="222" t="n"/>
      <c r="C912" s="222" t="n"/>
      <c r="D912" s="220" t="n"/>
      <c r="E912" s="220" t="n"/>
      <c r="F912" s="181" t="n"/>
      <c r="G912" s="219" t="n"/>
      <c r="H912" s="220" t="n"/>
      <c r="I912" s="221" t="n"/>
    </row>
    <row r="913" ht="15" customHeight="1" s="131">
      <c r="A913" s="220" t="n"/>
      <c r="B913" s="222" t="n"/>
      <c r="C913" s="222" t="n"/>
      <c r="D913" s="220" t="n"/>
      <c r="E913" s="220" t="n"/>
      <c r="F913" s="181" t="n"/>
      <c r="G913" s="219" t="n"/>
      <c r="H913" s="220" t="n"/>
      <c r="I913" s="221" t="n"/>
    </row>
    <row r="914" ht="15" customHeight="1" s="131">
      <c r="A914" s="220" t="n"/>
      <c r="B914" s="222" t="n"/>
      <c r="C914" s="222" t="n"/>
      <c r="D914" s="220" t="n"/>
      <c r="E914" s="220" t="n"/>
      <c r="F914" s="181" t="n"/>
      <c r="G914" s="219" t="n"/>
      <c r="H914" s="220" t="n"/>
      <c r="I914" s="221" t="n"/>
    </row>
    <row r="915" ht="15" customHeight="1" s="131">
      <c r="A915" s="220" t="n"/>
      <c r="B915" s="222" t="n"/>
      <c r="C915" s="222" t="n"/>
      <c r="D915" s="220" t="n"/>
      <c r="E915" s="220" t="n"/>
      <c r="F915" s="181" t="n"/>
      <c r="G915" s="219" t="n"/>
      <c r="H915" s="220" t="n"/>
      <c r="I915" s="221" t="n"/>
    </row>
    <row r="916" ht="15" customHeight="1" s="131">
      <c r="A916" s="220" t="n"/>
      <c r="B916" s="222" t="n"/>
      <c r="C916" s="222" t="n"/>
      <c r="D916" s="220" t="n"/>
      <c r="E916" s="220" t="n"/>
      <c r="F916" s="181" t="n"/>
      <c r="G916" s="219" t="n"/>
      <c r="H916" s="220" t="n"/>
      <c r="I916" s="221" t="n"/>
    </row>
    <row r="917" ht="15" customHeight="1" s="131">
      <c r="A917" s="220" t="n"/>
      <c r="B917" s="222" t="n"/>
      <c r="C917" s="222" t="n"/>
      <c r="D917" s="220" t="n"/>
      <c r="E917" s="220" t="n"/>
      <c r="F917" s="181" t="n"/>
      <c r="G917" s="219" t="n"/>
      <c r="H917" s="220" t="n"/>
      <c r="I917" s="221" t="n"/>
    </row>
    <row r="918" ht="15" customHeight="1" s="131">
      <c r="A918" s="220" t="n"/>
      <c r="B918" s="222" t="n"/>
      <c r="C918" s="222" t="n"/>
      <c r="D918" s="220" t="n"/>
      <c r="E918" s="220" t="n"/>
      <c r="F918" s="181" t="n"/>
      <c r="G918" s="219" t="n"/>
      <c r="H918" s="220" t="n"/>
      <c r="I918" s="221" t="n"/>
    </row>
    <row r="919" ht="15" customHeight="1" s="131">
      <c r="A919" s="220" t="n"/>
      <c r="B919" s="222" t="n"/>
      <c r="C919" s="222" t="n"/>
      <c r="D919" s="220" t="n"/>
      <c r="E919" s="220" t="n"/>
      <c r="F919" s="181" t="n"/>
      <c r="G919" s="219" t="n"/>
      <c r="H919" s="220" t="n"/>
      <c r="I919" s="221" t="n"/>
    </row>
    <row r="920" ht="15" customHeight="1" s="131">
      <c r="A920" s="220" t="n"/>
      <c r="B920" s="222" t="n"/>
      <c r="C920" s="222" t="n"/>
      <c r="D920" s="220" t="n"/>
      <c r="E920" s="220" t="n"/>
      <c r="F920" s="181" t="n"/>
      <c r="G920" s="219" t="n"/>
      <c r="H920" s="220" t="n"/>
      <c r="I920" s="221" t="n"/>
    </row>
    <row r="921" ht="15" customHeight="1" s="131">
      <c r="A921" s="220" t="n"/>
      <c r="B921" s="222" t="n"/>
      <c r="C921" s="222" t="n"/>
      <c r="D921" s="220" t="n"/>
      <c r="E921" s="220" t="n"/>
      <c r="F921" s="181" t="n"/>
      <c r="G921" s="219" t="n"/>
      <c r="H921" s="220" t="n"/>
      <c r="I921" s="221" t="n"/>
    </row>
    <row r="922" ht="15" customHeight="1" s="131">
      <c r="A922" s="220" t="n"/>
      <c r="B922" s="222" t="n"/>
      <c r="C922" s="222" t="n"/>
      <c r="D922" s="220" t="n"/>
      <c r="E922" s="220" t="n"/>
      <c r="F922" s="181" t="n"/>
      <c r="G922" s="219" t="n"/>
      <c r="H922" s="220" t="n"/>
      <c r="I922" s="221" t="n"/>
    </row>
    <row r="923" ht="15" customHeight="1" s="131">
      <c r="A923" s="220" t="n"/>
      <c r="B923" s="222" t="n"/>
      <c r="C923" s="222" t="n"/>
      <c r="D923" s="220" t="n"/>
      <c r="E923" s="220" t="n"/>
      <c r="F923" s="181" t="n"/>
      <c r="G923" s="219" t="n"/>
      <c r="H923" s="220" t="n"/>
      <c r="I923" s="221" t="n"/>
    </row>
    <row r="924" ht="15" customHeight="1" s="131">
      <c r="A924" s="220" t="n"/>
      <c r="B924" s="222" t="n"/>
      <c r="C924" s="222" t="n"/>
      <c r="D924" s="220" t="n"/>
      <c r="E924" s="220" t="n"/>
      <c r="F924" s="181" t="n"/>
      <c r="G924" s="219" t="n"/>
      <c r="H924" s="220" t="n"/>
      <c r="I924" s="221" t="n"/>
    </row>
    <row r="925" ht="15" customHeight="1" s="131">
      <c r="A925" s="220" t="n"/>
      <c r="B925" s="222" t="n"/>
      <c r="C925" s="222" t="n"/>
      <c r="D925" s="220" t="n"/>
      <c r="E925" s="220" t="n"/>
      <c r="F925" s="181" t="n"/>
      <c r="G925" s="219" t="n"/>
      <c r="H925" s="220" t="n"/>
      <c r="I925" s="221" t="n"/>
    </row>
    <row r="926" ht="15" customHeight="1" s="131">
      <c r="A926" s="220" t="n"/>
      <c r="B926" s="222" t="n"/>
      <c r="C926" s="222" t="n"/>
      <c r="D926" s="220" t="n"/>
      <c r="E926" s="220" t="n"/>
      <c r="F926" s="181" t="n"/>
      <c r="G926" s="219" t="n"/>
      <c r="H926" s="220" t="n"/>
      <c r="I926" s="221" t="n"/>
    </row>
    <row r="927" ht="15" customHeight="1" s="131">
      <c r="A927" s="220" t="n"/>
      <c r="B927" s="222" t="n"/>
      <c r="C927" s="222" t="n"/>
      <c r="D927" s="220" t="n"/>
      <c r="E927" s="220" t="n"/>
      <c r="F927" s="181" t="n"/>
      <c r="G927" s="219" t="n"/>
      <c r="H927" s="220" t="n"/>
      <c r="I927" s="221" t="n"/>
    </row>
    <row r="928" ht="15" customHeight="1" s="131">
      <c r="A928" s="220" t="n"/>
      <c r="B928" s="222" t="n"/>
      <c r="C928" s="222" t="n"/>
      <c r="D928" s="220" t="n"/>
      <c r="E928" s="220" t="n"/>
      <c r="F928" s="181" t="n"/>
      <c r="G928" s="219" t="n"/>
      <c r="H928" s="220" t="n"/>
      <c r="I928" s="221" t="n"/>
    </row>
    <row r="929" ht="15" customHeight="1" s="131">
      <c r="A929" s="220" t="n"/>
      <c r="B929" s="222" t="n"/>
      <c r="C929" s="222" t="n"/>
      <c r="D929" s="220" t="n"/>
      <c r="E929" s="220" t="n"/>
      <c r="F929" s="181" t="n"/>
      <c r="G929" s="219" t="n"/>
      <c r="H929" s="220" t="n"/>
      <c r="I929" s="221" t="n"/>
    </row>
    <row r="930" ht="15" customHeight="1" s="131">
      <c r="A930" s="220" t="n"/>
      <c r="B930" s="222" t="n"/>
      <c r="C930" s="222" t="n"/>
      <c r="D930" s="220" t="n"/>
      <c r="E930" s="220" t="n"/>
      <c r="F930" s="181" t="n"/>
      <c r="G930" s="219" t="n"/>
      <c r="H930" s="220" t="n"/>
      <c r="I930" s="221" t="n"/>
    </row>
    <row r="931" ht="15" customHeight="1" s="131">
      <c r="A931" s="220" t="n"/>
      <c r="B931" s="222" t="n"/>
      <c r="C931" s="222" t="n"/>
      <c r="D931" s="220" t="n"/>
      <c r="E931" s="220" t="n"/>
      <c r="F931" s="181" t="n"/>
      <c r="G931" s="219" t="n"/>
      <c r="H931" s="220" t="n"/>
      <c r="I931" s="221" t="n"/>
    </row>
    <row r="932" ht="15" customHeight="1" s="131">
      <c r="A932" s="220" t="n"/>
      <c r="B932" s="222" t="n"/>
      <c r="C932" s="222" t="n"/>
      <c r="D932" s="220" t="n"/>
      <c r="E932" s="220" t="n"/>
      <c r="F932" s="181" t="n"/>
      <c r="G932" s="219" t="n"/>
      <c r="H932" s="220" t="n"/>
      <c r="I932" s="221" t="n"/>
    </row>
    <row r="933" ht="15" customHeight="1" s="131">
      <c r="A933" s="220" t="n"/>
      <c r="B933" s="222" t="n"/>
      <c r="C933" s="222" t="n"/>
      <c r="D933" s="220" t="n"/>
      <c r="E933" s="220" t="n"/>
      <c r="F933" s="181" t="n"/>
      <c r="G933" s="219" t="n"/>
      <c r="H933" s="220" t="n"/>
      <c r="I933" s="221" t="n"/>
    </row>
    <row r="934" ht="15" customHeight="1" s="131">
      <c r="A934" s="220" t="n"/>
      <c r="B934" s="222" t="n"/>
      <c r="C934" s="222" t="n"/>
      <c r="D934" s="220" t="n"/>
      <c r="E934" s="220" t="n"/>
      <c r="F934" s="181" t="n"/>
      <c r="G934" s="219" t="n"/>
      <c r="H934" s="220" t="n"/>
      <c r="I934" s="221" t="n"/>
    </row>
    <row r="935" ht="15" customHeight="1" s="131">
      <c r="A935" s="220" t="n"/>
      <c r="B935" s="222" t="n"/>
      <c r="C935" s="222" t="n"/>
      <c r="D935" s="220" t="n"/>
      <c r="E935" s="220" t="n"/>
      <c r="F935" s="181" t="n"/>
      <c r="G935" s="219" t="n"/>
      <c r="H935" s="220" t="n"/>
      <c r="I935" s="221" t="n"/>
    </row>
    <row r="936" ht="15" customHeight="1" s="131">
      <c r="A936" s="220" t="n"/>
      <c r="B936" s="222" t="n"/>
      <c r="C936" s="222" t="n"/>
      <c r="D936" s="220" t="n"/>
      <c r="E936" s="220" t="n"/>
      <c r="F936" s="181" t="n"/>
      <c r="G936" s="219" t="n"/>
      <c r="H936" s="220" t="n"/>
      <c r="I936" s="221" t="n"/>
    </row>
    <row r="937" ht="15" customHeight="1" s="131">
      <c r="A937" s="220" t="n"/>
      <c r="B937" s="222" t="n"/>
      <c r="C937" s="222" t="n"/>
      <c r="D937" s="220" t="n"/>
      <c r="E937" s="220" t="n"/>
      <c r="F937" s="181" t="n"/>
      <c r="G937" s="219" t="n"/>
      <c r="H937" s="220" t="n"/>
      <c r="I937" s="221" t="n"/>
    </row>
    <row r="938" ht="15" customHeight="1" s="131">
      <c r="A938" s="220" t="n"/>
      <c r="B938" s="222" t="n"/>
      <c r="C938" s="222" t="n"/>
      <c r="D938" s="220" t="n"/>
      <c r="E938" s="220" t="n"/>
      <c r="F938" s="181" t="n"/>
      <c r="G938" s="219" t="n"/>
      <c r="H938" s="220" t="n"/>
      <c r="I938" s="221" t="n"/>
    </row>
    <row r="939" ht="15" customHeight="1" s="131">
      <c r="A939" s="220" t="n"/>
      <c r="B939" s="222" t="n"/>
      <c r="C939" s="222" t="n"/>
      <c r="D939" s="220" t="n"/>
      <c r="E939" s="220" t="n"/>
      <c r="F939" s="181" t="n"/>
      <c r="G939" s="219" t="n"/>
      <c r="H939" s="220" t="n"/>
      <c r="I939" s="221" t="n"/>
    </row>
    <row r="940" ht="15" customHeight="1" s="131">
      <c r="A940" s="220" t="n"/>
      <c r="B940" s="222" t="n"/>
      <c r="C940" s="222" t="n"/>
      <c r="D940" s="220" t="n"/>
      <c r="E940" s="220" t="n"/>
      <c r="F940" s="181" t="n"/>
      <c r="G940" s="219" t="n"/>
      <c r="H940" s="220" t="n"/>
      <c r="I940" s="221" t="n"/>
    </row>
    <row r="941" ht="15" customHeight="1" s="131">
      <c r="A941" s="220" t="n"/>
      <c r="B941" s="222" t="n"/>
      <c r="C941" s="222" t="n"/>
      <c r="D941" s="220" t="n"/>
      <c r="E941" s="220" t="n"/>
      <c r="F941" s="181" t="n"/>
      <c r="G941" s="219" t="n"/>
      <c r="H941" s="220" t="n"/>
      <c r="I941" s="221" t="n"/>
    </row>
    <row r="942" ht="15" customHeight="1" s="131">
      <c r="A942" s="220" t="n"/>
      <c r="B942" s="222" t="n"/>
      <c r="C942" s="222" t="n"/>
      <c r="D942" s="220" t="n"/>
      <c r="E942" s="220" t="n"/>
      <c r="F942" s="181" t="n"/>
      <c r="G942" s="219" t="n"/>
      <c r="H942" s="220" t="n"/>
      <c r="I942" s="221" t="n"/>
    </row>
    <row r="943" ht="15" customHeight="1" s="131">
      <c r="A943" s="220" t="n"/>
      <c r="B943" s="222" t="n"/>
      <c r="C943" s="222" t="n"/>
      <c r="D943" s="220" t="n"/>
      <c r="E943" s="220" t="n"/>
      <c r="F943" s="181" t="n"/>
      <c r="G943" s="219" t="n"/>
      <c r="H943" s="220" t="n"/>
      <c r="I943" s="221" t="n"/>
    </row>
    <row r="944" ht="15" customHeight="1" s="131">
      <c r="A944" s="220" t="n"/>
      <c r="B944" s="222" t="n"/>
      <c r="C944" s="222" t="n"/>
      <c r="D944" s="220" t="n"/>
      <c r="E944" s="220" t="n"/>
      <c r="F944" s="181" t="n"/>
      <c r="G944" s="219" t="n"/>
      <c r="H944" s="220" t="n"/>
      <c r="I944" s="221" t="n"/>
    </row>
    <row r="945" ht="15" customHeight="1" s="131">
      <c r="A945" s="220" t="n"/>
      <c r="B945" s="222" t="n"/>
      <c r="C945" s="222" t="n"/>
      <c r="D945" s="220" t="n"/>
      <c r="E945" s="220" t="n"/>
      <c r="F945" s="181" t="n"/>
      <c r="G945" s="219" t="n"/>
      <c r="H945" s="220" t="n"/>
      <c r="I945" s="221" t="n"/>
    </row>
    <row r="946" ht="15" customHeight="1" s="131">
      <c r="A946" s="220" t="n"/>
      <c r="B946" s="222" t="n"/>
      <c r="C946" s="222" t="n"/>
      <c r="D946" s="220" t="n"/>
      <c r="E946" s="220" t="n"/>
      <c r="F946" s="181" t="n"/>
      <c r="G946" s="219" t="n"/>
      <c r="H946" s="220" t="n"/>
      <c r="I946" s="221" t="n"/>
    </row>
    <row r="947" ht="15" customHeight="1" s="131">
      <c r="A947" s="220" t="n"/>
      <c r="B947" s="222" t="n"/>
      <c r="C947" s="222" t="n"/>
      <c r="D947" s="220" t="n"/>
      <c r="E947" s="220" t="n"/>
      <c r="F947" s="181" t="n"/>
      <c r="G947" s="219" t="n"/>
      <c r="H947" s="220" t="n"/>
      <c r="I947" s="221" t="n"/>
    </row>
    <row r="948" ht="15" customHeight="1" s="131">
      <c r="A948" s="220" t="n"/>
      <c r="B948" s="222" t="n"/>
      <c r="C948" s="222" t="n"/>
      <c r="D948" s="220" t="n"/>
      <c r="E948" s="220" t="n"/>
      <c r="F948" s="181" t="n"/>
      <c r="G948" s="219" t="n"/>
      <c r="H948" s="220" t="n"/>
      <c r="I948" s="221" t="n"/>
    </row>
    <row r="949" ht="15" customHeight="1" s="131">
      <c r="A949" s="220" t="n"/>
      <c r="B949" s="222" t="n"/>
      <c r="C949" s="222" t="n"/>
      <c r="D949" s="220" t="n"/>
      <c r="E949" s="220" t="n"/>
      <c r="F949" s="181" t="n"/>
      <c r="G949" s="219" t="n"/>
      <c r="H949" s="220" t="n"/>
      <c r="I949" s="221" t="n"/>
    </row>
    <row r="950" ht="15" customHeight="1" s="131">
      <c r="A950" s="220" t="n"/>
      <c r="B950" s="222" t="n"/>
      <c r="C950" s="222" t="n"/>
      <c r="D950" s="220" t="n"/>
      <c r="E950" s="220" t="n"/>
      <c r="F950" s="181" t="n"/>
      <c r="G950" s="219" t="n"/>
      <c r="H950" s="220" t="n"/>
      <c r="I950" s="221" t="n"/>
    </row>
    <row r="951" ht="15" customHeight="1" s="131">
      <c r="A951" s="220" t="n"/>
      <c r="B951" s="222" t="n"/>
      <c r="C951" s="222" t="n"/>
      <c r="D951" s="220" t="n"/>
      <c r="E951" s="220" t="n"/>
      <c r="F951" s="181" t="n"/>
      <c r="G951" s="219" t="n"/>
      <c r="H951" s="220" t="n"/>
      <c r="I951" s="221" t="n"/>
    </row>
    <row r="952" ht="15" customHeight="1" s="131">
      <c r="A952" s="220" t="n"/>
      <c r="B952" s="222" t="n"/>
      <c r="C952" s="222" t="n"/>
      <c r="D952" s="220" t="n"/>
      <c r="E952" s="220" t="n"/>
      <c r="F952" s="181" t="n"/>
      <c r="G952" s="219" t="n"/>
      <c r="H952" s="220" t="n"/>
      <c r="I952" s="221" t="n"/>
    </row>
    <row r="953" ht="15" customHeight="1" s="131">
      <c r="A953" s="220" t="n"/>
      <c r="B953" s="222" t="n"/>
      <c r="C953" s="222" t="n"/>
      <c r="D953" s="220" t="n"/>
      <c r="E953" s="220" t="n"/>
      <c r="F953" s="181" t="n"/>
      <c r="G953" s="219" t="n"/>
      <c r="H953" s="220" t="n"/>
      <c r="I953" s="221" t="n"/>
    </row>
    <row r="954" ht="15" customHeight="1" s="131">
      <c r="A954" s="220" t="n"/>
      <c r="B954" s="222" t="n"/>
      <c r="C954" s="222" t="n"/>
      <c r="D954" s="220" t="n"/>
      <c r="E954" s="220" t="n"/>
      <c r="F954" s="181" t="n"/>
      <c r="G954" s="219" t="n"/>
      <c r="H954" s="220" t="n"/>
      <c r="I954" s="221" t="n"/>
    </row>
    <row r="955" ht="15" customHeight="1" s="131">
      <c r="A955" s="220" t="n"/>
      <c r="B955" s="222" t="n"/>
      <c r="C955" s="222" t="n"/>
      <c r="D955" s="220" t="n"/>
      <c r="E955" s="220" t="n"/>
      <c r="F955" s="181" t="n"/>
      <c r="G955" s="219" t="n"/>
      <c r="H955" s="220" t="n"/>
      <c r="I955" s="221" t="n"/>
    </row>
    <row r="956" ht="15" customHeight="1" s="131">
      <c r="A956" s="220" t="n"/>
      <c r="B956" s="222" t="n"/>
      <c r="C956" s="222" t="n"/>
      <c r="D956" s="220" t="n"/>
      <c r="E956" s="220" t="n"/>
      <c r="F956" s="181" t="n"/>
      <c r="G956" s="219" t="n"/>
      <c r="H956" s="220" t="n"/>
      <c r="I956" s="221" t="n"/>
    </row>
    <row r="957" ht="15" customHeight="1" s="131">
      <c r="A957" s="220" t="n"/>
      <c r="B957" s="222" t="n"/>
      <c r="C957" s="222" t="n"/>
      <c r="D957" s="220" t="n"/>
      <c r="E957" s="220" t="n"/>
      <c r="F957" s="181" t="n"/>
      <c r="G957" s="219" t="n"/>
      <c r="H957" s="220" t="n"/>
      <c r="I957" s="221" t="n"/>
    </row>
    <row r="958" ht="15" customHeight="1" s="131">
      <c r="A958" s="220" t="n"/>
      <c r="B958" s="222" t="n"/>
      <c r="C958" s="222" t="n"/>
      <c r="D958" s="220" t="n"/>
      <c r="E958" s="220" t="n"/>
      <c r="F958" s="181" t="n"/>
      <c r="G958" s="219" t="n"/>
      <c r="H958" s="220" t="n"/>
      <c r="I958" s="221" t="n"/>
    </row>
    <row r="959" ht="15" customHeight="1" s="131">
      <c r="A959" s="220" t="n"/>
      <c r="B959" s="222" t="n"/>
      <c r="C959" s="222" t="n"/>
      <c r="D959" s="220" t="n"/>
      <c r="E959" s="220" t="n"/>
      <c r="F959" s="181" t="n"/>
      <c r="G959" s="219" t="n"/>
      <c r="H959" s="220" t="n"/>
      <c r="I959" s="221" t="n"/>
    </row>
    <row r="960" ht="15" customHeight="1" s="131">
      <c r="A960" s="220" t="n"/>
      <c r="B960" s="222" t="n"/>
      <c r="C960" s="222" t="n"/>
      <c r="D960" s="220" t="n"/>
      <c r="E960" s="220" t="n"/>
      <c r="F960" s="181" t="n"/>
      <c r="G960" s="219" t="n"/>
      <c r="H960" s="220" t="n"/>
      <c r="I960" s="221" t="n"/>
    </row>
    <row r="961" ht="15" customHeight="1" s="131">
      <c r="A961" s="220" t="n"/>
      <c r="B961" s="222" t="n"/>
      <c r="C961" s="222" t="n"/>
      <c r="D961" s="220" t="n"/>
      <c r="E961" s="220" t="n"/>
      <c r="F961" s="181" t="n"/>
      <c r="G961" s="219" t="n"/>
      <c r="H961" s="220" t="n"/>
      <c r="I961" s="221" t="n"/>
    </row>
    <row r="962" ht="15" customHeight="1" s="131">
      <c r="A962" s="220" t="n"/>
      <c r="B962" s="222" t="n"/>
      <c r="C962" s="222" t="n"/>
      <c r="D962" s="220" t="n"/>
      <c r="E962" s="220" t="n"/>
      <c r="F962" s="181" t="n"/>
      <c r="G962" s="219" t="n"/>
      <c r="H962" s="220" t="n"/>
      <c r="I962" s="221" t="n"/>
    </row>
    <row r="963" ht="15" customHeight="1" s="131">
      <c r="A963" s="220" t="n"/>
      <c r="B963" s="222" t="n"/>
      <c r="C963" s="222" t="n"/>
      <c r="D963" s="220" t="n"/>
      <c r="E963" s="220" t="n"/>
      <c r="F963" s="181" t="n"/>
      <c r="G963" s="219" t="n"/>
      <c r="H963" s="220" t="n"/>
      <c r="I963" s="221" t="n"/>
    </row>
    <row r="964" ht="15" customHeight="1" s="131">
      <c r="A964" s="220" t="n"/>
      <c r="B964" s="222" t="n"/>
      <c r="C964" s="222" t="n"/>
      <c r="D964" s="220" t="n"/>
      <c r="E964" s="220" t="n"/>
      <c r="F964" s="181" t="n"/>
      <c r="G964" s="219" t="n"/>
      <c r="H964" s="220" t="n"/>
      <c r="I964" s="221" t="n"/>
    </row>
    <row r="965" ht="15" customHeight="1" s="131">
      <c r="A965" s="220" t="n"/>
      <c r="B965" s="222" t="n"/>
      <c r="C965" s="222" t="n"/>
      <c r="D965" s="220" t="n"/>
      <c r="E965" s="220" t="n"/>
      <c r="F965" s="181" t="n"/>
      <c r="G965" s="219" t="n"/>
      <c r="H965" s="220" t="n"/>
      <c r="I965" s="221" t="n"/>
    </row>
    <row r="966" ht="15" customHeight="1" s="131">
      <c r="A966" s="220" t="n"/>
      <c r="B966" s="222" t="n"/>
      <c r="C966" s="222" t="n"/>
      <c r="D966" s="220" t="n"/>
      <c r="E966" s="220" t="n"/>
      <c r="F966" s="181" t="n"/>
      <c r="G966" s="219" t="n"/>
      <c r="H966" s="220" t="n"/>
      <c r="I966" s="221" t="n"/>
    </row>
    <row r="967" ht="15" customHeight="1" s="131">
      <c r="A967" s="220" t="n"/>
      <c r="B967" s="222" t="n"/>
      <c r="C967" s="222" t="n"/>
      <c r="D967" s="220" t="n"/>
      <c r="E967" s="220" t="n"/>
      <c r="F967" s="181" t="n"/>
      <c r="G967" s="219" t="n"/>
      <c r="H967" s="220" t="n"/>
      <c r="I967" s="221" t="n"/>
    </row>
    <row r="968" ht="15" customHeight="1" s="131">
      <c r="A968" s="220" t="n"/>
      <c r="B968" s="222" t="n"/>
      <c r="C968" s="222" t="n"/>
      <c r="D968" s="220" t="n"/>
      <c r="E968" s="220" t="n"/>
      <c r="F968" s="181" t="n"/>
      <c r="G968" s="219" t="n"/>
      <c r="H968" s="220" t="n"/>
      <c r="I968" s="221" t="n"/>
    </row>
    <row r="969" ht="15" customHeight="1" s="131">
      <c r="A969" s="220" t="n"/>
      <c r="B969" s="222" t="n"/>
      <c r="C969" s="222" t="n"/>
      <c r="D969" s="220" t="n"/>
      <c r="E969" s="220" t="n"/>
      <c r="F969" s="181" t="n"/>
      <c r="G969" s="219" t="n"/>
      <c r="H969" s="220" t="n"/>
      <c r="I969" s="221" t="n"/>
    </row>
    <row r="970" ht="15" customHeight="1" s="131">
      <c r="A970" s="220" t="n"/>
      <c r="B970" s="222" t="n"/>
      <c r="C970" s="222" t="n"/>
      <c r="D970" s="220" t="n"/>
      <c r="E970" s="220" t="n"/>
      <c r="F970" s="181" t="n"/>
      <c r="G970" s="219" t="n"/>
      <c r="H970" s="220" t="n"/>
      <c r="I970" s="221" t="n"/>
    </row>
    <row r="971" ht="15" customHeight="1" s="131">
      <c r="A971" s="220" t="n"/>
      <c r="B971" s="222" t="n"/>
      <c r="C971" s="222" t="n"/>
      <c r="D971" s="220" t="n"/>
      <c r="E971" s="220" t="n"/>
      <c r="F971" s="181" t="n"/>
      <c r="G971" s="219" t="n"/>
      <c r="H971" s="220" t="n"/>
      <c r="I971" s="221" t="n"/>
    </row>
    <row r="972" ht="15" customHeight="1" s="131">
      <c r="A972" s="220" t="n"/>
      <c r="B972" s="222" t="n"/>
      <c r="C972" s="222" t="n"/>
      <c r="D972" s="220" t="n"/>
      <c r="E972" s="220" t="n"/>
      <c r="F972" s="181" t="n"/>
      <c r="G972" s="219" t="n"/>
      <c r="H972" s="220" t="n"/>
      <c r="I972" s="221" t="n"/>
    </row>
    <row r="973" ht="15" customHeight="1" s="131">
      <c r="A973" s="220" t="n"/>
      <c r="B973" s="222" t="n"/>
      <c r="C973" s="222" t="n"/>
      <c r="D973" s="220" t="n"/>
      <c r="E973" s="220" t="n"/>
      <c r="F973" s="181" t="n"/>
      <c r="G973" s="219" t="n"/>
      <c r="H973" s="220" t="n"/>
      <c r="I973" s="221" t="n"/>
    </row>
    <row r="974" ht="15" customHeight="1" s="131">
      <c r="A974" s="220" t="n"/>
      <c r="B974" s="222" t="n"/>
      <c r="C974" s="222" t="n"/>
      <c r="D974" s="220" t="n"/>
      <c r="E974" s="220" t="n"/>
      <c r="F974" s="181" t="n"/>
      <c r="G974" s="219" t="n"/>
      <c r="H974" s="220" t="n"/>
      <c r="I974" s="221" t="n"/>
    </row>
    <row r="975" ht="15" customHeight="1" s="131">
      <c r="A975" s="220" t="n"/>
      <c r="B975" s="222" t="n"/>
      <c r="C975" s="222" t="n"/>
      <c r="D975" s="220" t="n"/>
      <c r="E975" s="220" t="n"/>
      <c r="F975" s="181" t="n"/>
      <c r="G975" s="219" t="n"/>
      <c r="H975" s="220" t="n"/>
      <c r="I975" s="221" t="n"/>
    </row>
    <row r="976" ht="15" customHeight="1" s="131">
      <c r="A976" s="220" t="n"/>
      <c r="B976" s="222" t="n"/>
      <c r="C976" s="222" t="n"/>
      <c r="D976" s="220" t="n"/>
      <c r="E976" s="220" t="n"/>
      <c r="F976" s="181" t="n"/>
      <c r="G976" s="219" t="n"/>
      <c r="H976" s="220" t="n"/>
      <c r="I976" s="221" t="n"/>
    </row>
    <row r="977" ht="15" customHeight="1" s="131">
      <c r="A977" s="220" t="n"/>
      <c r="B977" s="222" t="n"/>
      <c r="C977" s="222" t="n"/>
      <c r="D977" s="220" t="n"/>
      <c r="E977" s="220" t="n"/>
      <c r="F977" s="181" t="n"/>
      <c r="G977" s="219" t="n"/>
      <c r="H977" s="220" t="n"/>
      <c r="I977" s="221" t="n"/>
    </row>
    <row r="978" ht="15" customHeight="1" s="131">
      <c r="A978" s="220" t="n"/>
      <c r="B978" s="222" t="n"/>
      <c r="C978" s="222" t="n"/>
      <c r="D978" s="220" t="n"/>
      <c r="E978" s="220" t="n"/>
      <c r="F978" s="181" t="n"/>
      <c r="G978" s="219" t="n"/>
      <c r="H978" s="220" t="n"/>
      <c r="I978" s="221" t="n"/>
    </row>
    <row r="979" ht="15" customHeight="1" s="131">
      <c r="A979" s="220" t="n"/>
      <c r="B979" s="222" t="n"/>
      <c r="C979" s="222" t="n"/>
      <c r="D979" s="220" t="n"/>
      <c r="E979" s="220" t="n"/>
      <c r="F979" s="181" t="n"/>
      <c r="G979" s="219" t="n"/>
      <c r="H979" s="220" t="n"/>
      <c r="I979" s="221" t="n"/>
    </row>
    <row r="980" ht="15" customHeight="1" s="131">
      <c r="A980" s="220" t="n"/>
      <c r="B980" s="222" t="n"/>
      <c r="C980" s="222" t="n"/>
      <c r="D980" s="220" t="n"/>
      <c r="E980" s="220" t="n"/>
      <c r="F980" s="181" t="n"/>
      <c r="G980" s="219" t="n"/>
      <c r="H980" s="220" t="n"/>
      <c r="I980" s="221" t="n"/>
    </row>
    <row r="981" ht="15" customHeight="1" s="131">
      <c r="A981" s="220" t="n"/>
      <c r="B981" s="222" t="n"/>
      <c r="C981" s="222" t="n"/>
      <c r="D981" s="220" t="n"/>
      <c r="E981" s="220" t="n"/>
      <c r="F981" s="181" t="n"/>
      <c r="G981" s="219" t="n"/>
      <c r="H981" s="220" t="n"/>
      <c r="I981" s="221" t="n"/>
    </row>
    <row r="982" ht="15" customHeight="1" s="131">
      <c r="A982" s="220" t="n"/>
      <c r="B982" s="222" t="n"/>
      <c r="C982" s="222" t="n"/>
      <c r="D982" s="220" t="n"/>
      <c r="E982" s="220" t="n"/>
      <c r="F982" s="181" t="n"/>
      <c r="G982" s="219" t="n"/>
      <c r="H982" s="220" t="n"/>
      <c r="I982" s="221" t="n"/>
    </row>
    <row r="983" ht="15" customHeight="1" s="131">
      <c r="A983" s="220" t="n"/>
      <c r="B983" s="222" t="n"/>
      <c r="C983" s="222" t="n"/>
      <c r="D983" s="220" t="n"/>
      <c r="E983" s="220" t="n"/>
      <c r="F983" s="181" t="n"/>
      <c r="G983" s="219" t="n"/>
      <c r="H983" s="220" t="n"/>
      <c r="I983" s="221" t="n"/>
    </row>
    <row r="984" ht="15" customHeight="1" s="131">
      <c r="A984" s="220" t="n"/>
      <c r="B984" s="222" t="n"/>
      <c r="C984" s="222" t="n"/>
      <c r="D984" s="220" t="n"/>
      <c r="E984" s="220" t="n"/>
      <c r="F984" s="181" t="n"/>
      <c r="G984" s="219" t="n"/>
      <c r="H984" s="220" t="n"/>
      <c r="I984" s="221" t="n"/>
    </row>
    <row r="985" ht="15" customHeight="1" s="131">
      <c r="A985" s="220" t="n"/>
      <c r="B985" s="222" t="n"/>
      <c r="C985" s="222" t="n"/>
      <c r="D985" s="220" t="n"/>
      <c r="E985" s="220" t="n"/>
      <c r="F985" s="181" t="n"/>
      <c r="G985" s="219" t="n"/>
      <c r="H985" s="220" t="n"/>
      <c r="I985" s="221" t="n"/>
    </row>
    <row r="986" ht="15" customHeight="1" s="131">
      <c r="A986" s="220" t="n"/>
      <c r="B986" s="222" t="n"/>
      <c r="C986" s="222" t="n"/>
      <c r="D986" s="220" t="n"/>
      <c r="E986" s="220" t="n"/>
      <c r="F986" s="181" t="n"/>
      <c r="G986" s="219" t="n"/>
      <c r="H986" s="220" t="n"/>
      <c r="I986" s="221" t="n"/>
    </row>
    <row r="987" ht="15" customHeight="1" s="131">
      <c r="A987" s="220" t="n"/>
      <c r="B987" s="222" t="n"/>
      <c r="C987" s="222" t="n"/>
      <c r="D987" s="220" t="n"/>
      <c r="E987" s="220" t="n"/>
      <c r="F987" s="181" t="n"/>
      <c r="G987" s="219" t="n"/>
      <c r="H987" s="220" t="n"/>
      <c r="I987" s="221" t="n"/>
    </row>
    <row r="988" ht="15" customHeight="1" s="131">
      <c r="A988" s="220" t="n"/>
      <c r="B988" s="222" t="n"/>
      <c r="C988" s="222" t="n"/>
      <c r="D988" s="220" t="n"/>
      <c r="E988" s="220" t="n"/>
      <c r="F988" s="181" t="n"/>
      <c r="G988" s="219" t="n"/>
      <c r="H988" s="220" t="n"/>
      <c r="I988" s="221" t="n"/>
    </row>
    <row r="989" ht="15" customHeight="1" s="131">
      <c r="A989" s="220" t="n"/>
      <c r="B989" s="222" t="n"/>
      <c r="C989" s="222" t="n"/>
      <c r="D989" s="220" t="n"/>
      <c r="E989" s="220" t="n"/>
      <c r="F989" s="181" t="n"/>
      <c r="G989" s="219" t="n"/>
      <c r="H989" s="220" t="n"/>
      <c r="I989" s="221" t="n"/>
    </row>
    <row r="990" ht="15" customHeight="1" s="131">
      <c r="A990" s="220" t="n"/>
      <c r="B990" s="222" t="n"/>
      <c r="C990" s="222" t="n"/>
      <c r="D990" s="220" t="n"/>
      <c r="E990" s="220" t="n"/>
      <c r="F990" s="181" t="n"/>
      <c r="G990" s="219" t="n"/>
      <c r="H990" s="220" t="n"/>
      <c r="I990" s="221" t="n"/>
    </row>
    <row r="991" ht="15" customHeight="1" s="131">
      <c r="A991" s="220" t="n"/>
      <c r="B991" s="222" t="n"/>
      <c r="C991" s="222" t="n"/>
      <c r="D991" s="220" t="n"/>
      <c r="E991" s="220" t="n"/>
      <c r="F991" s="181" t="n"/>
      <c r="G991" s="219" t="n"/>
      <c r="H991" s="220" t="n"/>
      <c r="I991" s="221" t="n"/>
    </row>
    <row r="992" ht="15" customHeight="1" s="131">
      <c r="A992" s="220" t="n"/>
      <c r="B992" s="222" t="n"/>
      <c r="C992" s="222" t="n"/>
      <c r="D992" s="220" t="n"/>
      <c r="E992" s="220" t="n"/>
      <c r="F992" s="181" t="n"/>
      <c r="G992" s="219" t="n"/>
      <c r="H992" s="220" t="n"/>
      <c r="I992" s="221" t="n"/>
    </row>
    <row r="993" ht="15" customHeight="1" s="131">
      <c r="A993" s="220" t="n"/>
      <c r="B993" s="222" t="n"/>
      <c r="C993" s="222" t="n"/>
      <c r="D993" s="220" t="n"/>
      <c r="E993" s="220" t="n"/>
      <c r="F993" s="181" t="n"/>
      <c r="G993" s="219" t="n"/>
      <c r="H993" s="220" t="n"/>
      <c r="I993" s="221" t="n"/>
    </row>
    <row r="994" ht="15" customHeight="1" s="131">
      <c r="A994" s="220" t="n"/>
      <c r="B994" s="222" t="n"/>
      <c r="C994" s="222" t="n"/>
      <c r="D994" s="220" t="n"/>
      <c r="E994" s="220" t="n"/>
      <c r="F994" s="181" t="n"/>
      <c r="G994" s="219" t="n"/>
      <c r="H994" s="220" t="n"/>
      <c r="I994" s="221" t="n"/>
    </row>
    <row r="995" ht="15" customHeight="1" s="131">
      <c r="A995" s="220" t="n"/>
      <c r="B995" s="222" t="n"/>
      <c r="C995" s="222" t="n"/>
      <c r="D995" s="220" t="n"/>
      <c r="E995" s="220" t="n"/>
      <c r="F995" s="181" t="n"/>
      <c r="G995" s="219" t="n"/>
      <c r="H995" s="220" t="n"/>
      <c r="I995" s="221" t="n"/>
    </row>
    <row r="996" ht="15" customHeight="1" s="131">
      <c r="A996" s="220" t="n"/>
      <c r="B996" s="222" t="n"/>
      <c r="C996" s="222" t="n"/>
      <c r="D996" s="220" t="n"/>
      <c r="E996" s="220" t="n"/>
      <c r="F996" s="181" t="n"/>
      <c r="G996" s="219" t="n"/>
      <c r="H996" s="220" t="n"/>
      <c r="I996" s="221" t="n"/>
    </row>
    <row r="997" ht="15" customHeight="1" s="131">
      <c r="A997" s="220" t="n"/>
      <c r="B997" s="222" t="n"/>
      <c r="C997" s="222" t="n"/>
      <c r="D997" s="220" t="n"/>
      <c r="E997" s="220" t="n"/>
      <c r="F997" s="181" t="n"/>
      <c r="G997" s="219" t="n"/>
      <c r="H997" s="220" t="n"/>
      <c r="I997" s="221" t="n"/>
    </row>
    <row r="998" ht="15" customHeight="1" s="131">
      <c r="A998" s="220" t="n"/>
      <c r="B998" s="222" t="n"/>
      <c r="C998" s="222" t="n"/>
      <c r="D998" s="220" t="n"/>
      <c r="E998" s="220" t="n"/>
      <c r="F998" s="181" t="n"/>
      <c r="G998" s="219" t="n"/>
      <c r="H998" s="220" t="n"/>
      <c r="I998" s="221" t="n"/>
    </row>
    <row r="999" ht="15" customHeight="1" s="131">
      <c r="A999" s="220" t="n"/>
      <c r="B999" s="222" t="n"/>
      <c r="C999" s="222" t="n"/>
      <c r="D999" s="220" t="n"/>
      <c r="E999" s="220" t="n"/>
      <c r="F999" s="181" t="n"/>
      <c r="G999" s="219" t="n"/>
      <c r="H999" s="220" t="n"/>
      <c r="I999" s="221" t="n"/>
    </row>
    <row r="1000" ht="15" customHeight="1" s="131">
      <c r="A1000" s="220" t="n"/>
      <c r="B1000" s="222" t="n"/>
      <c r="C1000" s="222" t="n"/>
      <c r="D1000" s="220" t="n"/>
      <c r="E1000" s="220" t="n"/>
      <c r="F1000" s="181" t="n"/>
      <c r="G1000" s="219" t="n"/>
      <c r="H1000" s="220" t="n"/>
      <c r="I1000" s="221" t="n"/>
    </row>
    <row r="1001" ht="15" customHeight="1" s="131">
      <c r="A1001" s="220" t="n"/>
      <c r="B1001" s="222" t="n"/>
      <c r="C1001" s="222" t="n"/>
      <c r="D1001" s="220" t="n"/>
      <c r="E1001" s="220" t="n"/>
      <c r="F1001" s="181" t="n"/>
      <c r="G1001" s="219" t="n"/>
      <c r="H1001" s="220" t="n"/>
      <c r="I1001" s="221" t="n"/>
    </row>
    <row r="1002" ht="15" customHeight="1" s="131">
      <c r="A1002" s="220" t="n"/>
      <c r="B1002" s="222" t="n"/>
      <c r="C1002" s="222" t="n"/>
      <c r="D1002" s="220" t="n"/>
      <c r="E1002" s="220" t="n"/>
      <c r="F1002" s="181" t="n"/>
      <c r="G1002" s="219" t="n"/>
      <c r="H1002" s="220" t="n"/>
      <c r="I1002" s="221" t="n"/>
    </row>
    <row r="1003" ht="15" customHeight="1" s="131">
      <c r="A1003" s="220" t="n"/>
      <c r="B1003" s="222" t="n"/>
      <c r="C1003" s="222" t="n"/>
      <c r="D1003" s="220" t="n"/>
      <c r="E1003" s="220" t="n"/>
      <c r="F1003" s="181" t="n"/>
      <c r="G1003" s="219" t="n"/>
      <c r="H1003" s="220" t="n"/>
      <c r="I1003" s="221" t="n"/>
    </row>
    <row r="1004" ht="15" customHeight="1" s="131">
      <c r="A1004" s="220" t="n"/>
      <c r="B1004" s="222" t="n"/>
      <c r="C1004" s="222" t="n"/>
      <c r="D1004" s="220" t="n"/>
      <c r="E1004" s="220" t="n"/>
      <c r="F1004" s="181" t="n"/>
      <c r="G1004" s="219" t="n"/>
      <c r="H1004" s="220" t="n"/>
      <c r="I1004" s="221" t="n"/>
    </row>
    <row r="1005" ht="15" customHeight="1" s="131">
      <c r="A1005" s="220" t="n"/>
      <c r="B1005" s="222" t="n"/>
      <c r="C1005" s="222" t="n"/>
      <c r="D1005" s="220" t="n"/>
      <c r="E1005" s="220" t="n"/>
      <c r="F1005" s="181" t="n"/>
      <c r="G1005" s="219" t="n"/>
      <c r="H1005" s="220" t="n"/>
      <c r="I1005" s="221" t="n"/>
    </row>
    <row r="1006" ht="15" customHeight="1" s="131">
      <c r="A1006" s="220" t="n"/>
      <c r="B1006" s="222" t="n"/>
      <c r="C1006" s="222" t="n"/>
      <c r="D1006" s="220" t="n"/>
      <c r="E1006" s="220" t="n"/>
      <c r="F1006" s="181" t="n"/>
      <c r="G1006" s="219" t="n"/>
      <c r="H1006" s="220" t="n"/>
      <c r="I1006" s="221" t="n"/>
    </row>
    <row r="1007" ht="15" customHeight="1" s="131">
      <c r="A1007" s="220" t="n"/>
      <c r="B1007" s="222" t="n"/>
      <c r="C1007" s="222" t="n"/>
      <c r="D1007" s="220" t="n"/>
      <c r="E1007" s="220" t="n"/>
      <c r="F1007" s="181" t="n"/>
      <c r="G1007" s="219" t="n"/>
      <c r="H1007" s="220" t="n"/>
      <c r="I1007" s="221" t="n"/>
    </row>
    <row r="1008" ht="15" customHeight="1" s="131">
      <c r="A1008" s="220" t="n"/>
      <c r="B1008" s="222" t="n"/>
      <c r="C1008" s="222" t="n"/>
      <c r="D1008" s="220" t="n"/>
      <c r="E1008" s="220" t="n"/>
      <c r="F1008" s="181" t="n"/>
      <c r="G1008" s="219" t="n"/>
      <c r="H1008" s="220" t="n"/>
      <c r="I1008" s="221" t="n"/>
    </row>
    <row r="1009" ht="15" customHeight="1" s="131">
      <c r="A1009" s="220" t="n"/>
      <c r="B1009" s="222" t="n"/>
      <c r="C1009" s="222" t="n"/>
      <c r="D1009" s="220" t="n"/>
      <c r="E1009" s="220" t="n"/>
      <c r="F1009" s="181" t="n"/>
      <c r="G1009" s="219" t="n"/>
      <c r="H1009" s="220" t="n"/>
      <c r="I1009" s="221" t="n"/>
    </row>
    <row r="1010" ht="15" customHeight="1" s="131">
      <c r="A1010" s="220" t="n"/>
      <c r="B1010" s="222" t="n"/>
      <c r="C1010" s="222" t="n"/>
      <c r="D1010" s="220" t="n"/>
      <c r="E1010" s="220" t="n"/>
      <c r="F1010" s="181" t="n"/>
      <c r="G1010" s="219" t="n"/>
      <c r="H1010" s="220" t="n"/>
      <c r="I1010" s="221" t="n"/>
    </row>
    <row r="1011" ht="15" customHeight="1" s="131">
      <c r="A1011" s="220" t="n"/>
      <c r="B1011" s="222" t="n"/>
      <c r="C1011" s="222" t="n"/>
      <c r="D1011" s="220" t="n"/>
      <c r="E1011" s="220" t="n"/>
      <c r="F1011" s="181" t="n"/>
      <c r="G1011" s="219" t="n"/>
      <c r="H1011" s="220" t="n"/>
      <c r="I1011" s="221" t="n"/>
    </row>
    <row r="1012" ht="15" customHeight="1" s="131">
      <c r="A1012" s="220" t="n"/>
      <c r="B1012" s="222" t="n"/>
      <c r="C1012" s="222" t="n"/>
      <c r="D1012" s="220" t="n"/>
      <c r="E1012" s="220" t="n"/>
      <c r="F1012" s="181" t="n"/>
      <c r="G1012" s="219" t="n"/>
      <c r="H1012" s="220" t="n"/>
      <c r="I1012" s="221" t="n"/>
    </row>
    <row r="1013" ht="15" customHeight="1" s="131">
      <c r="A1013" s="220" t="n"/>
      <c r="B1013" s="222" t="n"/>
      <c r="C1013" s="222" t="n"/>
      <c r="D1013" s="220" t="n"/>
      <c r="E1013" s="220" t="n"/>
      <c r="F1013" s="181" t="n"/>
      <c r="G1013" s="219" t="n"/>
      <c r="H1013" s="220" t="n"/>
      <c r="I1013" s="221" t="n"/>
    </row>
    <row r="1014" ht="15" customHeight="1" s="131">
      <c r="A1014" s="220" t="n"/>
      <c r="B1014" s="222" t="n"/>
      <c r="C1014" s="222" t="n"/>
      <c r="D1014" s="220" t="n"/>
      <c r="E1014" s="220" t="n"/>
      <c r="F1014" s="181" t="n"/>
      <c r="G1014" s="219" t="n"/>
      <c r="H1014" s="220" t="n"/>
      <c r="I1014" s="221" t="n"/>
    </row>
    <row r="1015" ht="15" customHeight="1" s="131">
      <c r="A1015" s="220" t="n"/>
      <c r="B1015" s="222" t="n"/>
      <c r="C1015" s="222" t="n"/>
      <c r="D1015" s="220" t="n"/>
      <c r="E1015" s="220" t="n"/>
      <c r="F1015" s="181" t="n"/>
      <c r="G1015" s="219" t="n"/>
      <c r="H1015" s="220" t="n"/>
      <c r="I1015" s="221" t="n"/>
    </row>
    <row r="1016" ht="15" customHeight="1" s="131">
      <c r="A1016" s="220" t="n"/>
      <c r="B1016" s="222" t="n"/>
      <c r="C1016" s="222" t="n"/>
      <c r="D1016" s="220" t="n"/>
      <c r="E1016" s="220" t="n"/>
      <c r="F1016" s="181" t="n"/>
      <c r="G1016" s="219" t="n"/>
      <c r="H1016" s="220" t="n"/>
      <c r="I1016" s="221" t="n"/>
    </row>
    <row r="1017" ht="15" customHeight="1" s="131">
      <c r="A1017" s="220" t="n"/>
      <c r="B1017" s="222" t="n"/>
      <c r="C1017" s="222" t="n"/>
      <c r="D1017" s="220" t="n"/>
      <c r="E1017" s="220" t="n"/>
      <c r="F1017" s="181" t="n"/>
      <c r="G1017" s="219" t="n"/>
      <c r="H1017" s="220" t="n"/>
      <c r="I1017" s="221" t="n"/>
    </row>
    <row r="1018" ht="15" customHeight="1" s="131">
      <c r="A1018" s="220" t="n"/>
      <c r="B1018" s="222" t="n"/>
      <c r="C1018" s="222" t="n"/>
      <c r="D1018" s="220" t="n"/>
      <c r="E1018" s="220" t="n"/>
      <c r="F1018" s="181" t="n"/>
      <c r="G1018" s="219" t="n"/>
      <c r="H1018" s="220" t="n"/>
      <c r="I1018" s="221" t="n"/>
    </row>
    <row r="1019" ht="15" customHeight="1" s="131">
      <c r="A1019" s="220" t="n"/>
      <c r="B1019" s="222" t="n"/>
      <c r="C1019" s="222" t="n"/>
      <c r="D1019" s="220" t="n"/>
      <c r="E1019" s="220" t="n"/>
      <c r="F1019" s="181" t="n"/>
      <c r="G1019" s="219" t="n"/>
      <c r="H1019" s="220" t="n"/>
      <c r="I1019" s="221" t="n"/>
    </row>
    <row r="1020" ht="15" customHeight="1" s="131">
      <c r="A1020" s="220" t="n"/>
      <c r="B1020" s="222" t="n"/>
      <c r="C1020" s="222" t="n"/>
      <c r="D1020" s="220" t="n"/>
      <c r="E1020" s="220" t="n"/>
      <c r="F1020" s="181" t="n"/>
      <c r="G1020" s="219" t="n"/>
      <c r="H1020" s="220" t="n"/>
      <c r="I1020" s="221" t="n"/>
    </row>
    <row r="1021" ht="15" customHeight="1" s="131">
      <c r="A1021" s="220" t="n"/>
      <c r="B1021" s="222" t="n"/>
      <c r="C1021" s="222" t="n"/>
      <c r="D1021" s="220" t="n"/>
      <c r="E1021" s="220" t="n"/>
      <c r="F1021" s="181" t="n"/>
      <c r="G1021" s="219" t="n"/>
      <c r="H1021" s="220" t="n"/>
      <c r="I1021" s="221" t="n"/>
    </row>
    <row r="1022" ht="15" customHeight="1" s="131">
      <c r="A1022" s="220" t="n"/>
      <c r="B1022" s="222" t="n"/>
      <c r="C1022" s="222" t="n"/>
      <c r="D1022" s="220" t="n"/>
      <c r="E1022" s="220" t="n"/>
      <c r="F1022" s="181" t="n"/>
      <c r="G1022" s="219" t="n"/>
      <c r="H1022" s="220" t="n"/>
      <c r="I1022" s="221" t="n"/>
    </row>
    <row r="1023" ht="15" customHeight="1" s="131">
      <c r="A1023" s="220" t="n"/>
      <c r="B1023" s="222" t="n"/>
      <c r="C1023" s="222" t="n"/>
      <c r="D1023" s="220" t="n"/>
      <c r="E1023" s="220" t="n"/>
      <c r="F1023" s="181" t="n"/>
      <c r="G1023" s="219" t="n"/>
      <c r="H1023" s="220" t="n"/>
      <c r="I1023" s="221" t="n"/>
    </row>
    <row r="1024" ht="15" customHeight="1" s="131">
      <c r="A1024" s="220" t="n"/>
      <c r="B1024" s="222" t="n"/>
      <c r="C1024" s="222" t="n"/>
      <c r="D1024" s="220" t="n"/>
      <c r="E1024" s="220" t="n"/>
      <c r="F1024" s="181" t="n"/>
      <c r="G1024" s="219" t="n"/>
      <c r="H1024" s="220" t="n"/>
      <c r="I1024" s="221" t="n"/>
    </row>
    <row r="1025" ht="15" customHeight="1" s="131">
      <c r="A1025" s="220" t="n"/>
      <c r="B1025" s="222" t="n"/>
      <c r="C1025" s="222" t="n"/>
      <c r="D1025" s="220" t="n"/>
      <c r="E1025" s="220" t="n"/>
      <c r="F1025" s="181" t="n"/>
      <c r="G1025" s="219" t="n"/>
      <c r="H1025" s="220" t="n"/>
      <c r="I1025" s="221" t="n"/>
    </row>
    <row r="1026" ht="15" customHeight="1" s="131">
      <c r="A1026" s="220" t="n"/>
      <c r="B1026" s="222" t="n"/>
      <c r="C1026" s="222" t="n"/>
      <c r="D1026" s="220" t="n"/>
      <c r="E1026" s="220" t="n"/>
      <c r="F1026" s="181" t="n"/>
      <c r="G1026" s="219" t="n"/>
      <c r="H1026" s="220" t="n"/>
      <c r="I1026" s="221" t="n"/>
    </row>
    <row r="1027" ht="15" customHeight="1" s="131">
      <c r="A1027" s="220" t="n"/>
      <c r="B1027" s="222" t="n"/>
      <c r="C1027" s="222" t="n"/>
      <c r="D1027" s="220" t="n"/>
      <c r="E1027" s="220" t="n"/>
      <c r="F1027" s="181" t="n"/>
      <c r="G1027" s="219" t="n"/>
      <c r="H1027" s="220" t="n"/>
      <c r="I1027" s="221" t="n"/>
    </row>
    <row r="1028" ht="15" customHeight="1" s="131">
      <c r="A1028" s="220" t="n"/>
      <c r="B1028" s="222" t="n"/>
      <c r="C1028" s="222" t="n"/>
      <c r="D1028" s="220" t="n"/>
      <c r="E1028" s="220" t="n"/>
      <c r="F1028" s="181" t="n"/>
      <c r="G1028" s="219" t="n"/>
      <c r="H1028" s="220" t="n"/>
      <c r="I1028" s="221" t="n"/>
    </row>
    <row r="1029" ht="15" customHeight="1" s="131">
      <c r="A1029" s="220" t="n"/>
      <c r="B1029" s="222" t="n"/>
      <c r="C1029" s="222" t="n"/>
      <c r="D1029" s="220" t="n"/>
      <c r="E1029" s="220" t="n"/>
      <c r="F1029" s="181" t="n"/>
      <c r="G1029" s="219" t="n"/>
      <c r="H1029" s="220" t="n"/>
      <c r="I1029" s="221" t="n"/>
    </row>
    <row r="1030" ht="15" customHeight="1" s="131">
      <c r="A1030" s="220" t="n"/>
      <c r="B1030" s="222" t="n"/>
      <c r="C1030" s="222" t="n"/>
      <c r="D1030" s="220" t="n"/>
      <c r="E1030" s="220" t="n"/>
      <c r="F1030" s="181" t="n"/>
      <c r="G1030" s="219" t="n"/>
      <c r="H1030" s="220" t="n"/>
      <c r="I1030" s="221" t="n"/>
    </row>
    <row r="1031" ht="15" customHeight="1" s="131">
      <c r="A1031" s="220" t="n"/>
      <c r="B1031" s="222" t="n"/>
      <c r="C1031" s="222" t="n"/>
      <c r="D1031" s="220" t="n"/>
      <c r="E1031" s="220" t="n"/>
      <c r="F1031" s="181" t="n"/>
      <c r="G1031" s="219" t="n"/>
      <c r="H1031" s="220" t="n"/>
      <c r="I1031" s="221" t="n"/>
    </row>
    <row r="1032" ht="15" customHeight="1" s="131">
      <c r="A1032" s="220" t="n"/>
      <c r="B1032" s="222" t="n"/>
      <c r="C1032" s="222" t="n"/>
      <c r="D1032" s="220" t="n"/>
      <c r="E1032" s="220" t="n"/>
      <c r="F1032" s="181" t="n"/>
      <c r="G1032" s="219" t="n"/>
      <c r="H1032" s="220" t="n"/>
      <c r="I1032" s="221" t="n"/>
    </row>
    <row r="1033" ht="15" customHeight="1" s="131">
      <c r="A1033" s="220" t="n"/>
      <c r="B1033" s="222" t="n"/>
      <c r="C1033" s="222" t="n"/>
      <c r="D1033" s="220" t="n"/>
      <c r="E1033" s="220" t="n"/>
      <c r="F1033" s="181" t="n"/>
      <c r="G1033" s="219" t="n"/>
      <c r="H1033" s="220" t="n"/>
      <c r="I1033" s="221" t="n"/>
    </row>
    <row r="1034" ht="15" customHeight="1" s="131">
      <c r="A1034" s="220" t="n"/>
      <c r="B1034" s="222" t="n"/>
      <c r="C1034" s="222" t="n"/>
      <c r="D1034" s="220" t="n"/>
      <c r="E1034" s="220" t="n"/>
      <c r="F1034" s="181" t="n"/>
      <c r="G1034" s="219" t="n"/>
      <c r="H1034" s="220" t="n"/>
      <c r="I1034" s="221" t="n"/>
    </row>
    <row r="1035" ht="15" customHeight="1" s="131">
      <c r="A1035" s="220" t="n"/>
      <c r="B1035" s="222" t="n"/>
      <c r="C1035" s="222" t="n"/>
      <c r="D1035" s="220" t="n"/>
      <c r="E1035" s="220" t="n"/>
      <c r="F1035" s="181" t="n"/>
      <c r="G1035" s="219" t="n"/>
      <c r="H1035" s="220" t="n"/>
      <c r="I1035" s="221" t="n"/>
    </row>
    <row r="1036" ht="15" customHeight="1" s="131">
      <c r="A1036" s="220" t="n"/>
      <c r="B1036" s="222" t="n"/>
      <c r="C1036" s="222" t="n"/>
      <c r="D1036" s="220" t="n"/>
      <c r="E1036" s="220" t="n"/>
      <c r="F1036" s="181" t="n"/>
      <c r="G1036" s="219" t="n"/>
      <c r="H1036" s="220" t="n"/>
      <c r="I1036" s="221" t="n"/>
    </row>
    <row r="1037" ht="15" customHeight="1" s="131">
      <c r="A1037" s="220" t="n"/>
      <c r="B1037" s="222" t="n"/>
      <c r="C1037" s="222" t="n"/>
      <c r="D1037" s="220" t="n"/>
      <c r="E1037" s="220" t="n"/>
      <c r="F1037" s="181" t="n"/>
      <c r="G1037" s="219" t="n"/>
      <c r="H1037" s="220" t="n"/>
      <c r="I1037" s="221" t="n"/>
    </row>
    <row r="1038" ht="15" customHeight="1" s="131">
      <c r="A1038" s="220" t="n"/>
      <c r="B1038" s="222" t="n"/>
      <c r="C1038" s="222" t="n"/>
      <c r="D1038" s="220" t="n"/>
      <c r="E1038" s="220" t="n"/>
      <c r="F1038" s="181" t="n"/>
      <c r="G1038" s="219" t="n"/>
      <c r="H1038" s="220" t="n"/>
      <c r="I1038" s="221" t="n"/>
    </row>
    <row r="1039" ht="15" customHeight="1" s="131">
      <c r="A1039" s="220" t="n"/>
      <c r="B1039" s="222" t="n"/>
      <c r="C1039" s="222" t="n"/>
      <c r="D1039" s="220" t="n"/>
      <c r="E1039" s="220" t="n"/>
      <c r="F1039" s="181" t="n"/>
      <c r="G1039" s="219" t="n"/>
      <c r="H1039" s="220" t="n"/>
      <c r="I1039" s="221" t="n"/>
    </row>
    <row r="1040" ht="15" customHeight="1" s="131">
      <c r="A1040" s="220" t="n"/>
      <c r="B1040" s="222" t="n"/>
      <c r="C1040" s="222" t="n"/>
      <c r="D1040" s="220" t="n"/>
      <c r="E1040" s="220" t="n"/>
      <c r="F1040" s="181" t="n"/>
      <c r="G1040" s="219" t="n"/>
      <c r="H1040" s="220" t="n"/>
      <c r="I1040" s="221" t="n"/>
    </row>
    <row r="1041" ht="15" customHeight="1" s="131">
      <c r="A1041" s="220" t="n"/>
      <c r="B1041" s="222" t="n"/>
      <c r="C1041" s="222" t="n"/>
      <c r="D1041" s="220" t="n"/>
      <c r="E1041" s="220" t="n"/>
      <c r="F1041" s="181" t="n"/>
      <c r="G1041" s="219" t="n"/>
      <c r="H1041" s="220" t="n"/>
      <c r="I1041" s="221" t="n"/>
    </row>
    <row r="1042" ht="15" customHeight="1" s="131">
      <c r="A1042" s="220" t="n"/>
      <c r="B1042" s="222" t="n"/>
      <c r="C1042" s="222" t="n"/>
      <c r="D1042" s="220" t="n"/>
      <c r="E1042" s="220" t="n"/>
      <c r="F1042" s="181" t="n"/>
      <c r="G1042" s="219" t="n"/>
      <c r="H1042" s="220" t="n"/>
      <c r="I1042" s="221" t="n"/>
    </row>
    <row r="1043" ht="15" customHeight="1" s="131">
      <c r="A1043" s="220" t="n"/>
      <c r="B1043" s="222" t="n"/>
      <c r="C1043" s="222" t="n"/>
      <c r="D1043" s="220" t="n"/>
      <c r="E1043" s="220" t="n"/>
      <c r="F1043" s="181" t="n"/>
      <c r="G1043" s="219" t="n"/>
      <c r="H1043" s="220" t="n"/>
      <c r="I1043" s="221" t="n"/>
    </row>
    <row r="1044" ht="15" customHeight="1" s="131">
      <c r="A1044" s="220" t="n"/>
      <c r="B1044" s="222" t="n"/>
      <c r="C1044" s="222" t="n"/>
      <c r="D1044" s="220" t="n"/>
      <c r="E1044" s="220" t="n"/>
      <c r="F1044" s="181" t="n"/>
      <c r="G1044" s="219" t="n"/>
      <c r="H1044" s="220" t="n"/>
      <c r="I1044" s="221" t="n"/>
    </row>
    <row r="1045" ht="15" customHeight="1" s="131">
      <c r="A1045" s="220" t="n"/>
      <c r="B1045" s="222" t="n"/>
      <c r="C1045" s="222" t="n"/>
      <c r="D1045" s="220" t="n"/>
      <c r="E1045" s="220" t="n"/>
      <c r="F1045" s="181" t="n"/>
      <c r="G1045" s="219" t="n"/>
      <c r="H1045" s="220" t="n"/>
      <c r="I1045" s="221" t="n"/>
    </row>
    <row r="1046" ht="15" customHeight="1" s="131">
      <c r="A1046" s="220" t="n"/>
      <c r="B1046" s="222" t="n"/>
      <c r="C1046" s="222" t="n"/>
      <c r="D1046" s="220" t="n"/>
      <c r="E1046" s="220" t="n"/>
      <c r="F1046" s="181" t="n"/>
      <c r="G1046" s="219" t="n"/>
      <c r="H1046" s="220" t="n"/>
      <c r="I1046" s="221" t="n"/>
    </row>
    <row r="1047" ht="15" customHeight="1" s="131">
      <c r="A1047" s="220" t="n"/>
      <c r="B1047" s="222" t="n"/>
      <c r="C1047" s="222" t="n"/>
      <c r="D1047" s="220" t="n"/>
      <c r="E1047" s="220" t="n"/>
      <c r="F1047" s="181" t="n"/>
      <c r="G1047" s="219" t="n"/>
      <c r="H1047" s="220" t="n"/>
      <c r="I1047" s="221" t="n"/>
    </row>
    <row r="1048" ht="15" customHeight="1" s="131">
      <c r="A1048" s="220" t="n"/>
      <c r="B1048" s="222" t="n"/>
      <c r="C1048" s="222" t="n"/>
      <c r="D1048" s="220" t="n"/>
      <c r="E1048" s="220" t="n"/>
      <c r="F1048" s="181" t="n"/>
      <c r="G1048" s="219" t="n"/>
      <c r="H1048" s="220" t="n"/>
      <c r="I1048" s="221" t="n"/>
    </row>
    <row r="1049" ht="15" customHeight="1" s="131">
      <c r="A1049" s="220" t="n"/>
      <c r="B1049" s="222" t="n"/>
      <c r="C1049" s="222" t="n"/>
      <c r="D1049" s="220" t="n"/>
      <c r="E1049" s="220" t="n"/>
      <c r="F1049" s="181" t="n"/>
      <c r="G1049" s="219" t="n"/>
      <c r="H1049" s="220" t="n"/>
      <c r="I1049" s="221" t="n"/>
    </row>
    <row r="1050" ht="15" customHeight="1" s="131">
      <c r="A1050" s="220" t="n"/>
      <c r="B1050" s="222" t="n"/>
      <c r="C1050" s="222" t="n"/>
      <c r="D1050" s="220" t="n"/>
      <c r="E1050" s="220" t="n"/>
      <c r="F1050" s="181" t="n"/>
      <c r="G1050" s="219" t="n"/>
      <c r="H1050" s="220" t="n"/>
      <c r="I1050" s="221" t="n"/>
    </row>
    <row r="1051" ht="15" customHeight="1" s="131">
      <c r="A1051" s="220" t="n"/>
      <c r="B1051" s="222" t="n"/>
      <c r="C1051" s="222" t="n"/>
      <c r="D1051" s="220" t="n"/>
      <c r="E1051" s="220" t="n"/>
      <c r="F1051" s="181" t="n"/>
      <c r="G1051" s="219" t="n"/>
      <c r="H1051" s="220" t="n"/>
      <c r="I1051" s="221" t="n"/>
    </row>
    <row r="1052" ht="15" customHeight="1" s="131">
      <c r="A1052" s="220" t="n"/>
      <c r="B1052" s="222" t="n"/>
      <c r="C1052" s="222" t="n"/>
      <c r="D1052" s="220" t="n"/>
      <c r="E1052" s="220" t="n"/>
      <c r="F1052" s="181" t="n"/>
      <c r="G1052" s="219" t="n"/>
      <c r="H1052" s="220" t="n"/>
      <c r="I1052" s="221" t="n"/>
    </row>
    <row r="1053" ht="15" customHeight="1" s="131">
      <c r="A1053" s="220" t="n"/>
      <c r="B1053" s="222" t="n"/>
      <c r="C1053" s="222" t="n"/>
      <c r="D1053" s="220" t="n"/>
      <c r="E1053" s="220" t="n"/>
      <c r="F1053" s="181" t="n"/>
      <c r="G1053" s="219" t="n"/>
      <c r="H1053" s="220" t="n"/>
      <c r="I1053" s="221" t="n"/>
    </row>
    <row r="1054" ht="15" customHeight="1" s="131">
      <c r="A1054" s="220" t="n"/>
      <c r="B1054" s="222" t="n"/>
      <c r="C1054" s="222" t="n"/>
      <c r="D1054" s="220" t="n"/>
      <c r="E1054" s="220" t="n"/>
      <c r="F1054" s="181" t="n"/>
      <c r="G1054" s="219" t="n"/>
      <c r="H1054" s="220" t="n"/>
      <c r="I1054" s="221" t="n"/>
    </row>
    <row r="1055" ht="15" customHeight="1" s="131">
      <c r="A1055" s="220" t="n"/>
      <c r="B1055" s="222" t="n"/>
      <c r="C1055" s="222" t="n"/>
      <c r="D1055" s="220" t="n"/>
      <c r="E1055" s="220" t="n"/>
      <c r="F1055" s="181" t="n"/>
      <c r="G1055" s="219" t="n"/>
      <c r="H1055" s="220" t="n"/>
      <c r="I1055" s="221" t="n"/>
    </row>
    <row r="1056" ht="15" customHeight="1" s="131">
      <c r="A1056" s="220" t="n"/>
      <c r="B1056" s="222" t="n"/>
      <c r="C1056" s="222" t="n"/>
      <c r="D1056" s="220" t="n"/>
      <c r="E1056" s="220" t="n"/>
      <c r="F1056" s="181" t="n"/>
      <c r="G1056" s="219" t="n"/>
      <c r="H1056" s="220" t="n"/>
      <c r="I1056" s="221" t="n"/>
    </row>
    <row r="1057" ht="15" customHeight="1" s="131">
      <c r="A1057" s="220" t="n"/>
      <c r="B1057" s="222" t="n"/>
      <c r="C1057" s="222" t="n"/>
      <c r="D1057" s="220" t="n"/>
      <c r="E1057" s="220" t="n"/>
      <c r="F1057" s="181" t="n"/>
      <c r="G1057" s="219" t="n"/>
      <c r="H1057" s="220" t="n"/>
      <c r="I1057" s="221" t="n"/>
    </row>
    <row r="1058" ht="15" customHeight="1" s="131">
      <c r="A1058" s="220" t="n"/>
      <c r="B1058" s="222" t="n"/>
      <c r="C1058" s="222" t="n"/>
      <c r="D1058" s="220" t="n"/>
      <c r="E1058" s="220" t="n"/>
      <c r="F1058" s="181" t="n"/>
      <c r="G1058" s="219" t="n"/>
      <c r="H1058" s="220" t="n"/>
      <c r="I1058" s="221" t="n"/>
    </row>
    <row r="1059" ht="15" customHeight="1" s="131">
      <c r="A1059" s="220" t="n"/>
      <c r="B1059" s="222" t="n"/>
      <c r="C1059" s="222" t="n"/>
      <c r="D1059" s="220" t="n"/>
      <c r="E1059" s="220" t="n"/>
      <c r="F1059" s="181" t="n"/>
      <c r="G1059" s="219" t="n"/>
      <c r="H1059" s="220" t="n"/>
      <c r="I1059" s="221" t="n"/>
    </row>
    <row r="1060" ht="15" customHeight="1" s="131">
      <c r="A1060" s="220" t="n"/>
      <c r="B1060" s="222" t="n"/>
      <c r="C1060" s="222" t="n"/>
      <c r="D1060" s="220" t="n"/>
      <c r="E1060" s="220" t="n"/>
      <c r="F1060" s="181" t="n"/>
      <c r="G1060" s="219" t="n"/>
      <c r="H1060" s="220" t="n"/>
      <c r="I1060" s="221" t="n"/>
    </row>
    <row r="1061" ht="15" customHeight="1" s="131">
      <c r="A1061" s="220" t="n"/>
      <c r="B1061" s="222" t="n"/>
      <c r="C1061" s="222" t="n"/>
      <c r="D1061" s="220" t="n"/>
      <c r="E1061" s="220" t="n"/>
      <c r="F1061" s="181" t="n"/>
      <c r="G1061" s="219" t="n"/>
      <c r="H1061" s="220" t="n"/>
      <c r="I1061" s="221" t="n"/>
    </row>
    <row r="1062" ht="15" customHeight="1" s="131">
      <c r="A1062" s="220" t="n"/>
      <c r="B1062" s="222" t="n"/>
      <c r="C1062" s="222" t="n"/>
      <c r="D1062" s="220" t="n"/>
      <c r="E1062" s="220" t="n"/>
      <c r="F1062" s="181" t="n"/>
      <c r="G1062" s="219" t="n"/>
      <c r="H1062" s="220" t="n"/>
      <c r="I1062" s="221" t="n"/>
    </row>
    <row r="1063" ht="15" customHeight="1" s="131">
      <c r="A1063" s="220" t="n"/>
      <c r="B1063" s="222" t="n"/>
      <c r="C1063" s="222" t="n"/>
      <c r="D1063" s="220" t="n"/>
      <c r="E1063" s="220" t="n"/>
      <c r="F1063" s="181" t="n"/>
      <c r="G1063" s="219" t="n"/>
      <c r="H1063" s="220" t="n"/>
      <c r="I1063" s="221" t="n"/>
    </row>
    <row r="1064" ht="15" customHeight="1" s="131">
      <c r="A1064" s="220" t="n"/>
      <c r="B1064" s="222" t="n"/>
      <c r="C1064" s="222" t="n"/>
      <c r="D1064" s="220" t="n"/>
      <c r="E1064" s="220" t="n"/>
      <c r="F1064" s="181" t="n"/>
      <c r="G1064" s="219" t="n"/>
      <c r="H1064" s="220" t="n"/>
      <c r="I1064" s="221" t="n"/>
    </row>
    <row r="1065" ht="15" customHeight="1" s="131">
      <c r="A1065" s="220" t="n"/>
      <c r="B1065" s="222" t="n"/>
      <c r="C1065" s="222" t="n"/>
      <c r="D1065" s="220" t="n"/>
      <c r="E1065" s="220" t="n"/>
      <c r="F1065" s="181" t="n"/>
      <c r="G1065" s="219" t="n"/>
      <c r="H1065" s="220" t="n"/>
      <c r="I1065" s="221" t="n"/>
    </row>
    <row r="1066" ht="15" customHeight="1" s="131">
      <c r="A1066" s="220" t="n"/>
      <c r="B1066" s="222" t="n"/>
      <c r="C1066" s="222" t="n"/>
      <c r="D1066" s="220" t="n"/>
      <c r="E1066" s="220" t="n"/>
      <c r="F1066" s="181" t="n"/>
      <c r="G1066" s="219" t="n"/>
      <c r="H1066" s="220" t="n"/>
      <c r="I1066" s="221" t="n"/>
    </row>
    <row r="1067" ht="15" customHeight="1" s="131">
      <c r="A1067" s="220" t="n"/>
      <c r="B1067" s="222" t="n"/>
      <c r="C1067" s="222" t="n"/>
      <c r="D1067" s="220" t="n"/>
      <c r="E1067" s="220" t="n"/>
      <c r="F1067" s="181" t="n"/>
      <c r="G1067" s="219" t="n"/>
      <c r="H1067" s="220" t="n"/>
      <c r="I1067" s="221" t="n"/>
    </row>
    <row r="1068" ht="15" customHeight="1" s="131">
      <c r="A1068" s="220" t="n"/>
      <c r="B1068" s="222" t="n"/>
      <c r="C1068" s="222" t="n"/>
      <c r="D1068" s="220" t="n"/>
      <c r="E1068" s="220" t="n"/>
      <c r="F1068" s="181" t="n"/>
      <c r="G1068" s="219" t="n"/>
      <c r="H1068" s="220" t="n"/>
      <c r="I1068" s="221" t="n"/>
    </row>
    <row r="1069" ht="15" customHeight="1" s="131">
      <c r="A1069" s="220" t="n"/>
      <c r="B1069" s="222" t="n"/>
      <c r="C1069" s="222" t="n"/>
      <c r="D1069" s="220" t="n"/>
      <c r="E1069" s="220" t="n"/>
      <c r="F1069" s="181" t="n"/>
      <c r="G1069" s="219" t="n"/>
      <c r="H1069" s="220" t="n"/>
      <c r="I1069" s="221" t="n"/>
    </row>
    <row r="1070" ht="15" customHeight="1" s="131">
      <c r="A1070" s="220" t="n"/>
      <c r="B1070" s="222" t="n"/>
      <c r="C1070" s="222" t="n"/>
      <c r="D1070" s="220" t="n"/>
      <c r="E1070" s="220" t="n"/>
      <c r="F1070" s="181" t="n"/>
      <c r="G1070" s="219" t="n"/>
      <c r="H1070" s="220" t="n"/>
      <c r="I1070" s="221" t="n"/>
    </row>
    <row r="1071" ht="15" customHeight="1" s="131">
      <c r="A1071" s="220" t="n"/>
      <c r="B1071" s="222" t="n"/>
      <c r="C1071" s="222" t="n"/>
      <c r="D1071" s="220" t="n"/>
      <c r="E1071" s="220" t="n"/>
      <c r="F1071" s="181" t="n"/>
      <c r="G1071" s="219" t="n"/>
      <c r="H1071" s="220" t="n"/>
      <c r="I1071" s="221" t="n"/>
    </row>
    <row r="1072" ht="15" customHeight="1" s="131">
      <c r="A1072" s="220" t="n"/>
      <c r="B1072" s="222" t="n"/>
      <c r="C1072" s="222" t="n"/>
      <c r="D1072" s="220" t="n"/>
      <c r="E1072" s="220" t="n"/>
      <c r="F1072" s="181" t="n"/>
      <c r="G1072" s="219" t="n"/>
      <c r="H1072" s="220" t="n"/>
      <c r="I1072" s="221" t="n"/>
    </row>
    <row r="1073" ht="15" customHeight="1" s="131">
      <c r="A1073" s="220" t="n"/>
      <c r="B1073" s="222" t="n"/>
      <c r="C1073" s="222" t="n"/>
      <c r="D1073" s="220" t="n"/>
      <c r="E1073" s="220" t="n"/>
      <c r="F1073" s="181" t="n"/>
      <c r="G1073" s="219" t="n"/>
      <c r="H1073" s="220" t="n"/>
      <c r="I1073" s="221" t="n"/>
    </row>
    <row r="1074" ht="15" customHeight="1" s="131">
      <c r="A1074" s="220" t="n"/>
      <c r="B1074" s="222" t="n"/>
      <c r="C1074" s="222" t="n"/>
      <c r="D1074" s="220" t="n"/>
      <c r="E1074" s="220" t="n"/>
      <c r="F1074" s="181" t="n"/>
      <c r="G1074" s="219" t="n"/>
      <c r="H1074" s="220" t="n"/>
      <c r="I1074" s="221" t="n"/>
    </row>
    <row r="1075" ht="15" customHeight="1" s="131">
      <c r="A1075" s="220" t="n"/>
      <c r="B1075" s="222" t="n"/>
      <c r="C1075" s="222" t="n"/>
      <c r="D1075" s="220" t="n"/>
      <c r="E1075" s="220" t="n"/>
      <c r="F1075" s="181" t="n"/>
      <c r="G1075" s="219" t="n"/>
      <c r="H1075" s="220" t="n"/>
      <c r="I1075" s="221" t="n"/>
    </row>
    <row r="1076" ht="15" customHeight="1" s="131">
      <c r="A1076" s="220" t="n"/>
      <c r="B1076" s="222" t="n"/>
      <c r="C1076" s="222" t="n"/>
      <c r="D1076" s="220" t="n"/>
      <c r="E1076" s="220" t="n"/>
      <c r="F1076" s="181" t="n"/>
      <c r="G1076" s="219" t="n"/>
      <c r="H1076" s="220" t="n"/>
      <c r="I1076" s="221" t="n"/>
    </row>
    <row r="1077" ht="15" customHeight="1" s="131">
      <c r="A1077" s="220" t="n"/>
      <c r="B1077" s="222" t="n"/>
      <c r="C1077" s="222" t="n"/>
      <c r="D1077" s="220" t="n"/>
      <c r="E1077" s="220" t="n"/>
      <c r="F1077" s="181" t="n"/>
      <c r="G1077" s="219" t="n"/>
      <c r="H1077" s="220" t="n"/>
      <c r="I1077" s="221" t="n"/>
    </row>
    <row r="1078" ht="15" customHeight="1" s="131">
      <c r="A1078" s="220" t="n"/>
      <c r="B1078" s="222" t="n"/>
      <c r="C1078" s="222" t="n"/>
      <c r="D1078" s="220" t="n"/>
      <c r="E1078" s="220" t="n"/>
      <c r="F1078" s="181" t="n"/>
      <c r="G1078" s="219" t="n"/>
      <c r="H1078" s="220" t="n"/>
      <c r="I1078" s="221" t="n"/>
    </row>
    <row r="1079" ht="15" customHeight="1" s="131">
      <c r="A1079" s="220" t="n"/>
      <c r="B1079" s="222" t="n"/>
      <c r="C1079" s="222" t="n"/>
      <c r="D1079" s="220" t="n"/>
      <c r="E1079" s="220" t="n"/>
      <c r="F1079" s="181" t="n"/>
      <c r="G1079" s="219" t="n"/>
      <c r="H1079" s="220" t="n"/>
      <c r="I1079" s="221" t="n"/>
    </row>
    <row r="1080" ht="15" customHeight="1" s="131">
      <c r="A1080" s="220" t="n"/>
      <c r="B1080" s="222" t="n"/>
      <c r="C1080" s="222" t="n"/>
      <c r="D1080" s="220" t="n"/>
      <c r="E1080" s="220" t="n"/>
      <c r="F1080" s="181" t="n"/>
      <c r="G1080" s="219" t="n"/>
      <c r="H1080" s="220" t="n"/>
      <c r="I1080" s="221" t="n"/>
    </row>
    <row r="1081" ht="15" customHeight="1" s="131">
      <c r="A1081" s="220" t="n"/>
      <c r="B1081" s="222" t="n"/>
      <c r="C1081" s="222" t="n"/>
      <c r="D1081" s="220" t="n"/>
      <c r="E1081" s="220" t="n"/>
      <c r="F1081" s="181" t="n"/>
      <c r="G1081" s="219" t="n"/>
      <c r="H1081" s="220" t="n"/>
      <c r="I1081" s="221" t="n"/>
    </row>
    <row r="1082" ht="15" customHeight="1" s="131">
      <c r="A1082" s="220" t="n"/>
      <c r="B1082" s="222" t="n"/>
      <c r="C1082" s="222" t="n"/>
      <c r="D1082" s="220" t="n"/>
      <c r="E1082" s="220" t="n"/>
      <c r="F1082" s="181" t="n"/>
      <c r="G1082" s="219" t="n"/>
      <c r="H1082" s="220" t="n"/>
      <c r="I1082" s="221" t="n"/>
    </row>
    <row r="1083" ht="15" customHeight="1" s="131">
      <c r="A1083" s="220" t="n"/>
      <c r="B1083" s="222" t="n"/>
      <c r="C1083" s="222" t="n"/>
      <c r="D1083" s="220" t="n"/>
      <c r="E1083" s="220" t="n"/>
      <c r="F1083" s="181" t="n"/>
      <c r="G1083" s="219" t="n"/>
      <c r="H1083" s="220" t="n"/>
      <c r="I1083" s="221" t="n"/>
    </row>
    <row r="1084" ht="15" customHeight="1" s="131">
      <c r="A1084" s="220" t="n"/>
      <c r="B1084" s="222" t="n"/>
      <c r="C1084" s="222" t="n"/>
      <c r="D1084" s="220" t="n"/>
      <c r="E1084" s="220" t="n"/>
      <c r="F1084" s="181" t="n"/>
      <c r="G1084" s="219" t="n"/>
      <c r="H1084" s="220" t="n"/>
      <c r="I1084" s="221" t="n"/>
    </row>
    <row r="1085" ht="15" customHeight="1" s="131">
      <c r="A1085" s="220" t="n"/>
      <c r="B1085" s="222" t="n"/>
      <c r="C1085" s="222" t="n"/>
      <c r="D1085" s="220" t="n"/>
      <c r="E1085" s="220" t="n"/>
      <c r="F1085" s="181" t="n"/>
      <c r="G1085" s="219" t="n"/>
      <c r="H1085" s="220" t="n"/>
      <c r="I1085" s="221" t="n"/>
    </row>
    <row r="1086" ht="15" customHeight="1" s="131">
      <c r="A1086" s="220" t="n"/>
      <c r="B1086" s="222" t="n"/>
      <c r="C1086" s="222" t="n"/>
      <c r="D1086" s="220" t="n"/>
      <c r="E1086" s="220" t="n"/>
      <c r="F1086" s="181" t="n"/>
      <c r="G1086" s="219" t="n"/>
      <c r="H1086" s="220" t="n"/>
      <c r="I1086" s="221" t="n"/>
    </row>
    <row r="1087" ht="15" customHeight="1" s="131">
      <c r="A1087" s="220" t="n"/>
      <c r="B1087" s="222" t="n"/>
      <c r="C1087" s="222" t="n"/>
      <c r="D1087" s="220" t="n"/>
      <c r="E1087" s="220" t="n"/>
      <c r="F1087" s="181" t="n"/>
      <c r="G1087" s="219" t="n"/>
      <c r="H1087" s="220" t="n"/>
      <c r="I1087" s="221" t="n"/>
    </row>
    <row r="1088" ht="15" customHeight="1" s="131">
      <c r="A1088" s="220" t="n"/>
      <c r="B1088" s="222" t="n"/>
      <c r="C1088" s="222" t="n"/>
      <c r="D1088" s="220" t="n"/>
      <c r="E1088" s="220" t="n"/>
      <c r="F1088" s="181" t="n"/>
      <c r="G1088" s="219" t="n"/>
      <c r="H1088" s="220" t="n"/>
      <c r="I1088" s="221" t="n"/>
    </row>
    <row r="1089" ht="15" customHeight="1" s="131">
      <c r="A1089" s="220" t="n"/>
      <c r="B1089" s="222" t="n"/>
      <c r="C1089" s="222" t="n"/>
      <c r="D1089" s="220" t="n"/>
      <c r="E1089" s="220" t="n"/>
      <c r="F1089" s="181" t="n"/>
      <c r="G1089" s="219" t="n"/>
      <c r="H1089" s="220" t="n"/>
      <c r="I1089" s="221" t="n"/>
    </row>
    <row r="1090" ht="15" customHeight="1" s="131">
      <c r="A1090" s="220" t="n"/>
      <c r="B1090" s="222" t="n"/>
      <c r="C1090" s="222" t="n"/>
      <c r="D1090" s="220" t="n"/>
      <c r="E1090" s="220" t="n"/>
      <c r="F1090" s="181" t="n"/>
      <c r="G1090" s="219" t="n"/>
      <c r="H1090" s="220" t="n"/>
      <c r="I1090" s="221" t="n"/>
    </row>
    <row r="1091" ht="15" customHeight="1" s="131">
      <c r="A1091" s="220" t="n"/>
      <c r="B1091" s="222" t="n"/>
      <c r="C1091" s="222" t="n"/>
      <c r="D1091" s="220" t="n"/>
      <c r="E1091" s="220" t="n"/>
      <c r="F1091" s="181" t="n"/>
      <c r="G1091" s="219" t="n"/>
      <c r="H1091" s="220" t="n"/>
      <c r="I1091" s="221" t="n"/>
    </row>
    <row r="1092" ht="15" customHeight="1" s="131">
      <c r="A1092" s="220" t="n"/>
      <c r="B1092" s="222" t="n"/>
      <c r="C1092" s="222" t="n"/>
      <c r="D1092" s="220" t="n"/>
      <c r="E1092" s="220" t="n"/>
      <c r="F1092" s="181" t="n"/>
      <c r="G1092" s="219" t="n"/>
      <c r="H1092" s="220" t="n"/>
      <c r="I1092" s="221" t="n"/>
    </row>
    <row r="1093" ht="15" customHeight="1" s="131">
      <c r="A1093" s="220" t="n"/>
      <c r="B1093" s="222" t="n"/>
      <c r="C1093" s="222" t="n"/>
      <c r="D1093" s="220" t="n"/>
      <c r="E1093" s="220" t="n"/>
      <c r="F1093" s="181" t="n"/>
      <c r="G1093" s="219" t="n"/>
      <c r="H1093" s="220" t="n"/>
      <c r="I1093" s="221" t="n"/>
    </row>
    <row r="1094" ht="15" customHeight="1" s="131">
      <c r="A1094" s="220" t="n"/>
      <c r="B1094" s="222" t="n"/>
      <c r="C1094" s="222" t="n"/>
      <c r="D1094" s="220" t="n"/>
      <c r="E1094" s="220" t="n"/>
      <c r="F1094" s="181" t="n"/>
      <c r="G1094" s="219" t="n"/>
      <c r="H1094" s="220" t="n"/>
      <c r="I1094" s="221" t="n"/>
    </row>
    <row r="1095" ht="15" customHeight="1" s="131">
      <c r="A1095" s="220" t="n"/>
      <c r="B1095" s="222" t="n"/>
      <c r="C1095" s="222" t="n"/>
      <c r="D1095" s="220" t="n"/>
      <c r="E1095" s="220" t="n"/>
      <c r="F1095" s="181" t="n"/>
      <c r="G1095" s="219" t="n"/>
      <c r="H1095" s="220" t="n"/>
      <c r="I1095" s="221" t="n"/>
    </row>
    <row r="1096" ht="15" customHeight="1" s="131">
      <c r="A1096" s="220" t="n"/>
      <c r="B1096" s="222" t="n"/>
      <c r="C1096" s="222" t="n"/>
      <c r="D1096" s="220" t="n"/>
      <c r="E1096" s="220" t="n"/>
      <c r="F1096" s="181" t="n"/>
      <c r="G1096" s="219" t="n"/>
      <c r="H1096" s="220" t="n"/>
      <c r="I1096" s="221" t="n"/>
    </row>
    <row r="1097" ht="15" customHeight="1" s="131">
      <c r="A1097" s="220" t="n"/>
      <c r="B1097" s="222" t="n"/>
      <c r="C1097" s="222" t="n"/>
      <c r="D1097" s="220" t="n"/>
      <c r="E1097" s="220" t="n"/>
      <c r="F1097" s="181" t="n"/>
      <c r="G1097" s="219" t="n"/>
      <c r="H1097" s="220" t="n"/>
      <c r="I1097" s="221" t="n"/>
    </row>
    <row r="1098" ht="15" customHeight="1" s="131">
      <c r="A1098" s="220" t="n"/>
      <c r="B1098" s="222" t="n"/>
      <c r="C1098" s="222" t="n"/>
      <c r="D1098" s="220" t="n"/>
      <c r="E1098" s="220" t="n"/>
      <c r="F1098" s="181" t="n"/>
      <c r="G1098" s="219" t="n"/>
      <c r="H1098" s="220" t="n"/>
      <c r="I1098" s="221" t="n"/>
    </row>
    <row r="1099" ht="15" customHeight="1" s="131">
      <c r="A1099" s="220" t="n"/>
      <c r="B1099" s="222" t="n"/>
      <c r="C1099" s="222" t="n"/>
      <c r="D1099" s="220" t="n"/>
      <c r="E1099" s="220" t="n"/>
      <c r="F1099" s="181" t="n"/>
      <c r="G1099" s="219" t="n"/>
      <c r="H1099" s="220" t="n"/>
      <c r="I1099" s="221" t="n"/>
    </row>
    <row r="1100" ht="15" customHeight="1" s="131">
      <c r="A1100" s="220" t="n"/>
      <c r="B1100" s="222" t="n"/>
      <c r="C1100" s="222" t="n"/>
      <c r="D1100" s="220" t="n"/>
      <c r="E1100" s="220" t="n"/>
      <c r="F1100" s="181" t="n"/>
      <c r="G1100" s="219" t="n"/>
      <c r="H1100" s="220" t="n"/>
      <c r="I1100" s="221" t="n"/>
    </row>
    <row r="1101" ht="15" customHeight="1" s="131">
      <c r="A1101" s="220" t="n"/>
      <c r="B1101" s="222" t="n"/>
      <c r="C1101" s="222" t="n"/>
      <c r="D1101" s="220" t="n"/>
      <c r="E1101" s="220" t="n"/>
      <c r="F1101" s="181" t="n"/>
      <c r="G1101" s="219" t="n"/>
      <c r="H1101" s="220" t="n"/>
      <c r="I1101" s="221" t="n"/>
    </row>
    <row r="1102" ht="15" customHeight="1" s="131">
      <c r="A1102" s="220" t="n"/>
      <c r="B1102" s="222" t="n"/>
      <c r="C1102" s="222" t="n"/>
      <c r="D1102" s="220" t="n"/>
      <c r="E1102" s="220" t="n"/>
      <c r="F1102" s="181" t="n"/>
      <c r="G1102" s="219" t="n"/>
      <c r="H1102" s="220" t="n"/>
      <c r="I1102" s="221" t="n"/>
    </row>
    <row r="1103" ht="15" customHeight="1" s="131">
      <c r="A1103" s="220" t="n"/>
      <c r="B1103" s="222" t="n"/>
      <c r="C1103" s="222" t="n"/>
      <c r="D1103" s="220" t="n"/>
      <c r="E1103" s="220" t="n"/>
      <c r="F1103" s="181" t="n"/>
      <c r="G1103" s="219" t="n"/>
      <c r="H1103" s="220" t="n"/>
      <c r="I1103" s="221" t="n"/>
    </row>
    <row r="1104" ht="15" customHeight="1" s="131">
      <c r="A1104" s="220" t="n"/>
      <c r="B1104" s="222" t="n"/>
      <c r="C1104" s="222" t="n"/>
      <c r="D1104" s="220" t="n"/>
      <c r="E1104" s="220" t="n"/>
      <c r="F1104" s="181" t="n"/>
      <c r="G1104" s="219" t="n"/>
      <c r="H1104" s="220" t="n"/>
      <c r="I1104" s="221" t="n"/>
    </row>
    <row r="1105" ht="15" customHeight="1" s="131">
      <c r="A1105" s="220" t="n"/>
      <c r="B1105" s="222" t="n"/>
      <c r="C1105" s="222" t="n"/>
      <c r="D1105" s="220" t="n"/>
      <c r="E1105" s="220" t="n"/>
      <c r="F1105" s="181" t="n"/>
      <c r="G1105" s="219" t="n"/>
      <c r="H1105" s="220" t="n"/>
      <c r="I1105" s="221" t="n"/>
    </row>
    <row r="1106" ht="15" customHeight="1" s="131">
      <c r="A1106" s="220" t="n"/>
      <c r="B1106" s="222" t="n"/>
      <c r="C1106" s="222" t="n"/>
      <c r="D1106" s="220" t="n"/>
      <c r="E1106" s="220" t="n"/>
      <c r="F1106" s="181" t="n"/>
      <c r="G1106" s="219" t="n"/>
      <c r="H1106" s="220" t="n"/>
      <c r="I1106" s="221" t="n"/>
    </row>
    <row r="1107" ht="15" customHeight="1" s="131">
      <c r="A1107" s="220" t="n"/>
      <c r="B1107" s="222" t="n"/>
      <c r="C1107" s="222" t="n"/>
      <c r="D1107" s="220" t="n"/>
      <c r="E1107" s="220" t="n"/>
      <c r="F1107" s="181" t="n"/>
      <c r="G1107" s="219" t="n"/>
      <c r="H1107" s="220" t="n"/>
      <c r="I1107" s="221" t="n"/>
    </row>
    <row r="1108" ht="15" customHeight="1" s="131">
      <c r="A1108" s="220" t="n"/>
      <c r="B1108" s="222" t="n"/>
      <c r="C1108" s="222" t="n"/>
      <c r="D1108" s="220" t="n"/>
      <c r="E1108" s="220" t="n"/>
      <c r="F1108" s="181" t="n"/>
      <c r="G1108" s="219" t="n"/>
      <c r="H1108" s="220" t="n"/>
      <c r="I1108" s="221" t="n"/>
    </row>
    <row r="1109" ht="15" customHeight="1" s="131">
      <c r="A1109" s="220" t="n"/>
      <c r="B1109" s="222" t="n"/>
      <c r="C1109" s="222" t="n"/>
      <c r="D1109" s="220" t="n"/>
      <c r="E1109" s="220" t="n"/>
      <c r="F1109" s="181" t="n"/>
      <c r="G1109" s="219" t="n"/>
      <c r="H1109" s="220" t="n"/>
      <c r="I1109" s="221" t="n"/>
    </row>
    <row r="1110" ht="15" customHeight="1" s="131">
      <c r="A1110" s="220" t="n"/>
      <c r="B1110" s="222" t="n"/>
      <c r="C1110" s="222" t="n"/>
      <c r="D1110" s="220" t="n"/>
      <c r="E1110" s="220" t="n"/>
      <c r="F1110" s="181" t="n"/>
      <c r="G1110" s="219" t="n"/>
      <c r="H1110" s="220" t="n"/>
      <c r="I1110" s="221" t="n"/>
    </row>
    <row r="1111" ht="15" customHeight="1" s="131">
      <c r="A1111" s="220" t="n"/>
      <c r="B1111" s="222" t="n"/>
      <c r="C1111" s="222" t="n"/>
      <c r="D1111" s="220" t="n"/>
      <c r="E1111" s="220" t="n"/>
      <c r="F1111" s="181" t="n"/>
      <c r="G1111" s="219" t="n"/>
      <c r="H1111" s="220" t="n"/>
      <c r="I1111" s="221" t="n"/>
    </row>
    <row r="1112" ht="15" customHeight="1" s="131">
      <c r="A1112" s="220" t="n"/>
      <c r="B1112" s="222" t="n"/>
      <c r="C1112" s="222" t="n"/>
      <c r="D1112" s="220" t="n"/>
      <c r="E1112" s="220" t="n"/>
      <c r="F1112" s="181" t="n"/>
      <c r="G1112" s="219" t="n"/>
      <c r="H1112" s="220" t="n"/>
      <c r="I1112" s="221" t="n"/>
    </row>
    <row r="1113" ht="15" customHeight="1" s="131">
      <c r="A1113" s="220" t="n"/>
      <c r="B1113" s="222" t="n"/>
      <c r="C1113" s="222" t="n"/>
      <c r="D1113" s="220" t="n"/>
      <c r="E1113" s="220" t="n"/>
      <c r="F1113" s="181" t="n"/>
      <c r="G1113" s="219" t="n"/>
      <c r="H1113" s="220" t="n"/>
      <c r="I1113" s="221" t="n"/>
    </row>
    <row r="1114" ht="15" customHeight="1" s="131">
      <c r="A1114" s="220" t="n"/>
      <c r="B1114" s="222" t="n"/>
      <c r="C1114" s="222" t="n"/>
      <c r="D1114" s="220" t="n"/>
      <c r="E1114" s="220" t="n"/>
      <c r="F1114" s="181" t="n"/>
      <c r="G1114" s="219" t="n"/>
      <c r="H1114" s="220" t="n"/>
      <c r="I1114" s="221" t="n"/>
    </row>
    <row r="1115" ht="15" customHeight="1" s="131">
      <c r="A1115" s="220" t="n"/>
      <c r="B1115" s="222" t="n"/>
      <c r="C1115" s="222" t="n"/>
      <c r="D1115" s="220" t="n"/>
      <c r="E1115" s="220" t="n"/>
      <c r="F1115" s="181" t="n"/>
      <c r="G1115" s="219" t="n"/>
      <c r="H1115" s="220" t="n"/>
      <c r="I1115" s="221" t="n"/>
    </row>
    <row r="1116" ht="15" customHeight="1" s="131">
      <c r="A1116" s="220" t="n"/>
      <c r="B1116" s="222" t="n"/>
      <c r="C1116" s="222" t="n"/>
      <c r="D1116" s="220" t="n"/>
      <c r="E1116" s="220" t="n"/>
      <c r="F1116" s="181" t="n"/>
      <c r="G1116" s="219" t="n"/>
      <c r="H1116" s="220" t="n"/>
      <c r="I1116" s="221" t="n"/>
    </row>
    <row r="1117" ht="15" customHeight="1" s="131">
      <c r="A1117" s="220" t="n"/>
      <c r="B1117" s="222" t="n"/>
      <c r="C1117" s="222" t="n"/>
      <c r="D1117" s="220" t="n"/>
      <c r="E1117" s="220" t="n"/>
      <c r="F1117" s="181" t="n"/>
      <c r="G1117" s="219" t="n"/>
      <c r="H1117" s="220" t="n"/>
      <c r="I1117" s="221" t="n"/>
    </row>
    <row r="1118" ht="15" customHeight="1" s="131">
      <c r="A1118" s="220" t="n"/>
      <c r="B1118" s="222" t="n"/>
      <c r="C1118" s="222" t="n"/>
      <c r="D1118" s="220" t="n"/>
      <c r="E1118" s="220" t="n"/>
      <c r="F1118" s="181" t="n"/>
      <c r="G1118" s="219" t="n"/>
      <c r="H1118" s="220" t="n"/>
      <c r="I1118" s="221" t="n"/>
    </row>
    <row r="1119" ht="15" customHeight="1" s="131">
      <c r="A1119" s="220" t="n"/>
      <c r="B1119" s="222" t="n"/>
      <c r="C1119" s="222" t="n"/>
      <c r="D1119" s="220" t="n"/>
      <c r="E1119" s="220" t="n"/>
      <c r="F1119" s="181" t="n"/>
      <c r="G1119" s="219" t="n"/>
      <c r="H1119" s="220" t="n"/>
      <c r="I1119" s="221" t="n"/>
    </row>
    <row r="1120" ht="15" customHeight="1" s="131">
      <c r="A1120" s="220" t="n"/>
      <c r="B1120" s="222" t="n"/>
      <c r="C1120" s="222" t="n"/>
      <c r="D1120" s="220" t="n"/>
      <c r="E1120" s="220" t="n"/>
      <c r="F1120" s="181" t="n"/>
      <c r="G1120" s="219" t="n"/>
      <c r="H1120" s="220" t="n"/>
      <c r="I1120" s="221" t="n"/>
    </row>
    <row r="1121" ht="15" customHeight="1" s="131">
      <c r="A1121" s="220" t="n"/>
      <c r="B1121" s="222" t="n"/>
      <c r="C1121" s="222" t="n"/>
      <c r="D1121" s="220" t="n"/>
      <c r="E1121" s="220" t="n"/>
      <c r="F1121" s="181" t="n"/>
      <c r="G1121" s="219" t="n"/>
      <c r="H1121" s="220" t="n"/>
      <c r="I1121" s="221" t="n"/>
    </row>
    <row r="1122" ht="15" customHeight="1" s="131">
      <c r="A1122" s="220" t="n"/>
      <c r="B1122" s="222" t="n"/>
      <c r="C1122" s="222" t="n"/>
      <c r="D1122" s="220" t="n"/>
      <c r="E1122" s="220" t="n"/>
      <c r="F1122" s="181" t="n"/>
      <c r="G1122" s="219" t="n"/>
      <c r="H1122" s="220" t="n"/>
      <c r="I1122" s="221" t="n"/>
    </row>
    <row r="1123" ht="15" customHeight="1" s="131">
      <c r="A1123" s="220" t="n"/>
      <c r="B1123" s="222" t="n"/>
      <c r="C1123" s="222" t="n"/>
      <c r="D1123" s="220" t="n"/>
      <c r="E1123" s="220" t="n"/>
      <c r="F1123" s="181" t="n"/>
      <c r="G1123" s="219" t="n"/>
      <c r="H1123" s="220" t="n"/>
      <c r="I1123" s="221" t="n"/>
    </row>
    <row r="1124" ht="15" customHeight="1" s="131">
      <c r="A1124" s="220" t="n"/>
      <c r="B1124" s="222" t="n"/>
      <c r="C1124" s="222" t="n"/>
      <c r="D1124" s="220" t="n"/>
      <c r="E1124" s="220" t="n"/>
      <c r="F1124" s="181" t="n"/>
      <c r="G1124" s="219" t="n"/>
      <c r="H1124" s="220" t="n"/>
      <c r="I1124" s="221" t="n"/>
    </row>
    <row r="1125" ht="15" customHeight="1" s="131">
      <c r="A1125" s="220" t="n"/>
      <c r="B1125" s="222" t="n"/>
      <c r="C1125" s="222" t="n"/>
      <c r="D1125" s="220" t="n"/>
      <c r="E1125" s="220" t="n"/>
      <c r="F1125" s="181" t="n"/>
      <c r="G1125" s="219" t="n"/>
      <c r="H1125" s="220" t="n"/>
      <c r="I1125" s="221" t="n"/>
    </row>
    <row r="1126" ht="15" customHeight="1" s="131">
      <c r="A1126" s="220" t="n"/>
      <c r="B1126" s="222" t="n"/>
      <c r="C1126" s="222" t="n"/>
      <c r="D1126" s="220" t="n"/>
      <c r="E1126" s="220" t="n"/>
      <c r="F1126" s="181" t="n"/>
      <c r="G1126" s="219" t="n"/>
      <c r="H1126" s="220" t="n"/>
      <c r="I1126" s="221" t="n"/>
    </row>
    <row r="1127" ht="15" customHeight="1" s="131">
      <c r="A1127" s="220" t="n"/>
      <c r="B1127" s="222" t="n"/>
      <c r="C1127" s="222" t="n"/>
      <c r="D1127" s="220" t="n"/>
      <c r="E1127" s="220" t="n"/>
      <c r="F1127" s="181" t="n"/>
      <c r="G1127" s="219" t="n"/>
      <c r="H1127" s="220" t="n"/>
      <c r="I1127" s="221" t="n"/>
    </row>
    <row r="1128" ht="15" customHeight="1" s="131">
      <c r="A1128" s="220" t="n"/>
      <c r="B1128" s="222" t="n"/>
      <c r="C1128" s="222" t="n"/>
      <c r="D1128" s="220" t="n"/>
      <c r="E1128" s="220" t="n"/>
      <c r="F1128" s="181" t="n"/>
      <c r="G1128" s="219" t="n"/>
      <c r="H1128" s="220" t="n"/>
      <c r="I1128" s="221" t="n"/>
    </row>
    <row r="1129" ht="15" customHeight="1" s="131">
      <c r="A1129" s="220" t="n"/>
      <c r="B1129" s="222" t="n"/>
      <c r="C1129" s="222" t="n"/>
      <c r="D1129" s="220" t="n"/>
      <c r="E1129" s="220" t="n"/>
      <c r="F1129" s="181" t="n"/>
      <c r="G1129" s="219" t="n"/>
      <c r="H1129" s="220" t="n"/>
      <c r="I1129" s="221" t="n"/>
    </row>
    <row r="1130" ht="15" customHeight="1" s="131">
      <c r="A1130" s="220" t="n"/>
      <c r="B1130" s="222" t="n"/>
      <c r="C1130" s="222" t="n"/>
      <c r="D1130" s="220" t="n"/>
      <c r="E1130" s="220" t="n"/>
      <c r="F1130" s="181" t="n"/>
      <c r="G1130" s="219" t="n"/>
      <c r="H1130" s="220" t="n"/>
      <c r="I1130" s="221" t="n"/>
    </row>
    <row r="1131" ht="15" customHeight="1" s="131">
      <c r="A1131" s="220" t="n"/>
      <c r="B1131" s="222" t="n"/>
      <c r="C1131" s="222" t="n"/>
      <c r="D1131" s="220" t="n"/>
      <c r="E1131" s="220" t="n"/>
      <c r="F1131" s="181" t="n"/>
      <c r="G1131" s="219" t="n"/>
      <c r="H1131" s="220" t="n"/>
      <c r="I1131" s="221" t="n"/>
    </row>
    <row r="1132" ht="15" customHeight="1" s="131">
      <c r="A1132" s="220" t="n"/>
      <c r="B1132" s="222" t="n"/>
      <c r="C1132" s="222" t="n"/>
      <c r="D1132" s="220" t="n"/>
      <c r="E1132" s="220" t="n"/>
      <c r="F1132" s="181" t="n"/>
      <c r="G1132" s="219" t="n"/>
      <c r="H1132" s="220" t="n"/>
      <c r="I1132" s="221" t="n"/>
    </row>
    <row r="1133" ht="15" customHeight="1" s="131">
      <c r="A1133" s="220" t="n"/>
      <c r="B1133" s="222" t="n"/>
      <c r="C1133" s="222" t="n"/>
      <c r="D1133" s="220" t="n"/>
      <c r="E1133" s="220" t="n"/>
      <c r="F1133" s="181" t="n"/>
      <c r="G1133" s="219" t="n"/>
      <c r="H1133" s="220" t="n"/>
      <c r="I1133" s="221" t="n"/>
    </row>
    <row r="1134" ht="15" customHeight="1" s="131">
      <c r="A1134" s="220" t="n"/>
      <c r="B1134" s="222" t="n"/>
      <c r="C1134" s="222" t="n"/>
      <c r="D1134" s="220" t="n"/>
      <c r="E1134" s="220" t="n"/>
      <c r="F1134" s="181" t="n"/>
      <c r="G1134" s="219" t="n"/>
      <c r="H1134" s="220" t="n"/>
      <c r="I1134" s="221" t="n"/>
    </row>
    <row r="1135" ht="15" customHeight="1" s="131">
      <c r="A1135" s="220" t="n"/>
      <c r="B1135" s="222" t="n"/>
      <c r="C1135" s="222" t="n"/>
      <c r="D1135" s="220" t="n"/>
      <c r="E1135" s="220" t="n"/>
      <c r="F1135" s="181" t="n"/>
      <c r="G1135" s="219" t="n"/>
      <c r="H1135" s="220" t="n"/>
      <c r="I1135" s="221" t="n"/>
    </row>
    <row r="1136" ht="15" customHeight="1" s="131">
      <c r="A1136" s="220" t="n"/>
      <c r="B1136" s="222" t="n"/>
      <c r="C1136" s="222" t="n"/>
      <c r="D1136" s="220" t="n"/>
      <c r="E1136" s="220" t="n"/>
      <c r="F1136" s="181" t="n"/>
      <c r="G1136" s="219" t="n"/>
      <c r="H1136" s="220" t="n"/>
      <c r="I1136" s="221" t="n"/>
    </row>
    <row r="1137" ht="15" customHeight="1" s="131">
      <c r="A1137" s="220" t="n"/>
      <c r="B1137" s="222" t="n"/>
      <c r="C1137" s="222" t="n"/>
      <c r="D1137" s="220" t="n"/>
      <c r="E1137" s="220" t="n"/>
      <c r="F1137" s="181" t="n"/>
      <c r="G1137" s="219" t="n"/>
      <c r="H1137" s="220" t="n"/>
      <c r="I1137" s="221" t="n"/>
    </row>
    <row r="1138" ht="15" customHeight="1" s="131">
      <c r="A1138" s="220" t="n"/>
      <c r="B1138" s="222" t="n"/>
      <c r="C1138" s="222" t="n"/>
      <c r="D1138" s="220" t="n"/>
      <c r="E1138" s="220" t="n"/>
      <c r="F1138" s="181" t="n"/>
      <c r="G1138" s="219" t="n"/>
      <c r="H1138" s="220" t="n"/>
      <c r="I1138" s="221" t="n"/>
    </row>
    <row r="1139" ht="15" customHeight="1" s="131">
      <c r="A1139" s="220" t="n"/>
      <c r="B1139" s="222" t="n"/>
      <c r="C1139" s="222" t="n"/>
      <c r="D1139" s="220" t="n"/>
      <c r="E1139" s="220" t="n"/>
      <c r="F1139" s="181" t="n"/>
      <c r="G1139" s="219" t="n"/>
      <c r="H1139" s="220" t="n"/>
      <c r="I1139" s="221" t="n"/>
    </row>
    <row r="1140" ht="15" customHeight="1" s="131">
      <c r="A1140" s="220" t="n"/>
      <c r="B1140" s="222" t="n"/>
      <c r="C1140" s="222" t="n"/>
      <c r="D1140" s="220" t="n"/>
      <c r="E1140" s="220" t="n"/>
      <c r="F1140" s="181" t="n"/>
      <c r="G1140" s="219" t="n"/>
      <c r="H1140" s="220" t="n"/>
      <c r="I1140" s="221" t="n"/>
    </row>
    <row r="1141" ht="15" customHeight="1" s="131">
      <c r="A1141" s="220" t="n"/>
      <c r="B1141" s="222" t="n"/>
      <c r="C1141" s="222" t="n"/>
      <c r="D1141" s="220" t="n"/>
      <c r="E1141" s="220" t="n"/>
      <c r="F1141" s="181" t="n"/>
      <c r="G1141" s="219" t="n"/>
      <c r="H1141" s="220" t="n"/>
      <c r="I1141" s="221" t="n"/>
    </row>
    <row r="1142" ht="15" customHeight="1" s="131">
      <c r="A1142" s="220" t="n"/>
      <c r="B1142" s="222" t="n"/>
      <c r="C1142" s="222" t="n"/>
      <c r="D1142" s="220" t="n"/>
      <c r="E1142" s="220" t="n"/>
      <c r="F1142" s="181" t="n"/>
      <c r="G1142" s="219" t="n"/>
      <c r="H1142" s="220" t="n"/>
      <c r="I1142" s="221" t="n"/>
    </row>
    <row r="1143" ht="15" customHeight="1" s="131">
      <c r="A1143" s="220" t="n"/>
      <c r="B1143" s="222" t="n"/>
      <c r="C1143" s="222" t="n"/>
      <c r="D1143" s="220" t="n"/>
      <c r="E1143" s="220" t="n"/>
      <c r="F1143" s="181" t="n"/>
      <c r="G1143" s="219" t="n"/>
      <c r="H1143" s="220" t="n"/>
      <c r="I1143" s="221" t="n"/>
    </row>
    <row r="1144" ht="15" customHeight="1" s="131">
      <c r="A1144" s="220" t="n"/>
      <c r="B1144" s="222" t="n"/>
      <c r="C1144" s="222" t="n"/>
      <c r="D1144" s="220" t="n"/>
      <c r="E1144" s="220" t="n"/>
      <c r="F1144" s="181" t="n"/>
      <c r="G1144" s="219" t="n"/>
      <c r="H1144" s="220" t="n"/>
      <c r="I1144" s="221" t="n"/>
    </row>
    <row r="1145" ht="15" customHeight="1" s="131">
      <c r="A1145" s="220" t="n"/>
      <c r="B1145" s="222" t="n"/>
      <c r="C1145" s="222" t="n"/>
      <c r="D1145" s="220" t="n"/>
      <c r="E1145" s="220" t="n"/>
      <c r="F1145" s="181" t="n"/>
      <c r="G1145" s="219" t="n"/>
      <c r="H1145" s="220" t="n"/>
      <c r="I1145" s="221" t="n"/>
    </row>
    <row r="1146" ht="15" customHeight="1" s="131">
      <c r="A1146" s="220" t="n"/>
      <c r="B1146" s="222" t="n"/>
      <c r="C1146" s="222" t="n"/>
      <c r="D1146" s="220" t="n"/>
      <c r="E1146" s="220" t="n"/>
      <c r="F1146" s="181" t="n"/>
      <c r="G1146" s="219" t="n"/>
      <c r="H1146" s="220" t="n"/>
      <c r="I1146" s="221" t="n"/>
    </row>
    <row r="1147" ht="15" customHeight="1" s="131">
      <c r="A1147" s="220" t="n"/>
      <c r="B1147" s="222" t="n"/>
      <c r="C1147" s="222" t="n"/>
      <c r="D1147" s="220" t="n"/>
      <c r="E1147" s="220" t="n"/>
      <c r="F1147" s="181" t="n"/>
      <c r="G1147" s="219" t="n"/>
      <c r="H1147" s="220" t="n"/>
      <c r="I1147" s="221" t="n"/>
    </row>
    <row r="1148" ht="15" customHeight="1" s="131">
      <c r="A1148" s="220" t="n"/>
      <c r="B1148" s="222" t="n"/>
      <c r="C1148" s="222" t="n"/>
      <c r="D1148" s="220" t="n"/>
      <c r="E1148" s="220" t="n"/>
      <c r="F1148" s="181" t="n"/>
      <c r="G1148" s="219" t="n"/>
      <c r="H1148" s="220" t="n"/>
      <c r="I1148" s="221" t="n"/>
    </row>
    <row r="1149" ht="15" customHeight="1" s="131">
      <c r="A1149" s="220" t="n"/>
      <c r="B1149" s="222" t="n"/>
      <c r="C1149" s="222" t="n"/>
      <c r="D1149" s="220" t="n"/>
      <c r="E1149" s="220" t="n"/>
      <c r="F1149" s="181" t="n"/>
      <c r="G1149" s="219" t="n"/>
      <c r="H1149" s="220" t="n"/>
      <c r="I1149" s="221" t="n"/>
    </row>
    <row r="1150" ht="15" customHeight="1" s="131">
      <c r="A1150" s="220" t="n"/>
      <c r="B1150" s="222" t="n"/>
      <c r="C1150" s="222" t="n"/>
      <c r="D1150" s="220" t="n"/>
      <c r="E1150" s="220" t="n"/>
      <c r="F1150" s="181" t="n"/>
      <c r="G1150" s="219" t="n"/>
      <c r="H1150" s="220" t="n"/>
      <c r="I1150" s="221" t="n"/>
    </row>
    <row r="1151" ht="15" customHeight="1" s="131">
      <c r="A1151" s="220" t="n"/>
      <c r="B1151" s="222" t="n"/>
      <c r="C1151" s="222" t="n"/>
      <c r="D1151" s="220" t="n"/>
      <c r="E1151" s="220" t="n"/>
      <c r="F1151" s="181" t="n"/>
      <c r="G1151" s="219" t="n"/>
      <c r="H1151" s="220" t="n"/>
      <c r="I1151" s="221" t="n"/>
    </row>
    <row r="1152" ht="15" customHeight="1" s="131">
      <c r="A1152" s="220" t="n"/>
      <c r="B1152" s="222" t="n"/>
      <c r="C1152" s="222" t="n"/>
      <c r="D1152" s="220" t="n"/>
      <c r="E1152" s="220" t="n"/>
      <c r="F1152" s="181" t="n"/>
      <c r="G1152" s="219" t="n"/>
      <c r="H1152" s="220" t="n"/>
      <c r="I1152" s="221" t="n"/>
    </row>
    <row r="1153" ht="15" customHeight="1" s="131">
      <c r="A1153" s="220" t="n"/>
      <c r="B1153" s="222" t="n"/>
      <c r="C1153" s="222" t="n"/>
      <c r="D1153" s="220" t="n"/>
      <c r="E1153" s="220" t="n"/>
      <c r="F1153" s="181" t="n"/>
      <c r="G1153" s="219" t="n"/>
      <c r="H1153" s="220" t="n"/>
      <c r="I1153" s="221" t="n"/>
    </row>
    <row r="1154" ht="15" customHeight="1" s="131">
      <c r="A1154" s="220" t="n"/>
      <c r="B1154" s="222" t="n"/>
      <c r="C1154" s="222" t="n"/>
      <c r="D1154" s="220" t="n"/>
      <c r="E1154" s="220" t="n"/>
      <c r="F1154" s="181" t="n"/>
      <c r="G1154" s="219" t="n"/>
      <c r="H1154" s="220" t="n"/>
      <c r="I1154" s="221" t="n"/>
    </row>
    <row r="1155" ht="15" customHeight="1" s="131">
      <c r="A1155" s="220" t="n"/>
      <c r="B1155" s="222" t="n"/>
      <c r="C1155" s="222" t="n"/>
      <c r="D1155" s="220" t="n"/>
      <c r="E1155" s="220" t="n"/>
      <c r="F1155" s="181" t="n"/>
      <c r="G1155" s="219" t="n"/>
      <c r="H1155" s="220" t="n"/>
      <c r="I1155" s="221" t="n"/>
    </row>
    <row r="1156" ht="15" customHeight="1" s="131">
      <c r="A1156" s="220" t="n"/>
      <c r="B1156" s="222" t="n"/>
      <c r="C1156" s="222" t="n"/>
      <c r="D1156" s="220" t="n"/>
      <c r="E1156" s="220" t="n"/>
      <c r="F1156" s="181" t="n"/>
      <c r="G1156" s="219" t="n"/>
      <c r="H1156" s="220" t="n"/>
      <c r="I1156" s="221" t="n"/>
    </row>
    <row r="1157" ht="15" customHeight="1" s="131">
      <c r="A1157" s="220" t="n"/>
      <c r="B1157" s="222" t="n"/>
      <c r="C1157" s="222" t="n"/>
      <c r="D1157" s="220" t="n"/>
      <c r="E1157" s="220" t="n"/>
      <c r="F1157" s="181" t="n"/>
      <c r="G1157" s="219" t="n"/>
      <c r="H1157" s="220" t="n"/>
      <c r="I1157" s="221" t="n"/>
    </row>
    <row r="1158" ht="15" customHeight="1" s="131">
      <c r="A1158" s="220" t="n"/>
      <c r="B1158" s="222" t="n"/>
      <c r="C1158" s="222" t="n"/>
      <c r="D1158" s="220" t="n"/>
      <c r="E1158" s="220" t="n"/>
      <c r="F1158" s="181" t="n"/>
      <c r="G1158" s="219" t="n"/>
      <c r="H1158" s="220" t="n"/>
      <c r="I1158" s="221" t="n"/>
    </row>
    <row r="1159" ht="15" customHeight="1" s="131">
      <c r="A1159" s="220" t="n"/>
      <c r="B1159" s="222" t="n"/>
      <c r="C1159" s="222" t="n"/>
      <c r="D1159" s="220" t="n"/>
      <c r="E1159" s="220" t="n"/>
      <c r="F1159" s="181" t="n"/>
      <c r="G1159" s="219" t="n"/>
      <c r="H1159" s="220" t="n"/>
      <c r="I1159" s="221" t="n"/>
    </row>
    <row r="1160" ht="15" customHeight="1" s="131">
      <c r="A1160" s="220" t="n"/>
      <c r="B1160" s="222" t="n"/>
      <c r="C1160" s="222" t="n"/>
      <c r="D1160" s="220" t="n"/>
      <c r="E1160" s="220" t="n"/>
      <c r="F1160" s="181" t="n"/>
      <c r="G1160" s="219" t="n"/>
      <c r="H1160" s="220" t="n"/>
      <c r="I1160" s="221" t="n"/>
    </row>
    <row r="1161" ht="15" customHeight="1" s="131">
      <c r="A1161" s="220" t="n"/>
      <c r="B1161" s="222" t="n"/>
      <c r="C1161" s="222" t="n"/>
      <c r="D1161" s="220" t="n"/>
      <c r="E1161" s="220" t="n"/>
      <c r="F1161" s="181" t="n"/>
      <c r="G1161" s="219" t="n"/>
      <c r="H1161" s="220" t="n"/>
      <c r="I1161" s="221" t="n"/>
    </row>
    <row r="1162" ht="15" customHeight="1" s="131">
      <c r="A1162" s="220" t="n"/>
      <c r="B1162" s="222" t="n"/>
      <c r="C1162" s="222" t="n"/>
      <c r="D1162" s="220" t="n"/>
      <c r="E1162" s="220" t="n"/>
      <c r="F1162" s="181" t="n"/>
      <c r="G1162" s="219" t="n"/>
      <c r="H1162" s="220" t="n"/>
      <c r="I1162" s="221" t="n"/>
    </row>
    <row r="1163" ht="15" customHeight="1" s="131">
      <c r="A1163" s="220" t="n"/>
      <c r="B1163" s="222" t="n"/>
      <c r="C1163" s="222" t="n"/>
      <c r="D1163" s="220" t="n"/>
      <c r="E1163" s="220" t="n"/>
      <c r="F1163" s="181" t="n"/>
      <c r="G1163" s="219" t="n"/>
      <c r="H1163" s="220" t="n"/>
      <c r="I1163" s="221" t="n"/>
    </row>
    <row r="1164" ht="15" customHeight="1" s="131">
      <c r="A1164" s="220" t="n"/>
      <c r="B1164" s="222" t="n"/>
      <c r="C1164" s="222" t="n"/>
      <c r="D1164" s="220" t="n"/>
      <c r="E1164" s="220" t="n"/>
      <c r="F1164" s="181" t="n"/>
      <c r="G1164" s="219" t="n"/>
      <c r="H1164" s="220" t="n"/>
      <c r="I1164" s="221" t="n"/>
    </row>
    <row r="1165" ht="15" customHeight="1" s="131">
      <c r="A1165" s="220" t="n"/>
      <c r="B1165" s="222" t="n"/>
      <c r="C1165" s="222" t="n"/>
      <c r="D1165" s="220" t="n"/>
      <c r="E1165" s="220" t="n"/>
      <c r="F1165" s="181" t="n"/>
      <c r="G1165" s="219" t="n"/>
      <c r="H1165" s="220" t="n"/>
      <c r="I1165" s="221" t="n"/>
    </row>
    <row r="1166" ht="15" customHeight="1" s="131">
      <c r="A1166" s="220" t="n"/>
      <c r="B1166" s="222" t="n"/>
      <c r="C1166" s="222" t="n"/>
      <c r="D1166" s="220" t="n"/>
      <c r="E1166" s="220" t="n"/>
      <c r="F1166" s="181" t="n"/>
      <c r="G1166" s="219" t="n"/>
      <c r="H1166" s="220" t="n"/>
      <c r="I1166" s="221" t="n"/>
    </row>
    <row r="1167" ht="15" customHeight="1" s="131">
      <c r="A1167" s="220" t="n"/>
      <c r="B1167" s="222" t="n"/>
      <c r="C1167" s="222" t="n"/>
      <c r="D1167" s="220" t="n"/>
      <c r="E1167" s="220" t="n"/>
      <c r="F1167" s="181" t="n"/>
      <c r="G1167" s="219" t="n"/>
      <c r="H1167" s="220" t="n"/>
      <c r="I1167" s="221" t="n"/>
    </row>
    <row r="1168" ht="15" customHeight="1" s="131">
      <c r="A1168" s="220" t="n"/>
      <c r="B1168" s="222" t="n"/>
      <c r="C1168" s="222" t="n"/>
      <c r="D1168" s="220" t="n"/>
      <c r="E1168" s="220" t="n"/>
      <c r="F1168" s="181" t="n"/>
      <c r="G1168" s="219" t="n"/>
      <c r="H1168" s="220" t="n"/>
      <c r="I1168" s="221" t="n"/>
    </row>
    <row r="1169" ht="15" customHeight="1" s="131">
      <c r="A1169" s="220" t="n"/>
      <c r="B1169" s="222" t="n"/>
      <c r="C1169" s="222" t="n"/>
      <c r="D1169" s="220" t="n"/>
      <c r="E1169" s="220" t="n"/>
      <c r="F1169" s="181" t="n"/>
      <c r="G1169" s="219" t="n"/>
      <c r="H1169" s="220" t="n"/>
      <c r="I1169" s="221" t="n"/>
    </row>
    <row r="1170" ht="15" customHeight="1" s="131">
      <c r="A1170" s="220" t="n"/>
      <c r="B1170" s="222" t="n"/>
      <c r="C1170" s="222" t="n"/>
      <c r="D1170" s="220" t="n"/>
      <c r="E1170" s="220" t="n"/>
      <c r="F1170" s="181" t="n"/>
      <c r="G1170" s="219" t="n"/>
      <c r="H1170" s="220" t="n"/>
      <c r="I1170" s="221" t="n"/>
    </row>
    <row r="1171" ht="15" customHeight="1" s="131">
      <c r="A1171" s="220" t="n"/>
      <c r="B1171" s="222" t="n"/>
      <c r="C1171" s="222" t="n"/>
      <c r="D1171" s="220" t="n"/>
      <c r="E1171" s="220" t="n"/>
      <c r="F1171" s="181" t="n"/>
      <c r="G1171" s="219" t="n"/>
      <c r="H1171" s="220" t="n"/>
      <c r="I1171" s="221" t="n"/>
    </row>
    <row r="1172" ht="15" customHeight="1" s="131">
      <c r="A1172" s="220" t="n"/>
      <c r="B1172" s="222" t="n"/>
      <c r="C1172" s="222" t="n"/>
      <c r="D1172" s="220" t="n"/>
      <c r="E1172" s="220" t="n"/>
      <c r="F1172" s="181" t="n"/>
      <c r="G1172" s="219" t="n"/>
      <c r="H1172" s="220" t="n"/>
      <c r="I1172" s="221" t="n"/>
    </row>
    <row r="1173" ht="15" customHeight="1" s="131">
      <c r="A1173" s="220" t="n"/>
      <c r="B1173" s="222" t="n"/>
      <c r="C1173" s="222" t="n"/>
      <c r="D1173" s="220" t="n"/>
      <c r="E1173" s="220" t="n"/>
      <c r="F1173" s="181" t="n"/>
      <c r="G1173" s="219" t="n"/>
      <c r="H1173" s="220" t="n"/>
      <c r="I1173" s="221" t="n"/>
    </row>
    <row r="1174" ht="15" customHeight="1" s="131">
      <c r="A1174" s="220" t="n"/>
      <c r="B1174" s="222" t="n"/>
      <c r="C1174" s="222" t="n"/>
      <c r="D1174" s="220" t="n"/>
      <c r="E1174" s="220" t="n"/>
      <c r="F1174" s="181" t="n"/>
      <c r="G1174" s="219" t="n"/>
      <c r="H1174" s="220" t="n"/>
      <c r="I1174" s="221" t="n"/>
    </row>
    <row r="1175" ht="15" customHeight="1" s="131">
      <c r="A1175" s="220" t="n"/>
      <c r="B1175" s="222" t="n"/>
      <c r="C1175" s="222" t="n"/>
      <c r="D1175" s="220" t="n"/>
      <c r="E1175" s="220" t="n"/>
      <c r="F1175" s="181" t="n"/>
      <c r="G1175" s="219" t="n"/>
      <c r="H1175" s="220" t="n"/>
      <c r="I1175" s="221" t="n"/>
    </row>
    <row r="1176" ht="15" customHeight="1" s="131">
      <c r="A1176" s="220" t="n"/>
      <c r="B1176" s="222" t="n"/>
      <c r="C1176" s="222" t="n"/>
      <c r="D1176" s="220" t="n"/>
      <c r="E1176" s="220" t="n"/>
      <c r="F1176" s="181" t="n"/>
      <c r="G1176" s="219" t="n"/>
      <c r="H1176" s="220" t="n"/>
      <c r="I1176" s="221" t="n"/>
    </row>
    <row r="1177" ht="15" customHeight="1" s="131">
      <c r="A1177" s="220" t="n"/>
      <c r="B1177" s="222" t="n"/>
      <c r="C1177" s="222" t="n"/>
      <c r="D1177" s="220" t="n"/>
      <c r="E1177" s="220" t="n"/>
      <c r="F1177" s="181" t="n"/>
      <c r="G1177" s="219" t="n"/>
      <c r="H1177" s="220" t="n"/>
      <c r="I1177" s="221" t="n"/>
    </row>
    <row r="1178" ht="15" customHeight="1" s="131">
      <c r="A1178" s="220" t="n"/>
      <c r="B1178" s="222" t="n"/>
      <c r="C1178" s="222" t="n"/>
      <c r="D1178" s="220" t="n"/>
      <c r="E1178" s="220" t="n"/>
      <c r="F1178" s="181" t="n"/>
      <c r="G1178" s="219" t="n"/>
      <c r="H1178" s="220" t="n"/>
      <c r="I1178" s="221" t="n"/>
    </row>
    <row r="1179" ht="15" customHeight="1" s="131">
      <c r="A1179" s="220" t="n"/>
      <c r="B1179" s="222" t="n"/>
      <c r="C1179" s="222" t="n"/>
      <c r="D1179" s="220" t="n"/>
      <c r="E1179" s="220" t="n"/>
      <c r="F1179" s="181" t="n"/>
      <c r="G1179" s="219" t="n"/>
      <c r="H1179" s="220" t="n"/>
      <c r="I1179" s="221" t="n"/>
    </row>
    <row r="1180" ht="15" customHeight="1" s="131">
      <c r="A1180" s="220" t="n"/>
      <c r="B1180" s="222" t="n"/>
      <c r="C1180" s="222" t="n"/>
      <c r="D1180" s="220" t="n"/>
      <c r="E1180" s="220" t="n"/>
      <c r="F1180" s="181" t="n"/>
      <c r="G1180" s="219" t="n"/>
      <c r="H1180" s="220" t="n"/>
      <c r="I1180" s="221" t="n"/>
    </row>
    <row r="1181" ht="15" customHeight="1" s="131">
      <c r="A1181" s="220" t="n"/>
      <c r="B1181" s="222" t="n"/>
      <c r="C1181" s="222" t="n"/>
      <c r="D1181" s="220" t="n"/>
      <c r="E1181" s="220" t="n"/>
      <c r="F1181" s="181" t="n"/>
      <c r="G1181" s="219" t="n"/>
      <c r="H1181" s="220" t="n"/>
      <c r="I1181" s="221" t="n"/>
    </row>
    <row r="1182" ht="15" customHeight="1" s="131">
      <c r="A1182" s="220" t="n"/>
      <c r="B1182" s="222" t="n"/>
      <c r="C1182" s="222" t="n"/>
      <c r="D1182" s="220" t="n"/>
      <c r="E1182" s="220" t="n"/>
      <c r="F1182" s="181" t="n"/>
      <c r="G1182" s="219" t="n"/>
      <c r="H1182" s="220" t="n"/>
      <c r="I1182" s="221" t="n"/>
    </row>
    <row r="1183" ht="15" customHeight="1" s="131">
      <c r="A1183" s="220" t="n"/>
      <c r="B1183" s="222" t="n"/>
      <c r="C1183" s="222" t="n"/>
      <c r="D1183" s="220" t="n"/>
      <c r="E1183" s="220" t="n"/>
      <c r="F1183" s="181" t="n"/>
      <c r="G1183" s="219" t="n"/>
      <c r="H1183" s="220" t="n"/>
      <c r="I1183" s="221" t="n"/>
    </row>
    <row r="1184" ht="15" customHeight="1" s="131">
      <c r="A1184" s="220" t="n"/>
      <c r="B1184" s="222" t="n"/>
      <c r="C1184" s="222" t="n"/>
      <c r="D1184" s="220" t="n"/>
      <c r="E1184" s="220" t="n"/>
      <c r="F1184" s="181" t="n"/>
      <c r="G1184" s="219" t="n"/>
      <c r="H1184" s="220" t="n"/>
      <c r="I1184" s="221" t="n"/>
    </row>
    <row r="1185" ht="15" customHeight="1" s="131">
      <c r="A1185" s="220" t="n"/>
      <c r="B1185" s="222" t="n"/>
      <c r="C1185" s="222" t="n"/>
      <c r="D1185" s="220" t="n"/>
      <c r="E1185" s="220" t="n"/>
      <c r="F1185" s="181" t="n"/>
      <c r="G1185" s="219" t="n"/>
      <c r="H1185" s="220" t="n"/>
      <c r="I1185" s="221" t="n"/>
    </row>
    <row r="1186" ht="15" customHeight="1" s="131">
      <c r="A1186" s="220" t="n"/>
      <c r="B1186" s="222" t="n"/>
      <c r="C1186" s="222" t="n"/>
      <c r="D1186" s="220" t="n"/>
      <c r="E1186" s="220" t="n"/>
      <c r="F1186" s="181" t="n"/>
      <c r="G1186" s="219" t="n"/>
      <c r="H1186" s="220" t="n"/>
      <c r="I1186" s="221" t="n"/>
    </row>
    <row r="1187" ht="15" customHeight="1" s="131">
      <c r="A1187" s="220" t="n"/>
      <c r="B1187" s="222" t="n"/>
      <c r="C1187" s="222" t="n"/>
      <c r="D1187" s="220" t="n"/>
      <c r="E1187" s="220" t="n"/>
      <c r="F1187" s="181" t="n"/>
      <c r="G1187" s="219" t="n"/>
      <c r="H1187" s="220" t="n"/>
      <c r="I1187" s="221" t="n"/>
    </row>
    <row r="1188" ht="15" customHeight="1" s="131">
      <c r="A1188" s="220" t="n"/>
      <c r="B1188" s="222" t="n"/>
      <c r="C1188" s="222" t="n"/>
      <c r="D1188" s="220" t="n"/>
      <c r="E1188" s="220" t="n"/>
      <c r="F1188" s="181" t="n"/>
      <c r="G1188" s="219" t="n"/>
      <c r="H1188" s="220" t="n"/>
      <c r="I1188" s="221" t="n"/>
    </row>
    <row r="1189" ht="15" customHeight="1" s="131">
      <c r="A1189" s="220" t="n"/>
      <c r="B1189" s="222" t="n"/>
      <c r="C1189" s="222" t="n"/>
      <c r="D1189" s="220" t="n"/>
      <c r="E1189" s="220" t="n"/>
      <c r="F1189" s="181" t="n"/>
      <c r="G1189" s="219" t="n"/>
      <c r="H1189" s="220" t="n"/>
      <c r="I1189" s="221" t="n"/>
    </row>
    <row r="1190" ht="15" customHeight="1" s="131">
      <c r="A1190" s="220" t="n"/>
      <c r="B1190" s="222" t="n"/>
      <c r="C1190" s="222" t="n"/>
      <c r="D1190" s="220" t="n"/>
      <c r="E1190" s="220" t="n"/>
      <c r="F1190" s="181" t="n"/>
      <c r="G1190" s="219" t="n"/>
      <c r="H1190" s="220" t="n"/>
      <c r="I1190" s="221" t="n"/>
    </row>
    <row r="1191" ht="15" customHeight="1" s="131">
      <c r="A1191" s="220" t="n"/>
      <c r="B1191" s="222" t="n"/>
      <c r="C1191" s="222" t="n"/>
      <c r="D1191" s="220" t="n"/>
      <c r="E1191" s="220" t="n"/>
      <c r="F1191" s="181" t="n"/>
      <c r="G1191" s="219" t="n"/>
      <c r="H1191" s="220" t="n"/>
      <c r="I1191" s="221" t="n"/>
    </row>
    <row r="1192" ht="15" customHeight="1" s="131">
      <c r="A1192" s="220" t="n"/>
      <c r="B1192" s="222" t="n"/>
      <c r="C1192" s="222" t="n"/>
      <c r="D1192" s="220" t="n"/>
      <c r="E1192" s="220" t="n"/>
      <c r="F1192" s="181" t="n"/>
      <c r="G1192" s="219" t="n"/>
      <c r="H1192" s="220" t="n"/>
      <c r="I1192" s="221" t="n"/>
    </row>
    <row r="1193" ht="15" customHeight="1" s="131">
      <c r="A1193" s="220" t="n"/>
      <c r="B1193" s="222" t="n"/>
      <c r="C1193" s="222" t="n"/>
      <c r="D1193" s="220" t="n"/>
      <c r="E1193" s="220" t="n"/>
      <c r="F1193" s="181" t="n"/>
      <c r="G1193" s="219" t="n"/>
      <c r="H1193" s="220" t="n"/>
      <c r="I1193" s="221" t="n"/>
    </row>
    <row r="1194" ht="15" customHeight="1" s="131">
      <c r="A1194" s="220" t="n"/>
      <c r="B1194" s="222" t="n"/>
      <c r="C1194" s="222" t="n"/>
      <c r="D1194" s="220" t="n"/>
      <c r="E1194" s="220" t="n"/>
      <c r="F1194" s="181" t="n"/>
      <c r="G1194" s="219" t="n"/>
      <c r="H1194" s="220" t="n"/>
      <c r="I1194" s="221" t="n"/>
    </row>
    <row r="1195" ht="15" customHeight="1" s="131">
      <c r="A1195" s="220" t="n"/>
      <c r="B1195" s="222" t="n"/>
      <c r="C1195" s="222" t="n"/>
      <c r="D1195" s="220" t="n"/>
      <c r="E1195" s="220" t="n"/>
      <c r="F1195" s="181" t="n"/>
      <c r="G1195" s="219" t="n"/>
      <c r="H1195" s="220" t="n"/>
      <c r="I1195" s="221" t="n"/>
    </row>
    <row r="1196" ht="15" customHeight="1" s="131">
      <c r="A1196" s="220" t="n"/>
      <c r="B1196" s="222" t="n"/>
      <c r="C1196" s="222" t="n"/>
      <c r="D1196" s="220" t="n"/>
      <c r="E1196" s="220" t="n"/>
      <c r="F1196" s="181" t="n"/>
      <c r="G1196" s="219" t="n"/>
      <c r="H1196" s="220" t="n"/>
      <c r="I1196" s="221" t="n"/>
    </row>
    <row r="1197" ht="15" customHeight="1" s="131">
      <c r="A1197" s="220" t="n"/>
      <c r="B1197" s="222" t="n"/>
      <c r="C1197" s="222" t="n"/>
      <c r="D1197" s="220" t="n"/>
      <c r="E1197" s="220" t="n"/>
      <c r="F1197" s="181" t="n"/>
      <c r="G1197" s="219" t="n"/>
      <c r="H1197" s="220" t="n"/>
      <c r="I1197" s="221" t="n"/>
    </row>
    <row r="1198" ht="15" customHeight="1" s="131">
      <c r="A1198" s="220" t="n"/>
      <c r="B1198" s="222" t="n"/>
      <c r="C1198" s="222" t="n"/>
      <c r="D1198" s="220" t="n"/>
      <c r="E1198" s="220" t="n"/>
      <c r="F1198" s="181" t="n"/>
      <c r="G1198" s="219" t="n"/>
      <c r="H1198" s="220" t="n"/>
      <c r="I1198" s="221" t="n"/>
    </row>
    <row r="1199" ht="15" customHeight="1" s="131">
      <c r="A1199" s="220" t="n"/>
      <c r="B1199" s="222" t="n"/>
      <c r="C1199" s="222" t="n"/>
      <c r="D1199" s="220" t="n"/>
      <c r="E1199" s="220" t="n"/>
      <c r="F1199" s="181" t="n"/>
      <c r="G1199" s="219" t="n"/>
      <c r="H1199" s="220" t="n"/>
      <c r="I1199" s="221" t="n"/>
    </row>
    <row r="1200" ht="15" customHeight="1" s="131">
      <c r="A1200" s="220" t="n"/>
      <c r="B1200" s="222" t="n"/>
      <c r="C1200" s="222" t="n"/>
      <c r="D1200" s="220" t="n"/>
      <c r="E1200" s="220" t="n"/>
      <c r="F1200" s="181" t="n"/>
      <c r="G1200" s="219" t="n"/>
      <c r="H1200" s="220" t="n"/>
      <c r="I1200" s="221" t="n"/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 filterMode="0">
    <tabColor rgb="FFC6E0B4"/>
    <outlinePr summaryBelow="1" summaryRight="1"/>
    <pageSetUpPr fitToPage="0"/>
  </sheetPr>
  <dimension ref="A1:H4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130" min="1" max="1"/>
    <col width="46" customWidth="1" style="130" min="2" max="2"/>
    <col width="18" customWidth="1" style="130" min="3" max="3"/>
    <col width="14" customWidth="1" style="130" min="4" max="5"/>
    <col width="18" customWidth="1" style="130" min="6" max="6"/>
    <col width="16" customWidth="1" style="130" min="7" max="7"/>
    <col width="50" customWidth="1" style="130" min="8" max="8"/>
  </cols>
  <sheetData>
    <row r="1" ht="24" customHeight="1" s="131">
      <c r="A1" s="132" t="inlineStr">
        <is>
          <t>METAS COM VIGÊNCIA — HISTÓRICO PRESERVADO</t>
        </is>
      </c>
    </row>
    <row r="2" ht="30" customHeight="1" s="131">
      <c r="A2" s="133" t="inlineStr">
        <is>
          <t>Para mudar uma meta, ACRESCENTE uma linha com nova vigência; nunca sobrescreva. DADM-01, DADM-09 e DADM-10 usam a lógica 'menor é melhor'.</t>
        </is>
      </c>
    </row>
    <row r="3"/>
    <row r="4" ht="30" customHeight="1" s="131">
      <c r="A4" s="199" t="inlineStr">
        <is>
          <t>KPI</t>
        </is>
      </c>
      <c r="B4" s="199" t="inlineStr">
        <is>
          <t>Recorte</t>
        </is>
      </c>
      <c r="C4" s="199" t="inlineStr">
        <is>
          <t>Vigência (AAAA-MM)</t>
        </is>
      </c>
      <c r="D4" s="199" t="inlineStr">
        <is>
          <t>Chave (calc.)</t>
        </is>
      </c>
      <c r="E4" s="199" t="inlineStr">
        <is>
          <t>Meta</t>
        </is>
      </c>
      <c r="F4" s="199" t="inlineStr">
        <is>
          <t>Limiar de atenção</t>
        </is>
      </c>
      <c r="G4" s="199" t="inlineStr">
        <is>
          <t>Limite superior</t>
        </is>
      </c>
      <c r="H4" s="199" t="inlineStr">
        <is>
          <t>Justificativa</t>
        </is>
      </c>
    </row>
    <row r="5" ht="15" customHeight="1" s="131">
      <c r="A5" s="223" t="n"/>
      <c r="B5" s="224" t="n"/>
      <c r="C5" s="225" t="n"/>
      <c r="D5" s="226">
        <f>IFERROR(VALUE(SUBSTITUTE($C5,"-","")),0)</f>
        <v/>
      </c>
      <c r="E5" s="227" t="n"/>
      <c r="F5" s="228" t="n"/>
      <c r="G5" s="228" t="n"/>
      <c r="H5" s="229" t="n"/>
    </row>
    <row r="6" ht="15" customHeight="1" s="131">
      <c r="A6" s="223" t="n"/>
      <c r="B6" s="224" t="n"/>
      <c r="C6" s="225" t="n"/>
      <c r="D6" s="226">
        <f>IFERROR(VALUE(SUBSTITUTE($C6,"-","")),0)</f>
        <v/>
      </c>
      <c r="E6" s="230" t="n"/>
      <c r="F6" s="231" t="n"/>
      <c r="G6" s="231" t="n"/>
      <c r="H6" s="229" t="n"/>
    </row>
    <row r="7" ht="15" customHeight="1" s="131">
      <c r="A7" s="223" t="n"/>
      <c r="B7" s="224" t="n"/>
      <c r="C7" s="225" t="n"/>
      <c r="D7" s="226">
        <f>IFERROR(VALUE(SUBSTITUTE($C7,"-","")),0)</f>
        <v/>
      </c>
      <c r="E7" s="230" t="n"/>
      <c r="F7" s="231" t="n"/>
      <c r="G7" s="231" t="n"/>
      <c r="H7" s="229" t="n"/>
    </row>
    <row r="8" ht="15" customHeight="1" s="131">
      <c r="A8" s="223" t="n"/>
      <c r="B8" s="224" t="n"/>
      <c r="C8" s="225" t="n"/>
      <c r="D8" s="226">
        <f>IFERROR(VALUE(SUBSTITUTE($C8,"-","")),0)</f>
        <v/>
      </c>
      <c r="E8" s="230" t="n"/>
      <c r="F8" s="231" t="n"/>
      <c r="G8" s="231" t="n"/>
      <c r="H8" s="229" t="n"/>
    </row>
    <row r="9" ht="15" customHeight="1" s="131">
      <c r="A9" s="223" t="n"/>
      <c r="B9" s="224" t="n"/>
      <c r="C9" s="225" t="n"/>
      <c r="D9" s="226">
        <f>IFERROR(VALUE(SUBSTITUTE($C9,"-","")),0)</f>
        <v/>
      </c>
      <c r="E9" s="230" t="n"/>
      <c r="F9" s="231" t="n"/>
      <c r="G9" s="231" t="n"/>
      <c r="H9" s="229" t="n"/>
    </row>
    <row r="10" ht="15" customHeight="1" s="131">
      <c r="A10" s="223" t="n"/>
      <c r="B10" s="224" t="n"/>
      <c r="C10" s="225" t="n"/>
      <c r="D10" s="226">
        <f>IFERROR(VALUE(SUBSTITUTE($C10,"-","")),0)</f>
        <v/>
      </c>
      <c r="E10" s="227" t="n"/>
      <c r="F10" s="228" t="n"/>
      <c r="G10" s="228" t="n"/>
      <c r="H10" s="229" t="n"/>
    </row>
    <row r="11" ht="15" customHeight="1" s="131">
      <c r="A11" s="225" t="n"/>
      <c r="B11" s="232" t="n"/>
      <c r="C11" s="225" t="n"/>
      <c r="D11" s="226">
        <f>IFERROR(VALUE(SUBSTITUTE($C11,"-","")),0)</f>
        <v/>
      </c>
      <c r="E11" s="225" t="n"/>
      <c r="F11" s="225" t="n"/>
      <c r="G11" s="225" t="n"/>
      <c r="H11" s="232" t="n"/>
    </row>
    <row r="12" ht="15" customHeight="1" s="131">
      <c r="A12" s="225" t="n"/>
      <c r="B12" s="232" t="n"/>
      <c r="C12" s="225" t="n"/>
      <c r="D12" s="226">
        <f>IFERROR(VALUE(SUBSTITUTE($C12,"-","")),0)</f>
        <v/>
      </c>
      <c r="E12" s="225" t="n"/>
      <c r="F12" s="225" t="n"/>
      <c r="G12" s="225" t="n"/>
      <c r="H12" s="232" t="n"/>
    </row>
    <row r="13" ht="15" customHeight="1" s="131">
      <c r="A13" s="225" t="n"/>
      <c r="B13" s="232" t="n"/>
      <c r="C13" s="225" t="n"/>
      <c r="D13" s="226">
        <f>IFERROR(VALUE(SUBSTITUTE($C13,"-","")),0)</f>
        <v/>
      </c>
      <c r="E13" s="225" t="n"/>
      <c r="F13" s="225" t="n"/>
      <c r="G13" s="225" t="n"/>
      <c r="H13" s="232" t="n"/>
    </row>
    <row r="14" ht="15" customHeight="1" s="131">
      <c r="A14" s="225" t="n"/>
      <c r="B14" s="232" t="n"/>
      <c r="C14" s="225" t="n"/>
      <c r="D14" s="226">
        <f>IFERROR(VALUE(SUBSTITUTE($C14,"-","")),0)</f>
        <v/>
      </c>
      <c r="E14" s="225" t="n"/>
      <c r="F14" s="225" t="n"/>
      <c r="G14" s="225" t="n"/>
      <c r="H14" s="232" t="n"/>
    </row>
    <row r="15" ht="15" customHeight="1" s="131">
      <c r="A15" s="225" t="n"/>
      <c r="B15" s="232" t="n"/>
      <c r="C15" s="225" t="n"/>
      <c r="D15" s="226">
        <f>IFERROR(VALUE(SUBSTITUTE($C15,"-","")),0)</f>
        <v/>
      </c>
      <c r="E15" s="225" t="n"/>
      <c r="F15" s="225" t="n"/>
      <c r="G15" s="225" t="n"/>
      <c r="H15" s="232" t="n"/>
    </row>
    <row r="16" ht="15" customHeight="1" s="131">
      <c r="A16" s="225" t="n"/>
      <c r="B16" s="232" t="n"/>
      <c r="C16" s="225" t="n"/>
      <c r="D16" s="226">
        <f>IFERROR(VALUE(SUBSTITUTE($C16,"-","")),0)</f>
        <v/>
      </c>
      <c r="E16" s="225" t="n"/>
      <c r="F16" s="225" t="n"/>
      <c r="G16" s="225" t="n"/>
      <c r="H16" s="232" t="n"/>
    </row>
    <row r="17" ht="15" customHeight="1" s="131">
      <c r="A17" s="225" t="n"/>
      <c r="B17" s="232" t="n"/>
      <c r="C17" s="225" t="n"/>
      <c r="D17" s="226">
        <f>IFERROR(VALUE(SUBSTITUTE($C17,"-","")),0)</f>
        <v/>
      </c>
      <c r="E17" s="225" t="n"/>
      <c r="F17" s="225" t="n"/>
      <c r="G17" s="225" t="n"/>
      <c r="H17" s="232" t="n"/>
    </row>
    <row r="18" ht="15" customHeight="1" s="131">
      <c r="A18" s="225" t="n"/>
      <c r="B18" s="232" t="n"/>
      <c r="C18" s="225" t="n"/>
      <c r="D18" s="226">
        <f>IFERROR(VALUE(SUBSTITUTE($C18,"-","")),0)</f>
        <v/>
      </c>
      <c r="E18" s="225" t="n"/>
      <c r="F18" s="225" t="n"/>
      <c r="G18" s="225" t="n"/>
      <c r="H18" s="232" t="n"/>
    </row>
    <row r="19" ht="15" customHeight="1" s="131">
      <c r="A19" s="225" t="n"/>
      <c r="B19" s="232" t="n"/>
      <c r="C19" s="225" t="n"/>
      <c r="D19" s="226">
        <f>IFERROR(VALUE(SUBSTITUTE($C19,"-","")),0)</f>
        <v/>
      </c>
      <c r="E19" s="225" t="n"/>
      <c r="F19" s="225" t="n"/>
      <c r="G19" s="225" t="n"/>
      <c r="H19" s="232" t="n"/>
    </row>
    <row r="20" ht="15" customHeight="1" s="131">
      <c r="A20" s="225" t="n"/>
      <c r="B20" s="232" t="n"/>
      <c r="C20" s="225" t="n"/>
      <c r="D20" s="226">
        <f>IFERROR(VALUE(SUBSTITUTE($C20,"-","")),0)</f>
        <v/>
      </c>
      <c r="E20" s="225" t="n"/>
      <c r="F20" s="225" t="n"/>
      <c r="G20" s="225" t="n"/>
      <c r="H20" s="232" t="n"/>
    </row>
    <row r="21" ht="15" customHeight="1" s="131">
      <c r="A21" s="225" t="n"/>
      <c r="B21" s="232" t="n"/>
      <c r="C21" s="225" t="n"/>
      <c r="D21" s="226">
        <f>IFERROR(VALUE(SUBSTITUTE($C21,"-","")),0)</f>
        <v/>
      </c>
      <c r="E21" s="225" t="n"/>
      <c r="F21" s="225" t="n"/>
      <c r="G21" s="225" t="n"/>
      <c r="H21" s="232" t="n"/>
    </row>
    <row r="22" ht="15" customHeight="1" s="131">
      <c r="A22" s="225" t="n"/>
      <c r="B22" s="232" t="n"/>
      <c r="C22" s="225" t="n"/>
      <c r="D22" s="226">
        <f>IFERROR(VALUE(SUBSTITUTE($C22,"-","")),0)</f>
        <v/>
      </c>
      <c r="E22" s="225" t="n"/>
      <c r="F22" s="225" t="n"/>
      <c r="G22" s="225" t="n"/>
      <c r="H22" s="232" t="n"/>
    </row>
    <row r="23" ht="15" customHeight="1" s="131">
      <c r="A23" s="225" t="n"/>
      <c r="B23" s="232" t="n"/>
      <c r="C23" s="225" t="n"/>
      <c r="D23" s="226">
        <f>IFERROR(VALUE(SUBSTITUTE($C23,"-","")),0)</f>
        <v/>
      </c>
      <c r="E23" s="225" t="n"/>
      <c r="F23" s="225" t="n"/>
      <c r="G23" s="225" t="n"/>
      <c r="H23" s="232" t="n"/>
    </row>
    <row r="24" ht="15" customHeight="1" s="131">
      <c r="A24" s="225" t="n"/>
      <c r="B24" s="232" t="n"/>
      <c r="C24" s="225" t="n"/>
      <c r="D24" s="226">
        <f>IFERROR(VALUE(SUBSTITUTE($C24,"-","")),0)</f>
        <v/>
      </c>
      <c r="E24" s="225" t="n"/>
      <c r="F24" s="225" t="n"/>
      <c r="G24" s="225" t="n"/>
      <c r="H24" s="232" t="n"/>
    </row>
    <row r="25" ht="15" customHeight="1" s="131">
      <c r="A25" s="225" t="n"/>
      <c r="B25" s="232" t="n"/>
      <c r="C25" s="225" t="n"/>
      <c r="D25" s="226">
        <f>IFERROR(VALUE(SUBSTITUTE($C25,"-","")),0)</f>
        <v/>
      </c>
      <c r="E25" s="225" t="n"/>
      <c r="F25" s="225" t="n"/>
      <c r="G25" s="225" t="n"/>
      <c r="H25" s="232" t="n"/>
    </row>
    <row r="26" ht="15" customHeight="1" s="131">
      <c r="A26" s="225" t="n"/>
      <c r="B26" s="232" t="n"/>
      <c r="C26" s="225" t="n"/>
      <c r="D26" s="226">
        <f>IFERROR(VALUE(SUBSTITUTE($C26,"-","")),0)</f>
        <v/>
      </c>
      <c r="E26" s="225" t="n"/>
      <c r="F26" s="225" t="n"/>
      <c r="G26" s="225" t="n"/>
      <c r="H26" s="232" t="n"/>
    </row>
    <row r="27" ht="15" customHeight="1" s="131">
      <c r="A27" s="225" t="n"/>
      <c r="B27" s="232" t="n"/>
      <c r="C27" s="225" t="n"/>
      <c r="D27" s="226">
        <f>IFERROR(VALUE(SUBSTITUTE($C27,"-","")),0)</f>
        <v/>
      </c>
      <c r="E27" s="225" t="n"/>
      <c r="F27" s="225" t="n"/>
      <c r="G27" s="225" t="n"/>
      <c r="H27" s="232" t="n"/>
    </row>
    <row r="28" ht="15" customHeight="1" s="131">
      <c r="A28" s="225" t="n"/>
      <c r="B28" s="232" t="n"/>
      <c r="C28" s="225" t="n"/>
      <c r="D28" s="226">
        <f>IFERROR(VALUE(SUBSTITUTE($C28,"-","")),0)</f>
        <v/>
      </c>
      <c r="E28" s="225" t="n"/>
      <c r="F28" s="225" t="n"/>
      <c r="G28" s="225" t="n"/>
      <c r="H28" s="232" t="n"/>
    </row>
    <row r="29" ht="15" customHeight="1" s="131">
      <c r="A29" s="225" t="n"/>
      <c r="B29" s="232" t="n"/>
      <c r="C29" s="225" t="n"/>
      <c r="D29" s="226">
        <f>IFERROR(VALUE(SUBSTITUTE($C29,"-","")),0)</f>
        <v/>
      </c>
      <c r="E29" s="225" t="n"/>
      <c r="F29" s="225" t="n"/>
      <c r="G29" s="225" t="n"/>
      <c r="H29" s="232" t="n"/>
    </row>
    <row r="30" ht="15" customHeight="1" s="131">
      <c r="A30" s="225" t="n"/>
      <c r="B30" s="232" t="n"/>
      <c r="C30" s="225" t="n"/>
      <c r="D30" s="226">
        <f>IFERROR(VALUE(SUBSTITUTE($C30,"-","")),0)</f>
        <v/>
      </c>
      <c r="E30" s="225" t="n"/>
      <c r="F30" s="225" t="n"/>
      <c r="G30" s="225" t="n"/>
      <c r="H30" s="232" t="n"/>
    </row>
    <row r="31" ht="15" customHeight="1" s="131">
      <c r="A31" s="225" t="n"/>
      <c r="B31" s="232" t="n"/>
      <c r="C31" s="225" t="n"/>
      <c r="D31" s="226">
        <f>IFERROR(VALUE(SUBSTITUTE($C31,"-","")),0)</f>
        <v/>
      </c>
      <c r="E31" s="225" t="n"/>
      <c r="F31" s="225" t="n"/>
      <c r="G31" s="225" t="n"/>
      <c r="H31" s="232" t="n"/>
    </row>
    <row r="32" ht="15" customHeight="1" s="131">
      <c r="A32" s="225" t="n"/>
      <c r="B32" s="232" t="n"/>
      <c r="C32" s="225" t="n"/>
      <c r="D32" s="226">
        <f>IFERROR(VALUE(SUBSTITUTE($C32,"-","")),0)</f>
        <v/>
      </c>
      <c r="E32" s="225" t="n"/>
      <c r="F32" s="225" t="n"/>
      <c r="G32" s="225" t="n"/>
      <c r="H32" s="232" t="n"/>
    </row>
    <row r="33" ht="15" customHeight="1" s="131">
      <c r="A33" s="225" t="n"/>
      <c r="B33" s="232" t="n"/>
      <c r="C33" s="225" t="n"/>
      <c r="D33" s="226">
        <f>IFERROR(VALUE(SUBSTITUTE($C33,"-","")),0)</f>
        <v/>
      </c>
      <c r="E33" s="225" t="n"/>
      <c r="F33" s="225" t="n"/>
      <c r="G33" s="225" t="n"/>
      <c r="H33" s="232" t="n"/>
    </row>
    <row r="34" ht="15" customHeight="1" s="131">
      <c r="A34" s="225" t="n"/>
      <c r="B34" s="232" t="n"/>
      <c r="C34" s="225" t="n"/>
      <c r="D34" s="226">
        <f>IFERROR(VALUE(SUBSTITUTE($C34,"-","")),0)</f>
        <v/>
      </c>
      <c r="E34" s="225" t="n"/>
      <c r="F34" s="225" t="n"/>
      <c r="G34" s="225" t="n"/>
      <c r="H34" s="232" t="n"/>
    </row>
    <row r="35" ht="15" customHeight="1" s="131">
      <c r="A35" s="225" t="n"/>
      <c r="B35" s="232" t="n"/>
      <c r="C35" s="225" t="n"/>
      <c r="D35" s="226">
        <f>IFERROR(VALUE(SUBSTITUTE($C35,"-","")),0)</f>
        <v/>
      </c>
      <c r="E35" s="225" t="n"/>
      <c r="F35" s="225" t="n"/>
      <c r="G35" s="225" t="n"/>
      <c r="H35" s="232" t="n"/>
    </row>
    <row r="36" ht="15" customHeight="1" s="131">
      <c r="A36" s="225" t="n"/>
      <c r="B36" s="232" t="n"/>
      <c r="C36" s="225" t="n"/>
      <c r="D36" s="226">
        <f>IFERROR(VALUE(SUBSTITUTE($C36,"-","")),0)</f>
        <v/>
      </c>
      <c r="E36" s="225" t="n"/>
      <c r="F36" s="225" t="n"/>
      <c r="G36" s="225" t="n"/>
      <c r="H36" s="232" t="n"/>
    </row>
    <row r="37" ht="15" customHeight="1" s="131">
      <c r="A37" s="225" t="n"/>
      <c r="B37" s="232" t="n"/>
      <c r="C37" s="225" t="n"/>
      <c r="D37" s="226">
        <f>IFERROR(VALUE(SUBSTITUTE($C37,"-","")),0)</f>
        <v/>
      </c>
      <c r="E37" s="225" t="n"/>
      <c r="F37" s="225" t="n"/>
      <c r="G37" s="225" t="n"/>
      <c r="H37" s="232" t="n"/>
    </row>
    <row r="38" ht="15" customHeight="1" s="131">
      <c r="A38" s="225" t="n"/>
      <c r="B38" s="232" t="n"/>
      <c r="C38" s="225" t="n"/>
      <c r="D38" s="226">
        <f>IFERROR(VALUE(SUBSTITUTE($C38,"-","")),0)</f>
        <v/>
      </c>
      <c r="E38" s="225" t="n"/>
      <c r="F38" s="225" t="n"/>
      <c r="G38" s="225" t="n"/>
      <c r="H38" s="232" t="n"/>
    </row>
    <row r="39" ht="15" customHeight="1" s="131">
      <c r="A39" s="225" t="n"/>
      <c r="B39" s="232" t="n"/>
      <c r="C39" s="225" t="n"/>
      <c r="D39" s="226">
        <f>IFERROR(VALUE(SUBSTITUTE($C39,"-","")),0)</f>
        <v/>
      </c>
      <c r="E39" s="225" t="n"/>
      <c r="F39" s="225" t="n"/>
      <c r="G39" s="225" t="n"/>
      <c r="H39" s="232" t="n"/>
    </row>
    <row r="40" ht="15" customHeight="1" s="131">
      <c r="A40" s="225" t="n"/>
      <c r="B40" s="232" t="n"/>
      <c r="C40" s="225" t="n"/>
      <c r="D40" s="226">
        <f>IFERROR(VALUE(SUBSTITUTE($C40,"-","")),0)</f>
        <v/>
      </c>
      <c r="E40" s="225" t="n"/>
      <c r="F40" s="225" t="n"/>
      <c r="G40" s="225" t="n"/>
      <c r="H40" s="232" t="n"/>
    </row>
    <row r="41" ht="15" customHeight="1" s="131">
      <c r="A41" s="225" t="n"/>
      <c r="B41" s="232" t="n"/>
      <c r="C41" s="225" t="n"/>
      <c r="D41" s="226">
        <f>IFERROR(VALUE(SUBSTITUTE($C41,"-","")),0)</f>
        <v/>
      </c>
      <c r="E41" s="225" t="n"/>
      <c r="F41" s="225" t="n"/>
      <c r="G41" s="225" t="n"/>
      <c r="H41" s="232" t="n"/>
    </row>
    <row r="42" ht="15" customHeight="1" s="131">
      <c r="A42" s="225" t="n"/>
      <c r="B42" s="232" t="n"/>
      <c r="C42" s="225" t="n"/>
      <c r="D42" s="226">
        <f>IFERROR(VALUE(SUBSTITUTE($C42,"-","")),0)</f>
        <v/>
      </c>
      <c r="E42" s="225" t="n"/>
      <c r="F42" s="225" t="n"/>
      <c r="G42" s="225" t="n"/>
      <c r="H42" s="232" t="n"/>
    </row>
    <row r="43" ht="15" customHeight="1" s="131">
      <c r="A43" s="225" t="n"/>
      <c r="B43" s="232" t="n"/>
      <c r="C43" s="225" t="n"/>
      <c r="D43" s="226">
        <f>IFERROR(VALUE(SUBSTITUTE($C43,"-","")),0)</f>
        <v/>
      </c>
      <c r="E43" s="225" t="n"/>
      <c r="F43" s="225" t="n"/>
      <c r="G43" s="225" t="n"/>
      <c r="H43" s="232" t="n"/>
    </row>
    <row r="44" ht="15" customHeight="1" s="131">
      <c r="A44" s="225" t="n"/>
      <c r="B44" s="232" t="n"/>
      <c r="C44" s="225" t="n"/>
      <c r="D44" s="226">
        <f>IFERROR(VALUE(SUBSTITUTE($C44,"-","")),0)</f>
        <v/>
      </c>
      <c r="E44" s="225" t="n"/>
      <c r="F44" s="225" t="n"/>
      <c r="G44" s="225" t="n"/>
      <c r="H44" s="232" t="n"/>
    </row>
    <row r="45" ht="15" customHeight="1" s="131">
      <c r="A45" s="225" t="n"/>
      <c r="B45" s="232" t="n"/>
      <c r="C45" s="225" t="n"/>
      <c r="D45" s="226">
        <f>IFERROR(VALUE(SUBSTITUTE($C45,"-","")),0)</f>
        <v/>
      </c>
      <c r="E45" s="225" t="n"/>
      <c r="F45" s="225" t="n"/>
      <c r="G45" s="225" t="n"/>
      <c r="H45" s="232" t="n"/>
    </row>
    <row r="46" ht="15" customHeight="1" s="131">
      <c r="A46" s="225" t="n"/>
      <c r="B46" s="232" t="n"/>
      <c r="C46" s="225" t="n"/>
      <c r="D46" s="226">
        <f>IFERROR(VALUE(SUBSTITUTE($C46,"-","")),0)</f>
        <v/>
      </c>
      <c r="E46" s="225" t="n"/>
      <c r="F46" s="225" t="n"/>
      <c r="G46" s="225" t="n"/>
      <c r="H46" s="232" t="n"/>
    </row>
    <row r="47" ht="15" customHeight="1" s="131">
      <c r="A47" s="225" t="n"/>
      <c r="B47" s="232" t="n"/>
      <c r="C47" s="225" t="n"/>
      <c r="D47" s="226">
        <f>IFERROR(VALUE(SUBSTITUTE($C47,"-","")),0)</f>
        <v/>
      </c>
      <c r="E47" s="225" t="n"/>
      <c r="F47" s="225" t="n"/>
      <c r="G47" s="225" t="n"/>
      <c r="H47" s="232" t="n"/>
    </row>
    <row r="48" ht="15" customHeight="1" s="131">
      <c r="A48" s="225" t="n"/>
      <c r="B48" s="232" t="n"/>
      <c r="C48" s="225" t="n"/>
      <c r="D48" s="226">
        <f>IFERROR(VALUE(SUBSTITUTE($C48,"-","")),0)</f>
        <v/>
      </c>
      <c r="E48" s="225" t="n"/>
      <c r="F48" s="225" t="n"/>
      <c r="G48" s="225" t="n"/>
      <c r="H48" s="232" t="n"/>
    </row>
    <row r="49" ht="15" customHeight="1" s="131">
      <c r="A49" s="225" t="n"/>
      <c r="B49" s="232" t="n"/>
      <c r="C49" s="225" t="n"/>
      <c r="D49" s="226">
        <f>IFERROR(VALUE(SUBSTITUTE($C49,"-","")),0)</f>
        <v/>
      </c>
      <c r="E49" s="225" t="n"/>
      <c r="F49" s="225" t="n"/>
      <c r="G49" s="225" t="n"/>
      <c r="H49" s="232" t="n"/>
    </row>
    <row r="50" ht="15" customHeight="1" s="131">
      <c r="A50" s="225" t="n"/>
      <c r="B50" s="232" t="n"/>
      <c r="C50" s="225" t="n"/>
      <c r="D50" s="226">
        <f>IFERROR(VALUE(SUBSTITUTE($C50,"-","")),0)</f>
        <v/>
      </c>
      <c r="E50" s="225" t="n"/>
      <c r="F50" s="225" t="n"/>
      <c r="G50" s="225" t="n"/>
      <c r="H50" s="232" t="n"/>
    </row>
    <row r="51" ht="15" customHeight="1" s="131">
      <c r="A51" s="225" t="n"/>
      <c r="B51" s="232" t="n"/>
      <c r="C51" s="225" t="n"/>
      <c r="D51" s="226">
        <f>IFERROR(VALUE(SUBSTITUTE($C51,"-","")),0)</f>
        <v/>
      </c>
      <c r="E51" s="225" t="n"/>
      <c r="F51" s="225" t="n"/>
      <c r="G51" s="225" t="n"/>
      <c r="H51" s="232" t="n"/>
    </row>
    <row r="52" ht="15" customHeight="1" s="131">
      <c r="A52" s="225" t="n"/>
      <c r="B52" s="232" t="n"/>
      <c r="C52" s="225" t="n"/>
      <c r="D52" s="226">
        <f>IFERROR(VALUE(SUBSTITUTE($C52,"-","")),0)</f>
        <v/>
      </c>
      <c r="E52" s="225" t="n"/>
      <c r="F52" s="225" t="n"/>
      <c r="G52" s="225" t="n"/>
      <c r="H52" s="232" t="n"/>
    </row>
    <row r="53" ht="15" customHeight="1" s="131">
      <c r="A53" s="225" t="n"/>
      <c r="B53" s="232" t="n"/>
      <c r="C53" s="225" t="n"/>
      <c r="D53" s="226">
        <f>IFERROR(VALUE(SUBSTITUTE($C53,"-","")),0)</f>
        <v/>
      </c>
      <c r="E53" s="225" t="n"/>
      <c r="F53" s="225" t="n"/>
      <c r="G53" s="225" t="n"/>
      <c r="H53" s="232" t="n"/>
    </row>
    <row r="54" ht="15" customHeight="1" s="131">
      <c r="A54" s="225" t="n"/>
      <c r="B54" s="232" t="n"/>
      <c r="C54" s="225" t="n"/>
      <c r="D54" s="226">
        <f>IFERROR(VALUE(SUBSTITUTE($C54,"-","")),0)</f>
        <v/>
      </c>
      <c r="E54" s="225" t="n"/>
      <c r="F54" s="225" t="n"/>
      <c r="G54" s="225" t="n"/>
      <c r="H54" s="232" t="n"/>
    </row>
    <row r="55" ht="15" customHeight="1" s="131">
      <c r="A55" s="225" t="n"/>
      <c r="B55" s="232" t="n"/>
      <c r="C55" s="225" t="n"/>
      <c r="D55" s="226">
        <f>IFERROR(VALUE(SUBSTITUTE($C55,"-","")),0)</f>
        <v/>
      </c>
      <c r="E55" s="225" t="n"/>
      <c r="F55" s="225" t="n"/>
      <c r="G55" s="225" t="n"/>
      <c r="H55" s="232" t="n"/>
    </row>
    <row r="56" ht="15" customHeight="1" s="131">
      <c r="A56" s="225" t="n"/>
      <c r="B56" s="232" t="n"/>
      <c r="C56" s="225" t="n"/>
      <c r="D56" s="226">
        <f>IFERROR(VALUE(SUBSTITUTE($C56,"-","")),0)</f>
        <v/>
      </c>
      <c r="E56" s="225" t="n"/>
      <c r="F56" s="225" t="n"/>
      <c r="G56" s="225" t="n"/>
      <c r="H56" s="232" t="n"/>
    </row>
    <row r="57" ht="15" customHeight="1" s="131">
      <c r="A57" s="225" t="n"/>
      <c r="B57" s="232" t="n"/>
      <c r="C57" s="225" t="n"/>
      <c r="D57" s="226">
        <f>IFERROR(VALUE(SUBSTITUTE($C57,"-","")),0)</f>
        <v/>
      </c>
      <c r="E57" s="225" t="n"/>
      <c r="F57" s="225" t="n"/>
      <c r="G57" s="225" t="n"/>
      <c r="H57" s="232" t="n"/>
    </row>
    <row r="58" ht="15" customHeight="1" s="131">
      <c r="A58" s="225" t="n"/>
      <c r="B58" s="232" t="n"/>
      <c r="C58" s="225" t="n"/>
      <c r="D58" s="226">
        <f>IFERROR(VALUE(SUBSTITUTE($C58,"-","")),0)</f>
        <v/>
      </c>
      <c r="E58" s="225" t="n"/>
      <c r="F58" s="225" t="n"/>
      <c r="G58" s="225" t="n"/>
      <c r="H58" s="232" t="n"/>
    </row>
    <row r="59" ht="15" customHeight="1" s="131">
      <c r="A59" s="225" t="n"/>
      <c r="B59" s="232" t="n"/>
      <c r="C59" s="225" t="n"/>
      <c r="D59" s="226">
        <f>IFERROR(VALUE(SUBSTITUTE($C59,"-","")),0)</f>
        <v/>
      </c>
      <c r="E59" s="225" t="n"/>
      <c r="F59" s="225" t="n"/>
      <c r="G59" s="225" t="n"/>
      <c r="H59" s="232" t="n"/>
    </row>
    <row r="60" ht="15" customHeight="1" s="131">
      <c r="A60" s="225" t="n"/>
      <c r="B60" s="232" t="n"/>
      <c r="C60" s="225" t="n"/>
      <c r="D60" s="226">
        <f>IFERROR(VALUE(SUBSTITUTE($C60,"-","")),0)</f>
        <v/>
      </c>
      <c r="E60" s="225" t="n"/>
      <c r="F60" s="225" t="n"/>
      <c r="G60" s="225" t="n"/>
      <c r="H60" s="232" t="n"/>
    </row>
    <row r="61" ht="15" customHeight="1" s="131">
      <c r="A61" s="225" t="n"/>
      <c r="B61" s="232" t="n"/>
      <c r="C61" s="225" t="n"/>
      <c r="D61" s="226">
        <f>IFERROR(VALUE(SUBSTITUTE($C61,"-","")),0)</f>
        <v/>
      </c>
      <c r="E61" s="225" t="n"/>
      <c r="F61" s="225" t="n"/>
      <c r="G61" s="225" t="n"/>
      <c r="H61" s="232" t="n"/>
    </row>
    <row r="62" ht="15" customHeight="1" s="131">
      <c r="A62" s="225" t="n"/>
      <c r="B62" s="232" t="n"/>
      <c r="C62" s="225" t="n"/>
      <c r="D62" s="226">
        <f>IFERROR(VALUE(SUBSTITUTE($C62,"-","")),0)</f>
        <v/>
      </c>
      <c r="E62" s="225" t="n"/>
      <c r="F62" s="225" t="n"/>
      <c r="G62" s="225" t="n"/>
      <c r="H62" s="232" t="n"/>
    </row>
    <row r="63" ht="15" customHeight="1" s="131">
      <c r="A63" s="225" t="n"/>
      <c r="B63" s="232" t="n"/>
      <c r="C63" s="225" t="n"/>
      <c r="D63" s="226">
        <f>IFERROR(VALUE(SUBSTITUTE($C63,"-","")),0)</f>
        <v/>
      </c>
      <c r="E63" s="225" t="n"/>
      <c r="F63" s="225" t="n"/>
      <c r="G63" s="225" t="n"/>
      <c r="H63" s="232" t="n"/>
    </row>
    <row r="64" ht="15" customHeight="1" s="131">
      <c r="A64" s="225" t="n"/>
      <c r="B64" s="232" t="n"/>
      <c r="C64" s="225" t="n"/>
      <c r="D64" s="226">
        <f>IFERROR(VALUE(SUBSTITUTE($C64,"-","")),0)</f>
        <v/>
      </c>
      <c r="E64" s="225" t="n"/>
      <c r="F64" s="225" t="n"/>
      <c r="G64" s="225" t="n"/>
      <c r="H64" s="232" t="n"/>
    </row>
    <row r="65" ht="15" customHeight="1" s="131">
      <c r="A65" s="225" t="n"/>
      <c r="B65" s="232" t="n"/>
      <c r="C65" s="225" t="n"/>
      <c r="D65" s="226">
        <f>IFERROR(VALUE(SUBSTITUTE($C65,"-","")),0)</f>
        <v/>
      </c>
      <c r="E65" s="225" t="n"/>
      <c r="F65" s="225" t="n"/>
      <c r="G65" s="225" t="n"/>
      <c r="H65" s="232" t="n"/>
    </row>
    <row r="66" ht="15" customHeight="1" s="131">
      <c r="A66" s="225" t="n"/>
      <c r="B66" s="232" t="n"/>
      <c r="C66" s="225" t="n"/>
      <c r="D66" s="226">
        <f>IFERROR(VALUE(SUBSTITUTE($C66,"-","")),0)</f>
        <v/>
      </c>
      <c r="E66" s="225" t="n"/>
      <c r="F66" s="225" t="n"/>
      <c r="G66" s="225" t="n"/>
      <c r="H66" s="232" t="n"/>
    </row>
    <row r="67" ht="15" customHeight="1" s="131">
      <c r="A67" s="225" t="n"/>
      <c r="B67" s="232" t="n"/>
      <c r="C67" s="225" t="n"/>
      <c r="D67" s="226">
        <f>IFERROR(VALUE(SUBSTITUTE($C67,"-","")),0)</f>
        <v/>
      </c>
      <c r="E67" s="225" t="n"/>
      <c r="F67" s="225" t="n"/>
      <c r="G67" s="225" t="n"/>
      <c r="H67" s="232" t="n"/>
    </row>
    <row r="68" ht="15" customHeight="1" s="131">
      <c r="A68" s="225" t="n"/>
      <c r="B68" s="232" t="n"/>
      <c r="C68" s="225" t="n"/>
      <c r="D68" s="226">
        <f>IFERROR(VALUE(SUBSTITUTE($C68,"-","")),0)</f>
        <v/>
      </c>
      <c r="E68" s="225" t="n"/>
      <c r="F68" s="225" t="n"/>
      <c r="G68" s="225" t="n"/>
      <c r="H68" s="232" t="n"/>
    </row>
    <row r="69" ht="15" customHeight="1" s="131">
      <c r="A69" s="225" t="n"/>
      <c r="B69" s="232" t="n"/>
      <c r="C69" s="225" t="n"/>
      <c r="D69" s="226">
        <f>IFERROR(VALUE(SUBSTITUTE($C69,"-","")),0)</f>
        <v/>
      </c>
      <c r="E69" s="225" t="n"/>
      <c r="F69" s="225" t="n"/>
      <c r="G69" s="225" t="n"/>
      <c r="H69" s="232" t="n"/>
    </row>
    <row r="70" ht="15" customHeight="1" s="131">
      <c r="A70" s="225" t="n"/>
      <c r="B70" s="232" t="n"/>
      <c r="C70" s="225" t="n"/>
      <c r="D70" s="226">
        <f>IFERROR(VALUE(SUBSTITUTE($C70,"-","")),0)</f>
        <v/>
      </c>
      <c r="E70" s="225" t="n"/>
      <c r="F70" s="225" t="n"/>
      <c r="G70" s="225" t="n"/>
      <c r="H70" s="232" t="n"/>
    </row>
    <row r="71" ht="15" customHeight="1" s="131">
      <c r="A71" s="225" t="n"/>
      <c r="B71" s="232" t="n"/>
      <c r="C71" s="225" t="n"/>
      <c r="D71" s="226">
        <f>IFERROR(VALUE(SUBSTITUTE($C71,"-","")),0)</f>
        <v/>
      </c>
      <c r="E71" s="225" t="n"/>
      <c r="F71" s="225" t="n"/>
      <c r="G71" s="225" t="n"/>
      <c r="H71" s="232" t="n"/>
    </row>
    <row r="72" ht="15" customHeight="1" s="131">
      <c r="A72" s="225" t="n"/>
      <c r="B72" s="232" t="n"/>
      <c r="C72" s="225" t="n"/>
      <c r="D72" s="226">
        <f>IFERROR(VALUE(SUBSTITUTE($C72,"-","")),0)</f>
        <v/>
      </c>
      <c r="E72" s="225" t="n"/>
      <c r="F72" s="225" t="n"/>
      <c r="G72" s="225" t="n"/>
      <c r="H72" s="232" t="n"/>
    </row>
    <row r="73" ht="15" customHeight="1" s="131">
      <c r="A73" s="225" t="n"/>
      <c r="B73" s="232" t="n"/>
      <c r="C73" s="225" t="n"/>
      <c r="D73" s="226">
        <f>IFERROR(VALUE(SUBSTITUTE($C73,"-","")),0)</f>
        <v/>
      </c>
      <c r="E73" s="225" t="n"/>
      <c r="F73" s="225" t="n"/>
      <c r="G73" s="225" t="n"/>
      <c r="H73" s="232" t="n"/>
    </row>
    <row r="74" ht="15" customHeight="1" s="131">
      <c r="A74" s="225" t="n"/>
      <c r="B74" s="232" t="n"/>
      <c r="C74" s="225" t="n"/>
      <c r="D74" s="226">
        <f>IFERROR(VALUE(SUBSTITUTE($C74,"-","")),0)</f>
        <v/>
      </c>
      <c r="E74" s="225" t="n"/>
      <c r="F74" s="225" t="n"/>
      <c r="G74" s="225" t="n"/>
      <c r="H74" s="232" t="n"/>
    </row>
    <row r="75" ht="15" customHeight="1" s="131">
      <c r="A75" s="225" t="n"/>
      <c r="B75" s="232" t="n"/>
      <c r="C75" s="225" t="n"/>
      <c r="D75" s="226">
        <f>IFERROR(VALUE(SUBSTITUTE($C75,"-","")),0)</f>
        <v/>
      </c>
      <c r="E75" s="225" t="n"/>
      <c r="F75" s="225" t="n"/>
      <c r="G75" s="225" t="n"/>
      <c r="H75" s="232" t="n"/>
    </row>
    <row r="76" ht="15" customHeight="1" s="131">
      <c r="A76" s="225" t="n"/>
      <c r="B76" s="232" t="n"/>
      <c r="C76" s="225" t="n"/>
      <c r="D76" s="226">
        <f>IFERROR(VALUE(SUBSTITUTE($C76,"-","")),0)</f>
        <v/>
      </c>
      <c r="E76" s="225" t="n"/>
      <c r="F76" s="225" t="n"/>
      <c r="G76" s="225" t="n"/>
      <c r="H76" s="232" t="n"/>
    </row>
    <row r="77" ht="15" customHeight="1" s="131">
      <c r="A77" s="225" t="n"/>
      <c r="B77" s="232" t="n"/>
      <c r="C77" s="225" t="n"/>
      <c r="D77" s="226">
        <f>IFERROR(VALUE(SUBSTITUTE($C77,"-","")),0)</f>
        <v/>
      </c>
      <c r="E77" s="225" t="n"/>
      <c r="F77" s="225" t="n"/>
      <c r="G77" s="225" t="n"/>
      <c r="H77" s="232" t="n"/>
    </row>
    <row r="78" ht="15" customHeight="1" s="131">
      <c r="A78" s="225" t="n"/>
      <c r="B78" s="232" t="n"/>
      <c r="C78" s="225" t="n"/>
      <c r="D78" s="226">
        <f>IFERROR(VALUE(SUBSTITUTE($C78,"-","")),0)</f>
        <v/>
      </c>
      <c r="E78" s="225" t="n"/>
      <c r="F78" s="225" t="n"/>
      <c r="G78" s="225" t="n"/>
      <c r="H78" s="232" t="n"/>
    </row>
    <row r="79" ht="15" customHeight="1" s="131">
      <c r="A79" s="225" t="n"/>
      <c r="B79" s="232" t="n"/>
      <c r="C79" s="225" t="n"/>
      <c r="D79" s="226">
        <f>IFERROR(VALUE(SUBSTITUTE($C79,"-","")),0)</f>
        <v/>
      </c>
      <c r="E79" s="225" t="n"/>
      <c r="F79" s="225" t="n"/>
      <c r="G79" s="225" t="n"/>
      <c r="H79" s="232" t="n"/>
    </row>
    <row r="80" ht="15" customHeight="1" s="131">
      <c r="A80" s="225" t="n"/>
      <c r="B80" s="232" t="n"/>
      <c r="C80" s="225" t="n"/>
      <c r="D80" s="226">
        <f>IFERROR(VALUE(SUBSTITUTE($C80,"-","")),0)</f>
        <v/>
      </c>
      <c r="E80" s="225" t="n"/>
      <c r="F80" s="225" t="n"/>
      <c r="G80" s="225" t="n"/>
      <c r="H80" s="232" t="n"/>
    </row>
    <row r="81" ht="15" customHeight="1" s="131">
      <c r="A81" s="225" t="n"/>
      <c r="B81" s="232" t="n"/>
      <c r="C81" s="225" t="n"/>
      <c r="D81" s="226">
        <f>IFERROR(VALUE(SUBSTITUTE($C81,"-","")),0)</f>
        <v/>
      </c>
      <c r="E81" s="225" t="n"/>
      <c r="F81" s="225" t="n"/>
      <c r="G81" s="225" t="n"/>
      <c r="H81" s="232" t="n"/>
    </row>
    <row r="82" ht="15" customHeight="1" s="131">
      <c r="A82" s="225" t="n"/>
      <c r="B82" s="232" t="n"/>
      <c r="C82" s="225" t="n"/>
      <c r="D82" s="226">
        <f>IFERROR(VALUE(SUBSTITUTE($C82,"-","")),0)</f>
        <v/>
      </c>
      <c r="E82" s="225" t="n"/>
      <c r="F82" s="225" t="n"/>
      <c r="G82" s="225" t="n"/>
      <c r="H82" s="232" t="n"/>
    </row>
    <row r="83" ht="15" customHeight="1" s="131">
      <c r="A83" s="225" t="n"/>
      <c r="B83" s="232" t="n"/>
      <c r="C83" s="225" t="n"/>
      <c r="D83" s="226">
        <f>IFERROR(VALUE(SUBSTITUTE($C83,"-","")),0)</f>
        <v/>
      </c>
      <c r="E83" s="225" t="n"/>
      <c r="F83" s="225" t="n"/>
      <c r="G83" s="225" t="n"/>
      <c r="H83" s="232" t="n"/>
    </row>
    <row r="84" ht="15" customHeight="1" s="131">
      <c r="A84" s="225" t="n"/>
      <c r="B84" s="232" t="n"/>
      <c r="C84" s="225" t="n"/>
      <c r="D84" s="226">
        <f>IFERROR(VALUE(SUBSTITUTE($C84,"-","")),0)</f>
        <v/>
      </c>
      <c r="E84" s="225" t="n"/>
      <c r="F84" s="225" t="n"/>
      <c r="G84" s="225" t="n"/>
      <c r="H84" s="232" t="n"/>
    </row>
    <row r="85" ht="15" customHeight="1" s="131">
      <c r="A85" s="225" t="n"/>
      <c r="B85" s="232" t="n"/>
      <c r="C85" s="225" t="n"/>
      <c r="D85" s="226">
        <f>IFERROR(VALUE(SUBSTITUTE($C85,"-","")),0)</f>
        <v/>
      </c>
      <c r="E85" s="225" t="n"/>
      <c r="F85" s="225" t="n"/>
      <c r="G85" s="225" t="n"/>
      <c r="H85" s="232" t="n"/>
    </row>
    <row r="86" ht="15" customHeight="1" s="131">
      <c r="A86" s="225" t="n"/>
      <c r="B86" s="232" t="n"/>
      <c r="C86" s="225" t="n"/>
      <c r="D86" s="226">
        <f>IFERROR(VALUE(SUBSTITUTE($C86,"-","")),0)</f>
        <v/>
      </c>
      <c r="E86" s="225" t="n"/>
      <c r="F86" s="225" t="n"/>
      <c r="G86" s="225" t="n"/>
      <c r="H86" s="232" t="n"/>
    </row>
    <row r="87" ht="15" customHeight="1" s="131">
      <c r="A87" s="225" t="n"/>
      <c r="B87" s="232" t="n"/>
      <c r="C87" s="225" t="n"/>
      <c r="D87" s="226">
        <f>IFERROR(VALUE(SUBSTITUTE($C87,"-","")),0)</f>
        <v/>
      </c>
      <c r="E87" s="225" t="n"/>
      <c r="F87" s="225" t="n"/>
      <c r="G87" s="225" t="n"/>
      <c r="H87" s="232" t="n"/>
    </row>
    <row r="88" ht="15" customHeight="1" s="131">
      <c r="A88" s="225" t="n"/>
      <c r="B88" s="232" t="n"/>
      <c r="C88" s="225" t="n"/>
      <c r="D88" s="226">
        <f>IFERROR(VALUE(SUBSTITUTE($C88,"-","")),0)</f>
        <v/>
      </c>
      <c r="E88" s="225" t="n"/>
      <c r="F88" s="225" t="n"/>
      <c r="G88" s="225" t="n"/>
      <c r="H88" s="232" t="n"/>
    </row>
    <row r="89" ht="15" customHeight="1" s="131">
      <c r="A89" s="225" t="n"/>
      <c r="B89" s="232" t="n"/>
      <c r="C89" s="225" t="n"/>
      <c r="D89" s="226">
        <f>IFERROR(VALUE(SUBSTITUTE($C89,"-","")),0)</f>
        <v/>
      </c>
      <c r="E89" s="225" t="n"/>
      <c r="F89" s="225" t="n"/>
      <c r="G89" s="225" t="n"/>
      <c r="H89" s="232" t="n"/>
    </row>
    <row r="90" ht="15" customHeight="1" s="131">
      <c r="A90" s="225" t="n"/>
      <c r="B90" s="232" t="n"/>
      <c r="C90" s="225" t="n"/>
      <c r="D90" s="226">
        <f>IFERROR(VALUE(SUBSTITUTE($C90,"-","")),0)</f>
        <v/>
      </c>
      <c r="E90" s="225" t="n"/>
      <c r="F90" s="225" t="n"/>
      <c r="G90" s="225" t="n"/>
      <c r="H90" s="232" t="n"/>
    </row>
    <row r="91" ht="15" customHeight="1" s="131">
      <c r="A91" s="225" t="n"/>
      <c r="B91" s="232" t="n"/>
      <c r="C91" s="225" t="n"/>
      <c r="D91" s="226">
        <f>IFERROR(VALUE(SUBSTITUTE($C91,"-","")),0)</f>
        <v/>
      </c>
      <c r="E91" s="225" t="n"/>
      <c r="F91" s="225" t="n"/>
      <c r="G91" s="225" t="n"/>
      <c r="H91" s="232" t="n"/>
    </row>
    <row r="92" ht="15" customHeight="1" s="131">
      <c r="A92" s="225" t="n"/>
      <c r="B92" s="232" t="n"/>
      <c r="C92" s="225" t="n"/>
      <c r="D92" s="226">
        <f>IFERROR(VALUE(SUBSTITUTE($C92,"-","")),0)</f>
        <v/>
      </c>
      <c r="E92" s="225" t="n"/>
      <c r="F92" s="225" t="n"/>
      <c r="G92" s="225" t="n"/>
      <c r="H92" s="232" t="n"/>
    </row>
    <row r="93" ht="15" customHeight="1" s="131">
      <c r="A93" s="225" t="n"/>
      <c r="B93" s="232" t="n"/>
      <c r="C93" s="225" t="n"/>
      <c r="D93" s="226">
        <f>IFERROR(VALUE(SUBSTITUTE($C93,"-","")),0)</f>
        <v/>
      </c>
      <c r="E93" s="225" t="n"/>
      <c r="F93" s="225" t="n"/>
      <c r="G93" s="225" t="n"/>
      <c r="H93" s="232" t="n"/>
    </row>
    <row r="94" ht="15" customHeight="1" s="131">
      <c r="A94" s="225" t="n"/>
      <c r="B94" s="232" t="n"/>
      <c r="C94" s="225" t="n"/>
      <c r="D94" s="226">
        <f>IFERROR(VALUE(SUBSTITUTE($C94,"-","")),0)</f>
        <v/>
      </c>
      <c r="E94" s="225" t="n"/>
      <c r="F94" s="225" t="n"/>
      <c r="G94" s="225" t="n"/>
      <c r="H94" s="232" t="n"/>
    </row>
    <row r="95" ht="15" customHeight="1" s="131">
      <c r="A95" s="225" t="n"/>
      <c r="B95" s="232" t="n"/>
      <c r="C95" s="225" t="n"/>
      <c r="D95" s="226">
        <f>IFERROR(VALUE(SUBSTITUTE($C95,"-","")),0)</f>
        <v/>
      </c>
      <c r="E95" s="225" t="n"/>
      <c r="F95" s="225" t="n"/>
      <c r="G95" s="225" t="n"/>
      <c r="H95" s="232" t="n"/>
    </row>
    <row r="96" ht="15" customHeight="1" s="131">
      <c r="A96" s="225" t="n"/>
      <c r="B96" s="232" t="n"/>
      <c r="C96" s="225" t="n"/>
      <c r="D96" s="226">
        <f>IFERROR(VALUE(SUBSTITUTE($C96,"-","")),0)</f>
        <v/>
      </c>
      <c r="E96" s="225" t="n"/>
      <c r="F96" s="225" t="n"/>
      <c r="G96" s="225" t="n"/>
      <c r="H96" s="232" t="n"/>
    </row>
    <row r="97" ht="15" customHeight="1" s="131">
      <c r="A97" s="225" t="n"/>
      <c r="B97" s="232" t="n"/>
      <c r="C97" s="225" t="n"/>
      <c r="D97" s="226">
        <f>IFERROR(VALUE(SUBSTITUTE($C97,"-","")),0)</f>
        <v/>
      </c>
      <c r="E97" s="225" t="n"/>
      <c r="F97" s="225" t="n"/>
      <c r="G97" s="225" t="n"/>
      <c r="H97" s="232" t="n"/>
    </row>
    <row r="98" ht="15" customHeight="1" s="131">
      <c r="A98" s="225" t="n"/>
      <c r="B98" s="232" t="n"/>
      <c r="C98" s="225" t="n"/>
      <c r="D98" s="226">
        <f>IFERROR(VALUE(SUBSTITUTE($C98,"-","")),0)</f>
        <v/>
      </c>
      <c r="E98" s="225" t="n"/>
      <c r="F98" s="225" t="n"/>
      <c r="G98" s="225" t="n"/>
      <c r="H98" s="232" t="n"/>
    </row>
    <row r="99" ht="15" customHeight="1" s="131">
      <c r="A99" s="225" t="n"/>
      <c r="B99" s="232" t="n"/>
      <c r="C99" s="225" t="n"/>
      <c r="D99" s="226">
        <f>IFERROR(VALUE(SUBSTITUTE($C99,"-","")),0)</f>
        <v/>
      </c>
      <c r="E99" s="225" t="n"/>
      <c r="F99" s="225" t="n"/>
      <c r="G99" s="225" t="n"/>
      <c r="H99" s="232" t="n"/>
    </row>
    <row r="100" ht="15" customHeight="1" s="131">
      <c r="A100" s="225" t="n"/>
      <c r="B100" s="232" t="n"/>
      <c r="C100" s="225" t="n"/>
      <c r="D100" s="226">
        <f>IFERROR(VALUE(SUBSTITUTE($C100,"-","")),0)</f>
        <v/>
      </c>
      <c r="E100" s="225" t="n"/>
      <c r="F100" s="225" t="n"/>
      <c r="G100" s="225" t="n"/>
      <c r="H100" s="232" t="n"/>
    </row>
    <row r="101" ht="15" customHeight="1" s="131">
      <c r="A101" s="225" t="n"/>
      <c r="B101" s="232" t="n"/>
      <c r="C101" s="225" t="n"/>
      <c r="D101" s="226">
        <f>IFERROR(VALUE(SUBSTITUTE($C101,"-","")),0)</f>
        <v/>
      </c>
      <c r="E101" s="225" t="n"/>
      <c r="F101" s="225" t="n"/>
      <c r="G101" s="225" t="n"/>
      <c r="H101" s="232" t="n"/>
    </row>
    <row r="102" ht="15" customHeight="1" s="131">
      <c r="A102" s="225" t="n"/>
      <c r="B102" s="232" t="n"/>
      <c r="C102" s="225" t="n"/>
      <c r="D102" s="226">
        <f>IFERROR(VALUE(SUBSTITUTE($C102,"-","")),0)</f>
        <v/>
      </c>
      <c r="E102" s="225" t="n"/>
      <c r="F102" s="225" t="n"/>
      <c r="G102" s="225" t="n"/>
      <c r="H102" s="232" t="n"/>
    </row>
    <row r="103" ht="15" customHeight="1" s="131">
      <c r="A103" s="225" t="n"/>
      <c r="B103" s="232" t="n"/>
      <c r="C103" s="225" t="n"/>
      <c r="D103" s="226">
        <f>IFERROR(VALUE(SUBSTITUTE($C103,"-","")),0)</f>
        <v/>
      </c>
      <c r="E103" s="225" t="n"/>
      <c r="F103" s="225" t="n"/>
      <c r="G103" s="225" t="n"/>
      <c r="H103" s="232" t="n"/>
    </row>
    <row r="104" ht="15" customHeight="1" s="131">
      <c r="A104" s="225" t="n"/>
      <c r="B104" s="232" t="n"/>
      <c r="C104" s="225" t="n"/>
      <c r="D104" s="226">
        <f>IFERROR(VALUE(SUBSTITUTE($C104,"-","")),0)</f>
        <v/>
      </c>
      <c r="E104" s="225" t="n"/>
      <c r="F104" s="225" t="n"/>
      <c r="G104" s="225" t="n"/>
      <c r="H104" s="232" t="n"/>
    </row>
    <row r="105" ht="15" customHeight="1" s="131">
      <c r="A105" s="225" t="n"/>
      <c r="B105" s="232" t="n"/>
      <c r="C105" s="225" t="n"/>
      <c r="D105" s="226">
        <f>IFERROR(VALUE(SUBSTITUTE($C105,"-","")),0)</f>
        <v/>
      </c>
      <c r="E105" s="225" t="n"/>
      <c r="F105" s="225" t="n"/>
      <c r="G105" s="225" t="n"/>
      <c r="H105" s="232" t="n"/>
    </row>
    <row r="106" ht="15" customHeight="1" s="131">
      <c r="A106" s="225" t="n"/>
      <c r="B106" s="232" t="n"/>
      <c r="C106" s="225" t="n"/>
      <c r="D106" s="226">
        <f>IFERROR(VALUE(SUBSTITUTE($C106,"-","")),0)</f>
        <v/>
      </c>
      <c r="E106" s="225" t="n"/>
      <c r="F106" s="225" t="n"/>
      <c r="G106" s="225" t="n"/>
      <c r="H106" s="232" t="n"/>
    </row>
    <row r="107" ht="15" customHeight="1" s="131">
      <c r="A107" s="225" t="n"/>
      <c r="B107" s="232" t="n"/>
      <c r="C107" s="225" t="n"/>
      <c r="D107" s="226">
        <f>IFERROR(VALUE(SUBSTITUTE($C107,"-","")),0)</f>
        <v/>
      </c>
      <c r="E107" s="225" t="n"/>
      <c r="F107" s="225" t="n"/>
      <c r="G107" s="225" t="n"/>
      <c r="H107" s="232" t="n"/>
    </row>
    <row r="108" ht="15" customHeight="1" s="131">
      <c r="A108" s="225" t="n"/>
      <c r="B108" s="232" t="n"/>
      <c r="C108" s="225" t="n"/>
      <c r="D108" s="226">
        <f>IFERROR(VALUE(SUBSTITUTE($C108,"-","")),0)</f>
        <v/>
      </c>
      <c r="E108" s="225" t="n"/>
      <c r="F108" s="225" t="n"/>
      <c r="G108" s="225" t="n"/>
      <c r="H108" s="232" t="n"/>
    </row>
    <row r="109" ht="15" customHeight="1" s="131">
      <c r="A109" s="225" t="n"/>
      <c r="B109" s="232" t="n"/>
      <c r="C109" s="225" t="n"/>
      <c r="D109" s="226">
        <f>IFERROR(VALUE(SUBSTITUTE($C109,"-","")),0)</f>
        <v/>
      </c>
      <c r="E109" s="225" t="n"/>
      <c r="F109" s="225" t="n"/>
      <c r="G109" s="225" t="n"/>
      <c r="H109" s="232" t="n"/>
    </row>
    <row r="110" ht="15" customHeight="1" s="131">
      <c r="A110" s="225" t="n"/>
      <c r="B110" s="232" t="n"/>
      <c r="C110" s="225" t="n"/>
      <c r="D110" s="226">
        <f>IFERROR(VALUE(SUBSTITUTE($C110,"-","")),0)</f>
        <v/>
      </c>
      <c r="E110" s="225" t="n"/>
      <c r="F110" s="225" t="n"/>
      <c r="G110" s="225" t="n"/>
      <c r="H110" s="232" t="n"/>
    </row>
    <row r="111" ht="15" customHeight="1" s="131">
      <c r="A111" s="225" t="n"/>
      <c r="B111" s="232" t="n"/>
      <c r="C111" s="225" t="n"/>
      <c r="D111" s="226">
        <f>IFERROR(VALUE(SUBSTITUTE($C111,"-","")),0)</f>
        <v/>
      </c>
      <c r="E111" s="225" t="n"/>
      <c r="F111" s="225" t="n"/>
      <c r="G111" s="225" t="n"/>
      <c r="H111" s="232" t="n"/>
    </row>
    <row r="112" ht="15" customHeight="1" s="131">
      <c r="A112" s="225" t="n"/>
      <c r="B112" s="232" t="n"/>
      <c r="C112" s="225" t="n"/>
      <c r="D112" s="226">
        <f>IFERROR(VALUE(SUBSTITUTE($C112,"-","")),0)</f>
        <v/>
      </c>
      <c r="E112" s="225" t="n"/>
      <c r="F112" s="225" t="n"/>
      <c r="G112" s="225" t="n"/>
      <c r="H112" s="232" t="n"/>
    </row>
    <row r="113" ht="15" customHeight="1" s="131">
      <c r="A113" s="225" t="n"/>
      <c r="B113" s="232" t="n"/>
      <c r="C113" s="225" t="n"/>
      <c r="D113" s="226">
        <f>IFERROR(VALUE(SUBSTITUTE($C113,"-","")),0)</f>
        <v/>
      </c>
      <c r="E113" s="225" t="n"/>
      <c r="F113" s="225" t="n"/>
      <c r="G113" s="225" t="n"/>
      <c r="H113" s="232" t="n"/>
    </row>
    <row r="114" ht="15" customHeight="1" s="131">
      <c r="A114" s="225" t="n"/>
      <c r="B114" s="232" t="n"/>
      <c r="C114" s="225" t="n"/>
      <c r="D114" s="226">
        <f>IFERROR(VALUE(SUBSTITUTE($C114,"-","")),0)</f>
        <v/>
      </c>
      <c r="E114" s="225" t="n"/>
      <c r="F114" s="225" t="n"/>
      <c r="G114" s="225" t="n"/>
      <c r="H114" s="232" t="n"/>
    </row>
    <row r="115" ht="15" customHeight="1" s="131">
      <c r="A115" s="225" t="n"/>
      <c r="B115" s="232" t="n"/>
      <c r="C115" s="225" t="n"/>
      <c r="D115" s="226">
        <f>IFERROR(VALUE(SUBSTITUTE($C115,"-","")),0)</f>
        <v/>
      </c>
      <c r="E115" s="225" t="n"/>
      <c r="F115" s="225" t="n"/>
      <c r="G115" s="225" t="n"/>
      <c r="H115" s="232" t="n"/>
    </row>
    <row r="116" ht="15" customHeight="1" s="131">
      <c r="A116" s="225" t="n"/>
      <c r="B116" s="232" t="n"/>
      <c r="C116" s="225" t="n"/>
      <c r="D116" s="226">
        <f>IFERROR(VALUE(SUBSTITUTE($C116,"-","")),0)</f>
        <v/>
      </c>
      <c r="E116" s="225" t="n"/>
      <c r="F116" s="225" t="n"/>
      <c r="G116" s="225" t="n"/>
      <c r="H116" s="232" t="n"/>
    </row>
    <row r="117" ht="15" customHeight="1" s="131">
      <c r="A117" s="225" t="n"/>
      <c r="B117" s="232" t="n"/>
      <c r="C117" s="225" t="n"/>
      <c r="D117" s="226">
        <f>IFERROR(VALUE(SUBSTITUTE($C117,"-","")),0)</f>
        <v/>
      </c>
      <c r="E117" s="225" t="n"/>
      <c r="F117" s="225" t="n"/>
      <c r="G117" s="225" t="n"/>
      <c r="H117" s="232" t="n"/>
    </row>
    <row r="118" ht="15" customHeight="1" s="131">
      <c r="A118" s="225" t="n"/>
      <c r="B118" s="232" t="n"/>
      <c r="C118" s="225" t="n"/>
      <c r="D118" s="226">
        <f>IFERROR(VALUE(SUBSTITUTE($C118,"-","")),0)</f>
        <v/>
      </c>
      <c r="E118" s="225" t="n"/>
      <c r="F118" s="225" t="n"/>
      <c r="G118" s="225" t="n"/>
      <c r="H118" s="232" t="n"/>
    </row>
    <row r="119" ht="15" customHeight="1" s="131">
      <c r="A119" s="225" t="n"/>
      <c r="B119" s="232" t="n"/>
      <c r="C119" s="225" t="n"/>
      <c r="D119" s="226">
        <f>IFERROR(VALUE(SUBSTITUTE($C119,"-","")),0)</f>
        <v/>
      </c>
      <c r="E119" s="225" t="n"/>
      <c r="F119" s="225" t="n"/>
      <c r="G119" s="225" t="n"/>
      <c r="H119" s="232" t="n"/>
    </row>
    <row r="120" ht="15" customHeight="1" s="131">
      <c r="A120" s="225" t="n"/>
      <c r="B120" s="232" t="n"/>
      <c r="C120" s="225" t="n"/>
      <c r="D120" s="226">
        <f>IFERROR(VALUE(SUBSTITUTE($C120,"-","")),0)</f>
        <v/>
      </c>
      <c r="E120" s="225" t="n"/>
      <c r="F120" s="225" t="n"/>
      <c r="G120" s="225" t="n"/>
      <c r="H120" s="232" t="n"/>
    </row>
    <row r="121" ht="15" customHeight="1" s="131">
      <c r="A121" s="225" t="n"/>
      <c r="B121" s="232" t="n"/>
      <c r="C121" s="225" t="n"/>
      <c r="D121" s="226">
        <f>IFERROR(VALUE(SUBSTITUTE($C121,"-","")),0)</f>
        <v/>
      </c>
      <c r="E121" s="225" t="n"/>
      <c r="F121" s="225" t="n"/>
      <c r="G121" s="225" t="n"/>
      <c r="H121" s="232" t="n"/>
    </row>
    <row r="122" ht="15" customHeight="1" s="131">
      <c r="A122" s="225" t="n"/>
      <c r="B122" s="232" t="n"/>
      <c r="C122" s="225" t="n"/>
      <c r="D122" s="226">
        <f>IFERROR(VALUE(SUBSTITUTE($C122,"-","")),0)</f>
        <v/>
      </c>
      <c r="E122" s="225" t="n"/>
      <c r="F122" s="225" t="n"/>
      <c r="G122" s="225" t="n"/>
      <c r="H122" s="232" t="n"/>
    </row>
    <row r="123" ht="15" customHeight="1" s="131">
      <c r="A123" s="225" t="n"/>
      <c r="B123" s="232" t="n"/>
      <c r="C123" s="225" t="n"/>
      <c r="D123" s="226">
        <f>IFERROR(VALUE(SUBSTITUTE($C123,"-","")),0)</f>
        <v/>
      </c>
      <c r="E123" s="225" t="n"/>
      <c r="F123" s="225" t="n"/>
      <c r="G123" s="225" t="n"/>
      <c r="H123" s="232" t="n"/>
    </row>
    <row r="124" ht="15" customHeight="1" s="131">
      <c r="A124" s="225" t="n"/>
      <c r="B124" s="232" t="n"/>
      <c r="C124" s="225" t="n"/>
      <c r="D124" s="226">
        <f>IFERROR(VALUE(SUBSTITUTE($C124,"-","")),0)</f>
        <v/>
      </c>
      <c r="E124" s="225" t="n"/>
      <c r="F124" s="225" t="n"/>
      <c r="G124" s="225" t="n"/>
      <c r="H124" s="232" t="n"/>
    </row>
    <row r="125" ht="15" customHeight="1" s="131">
      <c r="A125" s="225" t="n"/>
      <c r="B125" s="232" t="n"/>
      <c r="C125" s="225" t="n"/>
      <c r="D125" s="226">
        <f>IFERROR(VALUE(SUBSTITUTE($C125,"-","")),0)</f>
        <v/>
      </c>
      <c r="E125" s="225" t="n"/>
      <c r="F125" s="225" t="n"/>
      <c r="G125" s="225" t="n"/>
      <c r="H125" s="232" t="n"/>
    </row>
    <row r="126" ht="15" customHeight="1" s="131">
      <c r="A126" s="225" t="n"/>
      <c r="B126" s="232" t="n"/>
      <c r="C126" s="225" t="n"/>
      <c r="D126" s="226">
        <f>IFERROR(VALUE(SUBSTITUTE($C126,"-","")),0)</f>
        <v/>
      </c>
      <c r="E126" s="225" t="n"/>
      <c r="F126" s="225" t="n"/>
      <c r="G126" s="225" t="n"/>
      <c r="H126" s="232" t="n"/>
    </row>
    <row r="127" ht="15" customHeight="1" s="131">
      <c r="A127" s="225" t="n"/>
      <c r="B127" s="232" t="n"/>
      <c r="C127" s="225" t="n"/>
      <c r="D127" s="226">
        <f>IFERROR(VALUE(SUBSTITUTE($C127,"-","")),0)</f>
        <v/>
      </c>
      <c r="E127" s="225" t="n"/>
      <c r="F127" s="225" t="n"/>
      <c r="G127" s="225" t="n"/>
      <c r="H127" s="232" t="n"/>
    </row>
    <row r="128" ht="15" customHeight="1" s="131">
      <c r="A128" s="225" t="n"/>
      <c r="B128" s="232" t="n"/>
      <c r="C128" s="225" t="n"/>
      <c r="D128" s="226">
        <f>IFERROR(VALUE(SUBSTITUTE($C128,"-","")),0)</f>
        <v/>
      </c>
      <c r="E128" s="225" t="n"/>
      <c r="F128" s="225" t="n"/>
      <c r="G128" s="225" t="n"/>
      <c r="H128" s="232" t="n"/>
    </row>
    <row r="129" ht="15" customHeight="1" s="131">
      <c r="A129" s="225" t="n"/>
      <c r="B129" s="232" t="n"/>
      <c r="C129" s="225" t="n"/>
      <c r="D129" s="226">
        <f>IFERROR(VALUE(SUBSTITUTE($C129,"-","")),0)</f>
        <v/>
      </c>
      <c r="E129" s="225" t="n"/>
      <c r="F129" s="225" t="n"/>
      <c r="G129" s="225" t="n"/>
      <c r="H129" s="232" t="n"/>
    </row>
    <row r="130" ht="15" customHeight="1" s="131">
      <c r="A130" s="225" t="n"/>
      <c r="B130" s="232" t="n"/>
      <c r="C130" s="225" t="n"/>
      <c r="D130" s="226">
        <f>IFERROR(VALUE(SUBSTITUTE($C130,"-","")),0)</f>
        <v/>
      </c>
      <c r="E130" s="225" t="n"/>
      <c r="F130" s="225" t="n"/>
      <c r="G130" s="225" t="n"/>
      <c r="H130" s="232" t="n"/>
    </row>
    <row r="131" ht="15" customHeight="1" s="131">
      <c r="A131" s="225" t="n"/>
      <c r="B131" s="232" t="n"/>
      <c r="C131" s="225" t="n"/>
      <c r="D131" s="226">
        <f>IFERROR(VALUE(SUBSTITUTE($C131,"-","")),0)</f>
        <v/>
      </c>
      <c r="E131" s="225" t="n"/>
      <c r="F131" s="225" t="n"/>
      <c r="G131" s="225" t="n"/>
      <c r="H131" s="232" t="n"/>
    </row>
    <row r="132" ht="15" customHeight="1" s="131">
      <c r="A132" s="225" t="n"/>
      <c r="B132" s="232" t="n"/>
      <c r="C132" s="225" t="n"/>
      <c r="D132" s="226">
        <f>IFERROR(VALUE(SUBSTITUTE($C132,"-","")),0)</f>
        <v/>
      </c>
      <c r="E132" s="225" t="n"/>
      <c r="F132" s="225" t="n"/>
      <c r="G132" s="225" t="n"/>
      <c r="H132" s="232" t="n"/>
    </row>
    <row r="133" ht="15" customHeight="1" s="131">
      <c r="A133" s="225" t="n"/>
      <c r="B133" s="232" t="n"/>
      <c r="C133" s="225" t="n"/>
      <c r="D133" s="226">
        <f>IFERROR(VALUE(SUBSTITUTE($C133,"-","")),0)</f>
        <v/>
      </c>
      <c r="E133" s="225" t="n"/>
      <c r="F133" s="225" t="n"/>
      <c r="G133" s="225" t="n"/>
      <c r="H133" s="232" t="n"/>
    </row>
    <row r="134" ht="15" customHeight="1" s="131">
      <c r="A134" s="225" t="n"/>
      <c r="B134" s="232" t="n"/>
      <c r="C134" s="225" t="n"/>
      <c r="D134" s="226">
        <f>IFERROR(VALUE(SUBSTITUTE($C134,"-","")),0)</f>
        <v/>
      </c>
      <c r="E134" s="225" t="n"/>
      <c r="F134" s="225" t="n"/>
      <c r="G134" s="225" t="n"/>
      <c r="H134" s="232" t="n"/>
    </row>
    <row r="135" ht="15" customHeight="1" s="131">
      <c r="A135" s="225" t="n"/>
      <c r="B135" s="232" t="n"/>
      <c r="C135" s="225" t="n"/>
      <c r="D135" s="226">
        <f>IFERROR(VALUE(SUBSTITUTE($C135,"-","")),0)</f>
        <v/>
      </c>
      <c r="E135" s="225" t="n"/>
      <c r="F135" s="225" t="n"/>
      <c r="G135" s="225" t="n"/>
      <c r="H135" s="232" t="n"/>
    </row>
    <row r="136" ht="15" customHeight="1" s="131">
      <c r="A136" s="225" t="n"/>
      <c r="B136" s="232" t="n"/>
      <c r="C136" s="225" t="n"/>
      <c r="D136" s="226">
        <f>IFERROR(VALUE(SUBSTITUTE($C136,"-","")),0)</f>
        <v/>
      </c>
      <c r="E136" s="225" t="n"/>
      <c r="F136" s="225" t="n"/>
      <c r="G136" s="225" t="n"/>
      <c r="H136" s="232" t="n"/>
    </row>
    <row r="137" ht="15" customHeight="1" s="131">
      <c r="A137" s="225" t="n"/>
      <c r="B137" s="232" t="n"/>
      <c r="C137" s="225" t="n"/>
      <c r="D137" s="226">
        <f>IFERROR(VALUE(SUBSTITUTE($C137,"-","")),0)</f>
        <v/>
      </c>
      <c r="E137" s="225" t="n"/>
      <c r="F137" s="225" t="n"/>
      <c r="G137" s="225" t="n"/>
      <c r="H137" s="232" t="n"/>
    </row>
    <row r="138" ht="15" customHeight="1" s="131">
      <c r="A138" s="225" t="n"/>
      <c r="B138" s="232" t="n"/>
      <c r="C138" s="225" t="n"/>
      <c r="D138" s="226">
        <f>IFERROR(VALUE(SUBSTITUTE($C138,"-","")),0)</f>
        <v/>
      </c>
      <c r="E138" s="225" t="n"/>
      <c r="F138" s="225" t="n"/>
      <c r="G138" s="225" t="n"/>
      <c r="H138" s="232" t="n"/>
    </row>
    <row r="139" ht="15" customHeight="1" s="131">
      <c r="A139" s="225" t="n"/>
      <c r="B139" s="232" t="n"/>
      <c r="C139" s="225" t="n"/>
      <c r="D139" s="226">
        <f>IFERROR(VALUE(SUBSTITUTE($C139,"-","")),0)</f>
        <v/>
      </c>
      <c r="E139" s="225" t="n"/>
      <c r="F139" s="225" t="n"/>
      <c r="G139" s="225" t="n"/>
      <c r="H139" s="232" t="n"/>
    </row>
    <row r="140" ht="15" customHeight="1" s="131">
      <c r="A140" s="225" t="n"/>
      <c r="B140" s="232" t="n"/>
      <c r="C140" s="225" t="n"/>
      <c r="D140" s="226">
        <f>IFERROR(VALUE(SUBSTITUTE($C140,"-","")),0)</f>
        <v/>
      </c>
      <c r="E140" s="225" t="n"/>
      <c r="F140" s="225" t="n"/>
      <c r="G140" s="225" t="n"/>
      <c r="H140" s="232" t="n"/>
    </row>
    <row r="141" ht="15" customHeight="1" s="131">
      <c r="A141" s="225" t="n"/>
      <c r="B141" s="232" t="n"/>
      <c r="C141" s="225" t="n"/>
      <c r="D141" s="226">
        <f>IFERROR(VALUE(SUBSTITUTE($C141,"-","")),0)</f>
        <v/>
      </c>
      <c r="E141" s="225" t="n"/>
      <c r="F141" s="225" t="n"/>
      <c r="G141" s="225" t="n"/>
      <c r="H141" s="232" t="n"/>
    </row>
    <row r="142" ht="15" customHeight="1" s="131">
      <c r="A142" s="225" t="n"/>
      <c r="B142" s="232" t="n"/>
      <c r="C142" s="225" t="n"/>
      <c r="D142" s="226">
        <f>IFERROR(VALUE(SUBSTITUTE($C142,"-","")),0)</f>
        <v/>
      </c>
      <c r="E142" s="225" t="n"/>
      <c r="F142" s="225" t="n"/>
      <c r="G142" s="225" t="n"/>
      <c r="H142" s="232" t="n"/>
    </row>
    <row r="143" ht="15" customHeight="1" s="131">
      <c r="A143" s="225" t="n"/>
      <c r="B143" s="232" t="n"/>
      <c r="C143" s="225" t="n"/>
      <c r="D143" s="226">
        <f>IFERROR(VALUE(SUBSTITUTE($C143,"-","")),0)</f>
        <v/>
      </c>
      <c r="E143" s="225" t="n"/>
      <c r="F143" s="225" t="n"/>
      <c r="G143" s="225" t="n"/>
      <c r="H143" s="232" t="n"/>
    </row>
    <row r="144" ht="15" customHeight="1" s="131">
      <c r="A144" s="225" t="n"/>
      <c r="B144" s="232" t="n"/>
      <c r="C144" s="225" t="n"/>
      <c r="D144" s="226">
        <f>IFERROR(VALUE(SUBSTITUTE($C144,"-","")),0)</f>
        <v/>
      </c>
      <c r="E144" s="225" t="n"/>
      <c r="F144" s="225" t="n"/>
      <c r="G144" s="225" t="n"/>
      <c r="H144" s="232" t="n"/>
    </row>
    <row r="145" ht="15" customHeight="1" s="131">
      <c r="A145" s="225" t="n"/>
      <c r="B145" s="232" t="n"/>
      <c r="C145" s="225" t="n"/>
      <c r="D145" s="226">
        <f>IFERROR(VALUE(SUBSTITUTE($C145,"-","")),0)</f>
        <v/>
      </c>
      <c r="E145" s="225" t="n"/>
      <c r="F145" s="225" t="n"/>
      <c r="G145" s="225" t="n"/>
      <c r="H145" s="232" t="n"/>
    </row>
    <row r="146" ht="15" customHeight="1" s="131">
      <c r="A146" s="225" t="n"/>
      <c r="B146" s="232" t="n"/>
      <c r="C146" s="225" t="n"/>
      <c r="D146" s="226">
        <f>IFERROR(VALUE(SUBSTITUTE($C146,"-","")),0)</f>
        <v/>
      </c>
      <c r="E146" s="225" t="n"/>
      <c r="F146" s="225" t="n"/>
      <c r="G146" s="225" t="n"/>
      <c r="H146" s="232" t="n"/>
    </row>
    <row r="147" ht="15" customHeight="1" s="131">
      <c r="A147" s="225" t="n"/>
      <c r="B147" s="232" t="n"/>
      <c r="C147" s="225" t="n"/>
      <c r="D147" s="226">
        <f>IFERROR(VALUE(SUBSTITUTE($C147,"-","")),0)</f>
        <v/>
      </c>
      <c r="E147" s="225" t="n"/>
      <c r="F147" s="225" t="n"/>
      <c r="G147" s="225" t="n"/>
      <c r="H147" s="232" t="n"/>
    </row>
    <row r="148" ht="15" customHeight="1" s="131">
      <c r="A148" s="225" t="n"/>
      <c r="B148" s="232" t="n"/>
      <c r="C148" s="225" t="n"/>
      <c r="D148" s="226">
        <f>IFERROR(VALUE(SUBSTITUTE($C148,"-","")),0)</f>
        <v/>
      </c>
      <c r="E148" s="225" t="n"/>
      <c r="F148" s="225" t="n"/>
      <c r="G148" s="225" t="n"/>
      <c r="H148" s="232" t="n"/>
    </row>
    <row r="149" ht="15" customHeight="1" s="131">
      <c r="A149" s="225" t="n"/>
      <c r="B149" s="232" t="n"/>
      <c r="C149" s="225" t="n"/>
      <c r="D149" s="226">
        <f>IFERROR(VALUE(SUBSTITUTE($C149,"-","")),0)</f>
        <v/>
      </c>
      <c r="E149" s="225" t="n"/>
      <c r="F149" s="225" t="n"/>
      <c r="G149" s="225" t="n"/>
      <c r="H149" s="232" t="n"/>
    </row>
    <row r="150" ht="15" customHeight="1" s="131">
      <c r="A150" s="225" t="n"/>
      <c r="B150" s="232" t="n"/>
      <c r="C150" s="225" t="n"/>
      <c r="D150" s="226">
        <f>IFERROR(VALUE(SUBSTITUTE($C150,"-","")),0)</f>
        <v/>
      </c>
      <c r="E150" s="225" t="n"/>
      <c r="F150" s="225" t="n"/>
      <c r="G150" s="225" t="n"/>
      <c r="H150" s="232" t="n"/>
    </row>
    <row r="151" ht="15" customHeight="1" s="131">
      <c r="A151" s="225" t="n"/>
      <c r="B151" s="232" t="n"/>
      <c r="C151" s="225" t="n"/>
      <c r="D151" s="226">
        <f>IFERROR(VALUE(SUBSTITUTE($C151,"-","")),0)</f>
        <v/>
      </c>
      <c r="E151" s="225" t="n"/>
      <c r="F151" s="225" t="n"/>
      <c r="G151" s="225" t="n"/>
      <c r="H151" s="232" t="n"/>
    </row>
    <row r="152" ht="15" customHeight="1" s="131">
      <c r="A152" s="225" t="n"/>
      <c r="B152" s="232" t="n"/>
      <c r="C152" s="225" t="n"/>
      <c r="D152" s="226">
        <f>IFERROR(VALUE(SUBSTITUTE($C152,"-","")),0)</f>
        <v/>
      </c>
      <c r="E152" s="225" t="n"/>
      <c r="F152" s="225" t="n"/>
      <c r="G152" s="225" t="n"/>
      <c r="H152" s="232" t="n"/>
    </row>
    <row r="153" ht="15" customHeight="1" s="131">
      <c r="A153" s="225" t="n"/>
      <c r="B153" s="232" t="n"/>
      <c r="C153" s="225" t="n"/>
      <c r="D153" s="226">
        <f>IFERROR(VALUE(SUBSTITUTE($C153,"-","")),0)</f>
        <v/>
      </c>
      <c r="E153" s="225" t="n"/>
      <c r="F153" s="225" t="n"/>
      <c r="G153" s="225" t="n"/>
      <c r="H153" s="232" t="n"/>
    </row>
    <row r="154" ht="15" customHeight="1" s="131">
      <c r="A154" s="225" t="n"/>
      <c r="B154" s="232" t="n"/>
      <c r="C154" s="225" t="n"/>
      <c r="D154" s="226">
        <f>IFERROR(VALUE(SUBSTITUTE($C154,"-","")),0)</f>
        <v/>
      </c>
      <c r="E154" s="225" t="n"/>
      <c r="F154" s="225" t="n"/>
      <c r="G154" s="225" t="n"/>
      <c r="H154" s="232" t="n"/>
    </row>
    <row r="155" ht="15" customHeight="1" s="131">
      <c r="A155" s="225" t="n"/>
      <c r="B155" s="232" t="n"/>
      <c r="C155" s="225" t="n"/>
      <c r="D155" s="226">
        <f>IFERROR(VALUE(SUBSTITUTE($C155,"-","")),0)</f>
        <v/>
      </c>
      <c r="E155" s="225" t="n"/>
      <c r="F155" s="225" t="n"/>
      <c r="G155" s="225" t="n"/>
      <c r="H155" s="232" t="n"/>
    </row>
    <row r="156" ht="15" customHeight="1" s="131">
      <c r="A156" s="225" t="n"/>
      <c r="B156" s="232" t="n"/>
      <c r="C156" s="225" t="n"/>
      <c r="D156" s="226">
        <f>IFERROR(VALUE(SUBSTITUTE($C156,"-","")),0)</f>
        <v/>
      </c>
      <c r="E156" s="225" t="n"/>
      <c r="F156" s="225" t="n"/>
      <c r="G156" s="225" t="n"/>
      <c r="H156" s="232" t="n"/>
    </row>
    <row r="157" ht="15" customHeight="1" s="131">
      <c r="A157" s="225" t="n"/>
      <c r="B157" s="232" t="n"/>
      <c r="C157" s="225" t="n"/>
      <c r="D157" s="226">
        <f>IFERROR(VALUE(SUBSTITUTE($C157,"-","")),0)</f>
        <v/>
      </c>
      <c r="E157" s="225" t="n"/>
      <c r="F157" s="225" t="n"/>
      <c r="G157" s="225" t="n"/>
      <c r="H157" s="232" t="n"/>
    </row>
    <row r="158" ht="15" customHeight="1" s="131">
      <c r="A158" s="225" t="n"/>
      <c r="B158" s="232" t="n"/>
      <c r="C158" s="225" t="n"/>
      <c r="D158" s="226">
        <f>IFERROR(VALUE(SUBSTITUTE($C158,"-","")),0)</f>
        <v/>
      </c>
      <c r="E158" s="225" t="n"/>
      <c r="F158" s="225" t="n"/>
      <c r="G158" s="225" t="n"/>
      <c r="H158" s="232" t="n"/>
    </row>
    <row r="159" ht="15" customHeight="1" s="131">
      <c r="A159" s="225" t="n"/>
      <c r="B159" s="232" t="n"/>
      <c r="C159" s="225" t="n"/>
      <c r="D159" s="226">
        <f>IFERROR(VALUE(SUBSTITUTE($C159,"-","")),0)</f>
        <v/>
      </c>
      <c r="E159" s="225" t="n"/>
      <c r="F159" s="225" t="n"/>
      <c r="G159" s="225" t="n"/>
      <c r="H159" s="232" t="n"/>
    </row>
    <row r="160" ht="15" customHeight="1" s="131">
      <c r="A160" s="225" t="n"/>
      <c r="B160" s="232" t="n"/>
      <c r="C160" s="225" t="n"/>
      <c r="D160" s="226">
        <f>IFERROR(VALUE(SUBSTITUTE($C160,"-","")),0)</f>
        <v/>
      </c>
      <c r="E160" s="225" t="n"/>
      <c r="F160" s="225" t="n"/>
      <c r="G160" s="225" t="n"/>
      <c r="H160" s="232" t="n"/>
    </row>
    <row r="161" ht="15" customHeight="1" s="131">
      <c r="A161" s="225" t="n"/>
      <c r="B161" s="232" t="n"/>
      <c r="C161" s="225" t="n"/>
      <c r="D161" s="226">
        <f>IFERROR(VALUE(SUBSTITUTE($C161,"-","")),0)</f>
        <v/>
      </c>
      <c r="E161" s="225" t="n"/>
      <c r="F161" s="225" t="n"/>
      <c r="G161" s="225" t="n"/>
      <c r="H161" s="232" t="n"/>
    </row>
    <row r="162" ht="15" customHeight="1" s="131">
      <c r="A162" s="225" t="n"/>
      <c r="B162" s="232" t="n"/>
      <c r="C162" s="225" t="n"/>
      <c r="D162" s="226">
        <f>IFERROR(VALUE(SUBSTITUTE($C162,"-","")),0)</f>
        <v/>
      </c>
      <c r="E162" s="225" t="n"/>
      <c r="F162" s="225" t="n"/>
      <c r="G162" s="225" t="n"/>
      <c r="H162" s="232" t="n"/>
    </row>
    <row r="163" ht="15" customHeight="1" s="131">
      <c r="A163" s="225" t="n"/>
      <c r="B163" s="232" t="n"/>
      <c r="C163" s="225" t="n"/>
      <c r="D163" s="226">
        <f>IFERROR(VALUE(SUBSTITUTE($C163,"-","")),0)</f>
        <v/>
      </c>
      <c r="E163" s="225" t="n"/>
      <c r="F163" s="225" t="n"/>
      <c r="G163" s="225" t="n"/>
      <c r="H163" s="232" t="n"/>
    </row>
    <row r="164" ht="15" customHeight="1" s="131">
      <c r="A164" s="225" t="n"/>
      <c r="B164" s="232" t="n"/>
      <c r="C164" s="225" t="n"/>
      <c r="D164" s="226">
        <f>IFERROR(VALUE(SUBSTITUTE($C164,"-","")),0)</f>
        <v/>
      </c>
      <c r="E164" s="225" t="n"/>
      <c r="F164" s="225" t="n"/>
      <c r="G164" s="225" t="n"/>
      <c r="H164" s="232" t="n"/>
    </row>
    <row r="165" ht="15" customHeight="1" s="131">
      <c r="A165" s="225" t="n"/>
      <c r="B165" s="232" t="n"/>
      <c r="C165" s="225" t="n"/>
      <c r="D165" s="226">
        <f>IFERROR(VALUE(SUBSTITUTE($C165,"-","")),0)</f>
        <v/>
      </c>
      <c r="E165" s="225" t="n"/>
      <c r="F165" s="225" t="n"/>
      <c r="G165" s="225" t="n"/>
      <c r="H165" s="232" t="n"/>
    </row>
    <row r="166" ht="15" customHeight="1" s="131">
      <c r="A166" s="225" t="n"/>
      <c r="B166" s="232" t="n"/>
      <c r="C166" s="225" t="n"/>
      <c r="D166" s="226">
        <f>IFERROR(VALUE(SUBSTITUTE($C166,"-","")),0)</f>
        <v/>
      </c>
      <c r="E166" s="225" t="n"/>
      <c r="F166" s="225" t="n"/>
      <c r="G166" s="225" t="n"/>
      <c r="H166" s="232" t="n"/>
    </row>
    <row r="167" ht="15" customHeight="1" s="131">
      <c r="A167" s="225" t="n"/>
      <c r="B167" s="232" t="n"/>
      <c r="C167" s="225" t="n"/>
      <c r="D167" s="226">
        <f>IFERROR(VALUE(SUBSTITUTE($C167,"-","")),0)</f>
        <v/>
      </c>
      <c r="E167" s="225" t="n"/>
      <c r="F167" s="225" t="n"/>
      <c r="G167" s="225" t="n"/>
      <c r="H167" s="232" t="n"/>
    </row>
    <row r="168" ht="15" customHeight="1" s="131">
      <c r="A168" s="225" t="n"/>
      <c r="B168" s="232" t="n"/>
      <c r="C168" s="225" t="n"/>
      <c r="D168" s="226">
        <f>IFERROR(VALUE(SUBSTITUTE($C168,"-","")),0)</f>
        <v/>
      </c>
      <c r="E168" s="225" t="n"/>
      <c r="F168" s="225" t="n"/>
      <c r="G168" s="225" t="n"/>
      <c r="H168" s="232" t="n"/>
    </row>
    <row r="169" ht="15" customHeight="1" s="131">
      <c r="A169" s="225" t="n"/>
      <c r="B169" s="232" t="n"/>
      <c r="C169" s="225" t="n"/>
      <c r="D169" s="226">
        <f>IFERROR(VALUE(SUBSTITUTE($C169,"-","")),0)</f>
        <v/>
      </c>
      <c r="E169" s="225" t="n"/>
      <c r="F169" s="225" t="n"/>
      <c r="G169" s="225" t="n"/>
      <c r="H169" s="232" t="n"/>
    </row>
    <row r="170" ht="15" customHeight="1" s="131">
      <c r="A170" s="225" t="n"/>
      <c r="B170" s="232" t="n"/>
      <c r="C170" s="225" t="n"/>
      <c r="D170" s="226">
        <f>IFERROR(VALUE(SUBSTITUTE($C170,"-","")),0)</f>
        <v/>
      </c>
      <c r="E170" s="225" t="n"/>
      <c r="F170" s="225" t="n"/>
      <c r="G170" s="225" t="n"/>
      <c r="H170" s="232" t="n"/>
    </row>
    <row r="171" ht="15" customHeight="1" s="131">
      <c r="A171" s="225" t="n"/>
      <c r="B171" s="232" t="n"/>
      <c r="C171" s="225" t="n"/>
      <c r="D171" s="226">
        <f>IFERROR(VALUE(SUBSTITUTE($C171,"-","")),0)</f>
        <v/>
      </c>
      <c r="E171" s="225" t="n"/>
      <c r="F171" s="225" t="n"/>
      <c r="G171" s="225" t="n"/>
      <c r="H171" s="232" t="n"/>
    </row>
    <row r="172" ht="15" customHeight="1" s="131">
      <c r="A172" s="225" t="n"/>
      <c r="B172" s="232" t="n"/>
      <c r="C172" s="225" t="n"/>
      <c r="D172" s="226">
        <f>IFERROR(VALUE(SUBSTITUTE($C172,"-","")),0)</f>
        <v/>
      </c>
      <c r="E172" s="225" t="n"/>
      <c r="F172" s="225" t="n"/>
      <c r="G172" s="225" t="n"/>
      <c r="H172" s="232" t="n"/>
    </row>
    <row r="173" ht="15" customHeight="1" s="131">
      <c r="A173" s="225" t="n"/>
      <c r="B173" s="232" t="n"/>
      <c r="C173" s="225" t="n"/>
      <c r="D173" s="226">
        <f>IFERROR(VALUE(SUBSTITUTE($C173,"-","")),0)</f>
        <v/>
      </c>
      <c r="E173" s="225" t="n"/>
      <c r="F173" s="225" t="n"/>
      <c r="G173" s="225" t="n"/>
      <c r="H173" s="232" t="n"/>
    </row>
    <row r="174" ht="15" customHeight="1" s="131">
      <c r="A174" s="225" t="n"/>
      <c r="B174" s="232" t="n"/>
      <c r="C174" s="225" t="n"/>
      <c r="D174" s="226">
        <f>IFERROR(VALUE(SUBSTITUTE($C174,"-","")),0)</f>
        <v/>
      </c>
      <c r="E174" s="225" t="n"/>
      <c r="F174" s="225" t="n"/>
      <c r="G174" s="225" t="n"/>
      <c r="H174" s="232" t="n"/>
    </row>
    <row r="175" ht="15" customHeight="1" s="131">
      <c r="A175" s="225" t="n"/>
      <c r="B175" s="232" t="n"/>
      <c r="C175" s="225" t="n"/>
      <c r="D175" s="226">
        <f>IFERROR(VALUE(SUBSTITUTE($C175,"-","")),0)</f>
        <v/>
      </c>
      <c r="E175" s="225" t="n"/>
      <c r="F175" s="225" t="n"/>
      <c r="G175" s="225" t="n"/>
      <c r="H175" s="232" t="n"/>
    </row>
    <row r="176" ht="15" customHeight="1" s="131">
      <c r="A176" s="225" t="n"/>
      <c r="B176" s="232" t="n"/>
      <c r="C176" s="225" t="n"/>
      <c r="D176" s="226">
        <f>IFERROR(VALUE(SUBSTITUTE($C176,"-","")),0)</f>
        <v/>
      </c>
      <c r="E176" s="225" t="n"/>
      <c r="F176" s="225" t="n"/>
      <c r="G176" s="225" t="n"/>
      <c r="H176" s="232" t="n"/>
    </row>
    <row r="177" ht="15" customHeight="1" s="131">
      <c r="A177" s="225" t="n"/>
      <c r="B177" s="232" t="n"/>
      <c r="C177" s="225" t="n"/>
      <c r="D177" s="226">
        <f>IFERROR(VALUE(SUBSTITUTE($C177,"-","")),0)</f>
        <v/>
      </c>
      <c r="E177" s="225" t="n"/>
      <c r="F177" s="225" t="n"/>
      <c r="G177" s="225" t="n"/>
      <c r="H177" s="232" t="n"/>
    </row>
    <row r="178" ht="15" customHeight="1" s="131">
      <c r="A178" s="225" t="n"/>
      <c r="B178" s="232" t="n"/>
      <c r="C178" s="225" t="n"/>
      <c r="D178" s="226">
        <f>IFERROR(VALUE(SUBSTITUTE($C178,"-","")),0)</f>
        <v/>
      </c>
      <c r="E178" s="225" t="n"/>
      <c r="F178" s="225" t="n"/>
      <c r="G178" s="225" t="n"/>
      <c r="H178" s="232" t="n"/>
    </row>
    <row r="179" ht="15" customHeight="1" s="131">
      <c r="A179" s="225" t="n"/>
      <c r="B179" s="232" t="n"/>
      <c r="C179" s="225" t="n"/>
      <c r="D179" s="226">
        <f>IFERROR(VALUE(SUBSTITUTE($C179,"-","")),0)</f>
        <v/>
      </c>
      <c r="E179" s="225" t="n"/>
      <c r="F179" s="225" t="n"/>
      <c r="G179" s="225" t="n"/>
      <c r="H179" s="232" t="n"/>
    </row>
    <row r="180" ht="15" customHeight="1" s="131">
      <c r="A180" s="225" t="n"/>
      <c r="B180" s="232" t="n"/>
      <c r="C180" s="225" t="n"/>
      <c r="D180" s="226">
        <f>IFERROR(VALUE(SUBSTITUTE($C180,"-","")),0)</f>
        <v/>
      </c>
      <c r="E180" s="225" t="n"/>
      <c r="F180" s="225" t="n"/>
      <c r="G180" s="225" t="n"/>
      <c r="H180" s="232" t="n"/>
    </row>
    <row r="181" ht="15" customHeight="1" s="131">
      <c r="A181" s="225" t="n"/>
      <c r="B181" s="232" t="n"/>
      <c r="C181" s="225" t="n"/>
      <c r="D181" s="226">
        <f>IFERROR(VALUE(SUBSTITUTE($C181,"-","")),0)</f>
        <v/>
      </c>
      <c r="E181" s="225" t="n"/>
      <c r="F181" s="225" t="n"/>
      <c r="G181" s="225" t="n"/>
      <c r="H181" s="232" t="n"/>
    </row>
    <row r="182" ht="15" customHeight="1" s="131">
      <c r="A182" s="225" t="n"/>
      <c r="B182" s="232" t="n"/>
      <c r="C182" s="225" t="n"/>
      <c r="D182" s="226">
        <f>IFERROR(VALUE(SUBSTITUTE($C182,"-","")),0)</f>
        <v/>
      </c>
      <c r="E182" s="225" t="n"/>
      <c r="F182" s="225" t="n"/>
      <c r="G182" s="225" t="n"/>
      <c r="H182" s="232" t="n"/>
    </row>
    <row r="183" ht="15" customHeight="1" s="131">
      <c r="A183" s="225" t="n"/>
      <c r="B183" s="232" t="n"/>
      <c r="C183" s="225" t="n"/>
      <c r="D183" s="226">
        <f>IFERROR(VALUE(SUBSTITUTE($C183,"-","")),0)</f>
        <v/>
      </c>
      <c r="E183" s="225" t="n"/>
      <c r="F183" s="225" t="n"/>
      <c r="G183" s="225" t="n"/>
      <c r="H183" s="232" t="n"/>
    </row>
    <row r="184" ht="15" customHeight="1" s="131">
      <c r="A184" s="225" t="n"/>
      <c r="B184" s="232" t="n"/>
      <c r="C184" s="225" t="n"/>
      <c r="D184" s="226">
        <f>IFERROR(VALUE(SUBSTITUTE($C184,"-","")),0)</f>
        <v/>
      </c>
      <c r="E184" s="225" t="n"/>
      <c r="F184" s="225" t="n"/>
      <c r="G184" s="225" t="n"/>
      <c r="H184" s="232" t="n"/>
    </row>
    <row r="185" ht="15" customHeight="1" s="131">
      <c r="A185" s="225" t="n"/>
      <c r="B185" s="232" t="n"/>
      <c r="C185" s="225" t="n"/>
      <c r="D185" s="226">
        <f>IFERROR(VALUE(SUBSTITUTE($C185,"-","")),0)</f>
        <v/>
      </c>
      <c r="E185" s="225" t="n"/>
      <c r="F185" s="225" t="n"/>
      <c r="G185" s="225" t="n"/>
      <c r="H185" s="232" t="n"/>
    </row>
    <row r="186" ht="15" customHeight="1" s="131">
      <c r="A186" s="225" t="n"/>
      <c r="B186" s="232" t="n"/>
      <c r="C186" s="225" t="n"/>
      <c r="D186" s="226">
        <f>IFERROR(VALUE(SUBSTITUTE($C186,"-","")),0)</f>
        <v/>
      </c>
      <c r="E186" s="225" t="n"/>
      <c r="F186" s="225" t="n"/>
      <c r="G186" s="225" t="n"/>
      <c r="H186" s="232" t="n"/>
    </row>
    <row r="187" ht="15" customHeight="1" s="131">
      <c r="A187" s="225" t="n"/>
      <c r="B187" s="232" t="n"/>
      <c r="C187" s="225" t="n"/>
      <c r="D187" s="226">
        <f>IFERROR(VALUE(SUBSTITUTE($C187,"-","")),0)</f>
        <v/>
      </c>
      <c r="E187" s="225" t="n"/>
      <c r="F187" s="225" t="n"/>
      <c r="G187" s="225" t="n"/>
      <c r="H187" s="232" t="n"/>
    </row>
    <row r="188" ht="15" customHeight="1" s="131">
      <c r="A188" s="225" t="n"/>
      <c r="B188" s="232" t="n"/>
      <c r="C188" s="225" t="n"/>
      <c r="D188" s="226">
        <f>IFERROR(VALUE(SUBSTITUTE($C188,"-","")),0)</f>
        <v/>
      </c>
      <c r="E188" s="225" t="n"/>
      <c r="F188" s="225" t="n"/>
      <c r="G188" s="225" t="n"/>
      <c r="H188" s="232" t="n"/>
    </row>
    <row r="189" ht="15" customHeight="1" s="131">
      <c r="A189" s="225" t="n"/>
      <c r="B189" s="232" t="n"/>
      <c r="C189" s="225" t="n"/>
      <c r="D189" s="226">
        <f>IFERROR(VALUE(SUBSTITUTE($C189,"-","")),0)</f>
        <v/>
      </c>
      <c r="E189" s="225" t="n"/>
      <c r="F189" s="225" t="n"/>
      <c r="G189" s="225" t="n"/>
      <c r="H189" s="232" t="n"/>
    </row>
    <row r="190" ht="15" customHeight="1" s="131">
      <c r="A190" s="225" t="n"/>
      <c r="B190" s="232" t="n"/>
      <c r="C190" s="225" t="n"/>
      <c r="D190" s="226">
        <f>IFERROR(VALUE(SUBSTITUTE($C190,"-","")),0)</f>
        <v/>
      </c>
      <c r="E190" s="225" t="n"/>
      <c r="F190" s="225" t="n"/>
      <c r="G190" s="225" t="n"/>
      <c r="H190" s="232" t="n"/>
    </row>
    <row r="191" ht="15" customHeight="1" s="131">
      <c r="A191" s="225" t="n"/>
      <c r="B191" s="232" t="n"/>
      <c r="C191" s="225" t="n"/>
      <c r="D191" s="226">
        <f>IFERROR(VALUE(SUBSTITUTE($C191,"-","")),0)</f>
        <v/>
      </c>
      <c r="E191" s="225" t="n"/>
      <c r="F191" s="225" t="n"/>
      <c r="G191" s="225" t="n"/>
      <c r="H191" s="232" t="n"/>
    </row>
    <row r="192" ht="15" customHeight="1" s="131">
      <c r="A192" s="225" t="n"/>
      <c r="B192" s="232" t="n"/>
      <c r="C192" s="225" t="n"/>
      <c r="D192" s="226">
        <f>IFERROR(VALUE(SUBSTITUTE($C192,"-","")),0)</f>
        <v/>
      </c>
      <c r="E192" s="225" t="n"/>
      <c r="F192" s="225" t="n"/>
      <c r="G192" s="225" t="n"/>
      <c r="H192" s="232" t="n"/>
    </row>
    <row r="193" ht="15" customHeight="1" s="131">
      <c r="A193" s="225" t="n"/>
      <c r="B193" s="232" t="n"/>
      <c r="C193" s="225" t="n"/>
      <c r="D193" s="226">
        <f>IFERROR(VALUE(SUBSTITUTE($C193,"-","")),0)</f>
        <v/>
      </c>
      <c r="E193" s="225" t="n"/>
      <c r="F193" s="225" t="n"/>
      <c r="G193" s="225" t="n"/>
      <c r="H193" s="232" t="n"/>
    </row>
    <row r="194" ht="15" customHeight="1" s="131">
      <c r="A194" s="225" t="n"/>
      <c r="B194" s="232" t="n"/>
      <c r="C194" s="225" t="n"/>
      <c r="D194" s="226">
        <f>IFERROR(VALUE(SUBSTITUTE($C194,"-","")),0)</f>
        <v/>
      </c>
      <c r="E194" s="225" t="n"/>
      <c r="F194" s="225" t="n"/>
      <c r="G194" s="225" t="n"/>
      <c r="H194" s="232" t="n"/>
    </row>
    <row r="195" ht="15" customHeight="1" s="131">
      <c r="A195" s="225" t="n"/>
      <c r="B195" s="232" t="n"/>
      <c r="C195" s="225" t="n"/>
      <c r="D195" s="226">
        <f>IFERROR(VALUE(SUBSTITUTE($C195,"-","")),0)</f>
        <v/>
      </c>
      <c r="E195" s="225" t="n"/>
      <c r="F195" s="225" t="n"/>
      <c r="G195" s="225" t="n"/>
      <c r="H195" s="232" t="n"/>
    </row>
    <row r="196" ht="15" customHeight="1" s="131">
      <c r="A196" s="225" t="n"/>
      <c r="B196" s="232" t="n"/>
      <c r="C196" s="225" t="n"/>
      <c r="D196" s="226">
        <f>IFERROR(VALUE(SUBSTITUTE($C196,"-","")),0)</f>
        <v/>
      </c>
      <c r="E196" s="225" t="n"/>
      <c r="F196" s="225" t="n"/>
      <c r="G196" s="225" t="n"/>
      <c r="H196" s="232" t="n"/>
    </row>
    <row r="197" ht="15" customHeight="1" s="131">
      <c r="A197" s="225" t="n"/>
      <c r="B197" s="232" t="n"/>
      <c r="C197" s="225" t="n"/>
      <c r="D197" s="226">
        <f>IFERROR(VALUE(SUBSTITUTE($C197,"-","")),0)</f>
        <v/>
      </c>
      <c r="E197" s="225" t="n"/>
      <c r="F197" s="225" t="n"/>
      <c r="G197" s="225" t="n"/>
      <c r="H197" s="232" t="n"/>
    </row>
    <row r="198" ht="15" customHeight="1" s="131">
      <c r="A198" s="225" t="n"/>
      <c r="B198" s="232" t="n"/>
      <c r="C198" s="225" t="n"/>
      <c r="D198" s="226">
        <f>IFERROR(VALUE(SUBSTITUTE($C198,"-","")),0)</f>
        <v/>
      </c>
      <c r="E198" s="225" t="n"/>
      <c r="F198" s="225" t="n"/>
      <c r="G198" s="225" t="n"/>
      <c r="H198" s="232" t="n"/>
    </row>
    <row r="199" ht="15" customHeight="1" s="131">
      <c r="A199" s="225" t="n"/>
      <c r="B199" s="232" t="n"/>
      <c r="C199" s="225" t="n"/>
      <c r="D199" s="226">
        <f>IFERROR(VALUE(SUBSTITUTE($C199,"-","")),0)</f>
        <v/>
      </c>
      <c r="E199" s="225" t="n"/>
      <c r="F199" s="225" t="n"/>
      <c r="G199" s="225" t="n"/>
      <c r="H199" s="232" t="n"/>
    </row>
    <row r="200" ht="15" customHeight="1" s="131">
      <c r="A200" s="225" t="n"/>
      <c r="B200" s="232" t="n"/>
      <c r="C200" s="225" t="n"/>
      <c r="D200" s="226">
        <f>IFERROR(VALUE(SUBSTITUTE($C200,"-","")),0)</f>
        <v/>
      </c>
      <c r="E200" s="225" t="n"/>
      <c r="F200" s="225" t="n"/>
      <c r="G200" s="225" t="n"/>
      <c r="H200" s="232" t="n"/>
    </row>
    <row r="201" ht="15" customHeight="1" s="131">
      <c r="A201" s="225" t="n"/>
      <c r="B201" s="232" t="n"/>
      <c r="C201" s="225" t="n"/>
      <c r="D201" s="226">
        <f>IFERROR(VALUE(SUBSTITUTE($C201,"-","")),0)</f>
        <v/>
      </c>
      <c r="E201" s="225" t="n"/>
      <c r="F201" s="225" t="n"/>
      <c r="G201" s="225" t="n"/>
      <c r="H201" s="232" t="n"/>
    </row>
    <row r="202" ht="15" customHeight="1" s="131">
      <c r="A202" s="225" t="n"/>
      <c r="B202" s="232" t="n"/>
      <c r="C202" s="225" t="n"/>
      <c r="D202" s="226">
        <f>IFERROR(VALUE(SUBSTITUTE($C202,"-","")),0)</f>
        <v/>
      </c>
      <c r="E202" s="225" t="n"/>
      <c r="F202" s="225" t="n"/>
      <c r="G202" s="225" t="n"/>
      <c r="H202" s="232" t="n"/>
    </row>
    <row r="203" ht="15" customHeight="1" s="131">
      <c r="A203" s="225" t="n"/>
      <c r="B203" s="232" t="n"/>
      <c r="C203" s="225" t="n"/>
      <c r="D203" s="226">
        <f>IFERROR(VALUE(SUBSTITUTE($C203,"-","")),0)</f>
        <v/>
      </c>
      <c r="E203" s="225" t="n"/>
      <c r="F203" s="225" t="n"/>
      <c r="G203" s="225" t="n"/>
      <c r="H203" s="232" t="n"/>
    </row>
    <row r="204" ht="15" customHeight="1" s="131">
      <c r="A204" s="225" t="n"/>
      <c r="B204" s="232" t="n"/>
      <c r="C204" s="225" t="n"/>
      <c r="D204" s="226">
        <f>IFERROR(VALUE(SUBSTITUTE($C204,"-","")),0)</f>
        <v/>
      </c>
      <c r="E204" s="225" t="n"/>
      <c r="F204" s="225" t="n"/>
      <c r="G204" s="225" t="n"/>
      <c r="H204" s="232" t="n"/>
    </row>
    <row r="205" ht="15" customHeight="1" s="131">
      <c r="A205" s="225" t="n"/>
      <c r="B205" s="232" t="n"/>
      <c r="C205" s="225" t="n"/>
      <c r="D205" s="226">
        <f>IFERROR(VALUE(SUBSTITUTE($C205,"-","")),0)</f>
        <v/>
      </c>
      <c r="E205" s="225" t="n"/>
      <c r="F205" s="225" t="n"/>
      <c r="G205" s="225" t="n"/>
      <c r="H205" s="232" t="n"/>
    </row>
    <row r="206" ht="15" customHeight="1" s="131">
      <c r="A206" s="225" t="n"/>
      <c r="B206" s="232" t="n"/>
      <c r="C206" s="225" t="n"/>
      <c r="D206" s="226">
        <f>IFERROR(VALUE(SUBSTITUTE($C206,"-","")),0)</f>
        <v/>
      </c>
      <c r="E206" s="225" t="n"/>
      <c r="F206" s="225" t="n"/>
      <c r="G206" s="225" t="n"/>
      <c r="H206" s="232" t="n"/>
    </row>
    <row r="207" ht="15" customHeight="1" s="131">
      <c r="A207" s="225" t="n"/>
      <c r="B207" s="232" t="n"/>
      <c r="C207" s="225" t="n"/>
      <c r="D207" s="226">
        <f>IFERROR(VALUE(SUBSTITUTE($C207,"-","")),0)</f>
        <v/>
      </c>
      <c r="E207" s="225" t="n"/>
      <c r="F207" s="225" t="n"/>
      <c r="G207" s="225" t="n"/>
      <c r="H207" s="232" t="n"/>
    </row>
    <row r="208" ht="15" customHeight="1" s="131">
      <c r="A208" s="225" t="n"/>
      <c r="B208" s="232" t="n"/>
      <c r="C208" s="225" t="n"/>
      <c r="D208" s="226">
        <f>IFERROR(VALUE(SUBSTITUTE($C208,"-","")),0)</f>
        <v/>
      </c>
      <c r="E208" s="225" t="n"/>
      <c r="F208" s="225" t="n"/>
      <c r="G208" s="225" t="n"/>
      <c r="H208" s="232" t="n"/>
    </row>
    <row r="209" ht="15" customHeight="1" s="131">
      <c r="A209" s="225" t="n"/>
      <c r="B209" s="232" t="n"/>
      <c r="C209" s="225" t="n"/>
      <c r="D209" s="226">
        <f>IFERROR(VALUE(SUBSTITUTE($C209,"-","")),0)</f>
        <v/>
      </c>
      <c r="E209" s="225" t="n"/>
      <c r="F209" s="225" t="n"/>
      <c r="G209" s="225" t="n"/>
      <c r="H209" s="232" t="n"/>
    </row>
    <row r="210" ht="15" customHeight="1" s="131">
      <c r="A210" s="225" t="n"/>
      <c r="B210" s="232" t="n"/>
      <c r="C210" s="225" t="n"/>
      <c r="D210" s="226">
        <f>IFERROR(VALUE(SUBSTITUTE($C210,"-","")),0)</f>
        <v/>
      </c>
      <c r="E210" s="225" t="n"/>
      <c r="F210" s="225" t="n"/>
      <c r="G210" s="225" t="n"/>
      <c r="H210" s="232" t="n"/>
    </row>
    <row r="211" ht="15" customHeight="1" s="131">
      <c r="A211" s="225" t="n"/>
      <c r="B211" s="232" t="n"/>
      <c r="C211" s="225" t="n"/>
      <c r="D211" s="226">
        <f>IFERROR(VALUE(SUBSTITUTE($C211,"-","")),0)</f>
        <v/>
      </c>
      <c r="E211" s="225" t="n"/>
      <c r="F211" s="225" t="n"/>
      <c r="G211" s="225" t="n"/>
      <c r="H211" s="232" t="n"/>
    </row>
    <row r="212" ht="15" customHeight="1" s="131">
      <c r="A212" s="225" t="n"/>
      <c r="B212" s="232" t="n"/>
      <c r="C212" s="225" t="n"/>
      <c r="D212" s="226">
        <f>IFERROR(VALUE(SUBSTITUTE($C212,"-","")),0)</f>
        <v/>
      </c>
      <c r="E212" s="225" t="n"/>
      <c r="F212" s="225" t="n"/>
      <c r="G212" s="225" t="n"/>
      <c r="H212" s="232" t="n"/>
    </row>
    <row r="213" ht="15" customHeight="1" s="131">
      <c r="A213" s="225" t="n"/>
      <c r="B213" s="232" t="n"/>
      <c r="C213" s="225" t="n"/>
      <c r="D213" s="226">
        <f>IFERROR(VALUE(SUBSTITUTE($C213,"-","")),0)</f>
        <v/>
      </c>
      <c r="E213" s="225" t="n"/>
      <c r="F213" s="225" t="n"/>
      <c r="G213" s="225" t="n"/>
      <c r="H213" s="232" t="n"/>
    </row>
    <row r="214" ht="15" customHeight="1" s="131">
      <c r="A214" s="225" t="n"/>
      <c r="B214" s="232" t="n"/>
      <c r="C214" s="225" t="n"/>
      <c r="D214" s="226">
        <f>IFERROR(VALUE(SUBSTITUTE($C214,"-","")),0)</f>
        <v/>
      </c>
      <c r="E214" s="225" t="n"/>
      <c r="F214" s="225" t="n"/>
      <c r="G214" s="225" t="n"/>
      <c r="H214" s="232" t="n"/>
    </row>
    <row r="215" ht="15" customHeight="1" s="131">
      <c r="A215" s="225" t="n"/>
      <c r="B215" s="232" t="n"/>
      <c r="C215" s="225" t="n"/>
      <c r="D215" s="226">
        <f>IFERROR(VALUE(SUBSTITUTE($C215,"-","")),0)</f>
        <v/>
      </c>
      <c r="E215" s="225" t="n"/>
      <c r="F215" s="225" t="n"/>
      <c r="G215" s="225" t="n"/>
      <c r="H215" s="232" t="n"/>
    </row>
    <row r="216" ht="15" customHeight="1" s="131">
      <c r="A216" s="225" t="n"/>
      <c r="B216" s="232" t="n"/>
      <c r="C216" s="225" t="n"/>
      <c r="D216" s="226">
        <f>IFERROR(VALUE(SUBSTITUTE($C216,"-","")),0)</f>
        <v/>
      </c>
      <c r="E216" s="225" t="n"/>
      <c r="F216" s="225" t="n"/>
      <c r="G216" s="225" t="n"/>
      <c r="H216" s="232" t="n"/>
    </row>
    <row r="217" ht="15" customHeight="1" s="131">
      <c r="A217" s="225" t="n"/>
      <c r="B217" s="232" t="n"/>
      <c r="C217" s="225" t="n"/>
      <c r="D217" s="226">
        <f>IFERROR(VALUE(SUBSTITUTE($C217,"-","")),0)</f>
        <v/>
      </c>
      <c r="E217" s="225" t="n"/>
      <c r="F217" s="225" t="n"/>
      <c r="G217" s="225" t="n"/>
      <c r="H217" s="232" t="n"/>
    </row>
    <row r="218" ht="15" customHeight="1" s="131">
      <c r="A218" s="225" t="n"/>
      <c r="B218" s="232" t="n"/>
      <c r="C218" s="225" t="n"/>
      <c r="D218" s="226">
        <f>IFERROR(VALUE(SUBSTITUTE($C218,"-","")),0)</f>
        <v/>
      </c>
      <c r="E218" s="225" t="n"/>
      <c r="F218" s="225" t="n"/>
      <c r="G218" s="225" t="n"/>
      <c r="H218" s="232" t="n"/>
    </row>
    <row r="219" ht="15" customHeight="1" s="131">
      <c r="A219" s="225" t="n"/>
      <c r="B219" s="232" t="n"/>
      <c r="C219" s="225" t="n"/>
      <c r="D219" s="226">
        <f>IFERROR(VALUE(SUBSTITUTE($C219,"-","")),0)</f>
        <v/>
      </c>
      <c r="E219" s="225" t="n"/>
      <c r="F219" s="225" t="n"/>
      <c r="G219" s="225" t="n"/>
      <c r="H219" s="232" t="n"/>
    </row>
    <row r="220" ht="15" customHeight="1" s="131">
      <c r="A220" s="225" t="n"/>
      <c r="B220" s="232" t="n"/>
      <c r="C220" s="225" t="n"/>
      <c r="D220" s="226">
        <f>IFERROR(VALUE(SUBSTITUTE($C220,"-","")),0)</f>
        <v/>
      </c>
      <c r="E220" s="225" t="n"/>
      <c r="F220" s="225" t="n"/>
      <c r="G220" s="225" t="n"/>
      <c r="H220" s="232" t="n"/>
    </row>
    <row r="221" ht="15" customHeight="1" s="131">
      <c r="A221" s="225" t="n"/>
      <c r="B221" s="232" t="n"/>
      <c r="C221" s="225" t="n"/>
      <c r="D221" s="226">
        <f>IFERROR(VALUE(SUBSTITUTE($C221,"-","")),0)</f>
        <v/>
      </c>
      <c r="E221" s="225" t="n"/>
      <c r="F221" s="225" t="n"/>
      <c r="G221" s="225" t="n"/>
      <c r="H221" s="232" t="n"/>
    </row>
    <row r="222" ht="15" customHeight="1" s="131">
      <c r="A222" s="225" t="n"/>
      <c r="B222" s="232" t="n"/>
      <c r="C222" s="225" t="n"/>
      <c r="D222" s="226">
        <f>IFERROR(VALUE(SUBSTITUTE($C222,"-","")),0)</f>
        <v/>
      </c>
      <c r="E222" s="225" t="n"/>
      <c r="F222" s="225" t="n"/>
      <c r="G222" s="225" t="n"/>
      <c r="H222" s="232" t="n"/>
    </row>
    <row r="223" ht="15" customHeight="1" s="131">
      <c r="A223" s="225" t="n"/>
      <c r="B223" s="232" t="n"/>
      <c r="C223" s="225" t="n"/>
      <c r="D223" s="226">
        <f>IFERROR(VALUE(SUBSTITUTE($C223,"-","")),0)</f>
        <v/>
      </c>
      <c r="E223" s="225" t="n"/>
      <c r="F223" s="225" t="n"/>
      <c r="G223" s="225" t="n"/>
      <c r="H223" s="232" t="n"/>
    </row>
    <row r="224" ht="15" customHeight="1" s="131">
      <c r="A224" s="225" t="n"/>
      <c r="B224" s="232" t="n"/>
      <c r="C224" s="225" t="n"/>
      <c r="D224" s="226">
        <f>IFERROR(VALUE(SUBSTITUTE($C224,"-","")),0)</f>
        <v/>
      </c>
      <c r="E224" s="225" t="n"/>
      <c r="F224" s="225" t="n"/>
      <c r="G224" s="225" t="n"/>
      <c r="H224" s="232" t="n"/>
    </row>
    <row r="225" ht="15" customHeight="1" s="131">
      <c r="A225" s="225" t="n"/>
      <c r="B225" s="232" t="n"/>
      <c r="C225" s="225" t="n"/>
      <c r="D225" s="226">
        <f>IFERROR(VALUE(SUBSTITUTE($C225,"-","")),0)</f>
        <v/>
      </c>
      <c r="E225" s="225" t="n"/>
      <c r="F225" s="225" t="n"/>
      <c r="G225" s="225" t="n"/>
      <c r="H225" s="232" t="n"/>
    </row>
    <row r="226" ht="15" customHeight="1" s="131">
      <c r="A226" s="225" t="n"/>
      <c r="B226" s="232" t="n"/>
      <c r="C226" s="225" t="n"/>
      <c r="D226" s="226">
        <f>IFERROR(VALUE(SUBSTITUTE($C226,"-","")),0)</f>
        <v/>
      </c>
      <c r="E226" s="225" t="n"/>
      <c r="F226" s="225" t="n"/>
      <c r="G226" s="225" t="n"/>
      <c r="H226" s="232" t="n"/>
    </row>
    <row r="227" ht="15" customHeight="1" s="131">
      <c r="A227" s="225" t="n"/>
      <c r="B227" s="232" t="n"/>
      <c r="C227" s="225" t="n"/>
      <c r="D227" s="226">
        <f>IFERROR(VALUE(SUBSTITUTE($C227,"-","")),0)</f>
        <v/>
      </c>
      <c r="E227" s="225" t="n"/>
      <c r="F227" s="225" t="n"/>
      <c r="G227" s="225" t="n"/>
      <c r="H227" s="232" t="n"/>
    </row>
    <row r="228" ht="15" customHeight="1" s="131">
      <c r="A228" s="225" t="n"/>
      <c r="B228" s="232" t="n"/>
      <c r="C228" s="225" t="n"/>
      <c r="D228" s="226">
        <f>IFERROR(VALUE(SUBSTITUTE($C228,"-","")),0)</f>
        <v/>
      </c>
      <c r="E228" s="225" t="n"/>
      <c r="F228" s="225" t="n"/>
      <c r="G228" s="225" t="n"/>
      <c r="H228" s="232" t="n"/>
    </row>
    <row r="229" ht="15" customHeight="1" s="131">
      <c r="A229" s="225" t="n"/>
      <c r="B229" s="232" t="n"/>
      <c r="C229" s="225" t="n"/>
      <c r="D229" s="226">
        <f>IFERROR(VALUE(SUBSTITUTE($C229,"-","")),0)</f>
        <v/>
      </c>
      <c r="E229" s="225" t="n"/>
      <c r="F229" s="225" t="n"/>
      <c r="G229" s="225" t="n"/>
      <c r="H229" s="232" t="n"/>
    </row>
    <row r="230" ht="15" customHeight="1" s="131">
      <c r="A230" s="225" t="n"/>
      <c r="B230" s="232" t="n"/>
      <c r="C230" s="225" t="n"/>
      <c r="D230" s="226">
        <f>IFERROR(VALUE(SUBSTITUTE($C230,"-","")),0)</f>
        <v/>
      </c>
      <c r="E230" s="225" t="n"/>
      <c r="F230" s="225" t="n"/>
      <c r="G230" s="225" t="n"/>
      <c r="H230" s="232" t="n"/>
    </row>
    <row r="231" ht="15" customHeight="1" s="131">
      <c r="A231" s="225" t="n"/>
      <c r="B231" s="232" t="n"/>
      <c r="C231" s="225" t="n"/>
      <c r="D231" s="226">
        <f>IFERROR(VALUE(SUBSTITUTE($C231,"-","")),0)</f>
        <v/>
      </c>
      <c r="E231" s="225" t="n"/>
      <c r="F231" s="225" t="n"/>
      <c r="G231" s="225" t="n"/>
      <c r="H231" s="232" t="n"/>
    </row>
    <row r="232" ht="15" customHeight="1" s="131">
      <c r="A232" s="225" t="n"/>
      <c r="B232" s="232" t="n"/>
      <c r="C232" s="225" t="n"/>
      <c r="D232" s="226">
        <f>IFERROR(VALUE(SUBSTITUTE($C232,"-","")),0)</f>
        <v/>
      </c>
      <c r="E232" s="225" t="n"/>
      <c r="F232" s="225" t="n"/>
      <c r="G232" s="225" t="n"/>
      <c r="H232" s="232" t="n"/>
    </row>
    <row r="233" ht="15" customHeight="1" s="131">
      <c r="A233" s="225" t="n"/>
      <c r="B233" s="232" t="n"/>
      <c r="C233" s="225" t="n"/>
      <c r="D233" s="226">
        <f>IFERROR(VALUE(SUBSTITUTE($C233,"-","")),0)</f>
        <v/>
      </c>
      <c r="E233" s="225" t="n"/>
      <c r="F233" s="225" t="n"/>
      <c r="G233" s="225" t="n"/>
      <c r="H233" s="232" t="n"/>
    </row>
    <row r="234" ht="15" customHeight="1" s="131">
      <c r="A234" s="225" t="n"/>
      <c r="B234" s="232" t="n"/>
      <c r="C234" s="225" t="n"/>
      <c r="D234" s="226">
        <f>IFERROR(VALUE(SUBSTITUTE($C234,"-","")),0)</f>
        <v/>
      </c>
      <c r="E234" s="225" t="n"/>
      <c r="F234" s="225" t="n"/>
      <c r="G234" s="225" t="n"/>
      <c r="H234" s="232" t="n"/>
    </row>
    <row r="235" ht="15" customHeight="1" s="131">
      <c r="A235" s="225" t="n"/>
      <c r="B235" s="232" t="n"/>
      <c r="C235" s="225" t="n"/>
      <c r="D235" s="226">
        <f>IFERROR(VALUE(SUBSTITUTE($C235,"-","")),0)</f>
        <v/>
      </c>
      <c r="E235" s="225" t="n"/>
      <c r="F235" s="225" t="n"/>
      <c r="G235" s="225" t="n"/>
      <c r="H235" s="232" t="n"/>
    </row>
    <row r="236" ht="15" customHeight="1" s="131">
      <c r="A236" s="225" t="n"/>
      <c r="B236" s="232" t="n"/>
      <c r="C236" s="225" t="n"/>
      <c r="D236" s="226">
        <f>IFERROR(VALUE(SUBSTITUTE($C236,"-","")),0)</f>
        <v/>
      </c>
      <c r="E236" s="225" t="n"/>
      <c r="F236" s="225" t="n"/>
      <c r="G236" s="225" t="n"/>
      <c r="H236" s="232" t="n"/>
    </row>
    <row r="237" ht="15" customHeight="1" s="131">
      <c r="A237" s="225" t="n"/>
      <c r="B237" s="232" t="n"/>
      <c r="C237" s="225" t="n"/>
      <c r="D237" s="226">
        <f>IFERROR(VALUE(SUBSTITUTE($C237,"-","")),0)</f>
        <v/>
      </c>
      <c r="E237" s="225" t="n"/>
      <c r="F237" s="225" t="n"/>
      <c r="G237" s="225" t="n"/>
      <c r="H237" s="232" t="n"/>
    </row>
    <row r="238" ht="15" customHeight="1" s="131">
      <c r="A238" s="225" t="n"/>
      <c r="B238" s="232" t="n"/>
      <c r="C238" s="225" t="n"/>
      <c r="D238" s="226">
        <f>IFERROR(VALUE(SUBSTITUTE($C238,"-","")),0)</f>
        <v/>
      </c>
      <c r="E238" s="225" t="n"/>
      <c r="F238" s="225" t="n"/>
      <c r="G238" s="225" t="n"/>
      <c r="H238" s="232" t="n"/>
    </row>
    <row r="239" ht="15" customHeight="1" s="131">
      <c r="A239" s="225" t="n"/>
      <c r="B239" s="232" t="n"/>
      <c r="C239" s="225" t="n"/>
      <c r="D239" s="226">
        <f>IFERROR(VALUE(SUBSTITUTE($C239,"-","")),0)</f>
        <v/>
      </c>
      <c r="E239" s="225" t="n"/>
      <c r="F239" s="225" t="n"/>
      <c r="G239" s="225" t="n"/>
      <c r="H239" s="232" t="n"/>
    </row>
    <row r="240" ht="15" customHeight="1" s="131">
      <c r="A240" s="225" t="n"/>
      <c r="B240" s="232" t="n"/>
      <c r="C240" s="225" t="n"/>
      <c r="D240" s="226">
        <f>IFERROR(VALUE(SUBSTITUTE($C240,"-","")),0)</f>
        <v/>
      </c>
      <c r="E240" s="225" t="n"/>
      <c r="F240" s="225" t="n"/>
      <c r="G240" s="225" t="n"/>
      <c r="H240" s="232" t="n"/>
    </row>
    <row r="241" ht="15" customHeight="1" s="131">
      <c r="A241" s="225" t="n"/>
      <c r="B241" s="232" t="n"/>
      <c r="C241" s="225" t="n"/>
      <c r="D241" s="226">
        <f>IFERROR(VALUE(SUBSTITUTE($C241,"-","")),0)</f>
        <v/>
      </c>
      <c r="E241" s="225" t="n"/>
      <c r="F241" s="225" t="n"/>
      <c r="G241" s="225" t="n"/>
      <c r="H241" s="232" t="n"/>
    </row>
    <row r="242" ht="15" customHeight="1" s="131">
      <c r="A242" s="225" t="n"/>
      <c r="B242" s="232" t="n"/>
      <c r="C242" s="225" t="n"/>
      <c r="D242" s="226">
        <f>IFERROR(VALUE(SUBSTITUTE($C242,"-","")),0)</f>
        <v/>
      </c>
      <c r="E242" s="225" t="n"/>
      <c r="F242" s="225" t="n"/>
      <c r="G242" s="225" t="n"/>
      <c r="H242" s="232" t="n"/>
    </row>
    <row r="243" ht="15" customHeight="1" s="131">
      <c r="A243" s="225" t="n"/>
      <c r="B243" s="232" t="n"/>
      <c r="C243" s="225" t="n"/>
      <c r="D243" s="226">
        <f>IFERROR(VALUE(SUBSTITUTE($C243,"-","")),0)</f>
        <v/>
      </c>
      <c r="E243" s="225" t="n"/>
      <c r="F243" s="225" t="n"/>
      <c r="G243" s="225" t="n"/>
      <c r="H243" s="232" t="n"/>
    </row>
    <row r="244" ht="15" customHeight="1" s="131">
      <c r="A244" s="225" t="n"/>
      <c r="B244" s="232" t="n"/>
      <c r="C244" s="225" t="n"/>
      <c r="D244" s="226">
        <f>IFERROR(VALUE(SUBSTITUTE($C244,"-","")),0)</f>
        <v/>
      </c>
      <c r="E244" s="225" t="n"/>
      <c r="F244" s="225" t="n"/>
      <c r="G244" s="225" t="n"/>
      <c r="H244" s="232" t="n"/>
    </row>
    <row r="245" ht="15" customHeight="1" s="131">
      <c r="A245" s="225" t="n"/>
      <c r="B245" s="232" t="n"/>
      <c r="C245" s="225" t="n"/>
      <c r="D245" s="226">
        <f>IFERROR(VALUE(SUBSTITUTE($C245,"-","")),0)</f>
        <v/>
      </c>
      <c r="E245" s="225" t="n"/>
      <c r="F245" s="225" t="n"/>
      <c r="G245" s="225" t="n"/>
      <c r="H245" s="232" t="n"/>
    </row>
    <row r="246" ht="15" customHeight="1" s="131">
      <c r="A246" s="225" t="n"/>
      <c r="B246" s="232" t="n"/>
      <c r="C246" s="225" t="n"/>
      <c r="D246" s="226">
        <f>IFERROR(VALUE(SUBSTITUTE($C246,"-","")),0)</f>
        <v/>
      </c>
      <c r="E246" s="225" t="n"/>
      <c r="F246" s="225" t="n"/>
      <c r="G246" s="225" t="n"/>
      <c r="H246" s="232" t="n"/>
    </row>
    <row r="247" ht="15" customHeight="1" s="131">
      <c r="A247" s="225" t="n"/>
      <c r="B247" s="232" t="n"/>
      <c r="C247" s="225" t="n"/>
      <c r="D247" s="226">
        <f>IFERROR(VALUE(SUBSTITUTE($C247,"-","")),0)</f>
        <v/>
      </c>
      <c r="E247" s="225" t="n"/>
      <c r="F247" s="225" t="n"/>
      <c r="G247" s="225" t="n"/>
      <c r="H247" s="232" t="n"/>
    </row>
    <row r="248" ht="15" customHeight="1" s="131">
      <c r="A248" s="225" t="n"/>
      <c r="B248" s="232" t="n"/>
      <c r="C248" s="225" t="n"/>
      <c r="D248" s="226">
        <f>IFERROR(VALUE(SUBSTITUTE($C248,"-","")),0)</f>
        <v/>
      </c>
      <c r="E248" s="225" t="n"/>
      <c r="F248" s="225" t="n"/>
      <c r="G248" s="225" t="n"/>
      <c r="H248" s="232" t="n"/>
    </row>
    <row r="249" ht="15" customHeight="1" s="131">
      <c r="A249" s="225" t="n"/>
      <c r="B249" s="232" t="n"/>
      <c r="C249" s="225" t="n"/>
      <c r="D249" s="226">
        <f>IFERROR(VALUE(SUBSTITUTE($C249,"-","")),0)</f>
        <v/>
      </c>
      <c r="E249" s="225" t="n"/>
      <c r="F249" s="225" t="n"/>
      <c r="G249" s="225" t="n"/>
      <c r="H249" s="232" t="n"/>
    </row>
    <row r="250" ht="15" customHeight="1" s="131">
      <c r="A250" s="225" t="n"/>
      <c r="B250" s="232" t="n"/>
      <c r="C250" s="225" t="n"/>
      <c r="D250" s="226">
        <f>IFERROR(VALUE(SUBSTITUTE($C250,"-","")),0)</f>
        <v/>
      </c>
      <c r="E250" s="225" t="n"/>
      <c r="F250" s="225" t="n"/>
      <c r="G250" s="225" t="n"/>
      <c r="H250" s="232" t="n"/>
    </row>
    <row r="251" ht="15" customHeight="1" s="131">
      <c r="A251" s="225" t="n"/>
      <c r="B251" s="232" t="n"/>
      <c r="C251" s="225" t="n"/>
      <c r="D251" s="226">
        <f>IFERROR(VALUE(SUBSTITUTE($C251,"-","")),0)</f>
        <v/>
      </c>
      <c r="E251" s="225" t="n"/>
      <c r="F251" s="225" t="n"/>
      <c r="G251" s="225" t="n"/>
      <c r="H251" s="232" t="n"/>
    </row>
    <row r="252" ht="15" customHeight="1" s="131">
      <c r="A252" s="225" t="n"/>
      <c r="B252" s="232" t="n"/>
      <c r="C252" s="225" t="n"/>
      <c r="D252" s="226">
        <f>IFERROR(VALUE(SUBSTITUTE($C252,"-","")),0)</f>
        <v/>
      </c>
      <c r="E252" s="225" t="n"/>
      <c r="F252" s="225" t="n"/>
      <c r="G252" s="225" t="n"/>
      <c r="H252" s="232" t="n"/>
    </row>
    <row r="253" ht="15" customHeight="1" s="131">
      <c r="A253" s="225" t="n"/>
      <c r="B253" s="232" t="n"/>
      <c r="C253" s="225" t="n"/>
      <c r="D253" s="226">
        <f>IFERROR(VALUE(SUBSTITUTE($C253,"-","")),0)</f>
        <v/>
      </c>
      <c r="E253" s="225" t="n"/>
      <c r="F253" s="225" t="n"/>
      <c r="G253" s="225" t="n"/>
      <c r="H253" s="232" t="n"/>
    </row>
    <row r="254" ht="15" customHeight="1" s="131">
      <c r="A254" s="225" t="n"/>
      <c r="B254" s="232" t="n"/>
      <c r="C254" s="225" t="n"/>
      <c r="D254" s="226">
        <f>IFERROR(VALUE(SUBSTITUTE($C254,"-","")),0)</f>
        <v/>
      </c>
      <c r="E254" s="225" t="n"/>
      <c r="F254" s="225" t="n"/>
      <c r="G254" s="225" t="n"/>
      <c r="H254" s="232" t="n"/>
    </row>
    <row r="255" ht="15" customHeight="1" s="131">
      <c r="A255" s="225" t="n"/>
      <c r="B255" s="232" t="n"/>
      <c r="C255" s="225" t="n"/>
      <c r="D255" s="226">
        <f>IFERROR(VALUE(SUBSTITUTE($C255,"-","")),0)</f>
        <v/>
      </c>
      <c r="E255" s="225" t="n"/>
      <c r="F255" s="225" t="n"/>
      <c r="G255" s="225" t="n"/>
      <c r="H255" s="232" t="n"/>
    </row>
    <row r="256" ht="15" customHeight="1" s="131">
      <c r="A256" s="225" t="n"/>
      <c r="B256" s="232" t="n"/>
      <c r="C256" s="225" t="n"/>
      <c r="D256" s="226">
        <f>IFERROR(VALUE(SUBSTITUTE($C256,"-","")),0)</f>
        <v/>
      </c>
      <c r="E256" s="225" t="n"/>
      <c r="F256" s="225" t="n"/>
      <c r="G256" s="225" t="n"/>
      <c r="H256" s="232" t="n"/>
    </row>
    <row r="257" ht="15" customHeight="1" s="131">
      <c r="A257" s="225" t="n"/>
      <c r="B257" s="232" t="n"/>
      <c r="C257" s="225" t="n"/>
      <c r="D257" s="226">
        <f>IFERROR(VALUE(SUBSTITUTE($C257,"-","")),0)</f>
        <v/>
      </c>
      <c r="E257" s="225" t="n"/>
      <c r="F257" s="225" t="n"/>
      <c r="G257" s="225" t="n"/>
      <c r="H257" s="232" t="n"/>
    </row>
    <row r="258" ht="15" customHeight="1" s="131">
      <c r="A258" s="225" t="n"/>
      <c r="B258" s="232" t="n"/>
      <c r="C258" s="225" t="n"/>
      <c r="D258" s="226">
        <f>IFERROR(VALUE(SUBSTITUTE($C258,"-","")),0)</f>
        <v/>
      </c>
      <c r="E258" s="225" t="n"/>
      <c r="F258" s="225" t="n"/>
      <c r="G258" s="225" t="n"/>
      <c r="H258" s="232" t="n"/>
    </row>
    <row r="259" ht="15" customHeight="1" s="131">
      <c r="A259" s="225" t="n"/>
      <c r="B259" s="232" t="n"/>
      <c r="C259" s="225" t="n"/>
      <c r="D259" s="226">
        <f>IFERROR(VALUE(SUBSTITUTE($C259,"-","")),0)</f>
        <v/>
      </c>
      <c r="E259" s="225" t="n"/>
      <c r="F259" s="225" t="n"/>
      <c r="G259" s="225" t="n"/>
      <c r="H259" s="232" t="n"/>
    </row>
    <row r="260" ht="15" customHeight="1" s="131">
      <c r="A260" s="225" t="n"/>
      <c r="B260" s="232" t="n"/>
      <c r="C260" s="225" t="n"/>
      <c r="D260" s="226">
        <f>IFERROR(VALUE(SUBSTITUTE($C260,"-","")),0)</f>
        <v/>
      </c>
      <c r="E260" s="225" t="n"/>
      <c r="F260" s="225" t="n"/>
      <c r="G260" s="225" t="n"/>
      <c r="H260" s="232" t="n"/>
    </row>
    <row r="261" ht="15" customHeight="1" s="131">
      <c r="A261" s="225" t="n"/>
      <c r="B261" s="232" t="n"/>
      <c r="C261" s="225" t="n"/>
      <c r="D261" s="226">
        <f>IFERROR(VALUE(SUBSTITUTE($C261,"-","")),0)</f>
        <v/>
      </c>
      <c r="E261" s="225" t="n"/>
      <c r="F261" s="225" t="n"/>
      <c r="G261" s="225" t="n"/>
      <c r="H261" s="232" t="n"/>
    </row>
    <row r="262" ht="15" customHeight="1" s="131">
      <c r="A262" s="225" t="n"/>
      <c r="B262" s="232" t="n"/>
      <c r="C262" s="225" t="n"/>
      <c r="D262" s="226">
        <f>IFERROR(VALUE(SUBSTITUTE($C262,"-","")),0)</f>
        <v/>
      </c>
      <c r="E262" s="225" t="n"/>
      <c r="F262" s="225" t="n"/>
      <c r="G262" s="225" t="n"/>
      <c r="H262" s="232" t="n"/>
    </row>
    <row r="263" ht="15" customHeight="1" s="131">
      <c r="A263" s="225" t="n"/>
      <c r="B263" s="232" t="n"/>
      <c r="C263" s="225" t="n"/>
      <c r="D263" s="226">
        <f>IFERROR(VALUE(SUBSTITUTE($C263,"-","")),0)</f>
        <v/>
      </c>
      <c r="E263" s="225" t="n"/>
      <c r="F263" s="225" t="n"/>
      <c r="G263" s="225" t="n"/>
      <c r="H263" s="232" t="n"/>
    </row>
    <row r="264" ht="15" customHeight="1" s="131">
      <c r="A264" s="225" t="n"/>
      <c r="B264" s="232" t="n"/>
      <c r="C264" s="225" t="n"/>
      <c r="D264" s="226">
        <f>IFERROR(VALUE(SUBSTITUTE($C264,"-","")),0)</f>
        <v/>
      </c>
      <c r="E264" s="225" t="n"/>
      <c r="F264" s="225" t="n"/>
      <c r="G264" s="225" t="n"/>
      <c r="H264" s="232" t="n"/>
    </row>
    <row r="265" ht="15" customHeight="1" s="131">
      <c r="A265" s="225" t="n"/>
      <c r="B265" s="232" t="n"/>
      <c r="C265" s="225" t="n"/>
      <c r="D265" s="226">
        <f>IFERROR(VALUE(SUBSTITUTE($C265,"-","")),0)</f>
        <v/>
      </c>
      <c r="E265" s="225" t="n"/>
      <c r="F265" s="225" t="n"/>
      <c r="G265" s="225" t="n"/>
      <c r="H265" s="232" t="n"/>
    </row>
    <row r="266" ht="15" customHeight="1" s="131">
      <c r="A266" s="225" t="n"/>
      <c r="B266" s="232" t="n"/>
      <c r="C266" s="225" t="n"/>
      <c r="D266" s="226">
        <f>IFERROR(VALUE(SUBSTITUTE($C266,"-","")),0)</f>
        <v/>
      </c>
      <c r="E266" s="225" t="n"/>
      <c r="F266" s="225" t="n"/>
      <c r="G266" s="225" t="n"/>
      <c r="H266" s="232" t="n"/>
    </row>
    <row r="267" ht="15" customHeight="1" s="131">
      <c r="A267" s="225" t="n"/>
      <c r="B267" s="232" t="n"/>
      <c r="C267" s="225" t="n"/>
      <c r="D267" s="226">
        <f>IFERROR(VALUE(SUBSTITUTE($C267,"-","")),0)</f>
        <v/>
      </c>
      <c r="E267" s="225" t="n"/>
      <c r="F267" s="225" t="n"/>
      <c r="G267" s="225" t="n"/>
      <c r="H267" s="232" t="n"/>
    </row>
    <row r="268" ht="15" customHeight="1" s="131">
      <c r="A268" s="225" t="n"/>
      <c r="B268" s="232" t="n"/>
      <c r="C268" s="225" t="n"/>
      <c r="D268" s="226">
        <f>IFERROR(VALUE(SUBSTITUTE($C268,"-","")),0)</f>
        <v/>
      </c>
      <c r="E268" s="225" t="n"/>
      <c r="F268" s="225" t="n"/>
      <c r="G268" s="225" t="n"/>
      <c r="H268" s="232" t="n"/>
    </row>
    <row r="269" ht="15" customHeight="1" s="131">
      <c r="A269" s="225" t="n"/>
      <c r="B269" s="232" t="n"/>
      <c r="C269" s="225" t="n"/>
      <c r="D269" s="226">
        <f>IFERROR(VALUE(SUBSTITUTE($C269,"-","")),0)</f>
        <v/>
      </c>
      <c r="E269" s="225" t="n"/>
      <c r="F269" s="225" t="n"/>
      <c r="G269" s="225" t="n"/>
      <c r="H269" s="232" t="n"/>
    </row>
    <row r="270" ht="15" customHeight="1" s="131">
      <c r="A270" s="225" t="n"/>
      <c r="B270" s="232" t="n"/>
      <c r="C270" s="225" t="n"/>
      <c r="D270" s="226">
        <f>IFERROR(VALUE(SUBSTITUTE($C270,"-","")),0)</f>
        <v/>
      </c>
      <c r="E270" s="225" t="n"/>
      <c r="F270" s="225" t="n"/>
      <c r="G270" s="225" t="n"/>
      <c r="H270" s="232" t="n"/>
    </row>
    <row r="271" ht="15" customHeight="1" s="131">
      <c r="A271" s="225" t="n"/>
      <c r="B271" s="232" t="n"/>
      <c r="C271" s="225" t="n"/>
      <c r="D271" s="226">
        <f>IFERROR(VALUE(SUBSTITUTE($C271,"-","")),0)</f>
        <v/>
      </c>
      <c r="E271" s="225" t="n"/>
      <c r="F271" s="225" t="n"/>
      <c r="G271" s="225" t="n"/>
      <c r="H271" s="232" t="n"/>
    </row>
    <row r="272" ht="15" customHeight="1" s="131">
      <c r="A272" s="225" t="n"/>
      <c r="B272" s="232" t="n"/>
      <c r="C272" s="225" t="n"/>
      <c r="D272" s="226">
        <f>IFERROR(VALUE(SUBSTITUTE($C272,"-","")),0)</f>
        <v/>
      </c>
      <c r="E272" s="225" t="n"/>
      <c r="F272" s="225" t="n"/>
      <c r="G272" s="225" t="n"/>
      <c r="H272" s="232" t="n"/>
    </row>
    <row r="273" ht="15" customHeight="1" s="131">
      <c r="A273" s="225" t="n"/>
      <c r="B273" s="232" t="n"/>
      <c r="C273" s="225" t="n"/>
      <c r="D273" s="226">
        <f>IFERROR(VALUE(SUBSTITUTE($C273,"-","")),0)</f>
        <v/>
      </c>
      <c r="E273" s="225" t="n"/>
      <c r="F273" s="225" t="n"/>
      <c r="G273" s="225" t="n"/>
      <c r="H273" s="232" t="n"/>
    </row>
    <row r="274" ht="15" customHeight="1" s="131">
      <c r="A274" s="225" t="n"/>
      <c r="B274" s="232" t="n"/>
      <c r="C274" s="225" t="n"/>
      <c r="D274" s="226">
        <f>IFERROR(VALUE(SUBSTITUTE($C274,"-","")),0)</f>
        <v/>
      </c>
      <c r="E274" s="225" t="n"/>
      <c r="F274" s="225" t="n"/>
      <c r="G274" s="225" t="n"/>
      <c r="H274" s="232" t="n"/>
    </row>
    <row r="275" ht="15" customHeight="1" s="131">
      <c r="A275" s="225" t="n"/>
      <c r="B275" s="232" t="n"/>
      <c r="C275" s="225" t="n"/>
      <c r="D275" s="226">
        <f>IFERROR(VALUE(SUBSTITUTE($C275,"-","")),0)</f>
        <v/>
      </c>
      <c r="E275" s="225" t="n"/>
      <c r="F275" s="225" t="n"/>
      <c r="G275" s="225" t="n"/>
      <c r="H275" s="232" t="n"/>
    </row>
    <row r="276" ht="15" customHeight="1" s="131">
      <c r="A276" s="225" t="n"/>
      <c r="B276" s="232" t="n"/>
      <c r="C276" s="225" t="n"/>
      <c r="D276" s="226">
        <f>IFERROR(VALUE(SUBSTITUTE($C276,"-","")),0)</f>
        <v/>
      </c>
      <c r="E276" s="225" t="n"/>
      <c r="F276" s="225" t="n"/>
      <c r="G276" s="225" t="n"/>
      <c r="H276" s="232" t="n"/>
    </row>
    <row r="277" ht="15" customHeight="1" s="131">
      <c r="A277" s="225" t="n"/>
      <c r="B277" s="232" t="n"/>
      <c r="C277" s="225" t="n"/>
      <c r="D277" s="226">
        <f>IFERROR(VALUE(SUBSTITUTE($C277,"-","")),0)</f>
        <v/>
      </c>
      <c r="E277" s="225" t="n"/>
      <c r="F277" s="225" t="n"/>
      <c r="G277" s="225" t="n"/>
      <c r="H277" s="232" t="n"/>
    </row>
    <row r="278" ht="15" customHeight="1" s="131">
      <c r="A278" s="225" t="n"/>
      <c r="B278" s="232" t="n"/>
      <c r="C278" s="225" t="n"/>
      <c r="D278" s="226">
        <f>IFERROR(VALUE(SUBSTITUTE($C278,"-","")),0)</f>
        <v/>
      </c>
      <c r="E278" s="225" t="n"/>
      <c r="F278" s="225" t="n"/>
      <c r="G278" s="225" t="n"/>
      <c r="H278" s="232" t="n"/>
    </row>
    <row r="279" ht="15" customHeight="1" s="131">
      <c r="A279" s="225" t="n"/>
      <c r="B279" s="232" t="n"/>
      <c r="C279" s="225" t="n"/>
      <c r="D279" s="226">
        <f>IFERROR(VALUE(SUBSTITUTE($C279,"-","")),0)</f>
        <v/>
      </c>
      <c r="E279" s="225" t="n"/>
      <c r="F279" s="225" t="n"/>
      <c r="G279" s="225" t="n"/>
      <c r="H279" s="232" t="n"/>
    </row>
    <row r="280" ht="15" customHeight="1" s="131">
      <c r="A280" s="225" t="n"/>
      <c r="B280" s="232" t="n"/>
      <c r="C280" s="225" t="n"/>
      <c r="D280" s="226">
        <f>IFERROR(VALUE(SUBSTITUTE($C280,"-","")),0)</f>
        <v/>
      </c>
      <c r="E280" s="225" t="n"/>
      <c r="F280" s="225" t="n"/>
      <c r="G280" s="225" t="n"/>
      <c r="H280" s="232" t="n"/>
    </row>
    <row r="281" ht="15" customHeight="1" s="131">
      <c r="A281" s="225" t="n"/>
      <c r="B281" s="232" t="n"/>
      <c r="C281" s="225" t="n"/>
      <c r="D281" s="226">
        <f>IFERROR(VALUE(SUBSTITUTE($C281,"-","")),0)</f>
        <v/>
      </c>
      <c r="E281" s="225" t="n"/>
      <c r="F281" s="225" t="n"/>
      <c r="G281" s="225" t="n"/>
      <c r="H281" s="232" t="n"/>
    </row>
    <row r="282" ht="15" customHeight="1" s="131">
      <c r="A282" s="225" t="n"/>
      <c r="B282" s="232" t="n"/>
      <c r="C282" s="225" t="n"/>
      <c r="D282" s="226">
        <f>IFERROR(VALUE(SUBSTITUTE($C282,"-","")),0)</f>
        <v/>
      </c>
      <c r="E282" s="225" t="n"/>
      <c r="F282" s="225" t="n"/>
      <c r="G282" s="225" t="n"/>
      <c r="H282" s="232" t="n"/>
    </row>
    <row r="283" ht="15" customHeight="1" s="131">
      <c r="A283" s="225" t="n"/>
      <c r="B283" s="232" t="n"/>
      <c r="C283" s="225" t="n"/>
      <c r="D283" s="226">
        <f>IFERROR(VALUE(SUBSTITUTE($C283,"-","")),0)</f>
        <v/>
      </c>
      <c r="E283" s="225" t="n"/>
      <c r="F283" s="225" t="n"/>
      <c r="G283" s="225" t="n"/>
      <c r="H283" s="232" t="n"/>
    </row>
    <row r="284" ht="15" customHeight="1" s="131">
      <c r="A284" s="225" t="n"/>
      <c r="B284" s="232" t="n"/>
      <c r="C284" s="225" t="n"/>
      <c r="D284" s="226">
        <f>IFERROR(VALUE(SUBSTITUTE($C284,"-","")),0)</f>
        <v/>
      </c>
      <c r="E284" s="225" t="n"/>
      <c r="F284" s="225" t="n"/>
      <c r="G284" s="225" t="n"/>
      <c r="H284" s="232" t="n"/>
    </row>
    <row r="285" ht="15" customHeight="1" s="131">
      <c r="A285" s="225" t="n"/>
      <c r="B285" s="232" t="n"/>
      <c r="C285" s="225" t="n"/>
      <c r="D285" s="226">
        <f>IFERROR(VALUE(SUBSTITUTE($C285,"-","")),0)</f>
        <v/>
      </c>
      <c r="E285" s="225" t="n"/>
      <c r="F285" s="225" t="n"/>
      <c r="G285" s="225" t="n"/>
      <c r="H285" s="232" t="n"/>
    </row>
    <row r="286" ht="15" customHeight="1" s="131">
      <c r="A286" s="225" t="n"/>
      <c r="B286" s="232" t="n"/>
      <c r="C286" s="225" t="n"/>
      <c r="D286" s="226">
        <f>IFERROR(VALUE(SUBSTITUTE($C286,"-","")),0)</f>
        <v/>
      </c>
      <c r="E286" s="225" t="n"/>
      <c r="F286" s="225" t="n"/>
      <c r="G286" s="225" t="n"/>
      <c r="H286" s="232" t="n"/>
    </row>
    <row r="287" ht="15" customHeight="1" s="131">
      <c r="A287" s="225" t="n"/>
      <c r="B287" s="232" t="n"/>
      <c r="C287" s="225" t="n"/>
      <c r="D287" s="226">
        <f>IFERROR(VALUE(SUBSTITUTE($C287,"-","")),0)</f>
        <v/>
      </c>
      <c r="E287" s="225" t="n"/>
      <c r="F287" s="225" t="n"/>
      <c r="G287" s="225" t="n"/>
      <c r="H287" s="232" t="n"/>
    </row>
    <row r="288" ht="15" customHeight="1" s="131">
      <c r="A288" s="225" t="n"/>
      <c r="B288" s="232" t="n"/>
      <c r="C288" s="225" t="n"/>
      <c r="D288" s="226">
        <f>IFERROR(VALUE(SUBSTITUTE($C288,"-","")),0)</f>
        <v/>
      </c>
      <c r="E288" s="225" t="n"/>
      <c r="F288" s="225" t="n"/>
      <c r="G288" s="225" t="n"/>
      <c r="H288" s="232" t="n"/>
    </row>
    <row r="289" ht="15" customHeight="1" s="131">
      <c r="A289" s="225" t="n"/>
      <c r="B289" s="232" t="n"/>
      <c r="C289" s="225" t="n"/>
      <c r="D289" s="226">
        <f>IFERROR(VALUE(SUBSTITUTE($C289,"-","")),0)</f>
        <v/>
      </c>
      <c r="E289" s="225" t="n"/>
      <c r="F289" s="225" t="n"/>
      <c r="G289" s="225" t="n"/>
      <c r="H289" s="232" t="n"/>
    </row>
    <row r="290" ht="15" customHeight="1" s="131">
      <c r="A290" s="225" t="n"/>
      <c r="B290" s="232" t="n"/>
      <c r="C290" s="225" t="n"/>
      <c r="D290" s="226">
        <f>IFERROR(VALUE(SUBSTITUTE($C290,"-","")),0)</f>
        <v/>
      </c>
      <c r="E290" s="225" t="n"/>
      <c r="F290" s="225" t="n"/>
      <c r="G290" s="225" t="n"/>
      <c r="H290" s="232" t="n"/>
    </row>
    <row r="291" ht="15" customHeight="1" s="131">
      <c r="A291" s="225" t="n"/>
      <c r="B291" s="232" t="n"/>
      <c r="C291" s="225" t="n"/>
      <c r="D291" s="226">
        <f>IFERROR(VALUE(SUBSTITUTE($C291,"-","")),0)</f>
        <v/>
      </c>
      <c r="E291" s="225" t="n"/>
      <c r="F291" s="225" t="n"/>
      <c r="G291" s="225" t="n"/>
      <c r="H291" s="232" t="n"/>
    </row>
    <row r="292" ht="15" customHeight="1" s="131">
      <c r="A292" s="225" t="n"/>
      <c r="B292" s="232" t="n"/>
      <c r="C292" s="225" t="n"/>
      <c r="D292" s="226">
        <f>IFERROR(VALUE(SUBSTITUTE($C292,"-","")),0)</f>
        <v/>
      </c>
      <c r="E292" s="225" t="n"/>
      <c r="F292" s="225" t="n"/>
      <c r="G292" s="225" t="n"/>
      <c r="H292" s="232" t="n"/>
    </row>
    <row r="293" ht="15" customHeight="1" s="131">
      <c r="A293" s="225" t="n"/>
      <c r="B293" s="232" t="n"/>
      <c r="C293" s="225" t="n"/>
      <c r="D293" s="226">
        <f>IFERROR(VALUE(SUBSTITUTE($C293,"-","")),0)</f>
        <v/>
      </c>
      <c r="E293" s="225" t="n"/>
      <c r="F293" s="225" t="n"/>
      <c r="G293" s="225" t="n"/>
      <c r="H293" s="232" t="n"/>
    </row>
    <row r="294" ht="15" customHeight="1" s="131">
      <c r="A294" s="225" t="n"/>
      <c r="B294" s="232" t="n"/>
      <c r="C294" s="225" t="n"/>
      <c r="D294" s="226">
        <f>IFERROR(VALUE(SUBSTITUTE($C294,"-","")),0)</f>
        <v/>
      </c>
      <c r="E294" s="225" t="n"/>
      <c r="F294" s="225" t="n"/>
      <c r="G294" s="225" t="n"/>
      <c r="H294" s="232" t="n"/>
    </row>
    <row r="295" ht="15" customHeight="1" s="131">
      <c r="A295" s="225" t="n"/>
      <c r="B295" s="232" t="n"/>
      <c r="C295" s="225" t="n"/>
      <c r="D295" s="226">
        <f>IFERROR(VALUE(SUBSTITUTE($C295,"-","")),0)</f>
        <v/>
      </c>
      <c r="E295" s="225" t="n"/>
      <c r="F295" s="225" t="n"/>
      <c r="G295" s="225" t="n"/>
      <c r="H295" s="232" t="n"/>
    </row>
    <row r="296" ht="15" customHeight="1" s="131">
      <c r="A296" s="225" t="n"/>
      <c r="B296" s="232" t="n"/>
      <c r="C296" s="225" t="n"/>
      <c r="D296" s="226">
        <f>IFERROR(VALUE(SUBSTITUTE($C296,"-","")),0)</f>
        <v/>
      </c>
      <c r="E296" s="225" t="n"/>
      <c r="F296" s="225" t="n"/>
      <c r="G296" s="225" t="n"/>
      <c r="H296" s="232" t="n"/>
    </row>
    <row r="297" ht="15" customHeight="1" s="131">
      <c r="A297" s="225" t="n"/>
      <c r="B297" s="232" t="n"/>
      <c r="C297" s="225" t="n"/>
      <c r="D297" s="226">
        <f>IFERROR(VALUE(SUBSTITUTE($C297,"-","")),0)</f>
        <v/>
      </c>
      <c r="E297" s="225" t="n"/>
      <c r="F297" s="225" t="n"/>
      <c r="G297" s="225" t="n"/>
      <c r="H297" s="232" t="n"/>
    </row>
    <row r="298" ht="15" customHeight="1" s="131">
      <c r="A298" s="225" t="n"/>
      <c r="B298" s="232" t="n"/>
      <c r="C298" s="225" t="n"/>
      <c r="D298" s="226">
        <f>IFERROR(VALUE(SUBSTITUTE($C298,"-","")),0)</f>
        <v/>
      </c>
      <c r="E298" s="225" t="n"/>
      <c r="F298" s="225" t="n"/>
      <c r="G298" s="225" t="n"/>
      <c r="H298" s="232" t="n"/>
    </row>
    <row r="299" ht="15" customHeight="1" s="131">
      <c r="A299" s="225" t="n"/>
      <c r="B299" s="232" t="n"/>
      <c r="C299" s="225" t="n"/>
      <c r="D299" s="226">
        <f>IFERROR(VALUE(SUBSTITUTE($C299,"-","")),0)</f>
        <v/>
      </c>
      <c r="E299" s="225" t="n"/>
      <c r="F299" s="225" t="n"/>
      <c r="G299" s="225" t="n"/>
      <c r="H299" s="232" t="n"/>
    </row>
    <row r="300" ht="15" customHeight="1" s="131">
      <c r="A300" s="225" t="n"/>
      <c r="B300" s="232" t="n"/>
      <c r="C300" s="225" t="n"/>
      <c r="D300" s="226">
        <f>IFERROR(VALUE(SUBSTITUTE($C300,"-","")),0)</f>
        <v/>
      </c>
      <c r="E300" s="225" t="n"/>
      <c r="F300" s="225" t="n"/>
      <c r="G300" s="225" t="n"/>
      <c r="H300" s="232" t="n"/>
    </row>
    <row r="301" ht="15" customHeight="1" s="131">
      <c r="A301" s="225" t="n"/>
      <c r="B301" s="232" t="n"/>
      <c r="C301" s="225" t="n"/>
      <c r="D301" s="226">
        <f>IFERROR(VALUE(SUBSTITUTE($C301,"-","")),0)</f>
        <v/>
      </c>
      <c r="E301" s="225" t="n"/>
      <c r="F301" s="225" t="n"/>
      <c r="G301" s="225" t="n"/>
      <c r="H301" s="232" t="n"/>
    </row>
    <row r="302" ht="15" customHeight="1" s="131">
      <c r="A302" s="225" t="n"/>
      <c r="B302" s="232" t="n"/>
      <c r="C302" s="225" t="n"/>
      <c r="D302" s="226">
        <f>IFERROR(VALUE(SUBSTITUTE($C302,"-","")),0)</f>
        <v/>
      </c>
      <c r="E302" s="225" t="n"/>
      <c r="F302" s="225" t="n"/>
      <c r="G302" s="225" t="n"/>
      <c r="H302" s="232" t="n"/>
    </row>
    <row r="303" ht="15" customHeight="1" s="131">
      <c r="A303" s="225" t="n"/>
      <c r="B303" s="232" t="n"/>
      <c r="C303" s="225" t="n"/>
      <c r="D303" s="226">
        <f>IFERROR(VALUE(SUBSTITUTE($C303,"-","")),0)</f>
        <v/>
      </c>
      <c r="E303" s="225" t="n"/>
      <c r="F303" s="225" t="n"/>
      <c r="G303" s="225" t="n"/>
      <c r="H303" s="232" t="n"/>
    </row>
    <row r="304" ht="15" customHeight="1" s="131">
      <c r="A304" s="225" t="n"/>
      <c r="B304" s="232" t="n"/>
      <c r="C304" s="225" t="n"/>
      <c r="D304" s="226">
        <f>IFERROR(VALUE(SUBSTITUTE($C304,"-","")),0)</f>
        <v/>
      </c>
      <c r="E304" s="225" t="n"/>
      <c r="F304" s="225" t="n"/>
      <c r="G304" s="225" t="n"/>
      <c r="H304" s="232" t="n"/>
    </row>
    <row r="305" ht="15" customHeight="1" s="131">
      <c r="A305" s="225" t="n"/>
      <c r="B305" s="232" t="n"/>
      <c r="C305" s="225" t="n"/>
      <c r="D305" s="226">
        <f>IFERROR(VALUE(SUBSTITUTE($C305,"-","")),0)</f>
        <v/>
      </c>
      <c r="E305" s="225" t="n"/>
      <c r="F305" s="225" t="n"/>
      <c r="G305" s="225" t="n"/>
      <c r="H305" s="232" t="n"/>
    </row>
    <row r="306" ht="15" customHeight="1" s="131">
      <c r="A306" s="225" t="n"/>
      <c r="B306" s="232" t="n"/>
      <c r="C306" s="225" t="n"/>
      <c r="D306" s="226">
        <f>IFERROR(VALUE(SUBSTITUTE($C306,"-","")),0)</f>
        <v/>
      </c>
      <c r="E306" s="225" t="n"/>
      <c r="F306" s="225" t="n"/>
      <c r="G306" s="225" t="n"/>
      <c r="H306" s="232" t="n"/>
    </row>
    <row r="307" ht="15" customHeight="1" s="131">
      <c r="A307" s="225" t="n"/>
      <c r="B307" s="232" t="n"/>
      <c r="C307" s="225" t="n"/>
      <c r="D307" s="226">
        <f>IFERROR(VALUE(SUBSTITUTE($C307,"-","")),0)</f>
        <v/>
      </c>
      <c r="E307" s="225" t="n"/>
      <c r="F307" s="225" t="n"/>
      <c r="G307" s="225" t="n"/>
      <c r="H307" s="232" t="n"/>
    </row>
    <row r="308" ht="15" customHeight="1" s="131">
      <c r="A308" s="225" t="n"/>
      <c r="B308" s="232" t="n"/>
      <c r="C308" s="225" t="n"/>
      <c r="D308" s="226">
        <f>IFERROR(VALUE(SUBSTITUTE($C308,"-","")),0)</f>
        <v/>
      </c>
      <c r="E308" s="225" t="n"/>
      <c r="F308" s="225" t="n"/>
      <c r="G308" s="225" t="n"/>
      <c r="H308" s="232" t="n"/>
    </row>
    <row r="309" ht="15" customHeight="1" s="131">
      <c r="A309" s="225" t="n"/>
      <c r="B309" s="232" t="n"/>
      <c r="C309" s="225" t="n"/>
      <c r="D309" s="226">
        <f>IFERROR(VALUE(SUBSTITUTE($C309,"-","")),0)</f>
        <v/>
      </c>
      <c r="E309" s="225" t="n"/>
      <c r="F309" s="225" t="n"/>
      <c r="G309" s="225" t="n"/>
      <c r="H309" s="232" t="n"/>
    </row>
    <row r="310" ht="15" customHeight="1" s="131">
      <c r="A310" s="225" t="n"/>
      <c r="B310" s="232" t="n"/>
      <c r="C310" s="225" t="n"/>
      <c r="D310" s="226">
        <f>IFERROR(VALUE(SUBSTITUTE($C310,"-","")),0)</f>
        <v/>
      </c>
      <c r="E310" s="225" t="n"/>
      <c r="F310" s="225" t="n"/>
      <c r="G310" s="225" t="n"/>
      <c r="H310" s="232" t="n"/>
    </row>
    <row r="311" ht="15" customHeight="1" s="131">
      <c r="A311" s="225" t="n"/>
      <c r="B311" s="232" t="n"/>
      <c r="C311" s="225" t="n"/>
      <c r="D311" s="226">
        <f>IFERROR(VALUE(SUBSTITUTE($C311,"-","")),0)</f>
        <v/>
      </c>
      <c r="E311" s="225" t="n"/>
      <c r="F311" s="225" t="n"/>
      <c r="G311" s="225" t="n"/>
      <c r="H311" s="232" t="n"/>
    </row>
    <row r="312" ht="15" customHeight="1" s="131">
      <c r="A312" s="225" t="n"/>
      <c r="B312" s="232" t="n"/>
      <c r="C312" s="225" t="n"/>
      <c r="D312" s="226">
        <f>IFERROR(VALUE(SUBSTITUTE($C312,"-","")),0)</f>
        <v/>
      </c>
      <c r="E312" s="225" t="n"/>
      <c r="F312" s="225" t="n"/>
      <c r="G312" s="225" t="n"/>
      <c r="H312" s="232" t="n"/>
    </row>
    <row r="313" ht="15" customHeight="1" s="131">
      <c r="A313" s="225" t="n"/>
      <c r="B313" s="232" t="n"/>
      <c r="C313" s="225" t="n"/>
      <c r="D313" s="226">
        <f>IFERROR(VALUE(SUBSTITUTE($C313,"-","")),0)</f>
        <v/>
      </c>
      <c r="E313" s="225" t="n"/>
      <c r="F313" s="225" t="n"/>
      <c r="G313" s="225" t="n"/>
      <c r="H313" s="232" t="n"/>
    </row>
    <row r="314" ht="15" customHeight="1" s="131">
      <c r="A314" s="225" t="n"/>
      <c r="B314" s="232" t="n"/>
      <c r="C314" s="225" t="n"/>
      <c r="D314" s="226">
        <f>IFERROR(VALUE(SUBSTITUTE($C314,"-","")),0)</f>
        <v/>
      </c>
      <c r="E314" s="225" t="n"/>
      <c r="F314" s="225" t="n"/>
      <c r="G314" s="225" t="n"/>
      <c r="H314" s="232" t="n"/>
    </row>
    <row r="315" ht="15" customHeight="1" s="131">
      <c r="A315" s="225" t="n"/>
      <c r="B315" s="232" t="n"/>
      <c r="C315" s="225" t="n"/>
      <c r="D315" s="226">
        <f>IFERROR(VALUE(SUBSTITUTE($C315,"-","")),0)</f>
        <v/>
      </c>
      <c r="E315" s="225" t="n"/>
      <c r="F315" s="225" t="n"/>
      <c r="G315" s="225" t="n"/>
      <c r="H315" s="232" t="n"/>
    </row>
    <row r="316" ht="15" customHeight="1" s="131">
      <c r="A316" s="225" t="n"/>
      <c r="B316" s="232" t="n"/>
      <c r="C316" s="225" t="n"/>
      <c r="D316" s="226">
        <f>IFERROR(VALUE(SUBSTITUTE($C316,"-","")),0)</f>
        <v/>
      </c>
      <c r="E316" s="225" t="n"/>
      <c r="F316" s="225" t="n"/>
      <c r="G316" s="225" t="n"/>
      <c r="H316" s="232" t="n"/>
    </row>
    <row r="317" ht="15" customHeight="1" s="131">
      <c r="A317" s="225" t="n"/>
      <c r="B317" s="232" t="n"/>
      <c r="C317" s="225" t="n"/>
      <c r="D317" s="226">
        <f>IFERROR(VALUE(SUBSTITUTE($C317,"-","")),0)</f>
        <v/>
      </c>
      <c r="E317" s="225" t="n"/>
      <c r="F317" s="225" t="n"/>
      <c r="G317" s="225" t="n"/>
      <c r="H317" s="232" t="n"/>
    </row>
    <row r="318" ht="15" customHeight="1" s="131">
      <c r="A318" s="225" t="n"/>
      <c r="B318" s="232" t="n"/>
      <c r="C318" s="225" t="n"/>
      <c r="D318" s="226">
        <f>IFERROR(VALUE(SUBSTITUTE($C318,"-","")),0)</f>
        <v/>
      </c>
      <c r="E318" s="225" t="n"/>
      <c r="F318" s="225" t="n"/>
      <c r="G318" s="225" t="n"/>
      <c r="H318" s="232" t="n"/>
    </row>
    <row r="319" ht="15" customHeight="1" s="131">
      <c r="A319" s="225" t="n"/>
      <c r="B319" s="232" t="n"/>
      <c r="C319" s="225" t="n"/>
      <c r="D319" s="226">
        <f>IFERROR(VALUE(SUBSTITUTE($C319,"-","")),0)</f>
        <v/>
      </c>
      <c r="E319" s="225" t="n"/>
      <c r="F319" s="225" t="n"/>
      <c r="G319" s="225" t="n"/>
      <c r="H319" s="232" t="n"/>
    </row>
    <row r="320" ht="15" customHeight="1" s="131">
      <c r="A320" s="225" t="n"/>
      <c r="B320" s="232" t="n"/>
      <c r="C320" s="225" t="n"/>
      <c r="D320" s="226">
        <f>IFERROR(VALUE(SUBSTITUTE($C320,"-","")),0)</f>
        <v/>
      </c>
      <c r="E320" s="225" t="n"/>
      <c r="F320" s="225" t="n"/>
      <c r="G320" s="225" t="n"/>
      <c r="H320" s="232" t="n"/>
    </row>
    <row r="321" ht="15" customHeight="1" s="131">
      <c r="A321" s="225" t="n"/>
      <c r="B321" s="232" t="n"/>
      <c r="C321" s="225" t="n"/>
      <c r="D321" s="226">
        <f>IFERROR(VALUE(SUBSTITUTE($C321,"-","")),0)</f>
        <v/>
      </c>
      <c r="E321" s="225" t="n"/>
      <c r="F321" s="225" t="n"/>
      <c r="G321" s="225" t="n"/>
      <c r="H321" s="232" t="n"/>
    </row>
    <row r="322" ht="15" customHeight="1" s="131">
      <c r="A322" s="225" t="n"/>
      <c r="B322" s="232" t="n"/>
      <c r="C322" s="225" t="n"/>
      <c r="D322" s="226">
        <f>IFERROR(VALUE(SUBSTITUTE($C322,"-","")),0)</f>
        <v/>
      </c>
      <c r="E322" s="225" t="n"/>
      <c r="F322" s="225" t="n"/>
      <c r="G322" s="225" t="n"/>
      <c r="H322" s="232" t="n"/>
    </row>
    <row r="323" ht="15" customHeight="1" s="131">
      <c r="A323" s="225" t="n"/>
      <c r="B323" s="232" t="n"/>
      <c r="C323" s="225" t="n"/>
      <c r="D323" s="226">
        <f>IFERROR(VALUE(SUBSTITUTE($C323,"-","")),0)</f>
        <v/>
      </c>
      <c r="E323" s="225" t="n"/>
      <c r="F323" s="225" t="n"/>
      <c r="G323" s="225" t="n"/>
      <c r="H323" s="232" t="n"/>
    </row>
    <row r="324" ht="15" customHeight="1" s="131">
      <c r="A324" s="225" t="n"/>
      <c r="B324" s="232" t="n"/>
      <c r="C324" s="225" t="n"/>
      <c r="D324" s="226">
        <f>IFERROR(VALUE(SUBSTITUTE($C324,"-","")),0)</f>
        <v/>
      </c>
      <c r="E324" s="225" t="n"/>
      <c r="F324" s="225" t="n"/>
      <c r="G324" s="225" t="n"/>
      <c r="H324" s="232" t="n"/>
    </row>
    <row r="325" ht="15" customHeight="1" s="131">
      <c r="A325" s="225" t="n"/>
      <c r="B325" s="232" t="n"/>
      <c r="C325" s="225" t="n"/>
      <c r="D325" s="226">
        <f>IFERROR(VALUE(SUBSTITUTE($C325,"-","")),0)</f>
        <v/>
      </c>
      <c r="E325" s="225" t="n"/>
      <c r="F325" s="225" t="n"/>
      <c r="G325" s="225" t="n"/>
      <c r="H325" s="232" t="n"/>
    </row>
    <row r="326" ht="15" customHeight="1" s="131">
      <c r="A326" s="225" t="n"/>
      <c r="B326" s="232" t="n"/>
      <c r="C326" s="225" t="n"/>
      <c r="D326" s="226">
        <f>IFERROR(VALUE(SUBSTITUTE($C326,"-","")),0)</f>
        <v/>
      </c>
      <c r="E326" s="225" t="n"/>
      <c r="F326" s="225" t="n"/>
      <c r="G326" s="225" t="n"/>
      <c r="H326" s="232" t="n"/>
    </row>
    <row r="327" ht="15" customHeight="1" s="131">
      <c r="A327" s="225" t="n"/>
      <c r="B327" s="232" t="n"/>
      <c r="C327" s="225" t="n"/>
      <c r="D327" s="226">
        <f>IFERROR(VALUE(SUBSTITUTE($C327,"-","")),0)</f>
        <v/>
      </c>
      <c r="E327" s="225" t="n"/>
      <c r="F327" s="225" t="n"/>
      <c r="G327" s="225" t="n"/>
      <c r="H327" s="232" t="n"/>
    </row>
    <row r="328" ht="15" customHeight="1" s="131">
      <c r="A328" s="225" t="n"/>
      <c r="B328" s="232" t="n"/>
      <c r="C328" s="225" t="n"/>
      <c r="D328" s="226">
        <f>IFERROR(VALUE(SUBSTITUTE($C328,"-","")),0)</f>
        <v/>
      </c>
      <c r="E328" s="225" t="n"/>
      <c r="F328" s="225" t="n"/>
      <c r="G328" s="225" t="n"/>
      <c r="H328" s="232" t="n"/>
    </row>
    <row r="329" ht="15" customHeight="1" s="131">
      <c r="A329" s="225" t="n"/>
      <c r="B329" s="232" t="n"/>
      <c r="C329" s="225" t="n"/>
      <c r="D329" s="226">
        <f>IFERROR(VALUE(SUBSTITUTE($C329,"-","")),0)</f>
        <v/>
      </c>
      <c r="E329" s="225" t="n"/>
      <c r="F329" s="225" t="n"/>
      <c r="G329" s="225" t="n"/>
      <c r="H329" s="232" t="n"/>
    </row>
    <row r="330" ht="15" customHeight="1" s="131">
      <c r="A330" s="225" t="n"/>
      <c r="B330" s="232" t="n"/>
      <c r="C330" s="225" t="n"/>
      <c r="D330" s="226">
        <f>IFERROR(VALUE(SUBSTITUTE($C330,"-","")),0)</f>
        <v/>
      </c>
      <c r="E330" s="225" t="n"/>
      <c r="F330" s="225" t="n"/>
      <c r="G330" s="225" t="n"/>
      <c r="H330" s="232" t="n"/>
    </row>
    <row r="331" ht="15" customHeight="1" s="131">
      <c r="A331" s="225" t="n"/>
      <c r="B331" s="232" t="n"/>
      <c r="C331" s="225" t="n"/>
      <c r="D331" s="226">
        <f>IFERROR(VALUE(SUBSTITUTE($C331,"-","")),0)</f>
        <v/>
      </c>
      <c r="E331" s="225" t="n"/>
      <c r="F331" s="225" t="n"/>
      <c r="G331" s="225" t="n"/>
      <c r="H331" s="232" t="n"/>
    </row>
    <row r="332" ht="15" customHeight="1" s="131">
      <c r="A332" s="225" t="n"/>
      <c r="B332" s="232" t="n"/>
      <c r="C332" s="225" t="n"/>
      <c r="D332" s="226">
        <f>IFERROR(VALUE(SUBSTITUTE($C332,"-","")),0)</f>
        <v/>
      </c>
      <c r="E332" s="225" t="n"/>
      <c r="F332" s="225" t="n"/>
      <c r="G332" s="225" t="n"/>
      <c r="H332" s="232" t="n"/>
    </row>
    <row r="333" ht="15" customHeight="1" s="131">
      <c r="A333" s="225" t="n"/>
      <c r="B333" s="232" t="n"/>
      <c r="C333" s="225" t="n"/>
      <c r="D333" s="226">
        <f>IFERROR(VALUE(SUBSTITUTE($C333,"-","")),0)</f>
        <v/>
      </c>
      <c r="E333" s="225" t="n"/>
      <c r="F333" s="225" t="n"/>
      <c r="G333" s="225" t="n"/>
      <c r="H333" s="232" t="n"/>
    </row>
    <row r="334" ht="15" customHeight="1" s="131">
      <c r="A334" s="225" t="n"/>
      <c r="B334" s="232" t="n"/>
      <c r="C334" s="225" t="n"/>
      <c r="D334" s="226">
        <f>IFERROR(VALUE(SUBSTITUTE($C334,"-","")),0)</f>
        <v/>
      </c>
      <c r="E334" s="225" t="n"/>
      <c r="F334" s="225" t="n"/>
      <c r="G334" s="225" t="n"/>
      <c r="H334" s="232" t="n"/>
    </row>
    <row r="335" ht="15" customHeight="1" s="131">
      <c r="A335" s="225" t="n"/>
      <c r="B335" s="232" t="n"/>
      <c r="C335" s="225" t="n"/>
      <c r="D335" s="226">
        <f>IFERROR(VALUE(SUBSTITUTE($C335,"-","")),0)</f>
        <v/>
      </c>
      <c r="E335" s="225" t="n"/>
      <c r="F335" s="225" t="n"/>
      <c r="G335" s="225" t="n"/>
      <c r="H335" s="232" t="n"/>
    </row>
    <row r="336" ht="15" customHeight="1" s="131">
      <c r="A336" s="225" t="n"/>
      <c r="B336" s="232" t="n"/>
      <c r="C336" s="225" t="n"/>
      <c r="D336" s="226">
        <f>IFERROR(VALUE(SUBSTITUTE($C336,"-","")),0)</f>
        <v/>
      </c>
      <c r="E336" s="225" t="n"/>
      <c r="F336" s="225" t="n"/>
      <c r="G336" s="225" t="n"/>
      <c r="H336" s="232" t="n"/>
    </row>
    <row r="337" ht="15" customHeight="1" s="131">
      <c r="A337" s="225" t="n"/>
      <c r="B337" s="232" t="n"/>
      <c r="C337" s="225" t="n"/>
      <c r="D337" s="226">
        <f>IFERROR(VALUE(SUBSTITUTE($C337,"-","")),0)</f>
        <v/>
      </c>
      <c r="E337" s="225" t="n"/>
      <c r="F337" s="225" t="n"/>
      <c r="G337" s="225" t="n"/>
      <c r="H337" s="232" t="n"/>
    </row>
    <row r="338" ht="15" customHeight="1" s="131">
      <c r="A338" s="225" t="n"/>
      <c r="B338" s="232" t="n"/>
      <c r="C338" s="225" t="n"/>
      <c r="D338" s="226">
        <f>IFERROR(VALUE(SUBSTITUTE($C338,"-","")),0)</f>
        <v/>
      </c>
      <c r="E338" s="225" t="n"/>
      <c r="F338" s="225" t="n"/>
      <c r="G338" s="225" t="n"/>
      <c r="H338" s="232" t="n"/>
    </row>
    <row r="339" ht="15" customHeight="1" s="131">
      <c r="A339" s="225" t="n"/>
      <c r="B339" s="232" t="n"/>
      <c r="C339" s="225" t="n"/>
      <c r="D339" s="226">
        <f>IFERROR(VALUE(SUBSTITUTE($C339,"-","")),0)</f>
        <v/>
      </c>
      <c r="E339" s="225" t="n"/>
      <c r="F339" s="225" t="n"/>
      <c r="G339" s="225" t="n"/>
      <c r="H339" s="232" t="n"/>
    </row>
    <row r="340" ht="15" customHeight="1" s="131">
      <c r="A340" s="225" t="n"/>
      <c r="B340" s="232" t="n"/>
      <c r="C340" s="225" t="n"/>
      <c r="D340" s="226">
        <f>IFERROR(VALUE(SUBSTITUTE($C340,"-","")),0)</f>
        <v/>
      </c>
      <c r="E340" s="225" t="n"/>
      <c r="F340" s="225" t="n"/>
      <c r="G340" s="225" t="n"/>
      <c r="H340" s="232" t="n"/>
    </row>
    <row r="341" ht="15" customHeight="1" s="131">
      <c r="A341" s="225" t="n"/>
      <c r="B341" s="232" t="n"/>
      <c r="C341" s="225" t="n"/>
      <c r="D341" s="226">
        <f>IFERROR(VALUE(SUBSTITUTE($C341,"-","")),0)</f>
        <v/>
      </c>
      <c r="E341" s="225" t="n"/>
      <c r="F341" s="225" t="n"/>
      <c r="G341" s="225" t="n"/>
      <c r="H341" s="232" t="n"/>
    </row>
    <row r="342" ht="15" customHeight="1" s="131">
      <c r="A342" s="225" t="n"/>
      <c r="B342" s="232" t="n"/>
      <c r="C342" s="225" t="n"/>
      <c r="D342" s="226">
        <f>IFERROR(VALUE(SUBSTITUTE($C342,"-","")),0)</f>
        <v/>
      </c>
      <c r="E342" s="225" t="n"/>
      <c r="F342" s="225" t="n"/>
      <c r="G342" s="225" t="n"/>
      <c r="H342" s="232" t="n"/>
    </row>
    <row r="343" ht="15" customHeight="1" s="131">
      <c r="A343" s="225" t="n"/>
      <c r="B343" s="232" t="n"/>
      <c r="C343" s="225" t="n"/>
      <c r="D343" s="226">
        <f>IFERROR(VALUE(SUBSTITUTE($C343,"-","")),0)</f>
        <v/>
      </c>
      <c r="E343" s="225" t="n"/>
      <c r="F343" s="225" t="n"/>
      <c r="G343" s="225" t="n"/>
      <c r="H343" s="232" t="n"/>
    </row>
    <row r="344" ht="15" customHeight="1" s="131">
      <c r="A344" s="225" t="n"/>
      <c r="B344" s="232" t="n"/>
      <c r="C344" s="225" t="n"/>
      <c r="D344" s="226">
        <f>IFERROR(VALUE(SUBSTITUTE($C344,"-","")),0)</f>
        <v/>
      </c>
      <c r="E344" s="225" t="n"/>
      <c r="F344" s="225" t="n"/>
      <c r="G344" s="225" t="n"/>
      <c r="H344" s="232" t="n"/>
    </row>
    <row r="345" ht="15" customHeight="1" s="131">
      <c r="A345" s="225" t="n"/>
      <c r="B345" s="232" t="n"/>
      <c r="C345" s="225" t="n"/>
      <c r="D345" s="226">
        <f>IFERROR(VALUE(SUBSTITUTE($C345,"-","")),0)</f>
        <v/>
      </c>
      <c r="E345" s="225" t="n"/>
      <c r="F345" s="225" t="n"/>
      <c r="G345" s="225" t="n"/>
      <c r="H345" s="232" t="n"/>
    </row>
    <row r="346" ht="15" customHeight="1" s="131">
      <c r="A346" s="225" t="n"/>
      <c r="B346" s="232" t="n"/>
      <c r="C346" s="225" t="n"/>
      <c r="D346" s="226">
        <f>IFERROR(VALUE(SUBSTITUTE($C346,"-","")),0)</f>
        <v/>
      </c>
      <c r="E346" s="225" t="n"/>
      <c r="F346" s="225" t="n"/>
      <c r="G346" s="225" t="n"/>
      <c r="H346" s="232" t="n"/>
    </row>
    <row r="347" ht="15" customHeight="1" s="131">
      <c r="A347" s="225" t="n"/>
      <c r="B347" s="232" t="n"/>
      <c r="C347" s="225" t="n"/>
      <c r="D347" s="226">
        <f>IFERROR(VALUE(SUBSTITUTE($C347,"-","")),0)</f>
        <v/>
      </c>
      <c r="E347" s="225" t="n"/>
      <c r="F347" s="225" t="n"/>
      <c r="G347" s="225" t="n"/>
      <c r="H347" s="232" t="n"/>
    </row>
    <row r="348" ht="15" customHeight="1" s="131">
      <c r="A348" s="225" t="n"/>
      <c r="B348" s="232" t="n"/>
      <c r="C348" s="225" t="n"/>
      <c r="D348" s="226">
        <f>IFERROR(VALUE(SUBSTITUTE($C348,"-","")),0)</f>
        <v/>
      </c>
      <c r="E348" s="225" t="n"/>
      <c r="F348" s="225" t="n"/>
      <c r="G348" s="225" t="n"/>
      <c r="H348" s="232" t="n"/>
    </row>
    <row r="349" ht="15" customHeight="1" s="131">
      <c r="A349" s="225" t="n"/>
      <c r="B349" s="232" t="n"/>
      <c r="C349" s="225" t="n"/>
      <c r="D349" s="226">
        <f>IFERROR(VALUE(SUBSTITUTE($C349,"-","")),0)</f>
        <v/>
      </c>
      <c r="E349" s="225" t="n"/>
      <c r="F349" s="225" t="n"/>
      <c r="G349" s="225" t="n"/>
      <c r="H349" s="232" t="n"/>
    </row>
    <row r="350" ht="15" customHeight="1" s="131">
      <c r="A350" s="225" t="n"/>
      <c r="B350" s="232" t="n"/>
      <c r="C350" s="225" t="n"/>
      <c r="D350" s="226">
        <f>IFERROR(VALUE(SUBSTITUTE($C350,"-","")),0)</f>
        <v/>
      </c>
      <c r="E350" s="225" t="n"/>
      <c r="F350" s="225" t="n"/>
      <c r="G350" s="225" t="n"/>
      <c r="H350" s="232" t="n"/>
    </row>
    <row r="351" ht="15" customHeight="1" s="131">
      <c r="A351" s="225" t="n"/>
      <c r="B351" s="232" t="n"/>
      <c r="C351" s="225" t="n"/>
      <c r="D351" s="226">
        <f>IFERROR(VALUE(SUBSTITUTE($C351,"-","")),0)</f>
        <v/>
      </c>
      <c r="E351" s="225" t="n"/>
      <c r="F351" s="225" t="n"/>
      <c r="G351" s="225" t="n"/>
      <c r="H351" s="232" t="n"/>
    </row>
    <row r="352" ht="15" customHeight="1" s="131">
      <c r="A352" s="225" t="n"/>
      <c r="B352" s="232" t="n"/>
      <c r="C352" s="225" t="n"/>
      <c r="D352" s="226">
        <f>IFERROR(VALUE(SUBSTITUTE($C352,"-","")),0)</f>
        <v/>
      </c>
      <c r="E352" s="225" t="n"/>
      <c r="F352" s="225" t="n"/>
      <c r="G352" s="225" t="n"/>
      <c r="H352" s="232" t="n"/>
    </row>
    <row r="353" ht="15" customHeight="1" s="131">
      <c r="A353" s="225" t="n"/>
      <c r="B353" s="232" t="n"/>
      <c r="C353" s="225" t="n"/>
      <c r="D353" s="226">
        <f>IFERROR(VALUE(SUBSTITUTE($C353,"-","")),0)</f>
        <v/>
      </c>
      <c r="E353" s="225" t="n"/>
      <c r="F353" s="225" t="n"/>
      <c r="G353" s="225" t="n"/>
      <c r="H353" s="232" t="n"/>
    </row>
    <row r="354" ht="15" customHeight="1" s="131">
      <c r="A354" s="225" t="n"/>
      <c r="B354" s="232" t="n"/>
      <c r="C354" s="225" t="n"/>
      <c r="D354" s="226">
        <f>IFERROR(VALUE(SUBSTITUTE($C354,"-","")),0)</f>
        <v/>
      </c>
      <c r="E354" s="225" t="n"/>
      <c r="F354" s="225" t="n"/>
      <c r="G354" s="225" t="n"/>
      <c r="H354" s="232" t="n"/>
    </row>
    <row r="355" ht="15" customHeight="1" s="131">
      <c r="A355" s="225" t="n"/>
      <c r="B355" s="232" t="n"/>
      <c r="C355" s="225" t="n"/>
      <c r="D355" s="226">
        <f>IFERROR(VALUE(SUBSTITUTE($C355,"-","")),0)</f>
        <v/>
      </c>
      <c r="E355" s="225" t="n"/>
      <c r="F355" s="225" t="n"/>
      <c r="G355" s="225" t="n"/>
      <c r="H355" s="232" t="n"/>
    </row>
    <row r="356" ht="15" customHeight="1" s="131">
      <c r="A356" s="225" t="n"/>
      <c r="B356" s="232" t="n"/>
      <c r="C356" s="225" t="n"/>
      <c r="D356" s="226">
        <f>IFERROR(VALUE(SUBSTITUTE($C356,"-","")),0)</f>
        <v/>
      </c>
      <c r="E356" s="225" t="n"/>
      <c r="F356" s="225" t="n"/>
      <c r="G356" s="225" t="n"/>
      <c r="H356" s="232" t="n"/>
    </row>
    <row r="357" ht="15" customHeight="1" s="131">
      <c r="A357" s="225" t="n"/>
      <c r="B357" s="232" t="n"/>
      <c r="C357" s="225" t="n"/>
      <c r="D357" s="226">
        <f>IFERROR(VALUE(SUBSTITUTE($C357,"-","")),0)</f>
        <v/>
      </c>
      <c r="E357" s="225" t="n"/>
      <c r="F357" s="225" t="n"/>
      <c r="G357" s="225" t="n"/>
      <c r="H357" s="232" t="n"/>
    </row>
    <row r="358" ht="15" customHeight="1" s="131">
      <c r="A358" s="225" t="n"/>
      <c r="B358" s="232" t="n"/>
      <c r="C358" s="225" t="n"/>
      <c r="D358" s="226">
        <f>IFERROR(VALUE(SUBSTITUTE($C358,"-","")),0)</f>
        <v/>
      </c>
      <c r="E358" s="225" t="n"/>
      <c r="F358" s="225" t="n"/>
      <c r="G358" s="225" t="n"/>
      <c r="H358" s="232" t="n"/>
    </row>
    <row r="359" ht="15" customHeight="1" s="131">
      <c r="A359" s="225" t="n"/>
      <c r="B359" s="232" t="n"/>
      <c r="C359" s="225" t="n"/>
      <c r="D359" s="226">
        <f>IFERROR(VALUE(SUBSTITUTE($C359,"-","")),0)</f>
        <v/>
      </c>
      <c r="E359" s="225" t="n"/>
      <c r="F359" s="225" t="n"/>
      <c r="G359" s="225" t="n"/>
      <c r="H359" s="232" t="n"/>
    </row>
    <row r="360" ht="15" customHeight="1" s="131">
      <c r="A360" s="225" t="n"/>
      <c r="B360" s="232" t="n"/>
      <c r="C360" s="225" t="n"/>
      <c r="D360" s="226">
        <f>IFERROR(VALUE(SUBSTITUTE($C360,"-","")),0)</f>
        <v/>
      </c>
      <c r="E360" s="225" t="n"/>
      <c r="F360" s="225" t="n"/>
      <c r="G360" s="225" t="n"/>
      <c r="H360" s="232" t="n"/>
    </row>
    <row r="361" ht="15" customHeight="1" s="131">
      <c r="A361" s="225" t="n"/>
      <c r="B361" s="232" t="n"/>
      <c r="C361" s="225" t="n"/>
      <c r="D361" s="226">
        <f>IFERROR(VALUE(SUBSTITUTE($C361,"-","")),0)</f>
        <v/>
      </c>
      <c r="E361" s="225" t="n"/>
      <c r="F361" s="225" t="n"/>
      <c r="G361" s="225" t="n"/>
      <c r="H361" s="232" t="n"/>
    </row>
    <row r="362" ht="15" customHeight="1" s="131">
      <c r="A362" s="225" t="n"/>
      <c r="B362" s="232" t="n"/>
      <c r="C362" s="225" t="n"/>
      <c r="D362" s="226">
        <f>IFERROR(VALUE(SUBSTITUTE($C362,"-","")),0)</f>
        <v/>
      </c>
      <c r="E362" s="225" t="n"/>
      <c r="F362" s="225" t="n"/>
      <c r="G362" s="225" t="n"/>
      <c r="H362" s="232" t="n"/>
    </row>
    <row r="363" ht="15" customHeight="1" s="131">
      <c r="A363" s="225" t="n"/>
      <c r="B363" s="232" t="n"/>
      <c r="C363" s="225" t="n"/>
      <c r="D363" s="226">
        <f>IFERROR(VALUE(SUBSTITUTE($C363,"-","")),0)</f>
        <v/>
      </c>
      <c r="E363" s="225" t="n"/>
      <c r="F363" s="225" t="n"/>
      <c r="G363" s="225" t="n"/>
      <c r="H363" s="232" t="n"/>
    </row>
    <row r="364" ht="15" customHeight="1" s="131">
      <c r="A364" s="225" t="n"/>
      <c r="B364" s="232" t="n"/>
      <c r="C364" s="225" t="n"/>
      <c r="D364" s="226">
        <f>IFERROR(VALUE(SUBSTITUTE($C364,"-","")),0)</f>
        <v/>
      </c>
      <c r="E364" s="225" t="n"/>
      <c r="F364" s="225" t="n"/>
      <c r="G364" s="225" t="n"/>
      <c r="H364" s="232" t="n"/>
    </row>
    <row r="365" ht="15" customHeight="1" s="131">
      <c r="A365" s="225" t="n"/>
      <c r="B365" s="232" t="n"/>
      <c r="C365" s="225" t="n"/>
      <c r="D365" s="226">
        <f>IFERROR(VALUE(SUBSTITUTE($C365,"-","")),0)</f>
        <v/>
      </c>
      <c r="E365" s="225" t="n"/>
      <c r="F365" s="225" t="n"/>
      <c r="G365" s="225" t="n"/>
      <c r="H365" s="232" t="n"/>
    </row>
    <row r="366" ht="15" customHeight="1" s="131">
      <c r="A366" s="225" t="n"/>
      <c r="B366" s="232" t="n"/>
      <c r="C366" s="225" t="n"/>
      <c r="D366" s="226">
        <f>IFERROR(VALUE(SUBSTITUTE($C366,"-","")),0)</f>
        <v/>
      </c>
      <c r="E366" s="225" t="n"/>
      <c r="F366" s="225" t="n"/>
      <c r="G366" s="225" t="n"/>
      <c r="H366" s="232" t="n"/>
    </row>
    <row r="367" ht="15" customHeight="1" s="131">
      <c r="A367" s="225" t="n"/>
      <c r="B367" s="232" t="n"/>
      <c r="C367" s="225" t="n"/>
      <c r="D367" s="226">
        <f>IFERROR(VALUE(SUBSTITUTE($C367,"-","")),0)</f>
        <v/>
      </c>
      <c r="E367" s="225" t="n"/>
      <c r="F367" s="225" t="n"/>
      <c r="G367" s="225" t="n"/>
      <c r="H367" s="232" t="n"/>
    </row>
    <row r="368" ht="15" customHeight="1" s="131">
      <c r="A368" s="225" t="n"/>
      <c r="B368" s="232" t="n"/>
      <c r="C368" s="225" t="n"/>
      <c r="D368" s="226">
        <f>IFERROR(VALUE(SUBSTITUTE($C368,"-","")),0)</f>
        <v/>
      </c>
      <c r="E368" s="225" t="n"/>
      <c r="F368" s="225" t="n"/>
      <c r="G368" s="225" t="n"/>
      <c r="H368" s="232" t="n"/>
    </row>
    <row r="369" ht="15" customHeight="1" s="131">
      <c r="A369" s="225" t="n"/>
      <c r="B369" s="232" t="n"/>
      <c r="C369" s="225" t="n"/>
      <c r="D369" s="226">
        <f>IFERROR(VALUE(SUBSTITUTE($C369,"-","")),0)</f>
        <v/>
      </c>
      <c r="E369" s="225" t="n"/>
      <c r="F369" s="225" t="n"/>
      <c r="G369" s="225" t="n"/>
      <c r="H369" s="232" t="n"/>
    </row>
    <row r="370" ht="15" customHeight="1" s="131">
      <c r="A370" s="225" t="n"/>
      <c r="B370" s="232" t="n"/>
      <c r="C370" s="225" t="n"/>
      <c r="D370" s="226">
        <f>IFERROR(VALUE(SUBSTITUTE($C370,"-","")),0)</f>
        <v/>
      </c>
      <c r="E370" s="225" t="n"/>
      <c r="F370" s="225" t="n"/>
      <c r="G370" s="225" t="n"/>
      <c r="H370" s="232" t="n"/>
    </row>
    <row r="371" ht="15" customHeight="1" s="131">
      <c r="A371" s="225" t="n"/>
      <c r="B371" s="232" t="n"/>
      <c r="C371" s="225" t="n"/>
      <c r="D371" s="226">
        <f>IFERROR(VALUE(SUBSTITUTE($C371,"-","")),0)</f>
        <v/>
      </c>
      <c r="E371" s="225" t="n"/>
      <c r="F371" s="225" t="n"/>
      <c r="G371" s="225" t="n"/>
      <c r="H371" s="232" t="n"/>
    </row>
    <row r="372" ht="15" customHeight="1" s="131">
      <c r="A372" s="225" t="n"/>
      <c r="B372" s="232" t="n"/>
      <c r="C372" s="225" t="n"/>
      <c r="D372" s="226">
        <f>IFERROR(VALUE(SUBSTITUTE($C372,"-","")),0)</f>
        <v/>
      </c>
      <c r="E372" s="225" t="n"/>
      <c r="F372" s="225" t="n"/>
      <c r="G372" s="225" t="n"/>
      <c r="H372" s="232" t="n"/>
    </row>
    <row r="373" ht="15" customHeight="1" s="131">
      <c r="A373" s="225" t="n"/>
      <c r="B373" s="232" t="n"/>
      <c r="C373" s="225" t="n"/>
      <c r="D373" s="226">
        <f>IFERROR(VALUE(SUBSTITUTE($C373,"-","")),0)</f>
        <v/>
      </c>
      <c r="E373" s="225" t="n"/>
      <c r="F373" s="225" t="n"/>
      <c r="G373" s="225" t="n"/>
      <c r="H373" s="232" t="n"/>
    </row>
    <row r="374" ht="15" customHeight="1" s="131">
      <c r="A374" s="225" t="n"/>
      <c r="B374" s="232" t="n"/>
      <c r="C374" s="225" t="n"/>
      <c r="D374" s="226">
        <f>IFERROR(VALUE(SUBSTITUTE($C374,"-","")),0)</f>
        <v/>
      </c>
      <c r="E374" s="225" t="n"/>
      <c r="F374" s="225" t="n"/>
      <c r="G374" s="225" t="n"/>
      <c r="H374" s="232" t="n"/>
    </row>
    <row r="375" ht="15" customHeight="1" s="131">
      <c r="A375" s="225" t="n"/>
      <c r="B375" s="232" t="n"/>
      <c r="C375" s="225" t="n"/>
      <c r="D375" s="226">
        <f>IFERROR(VALUE(SUBSTITUTE($C375,"-","")),0)</f>
        <v/>
      </c>
      <c r="E375" s="225" t="n"/>
      <c r="F375" s="225" t="n"/>
      <c r="G375" s="225" t="n"/>
      <c r="H375" s="232" t="n"/>
    </row>
    <row r="376" ht="15" customHeight="1" s="131">
      <c r="A376" s="225" t="n"/>
      <c r="B376" s="232" t="n"/>
      <c r="C376" s="225" t="n"/>
      <c r="D376" s="226">
        <f>IFERROR(VALUE(SUBSTITUTE($C376,"-","")),0)</f>
        <v/>
      </c>
      <c r="E376" s="225" t="n"/>
      <c r="F376" s="225" t="n"/>
      <c r="G376" s="225" t="n"/>
      <c r="H376" s="232" t="n"/>
    </row>
    <row r="377" ht="15" customHeight="1" s="131">
      <c r="A377" s="225" t="n"/>
      <c r="B377" s="232" t="n"/>
      <c r="C377" s="225" t="n"/>
      <c r="D377" s="226">
        <f>IFERROR(VALUE(SUBSTITUTE($C377,"-","")),0)</f>
        <v/>
      </c>
      <c r="E377" s="225" t="n"/>
      <c r="F377" s="225" t="n"/>
      <c r="G377" s="225" t="n"/>
      <c r="H377" s="232" t="n"/>
    </row>
    <row r="378" ht="15" customHeight="1" s="131">
      <c r="A378" s="225" t="n"/>
      <c r="B378" s="232" t="n"/>
      <c r="C378" s="225" t="n"/>
      <c r="D378" s="226">
        <f>IFERROR(VALUE(SUBSTITUTE($C378,"-","")),0)</f>
        <v/>
      </c>
      <c r="E378" s="225" t="n"/>
      <c r="F378" s="225" t="n"/>
      <c r="G378" s="225" t="n"/>
      <c r="H378" s="232" t="n"/>
    </row>
    <row r="379" ht="15" customHeight="1" s="131">
      <c r="A379" s="225" t="n"/>
      <c r="B379" s="232" t="n"/>
      <c r="C379" s="225" t="n"/>
      <c r="D379" s="226">
        <f>IFERROR(VALUE(SUBSTITUTE($C379,"-","")),0)</f>
        <v/>
      </c>
      <c r="E379" s="225" t="n"/>
      <c r="F379" s="225" t="n"/>
      <c r="G379" s="225" t="n"/>
      <c r="H379" s="232" t="n"/>
    </row>
    <row r="380" ht="15" customHeight="1" s="131">
      <c r="A380" s="225" t="n"/>
      <c r="B380" s="232" t="n"/>
      <c r="C380" s="225" t="n"/>
      <c r="D380" s="226">
        <f>IFERROR(VALUE(SUBSTITUTE($C380,"-","")),0)</f>
        <v/>
      </c>
      <c r="E380" s="225" t="n"/>
      <c r="F380" s="225" t="n"/>
      <c r="G380" s="225" t="n"/>
      <c r="H380" s="232" t="n"/>
    </row>
    <row r="381" ht="15" customHeight="1" s="131">
      <c r="A381" s="225" t="n"/>
      <c r="B381" s="232" t="n"/>
      <c r="C381" s="225" t="n"/>
      <c r="D381" s="226">
        <f>IFERROR(VALUE(SUBSTITUTE($C381,"-","")),0)</f>
        <v/>
      </c>
      <c r="E381" s="225" t="n"/>
      <c r="F381" s="225" t="n"/>
      <c r="G381" s="225" t="n"/>
      <c r="H381" s="232" t="n"/>
    </row>
    <row r="382" ht="15" customHeight="1" s="131">
      <c r="A382" s="225" t="n"/>
      <c r="B382" s="232" t="n"/>
      <c r="C382" s="225" t="n"/>
      <c r="D382" s="226">
        <f>IFERROR(VALUE(SUBSTITUTE($C382,"-","")),0)</f>
        <v/>
      </c>
      <c r="E382" s="225" t="n"/>
      <c r="F382" s="225" t="n"/>
      <c r="G382" s="225" t="n"/>
      <c r="H382" s="232" t="n"/>
    </row>
    <row r="383" ht="15" customHeight="1" s="131">
      <c r="A383" s="225" t="n"/>
      <c r="B383" s="232" t="n"/>
      <c r="C383" s="225" t="n"/>
      <c r="D383" s="226">
        <f>IFERROR(VALUE(SUBSTITUTE($C383,"-","")),0)</f>
        <v/>
      </c>
      <c r="E383" s="225" t="n"/>
      <c r="F383" s="225" t="n"/>
      <c r="G383" s="225" t="n"/>
      <c r="H383" s="232" t="n"/>
    </row>
    <row r="384" ht="15" customHeight="1" s="131">
      <c r="A384" s="225" t="n"/>
      <c r="B384" s="232" t="n"/>
      <c r="C384" s="225" t="n"/>
      <c r="D384" s="226">
        <f>IFERROR(VALUE(SUBSTITUTE($C384,"-","")),0)</f>
        <v/>
      </c>
      <c r="E384" s="225" t="n"/>
      <c r="F384" s="225" t="n"/>
      <c r="G384" s="225" t="n"/>
      <c r="H384" s="232" t="n"/>
    </row>
    <row r="385" ht="15" customHeight="1" s="131">
      <c r="A385" s="225" t="n"/>
      <c r="B385" s="232" t="n"/>
      <c r="C385" s="225" t="n"/>
      <c r="D385" s="226">
        <f>IFERROR(VALUE(SUBSTITUTE($C385,"-","")),0)</f>
        <v/>
      </c>
      <c r="E385" s="225" t="n"/>
      <c r="F385" s="225" t="n"/>
      <c r="G385" s="225" t="n"/>
      <c r="H385" s="232" t="n"/>
    </row>
    <row r="386" ht="15" customHeight="1" s="131">
      <c r="A386" s="225" t="n"/>
      <c r="B386" s="232" t="n"/>
      <c r="C386" s="225" t="n"/>
      <c r="D386" s="226">
        <f>IFERROR(VALUE(SUBSTITUTE($C386,"-","")),0)</f>
        <v/>
      </c>
      <c r="E386" s="225" t="n"/>
      <c r="F386" s="225" t="n"/>
      <c r="G386" s="225" t="n"/>
      <c r="H386" s="232" t="n"/>
    </row>
    <row r="387" ht="15" customHeight="1" s="131">
      <c r="A387" s="225" t="n"/>
      <c r="B387" s="232" t="n"/>
      <c r="C387" s="225" t="n"/>
      <c r="D387" s="226">
        <f>IFERROR(VALUE(SUBSTITUTE($C387,"-","")),0)</f>
        <v/>
      </c>
      <c r="E387" s="225" t="n"/>
      <c r="F387" s="225" t="n"/>
      <c r="G387" s="225" t="n"/>
      <c r="H387" s="232" t="n"/>
    </row>
    <row r="388" ht="15" customHeight="1" s="131">
      <c r="A388" s="225" t="n"/>
      <c r="B388" s="232" t="n"/>
      <c r="C388" s="225" t="n"/>
      <c r="D388" s="226">
        <f>IFERROR(VALUE(SUBSTITUTE($C388,"-","")),0)</f>
        <v/>
      </c>
      <c r="E388" s="225" t="n"/>
      <c r="F388" s="225" t="n"/>
      <c r="G388" s="225" t="n"/>
      <c r="H388" s="232" t="n"/>
    </row>
    <row r="389" ht="15" customHeight="1" s="131">
      <c r="A389" s="225" t="n"/>
      <c r="B389" s="232" t="n"/>
      <c r="C389" s="225" t="n"/>
      <c r="D389" s="226">
        <f>IFERROR(VALUE(SUBSTITUTE($C389,"-","")),0)</f>
        <v/>
      </c>
      <c r="E389" s="225" t="n"/>
      <c r="F389" s="225" t="n"/>
      <c r="G389" s="225" t="n"/>
      <c r="H389" s="232" t="n"/>
    </row>
    <row r="390" ht="15" customHeight="1" s="131">
      <c r="A390" s="225" t="n"/>
      <c r="B390" s="232" t="n"/>
      <c r="C390" s="225" t="n"/>
      <c r="D390" s="226">
        <f>IFERROR(VALUE(SUBSTITUTE($C390,"-","")),0)</f>
        <v/>
      </c>
      <c r="E390" s="225" t="n"/>
      <c r="F390" s="225" t="n"/>
      <c r="G390" s="225" t="n"/>
      <c r="H390" s="232" t="n"/>
    </row>
    <row r="391" ht="15" customHeight="1" s="131">
      <c r="A391" s="225" t="n"/>
      <c r="B391" s="232" t="n"/>
      <c r="C391" s="225" t="n"/>
      <c r="D391" s="226">
        <f>IFERROR(VALUE(SUBSTITUTE($C391,"-","")),0)</f>
        <v/>
      </c>
      <c r="E391" s="225" t="n"/>
      <c r="F391" s="225" t="n"/>
      <c r="G391" s="225" t="n"/>
      <c r="H391" s="232" t="n"/>
    </row>
    <row r="392" ht="15" customHeight="1" s="131">
      <c r="A392" s="225" t="n"/>
      <c r="B392" s="232" t="n"/>
      <c r="C392" s="225" t="n"/>
      <c r="D392" s="226">
        <f>IFERROR(VALUE(SUBSTITUTE($C392,"-","")),0)</f>
        <v/>
      </c>
      <c r="E392" s="225" t="n"/>
      <c r="F392" s="225" t="n"/>
      <c r="G392" s="225" t="n"/>
      <c r="H392" s="232" t="n"/>
    </row>
    <row r="393" ht="15" customHeight="1" s="131">
      <c r="A393" s="225" t="n"/>
      <c r="B393" s="232" t="n"/>
      <c r="C393" s="225" t="n"/>
      <c r="D393" s="226">
        <f>IFERROR(VALUE(SUBSTITUTE($C393,"-","")),0)</f>
        <v/>
      </c>
      <c r="E393" s="225" t="n"/>
      <c r="F393" s="225" t="n"/>
      <c r="G393" s="225" t="n"/>
      <c r="H393" s="232" t="n"/>
    </row>
    <row r="394" ht="15" customHeight="1" s="131">
      <c r="A394" s="225" t="n"/>
      <c r="B394" s="232" t="n"/>
      <c r="C394" s="225" t="n"/>
      <c r="D394" s="226">
        <f>IFERROR(VALUE(SUBSTITUTE($C394,"-","")),0)</f>
        <v/>
      </c>
      <c r="E394" s="225" t="n"/>
      <c r="F394" s="225" t="n"/>
      <c r="G394" s="225" t="n"/>
      <c r="H394" s="232" t="n"/>
    </row>
    <row r="395" ht="15" customHeight="1" s="131">
      <c r="A395" s="225" t="n"/>
      <c r="B395" s="232" t="n"/>
      <c r="C395" s="225" t="n"/>
      <c r="D395" s="226">
        <f>IFERROR(VALUE(SUBSTITUTE($C395,"-","")),0)</f>
        <v/>
      </c>
      <c r="E395" s="225" t="n"/>
      <c r="F395" s="225" t="n"/>
      <c r="G395" s="225" t="n"/>
      <c r="H395" s="232" t="n"/>
    </row>
    <row r="396" ht="15" customHeight="1" s="131">
      <c r="A396" s="225" t="n"/>
      <c r="B396" s="232" t="n"/>
      <c r="C396" s="225" t="n"/>
      <c r="D396" s="226">
        <f>IFERROR(VALUE(SUBSTITUTE($C396,"-","")),0)</f>
        <v/>
      </c>
      <c r="E396" s="225" t="n"/>
      <c r="F396" s="225" t="n"/>
      <c r="G396" s="225" t="n"/>
      <c r="H396" s="232" t="n"/>
    </row>
    <row r="397" ht="15" customHeight="1" s="131">
      <c r="A397" s="225" t="n"/>
      <c r="B397" s="232" t="n"/>
      <c r="C397" s="225" t="n"/>
      <c r="D397" s="226">
        <f>IFERROR(VALUE(SUBSTITUTE($C397,"-","")),0)</f>
        <v/>
      </c>
      <c r="E397" s="225" t="n"/>
      <c r="F397" s="225" t="n"/>
      <c r="G397" s="225" t="n"/>
      <c r="H397" s="232" t="n"/>
    </row>
    <row r="398" ht="15" customHeight="1" s="131">
      <c r="A398" s="225" t="n"/>
      <c r="B398" s="232" t="n"/>
      <c r="C398" s="225" t="n"/>
      <c r="D398" s="226">
        <f>IFERROR(VALUE(SUBSTITUTE($C398,"-","")),0)</f>
        <v/>
      </c>
      <c r="E398" s="225" t="n"/>
      <c r="F398" s="225" t="n"/>
      <c r="G398" s="225" t="n"/>
      <c r="H398" s="232" t="n"/>
    </row>
    <row r="399" ht="15" customHeight="1" s="131">
      <c r="A399" s="225" t="n"/>
      <c r="B399" s="232" t="n"/>
      <c r="C399" s="225" t="n"/>
      <c r="D399" s="226">
        <f>IFERROR(VALUE(SUBSTITUTE($C399,"-","")),0)</f>
        <v/>
      </c>
      <c r="E399" s="225" t="n"/>
      <c r="F399" s="225" t="n"/>
      <c r="G399" s="225" t="n"/>
      <c r="H399" s="232" t="n"/>
    </row>
    <row r="400" ht="15" customHeight="1" s="131">
      <c r="A400" s="225" t="n"/>
      <c r="B400" s="232" t="n"/>
      <c r="C400" s="225" t="n"/>
      <c r="D400" s="226">
        <f>IFERROR(VALUE(SUBSTITUTE($C400,"-","")),0)</f>
        <v/>
      </c>
      <c r="E400" s="225" t="n"/>
      <c r="F400" s="225" t="n"/>
      <c r="G400" s="225" t="n"/>
      <c r="H400" s="232" t="n"/>
    </row>
    <row r="401" ht="15" customHeight="1" s="131">
      <c r="A401" s="225" t="n"/>
      <c r="B401" s="232" t="n"/>
      <c r="C401" s="225" t="n"/>
      <c r="D401" s="226">
        <f>IFERROR(VALUE(SUBSTITUTE($C401,"-","")),0)</f>
        <v/>
      </c>
      <c r="E401" s="225" t="n"/>
      <c r="F401" s="225" t="n"/>
      <c r="G401" s="225" t="n"/>
      <c r="H401" s="232" t="n"/>
    </row>
    <row r="402" ht="15" customHeight="1" s="131">
      <c r="A402" s="225" t="n"/>
      <c r="B402" s="232" t="n"/>
      <c r="C402" s="225" t="n"/>
      <c r="D402" s="226">
        <f>IFERROR(VALUE(SUBSTITUTE($C402,"-","")),0)</f>
        <v/>
      </c>
      <c r="E402" s="225" t="n"/>
      <c r="F402" s="225" t="n"/>
      <c r="G402" s="225" t="n"/>
      <c r="H402" s="232" t="n"/>
    </row>
    <row r="403" ht="15" customHeight="1" s="131">
      <c r="A403" s="225" t="n"/>
      <c r="B403" s="232" t="n"/>
      <c r="C403" s="225" t="n"/>
      <c r="D403" s="226">
        <f>IFERROR(VALUE(SUBSTITUTE($C403,"-","")),0)</f>
        <v/>
      </c>
      <c r="E403" s="225" t="n"/>
      <c r="F403" s="225" t="n"/>
      <c r="G403" s="225" t="n"/>
      <c r="H403" s="232" t="n"/>
    </row>
    <row r="404" ht="15" customHeight="1" s="131">
      <c r="A404" s="225" t="n"/>
      <c r="B404" s="232" t="n"/>
      <c r="C404" s="225" t="n"/>
      <c r="D404" s="226">
        <f>IFERROR(VALUE(SUBSTITUTE($C404,"-","")),0)</f>
        <v/>
      </c>
      <c r="E404" s="225" t="n"/>
      <c r="F404" s="225" t="n"/>
      <c r="G404" s="225" t="n"/>
      <c r="H404" s="232" t="n"/>
    </row>
  </sheetData>
  <mergeCells count="2">
    <mergeCell ref="A2:H2"/>
    <mergeCell ref="A1:H1"/>
  </mergeCells>
  <dataValidations count="2">
    <dataValidation sqref="A5:A404" showDropDown="0" showInputMessage="0" showErrorMessage="0" allowBlank="1" type="list" errorStyle="stop" operator="between">
      <formula1>'LISTAS DE APOIO'!$B$5:$B$7</formula1>
      <formula2>0</formula2>
    </dataValidation>
    <dataValidation sqref="C5:C404" showDropDown="0" showInputMessage="0" showErrorMessage="0" allowBlank="1" type="list" errorStyle="stop" operator="between">
      <formula1>DIM_MES!$B$5:$B$148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C6E0B4"/>
    <outlinePr summaryBelow="1" summaryRight="1"/>
    <pageSetUpPr fitToPage="0"/>
  </sheetPr>
  <dimension ref="A1:F4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2" customWidth="1" style="130" min="1" max="1"/>
    <col width="34" customWidth="1" style="130" min="2" max="2"/>
    <col width="20" customWidth="1" style="130" min="3" max="4"/>
    <col width="13" customWidth="1" style="131" min="4" max="4"/>
    <col width="25" customWidth="1" style="131" min="5" max="5"/>
    <col width="58" customWidth="1" style="131" min="6" max="6"/>
  </cols>
  <sheetData>
    <row r="1" ht="24" customHeight="1" s="131">
      <c r="A1" s="132" t="inlineStr">
        <is>
          <t>CURSOS ACADÊMICOS CONSUMIDOS PELA DADM</t>
        </is>
      </c>
    </row>
    <row r="2" ht="30" customHeight="1" s="131">
      <c r="A2" s="133" t="inlineStr">
        <is>
          <t>A população e a evasão são herdadas das diretorias acadêmicas. A DADM não recadastra o estoque de alunos.</t>
        </is>
      </c>
    </row>
    <row r="3"/>
    <row r="4" ht="30" customHeight="1" s="131">
      <c r="A4" s="199" t="inlineStr">
        <is>
          <t>Diretoria Acadêmica</t>
        </is>
      </c>
      <c r="B4" s="199" t="inlineStr">
        <is>
          <t>Curso</t>
        </is>
      </c>
      <c r="C4" s="199" t="inlineStr">
        <is>
          <t>Modalidade</t>
        </is>
      </c>
      <c r="D4" s="199" t="inlineStr">
        <is>
          <t>Ativo</t>
        </is>
      </c>
      <c r="E4" s="199" t="inlineStr">
        <is>
          <t>Uso na DADM</t>
        </is>
      </c>
      <c r="F4" s="199" t="inlineStr">
        <is>
          <t>Observação</t>
        </is>
      </c>
    </row>
    <row r="5" ht="15" customHeight="1" s="131">
      <c r="A5" s="224" t="n"/>
      <c r="B5" s="225" t="n"/>
      <c r="C5" s="233" t="n"/>
      <c r="D5" s="225" t="n"/>
      <c r="E5" s="225" t="n"/>
      <c r="F5" s="225" t="n"/>
    </row>
    <row r="6" ht="15" customHeight="1" s="131">
      <c r="A6" s="224" t="n"/>
      <c r="B6" s="225" t="n"/>
      <c r="C6" s="233" t="n"/>
      <c r="D6" s="225" t="n"/>
      <c r="E6" s="225" t="n"/>
      <c r="F6" s="225" t="n"/>
    </row>
    <row r="7" ht="15" customHeight="1" s="131">
      <c r="A7" s="224" t="n"/>
      <c r="B7" s="225" t="n"/>
      <c r="C7" s="233" t="n"/>
      <c r="D7" s="225" t="n"/>
      <c r="E7" s="225" t="n"/>
      <c r="F7" s="225" t="n"/>
    </row>
    <row r="8" ht="15" customHeight="1" s="131">
      <c r="A8" s="224" t="n"/>
      <c r="B8" s="225" t="n"/>
      <c r="C8" s="233" t="n"/>
      <c r="D8" s="225" t="n"/>
      <c r="E8" s="225" t="n"/>
      <c r="F8" s="225" t="n"/>
    </row>
    <row r="9" ht="15" customHeight="1" s="131">
      <c r="A9" s="224" t="n"/>
      <c r="B9" s="225" t="n"/>
      <c r="C9" s="233" t="n"/>
      <c r="D9" s="225" t="n"/>
      <c r="E9" s="225" t="n"/>
      <c r="F9" s="225" t="n"/>
    </row>
    <row r="10" ht="15" customHeight="1" s="131">
      <c r="A10" s="224" t="n"/>
      <c r="B10" s="225" t="n"/>
      <c r="C10" s="233" t="n"/>
      <c r="D10" s="225" t="n"/>
      <c r="E10" s="225" t="n"/>
      <c r="F10" s="225" t="n"/>
    </row>
    <row r="11" ht="15" customHeight="1" s="131">
      <c r="A11" s="224" t="n"/>
      <c r="B11" s="225" t="n"/>
      <c r="C11" s="233" t="n"/>
      <c r="D11" s="225" t="n"/>
      <c r="E11" s="225" t="n"/>
      <c r="F11" s="225" t="n"/>
    </row>
    <row r="12" ht="15" customHeight="1" s="131">
      <c r="A12" s="224" t="n"/>
      <c r="B12" s="225" t="n"/>
      <c r="C12" s="233" t="n"/>
      <c r="D12" s="225" t="n"/>
      <c r="E12" s="225" t="n"/>
      <c r="F12" s="225" t="n"/>
    </row>
    <row r="13" ht="15" customHeight="1" s="131">
      <c r="A13" s="224" t="n"/>
      <c r="B13" s="225" t="n"/>
      <c r="C13" s="233" t="n"/>
      <c r="D13" s="225" t="n"/>
      <c r="E13" s="225" t="n"/>
      <c r="F13" s="225" t="n"/>
    </row>
    <row r="14" ht="15" customHeight="1" s="131">
      <c r="A14" s="224" t="n"/>
      <c r="B14" s="225" t="n"/>
      <c r="C14" s="233" t="n"/>
      <c r="D14" s="225" t="n"/>
      <c r="E14" s="225" t="n"/>
      <c r="F14" s="225" t="n"/>
    </row>
    <row r="15" ht="15" customHeight="1" s="131">
      <c r="A15" s="224" t="n"/>
      <c r="B15" s="225" t="n"/>
      <c r="C15" s="233" t="n"/>
      <c r="D15" s="225" t="n"/>
      <c r="E15" s="225" t="n"/>
      <c r="F15" s="225" t="n"/>
    </row>
    <row r="16" ht="15" customHeight="1" s="131">
      <c r="A16" s="224" t="n"/>
      <c r="B16" s="225" t="n"/>
      <c r="C16" s="233" t="n"/>
      <c r="D16" s="225" t="n"/>
      <c r="E16" s="225" t="n"/>
      <c r="F16" s="225" t="n"/>
    </row>
    <row r="17" ht="15" customHeight="1" s="131">
      <c r="A17" s="224" t="n"/>
      <c r="B17" s="225" t="n"/>
      <c r="C17" s="233" t="n"/>
      <c r="D17" s="225" t="n"/>
      <c r="E17" s="225" t="n"/>
      <c r="F17" s="225" t="n"/>
    </row>
    <row r="18" ht="15" customHeight="1" s="131">
      <c r="A18" s="224" t="n"/>
      <c r="B18" s="225" t="n"/>
      <c r="C18" s="233" t="n"/>
      <c r="D18" s="225" t="n"/>
      <c r="E18" s="225" t="n"/>
      <c r="F18" s="225" t="n"/>
    </row>
    <row r="19" ht="15" customHeight="1" s="131">
      <c r="A19" s="224" t="n"/>
      <c r="B19" s="225" t="n"/>
      <c r="C19" s="233" t="n"/>
      <c r="D19" s="225" t="n"/>
      <c r="E19" s="225" t="n"/>
      <c r="F19" s="225" t="n"/>
    </row>
    <row r="20" ht="15" customHeight="1" s="131">
      <c r="A20" s="224" t="n"/>
      <c r="B20" s="225" t="n"/>
      <c r="C20" s="233" t="n"/>
      <c r="D20" s="225" t="n"/>
      <c r="E20" s="225" t="n"/>
      <c r="F20" s="225" t="n"/>
    </row>
    <row r="21" ht="15" customHeight="1" s="131">
      <c r="A21" s="224" t="n"/>
      <c r="B21" s="225" t="n"/>
      <c r="C21" s="233" t="n"/>
      <c r="D21" s="225" t="n"/>
      <c r="E21" s="225" t="n"/>
      <c r="F21" s="225" t="n"/>
    </row>
    <row r="22" ht="15" customHeight="1" s="131">
      <c r="A22" s="224" t="n"/>
      <c r="B22" s="225" t="n"/>
      <c r="C22" s="233" t="n"/>
      <c r="D22" s="225" t="n"/>
      <c r="E22" s="225" t="n"/>
      <c r="F22" s="225" t="n"/>
    </row>
    <row r="23" ht="15" customHeight="1" s="131">
      <c r="A23" s="224" t="n"/>
      <c r="B23" s="225" t="n"/>
      <c r="C23" s="233" t="n"/>
      <c r="D23" s="225" t="n"/>
      <c r="E23" s="225" t="n"/>
      <c r="F23" s="225" t="n"/>
    </row>
    <row r="24" ht="15" customHeight="1" s="131">
      <c r="A24" s="224" t="n"/>
      <c r="B24" s="225" t="n"/>
      <c r="C24" s="233" t="n"/>
      <c r="D24" s="225" t="n"/>
      <c r="E24" s="225" t="n"/>
      <c r="F24" s="225" t="n"/>
    </row>
    <row r="25" ht="15" customHeight="1" s="131">
      <c r="A25" s="224" t="n"/>
      <c r="B25" s="225" t="n"/>
      <c r="C25" s="233" t="n"/>
      <c r="D25" s="225" t="n"/>
      <c r="E25" s="225" t="n"/>
      <c r="F25" s="225" t="n"/>
    </row>
    <row r="26" ht="15" customHeight="1" s="131">
      <c r="A26" s="224" t="n"/>
      <c r="B26" s="225" t="n"/>
      <c r="C26" s="233" t="n"/>
      <c r="D26" s="225" t="n"/>
      <c r="E26" s="225" t="n"/>
      <c r="F26" s="225" t="n"/>
    </row>
    <row r="27" ht="15" customHeight="1" s="131">
      <c r="A27" s="224" t="n"/>
      <c r="B27" s="225" t="n"/>
      <c r="C27" s="233" t="n"/>
      <c r="D27" s="225" t="n"/>
      <c r="E27" s="225" t="n"/>
      <c r="F27" s="225" t="n"/>
    </row>
    <row r="28" ht="15" customHeight="1" s="131">
      <c r="A28" s="224" t="n"/>
      <c r="B28" s="225" t="n"/>
      <c r="C28" s="233" t="n"/>
      <c r="D28" s="225" t="n"/>
      <c r="E28" s="225" t="n"/>
      <c r="F28" s="225" t="n"/>
    </row>
    <row r="29" ht="15" customHeight="1" s="131">
      <c r="A29" s="224" t="n"/>
      <c r="B29" s="225" t="n"/>
      <c r="C29" s="233" t="n"/>
      <c r="D29" s="225" t="n"/>
      <c r="E29" s="225" t="n"/>
      <c r="F29" s="225" t="n"/>
    </row>
    <row r="30" ht="15" customHeight="1" s="131">
      <c r="A30" s="224" t="n"/>
      <c r="B30" s="225" t="n"/>
      <c r="C30" s="233" t="n"/>
      <c r="D30" s="225" t="n"/>
      <c r="E30" s="225" t="n"/>
      <c r="F30" s="225" t="n"/>
    </row>
    <row r="31" ht="15" customHeight="1" s="131">
      <c r="A31" s="224" t="n"/>
      <c r="B31" s="225" t="n"/>
      <c r="C31" s="233" t="n"/>
      <c r="D31" s="225" t="n"/>
      <c r="E31" s="225" t="n"/>
      <c r="F31" s="225" t="n"/>
    </row>
    <row r="32" ht="15" customHeight="1" s="131">
      <c r="A32" s="224" t="n"/>
      <c r="B32" s="225" t="n"/>
      <c r="C32" s="233" t="n"/>
      <c r="D32" s="225" t="n"/>
      <c r="E32" s="225" t="n"/>
      <c r="F32" s="225" t="n"/>
    </row>
    <row r="33" ht="15" customHeight="1" s="131">
      <c r="A33" s="224" t="n"/>
      <c r="B33" s="225" t="n"/>
      <c r="C33" s="233" t="n"/>
      <c r="D33" s="225" t="n"/>
      <c r="E33" s="225" t="n"/>
      <c r="F33" s="225" t="n"/>
    </row>
    <row r="34" ht="15" customHeight="1" s="131">
      <c r="A34" s="224" t="n"/>
      <c r="B34" s="225" t="n"/>
      <c r="C34" s="233" t="n"/>
      <c r="D34" s="225" t="n"/>
      <c r="E34" s="225" t="n"/>
      <c r="F34" s="225" t="n"/>
    </row>
    <row r="35" ht="15" customHeight="1" s="131">
      <c r="A35" s="224" t="n"/>
      <c r="B35" s="225" t="n"/>
      <c r="C35" s="233" t="n"/>
      <c r="D35" s="225" t="n"/>
      <c r="E35" s="225" t="n"/>
      <c r="F35" s="225" t="n"/>
    </row>
    <row r="36" ht="15" customHeight="1" s="131">
      <c r="A36" s="224" t="n"/>
      <c r="B36" s="225" t="n"/>
      <c r="C36" s="233" t="n"/>
      <c r="D36" s="225" t="n"/>
      <c r="E36" s="225" t="n"/>
      <c r="F36" s="225" t="n"/>
    </row>
    <row r="37" ht="15" customHeight="1" s="131">
      <c r="A37" s="224" t="n"/>
      <c r="B37" s="225" t="n"/>
      <c r="C37" s="233" t="n"/>
      <c r="D37" s="225" t="n"/>
      <c r="E37" s="225" t="n"/>
      <c r="F37" s="225" t="n"/>
    </row>
    <row r="38" ht="15" customHeight="1" s="131">
      <c r="A38" s="224" t="n"/>
      <c r="B38" s="225" t="n"/>
      <c r="C38" s="233" t="n"/>
      <c r="D38" s="225" t="n"/>
      <c r="E38" s="225" t="n"/>
      <c r="F38" s="225" t="n"/>
    </row>
    <row r="39" ht="15" customHeight="1" s="131">
      <c r="A39" s="224" t="n"/>
      <c r="B39" s="225" t="n"/>
      <c r="C39" s="233" t="n"/>
      <c r="D39" s="225" t="n"/>
      <c r="E39" s="225" t="n"/>
      <c r="F39" s="225" t="n"/>
    </row>
    <row r="40" ht="15" customHeight="1" s="131">
      <c r="A40" s="224" t="n"/>
      <c r="B40" s="225" t="n"/>
      <c r="C40" s="233" t="n"/>
      <c r="D40" s="225" t="n"/>
      <c r="E40" s="225" t="n"/>
      <c r="F40" s="225" t="n"/>
    </row>
    <row r="41" ht="15" customHeight="1" s="131">
      <c r="A41" s="224" t="n"/>
      <c r="B41" s="225" t="n"/>
      <c r="C41" s="233" t="n"/>
      <c r="D41" s="225" t="n"/>
      <c r="E41" s="225" t="n"/>
      <c r="F41" s="225" t="n"/>
    </row>
    <row r="42" ht="15" customHeight="1" s="131">
      <c r="A42" s="224" t="n"/>
      <c r="B42" s="225" t="n"/>
      <c r="C42" s="233" t="n"/>
      <c r="D42" s="225" t="n"/>
      <c r="E42" s="225" t="n"/>
      <c r="F42" s="225" t="n"/>
    </row>
    <row r="43" ht="15" customHeight="1" s="131">
      <c r="A43" s="224" t="n"/>
      <c r="B43" s="225" t="n"/>
      <c r="C43" s="233" t="n"/>
      <c r="D43" s="225" t="n"/>
      <c r="E43" s="225" t="n"/>
      <c r="F43" s="225" t="n"/>
    </row>
    <row r="44" ht="15" customHeight="1" s="131">
      <c r="A44" s="224" t="n"/>
      <c r="B44" s="225" t="n"/>
      <c r="C44" s="233" t="n"/>
      <c r="D44" s="225" t="n"/>
      <c r="E44" s="225" t="n"/>
      <c r="F44" s="225" t="n"/>
    </row>
    <row r="45" ht="15" customHeight="1" s="131">
      <c r="A45" s="224" t="n"/>
      <c r="B45" s="225" t="n"/>
      <c r="C45" s="233" t="n"/>
      <c r="D45" s="225" t="n"/>
      <c r="E45" s="225" t="n"/>
      <c r="F45" s="225" t="n"/>
    </row>
    <row r="46" ht="15" customHeight="1" s="131">
      <c r="A46" s="224" t="n"/>
      <c r="B46" s="225" t="n"/>
      <c r="C46" s="233" t="n"/>
      <c r="D46" s="225" t="n"/>
      <c r="E46" s="225" t="n"/>
      <c r="F46" s="225" t="n"/>
    </row>
    <row r="47" ht="15" customHeight="1" s="131">
      <c r="A47" s="224" t="n"/>
      <c r="B47" s="225" t="n"/>
      <c r="C47" s="233" t="n"/>
      <c r="D47" s="225" t="n"/>
      <c r="E47" s="225" t="n"/>
      <c r="F47" s="225" t="n"/>
    </row>
    <row r="48" ht="15" customHeight="1" s="131">
      <c r="A48" s="224" t="n"/>
      <c r="B48" s="225" t="n"/>
      <c r="C48" s="233" t="n"/>
      <c r="D48" s="225" t="n"/>
      <c r="E48" s="225" t="n"/>
      <c r="F48" s="225" t="n"/>
    </row>
    <row r="49" ht="15" customHeight="1" s="131">
      <c r="A49" s="224" t="n"/>
      <c r="B49" s="225" t="n"/>
      <c r="C49" s="233" t="n"/>
      <c r="D49" s="225" t="n"/>
      <c r="E49" s="225" t="n"/>
      <c r="F49" s="225" t="n"/>
    </row>
    <row r="50" ht="15" customHeight="1" s="131">
      <c r="A50" s="224" t="n"/>
      <c r="B50" s="225" t="n"/>
      <c r="C50" s="233" t="n"/>
      <c r="D50" s="225" t="n"/>
      <c r="E50" s="225" t="n"/>
      <c r="F50" s="225" t="n"/>
    </row>
    <row r="51" ht="15" customHeight="1" s="131">
      <c r="A51" s="224" t="n"/>
      <c r="B51" s="225" t="n"/>
      <c r="C51" s="233" t="n"/>
      <c r="D51" s="225" t="n"/>
      <c r="E51" s="225" t="n"/>
      <c r="F51" s="225" t="n"/>
    </row>
    <row r="52" ht="15" customHeight="1" s="131">
      <c r="A52" s="224" t="n"/>
      <c r="B52" s="225" t="n"/>
      <c r="C52" s="233" t="n"/>
      <c r="D52" s="225" t="n"/>
      <c r="E52" s="225" t="n"/>
      <c r="F52" s="225" t="n"/>
    </row>
    <row r="53" ht="15" customHeight="1" s="131">
      <c r="A53" s="224" t="n"/>
      <c r="B53" s="225" t="n"/>
      <c r="C53" s="233" t="n"/>
      <c r="D53" s="225" t="n"/>
      <c r="E53" s="225" t="n"/>
      <c r="F53" s="225" t="n"/>
    </row>
    <row r="54" ht="15" customHeight="1" s="131">
      <c r="A54" s="224" t="n"/>
      <c r="B54" s="225" t="n"/>
      <c r="C54" s="233" t="n"/>
      <c r="D54" s="225" t="n"/>
      <c r="E54" s="225" t="n"/>
      <c r="F54" s="225" t="n"/>
    </row>
    <row r="55" ht="15" customHeight="1" s="131">
      <c r="A55" s="224" t="n"/>
      <c r="B55" s="225" t="n"/>
      <c r="C55" s="233" t="n"/>
      <c r="D55" s="225" t="n"/>
      <c r="E55" s="225" t="n"/>
      <c r="F55" s="225" t="n"/>
    </row>
    <row r="56" ht="15" customHeight="1" s="131">
      <c r="A56" s="224" t="n"/>
      <c r="B56" s="225" t="n"/>
      <c r="C56" s="233" t="n"/>
      <c r="D56" s="225" t="n"/>
      <c r="E56" s="225" t="n"/>
      <c r="F56" s="225" t="n"/>
    </row>
    <row r="57" ht="15" customHeight="1" s="131">
      <c r="A57" s="224" t="n"/>
      <c r="B57" s="225" t="n"/>
      <c r="C57" s="233" t="n"/>
      <c r="D57" s="225" t="n"/>
      <c r="E57" s="225" t="n"/>
      <c r="F57" s="225" t="n"/>
    </row>
    <row r="58" ht="15" customHeight="1" s="131">
      <c r="A58" s="224" t="n"/>
      <c r="B58" s="225" t="n"/>
      <c r="C58" s="233" t="n"/>
      <c r="D58" s="225" t="n"/>
      <c r="E58" s="225" t="n"/>
      <c r="F58" s="225" t="n"/>
    </row>
    <row r="59" ht="15" customHeight="1" s="131">
      <c r="A59" s="224" t="n"/>
      <c r="B59" s="225" t="n"/>
      <c r="C59" s="233" t="n"/>
      <c r="D59" s="225" t="n"/>
      <c r="E59" s="225" t="n"/>
      <c r="F59" s="225" t="n"/>
    </row>
    <row r="60" ht="15" customHeight="1" s="131">
      <c r="A60" s="224" t="n"/>
      <c r="B60" s="225" t="n"/>
      <c r="C60" s="233" t="n"/>
      <c r="D60" s="225" t="n"/>
      <c r="E60" s="225" t="n"/>
      <c r="F60" s="225" t="n"/>
    </row>
    <row r="61" ht="15" customHeight="1" s="131">
      <c r="A61" s="224" t="n"/>
      <c r="B61" s="225" t="n"/>
      <c r="C61" s="233" t="n"/>
      <c r="D61" s="225" t="n"/>
      <c r="E61" s="225" t="n"/>
      <c r="F61" s="225" t="n"/>
    </row>
    <row r="62" ht="15" customHeight="1" s="131">
      <c r="A62" s="224" t="n"/>
      <c r="B62" s="225" t="n"/>
      <c r="C62" s="233" t="n"/>
      <c r="D62" s="225" t="n"/>
      <c r="E62" s="225" t="n"/>
      <c r="F62" s="225" t="n"/>
    </row>
    <row r="63" ht="15" customHeight="1" s="131">
      <c r="A63" s="224" t="n"/>
      <c r="B63" s="225" t="n"/>
      <c r="C63" s="233" t="n"/>
      <c r="D63" s="225" t="n"/>
      <c r="E63" s="225" t="n"/>
      <c r="F63" s="225" t="n"/>
    </row>
    <row r="64" ht="15" customHeight="1" s="131">
      <c r="A64" s="224" t="n"/>
      <c r="B64" s="225" t="n"/>
      <c r="C64" s="233" t="n"/>
      <c r="D64" s="225" t="n"/>
      <c r="E64" s="225" t="n"/>
      <c r="F64" s="225" t="n"/>
    </row>
    <row r="65" ht="15" customHeight="1" s="131">
      <c r="A65" s="224" t="n"/>
      <c r="B65" s="225" t="n"/>
      <c r="C65" s="233" t="n"/>
      <c r="D65" s="225" t="n"/>
      <c r="E65" s="225" t="n"/>
      <c r="F65" s="225" t="n"/>
    </row>
    <row r="66" ht="15" customHeight="1" s="131">
      <c r="A66" s="224" t="n"/>
      <c r="B66" s="225" t="n"/>
      <c r="C66" s="233" t="n"/>
      <c r="D66" s="225" t="n"/>
      <c r="E66" s="225" t="n"/>
      <c r="F66" s="225" t="n"/>
    </row>
    <row r="67" ht="15" customHeight="1" s="131">
      <c r="A67" s="224" t="n"/>
      <c r="B67" s="225" t="n"/>
      <c r="C67" s="233" t="n"/>
      <c r="D67" s="225" t="n"/>
      <c r="E67" s="225" t="n"/>
      <c r="F67" s="225" t="n"/>
    </row>
    <row r="68" ht="15" customHeight="1" s="131">
      <c r="A68" s="224" t="n"/>
      <c r="B68" s="225" t="n"/>
      <c r="C68" s="233" t="n"/>
      <c r="D68" s="225" t="n"/>
      <c r="E68" s="225" t="n"/>
      <c r="F68" s="225" t="n"/>
    </row>
    <row r="69" ht="15" customHeight="1" s="131">
      <c r="A69" s="224" t="n"/>
      <c r="B69" s="225" t="n"/>
      <c r="C69" s="233" t="n"/>
      <c r="D69" s="225" t="n"/>
      <c r="E69" s="225" t="n"/>
      <c r="F69" s="225" t="n"/>
    </row>
    <row r="70" ht="15" customHeight="1" s="131">
      <c r="A70" s="224" t="n"/>
      <c r="B70" s="225" t="n"/>
      <c r="C70" s="233" t="n"/>
      <c r="D70" s="225" t="n"/>
      <c r="E70" s="225" t="n"/>
      <c r="F70" s="225" t="n"/>
    </row>
    <row r="71" ht="15" customHeight="1" s="131">
      <c r="A71" s="224" t="n"/>
      <c r="B71" s="225" t="n"/>
      <c r="C71" s="233" t="n"/>
      <c r="D71" s="225" t="n"/>
      <c r="E71" s="225" t="n"/>
      <c r="F71" s="225" t="n"/>
    </row>
    <row r="72" ht="15" customHeight="1" s="131">
      <c r="A72" s="224" t="n"/>
      <c r="B72" s="225" t="n"/>
      <c r="C72" s="233" t="n"/>
      <c r="D72" s="225" t="n"/>
      <c r="E72" s="225" t="n"/>
      <c r="F72" s="225" t="n"/>
    </row>
    <row r="73" ht="15" customHeight="1" s="131">
      <c r="A73" s="224" t="n"/>
      <c r="B73" s="225" t="n"/>
      <c r="C73" s="233" t="n"/>
      <c r="D73" s="225" t="n"/>
      <c r="E73" s="225" t="n"/>
      <c r="F73" s="225" t="n"/>
    </row>
    <row r="74" ht="15" customHeight="1" s="131">
      <c r="A74" s="224" t="n"/>
      <c r="B74" s="225" t="n"/>
      <c r="C74" s="233" t="n"/>
      <c r="D74" s="225" t="n"/>
      <c r="E74" s="225" t="n"/>
      <c r="F74" s="225" t="n"/>
    </row>
    <row r="75" ht="15" customHeight="1" s="131">
      <c r="A75" s="224" t="n"/>
      <c r="B75" s="225" t="n"/>
      <c r="C75" s="233" t="n"/>
      <c r="D75" s="225" t="n"/>
      <c r="E75" s="225" t="n"/>
      <c r="F75" s="225" t="n"/>
    </row>
    <row r="76" ht="15" customHeight="1" s="131">
      <c r="A76" s="224" t="n"/>
      <c r="B76" s="225" t="n"/>
      <c r="C76" s="233" t="n"/>
      <c r="D76" s="225" t="n"/>
      <c r="E76" s="225" t="n"/>
      <c r="F76" s="225" t="n"/>
    </row>
    <row r="77" ht="15" customHeight="1" s="131">
      <c r="A77" s="224" t="n"/>
      <c r="B77" s="225" t="n"/>
      <c r="C77" s="233" t="n"/>
      <c r="D77" s="225" t="n"/>
      <c r="E77" s="225" t="n"/>
      <c r="F77" s="225" t="n"/>
    </row>
    <row r="78" ht="15" customHeight="1" s="131">
      <c r="A78" s="224" t="n"/>
      <c r="B78" s="225" t="n"/>
      <c r="C78" s="233" t="n"/>
      <c r="D78" s="225" t="n"/>
      <c r="E78" s="225" t="n"/>
      <c r="F78" s="225" t="n"/>
    </row>
    <row r="79" ht="15" customHeight="1" s="131">
      <c r="A79" s="224" t="n"/>
      <c r="B79" s="225" t="n"/>
      <c r="C79" s="233" t="n"/>
      <c r="D79" s="225" t="n"/>
      <c r="E79" s="225" t="n"/>
      <c r="F79" s="225" t="n"/>
    </row>
    <row r="80" ht="15" customHeight="1" s="131">
      <c r="A80" s="224" t="n"/>
      <c r="B80" s="225" t="n"/>
      <c r="C80" s="233" t="n"/>
      <c r="D80" s="225" t="n"/>
      <c r="E80" s="225" t="n"/>
      <c r="F80" s="225" t="n"/>
    </row>
    <row r="81" ht="15" customHeight="1" s="131">
      <c r="A81" s="224" t="n"/>
      <c r="B81" s="225" t="n"/>
      <c r="C81" s="233" t="n"/>
      <c r="D81" s="225" t="n"/>
      <c r="E81" s="225" t="n"/>
      <c r="F81" s="225" t="n"/>
    </row>
    <row r="82" ht="15" customHeight="1" s="131">
      <c r="A82" s="224" t="n"/>
      <c r="B82" s="225" t="n"/>
      <c r="C82" s="233" t="n"/>
      <c r="D82" s="225" t="n"/>
      <c r="E82" s="225" t="n"/>
      <c r="F82" s="225" t="n"/>
    </row>
    <row r="83" ht="15" customHeight="1" s="131">
      <c r="A83" s="224" t="n"/>
      <c r="B83" s="225" t="n"/>
      <c r="C83" s="233" t="n"/>
      <c r="D83" s="225" t="n"/>
      <c r="E83" s="225" t="n"/>
      <c r="F83" s="225" t="n"/>
    </row>
    <row r="84" ht="15" customHeight="1" s="131">
      <c r="A84" s="224" t="n"/>
      <c r="B84" s="225" t="n"/>
      <c r="C84" s="233" t="n"/>
      <c r="D84" s="225" t="n"/>
      <c r="E84" s="225" t="n"/>
      <c r="F84" s="225" t="n"/>
    </row>
    <row r="85" ht="15" customHeight="1" s="131">
      <c r="A85" s="224" t="n"/>
      <c r="B85" s="225" t="n"/>
      <c r="C85" s="233" t="n"/>
      <c r="D85" s="225" t="n"/>
      <c r="E85" s="225" t="n"/>
      <c r="F85" s="225" t="n"/>
    </row>
    <row r="86" ht="15" customHeight="1" s="131">
      <c r="A86" s="224" t="n"/>
      <c r="B86" s="225" t="n"/>
      <c r="C86" s="233" t="n"/>
      <c r="D86" s="225" t="n"/>
      <c r="E86" s="225" t="n"/>
      <c r="F86" s="225" t="n"/>
    </row>
    <row r="87" ht="15" customHeight="1" s="131">
      <c r="A87" s="224" t="n"/>
      <c r="B87" s="225" t="n"/>
      <c r="C87" s="233" t="n"/>
      <c r="D87" s="225" t="n"/>
      <c r="E87" s="225" t="n"/>
      <c r="F87" s="225" t="n"/>
    </row>
    <row r="88" ht="15" customHeight="1" s="131">
      <c r="A88" s="224" t="n"/>
      <c r="B88" s="225" t="n"/>
      <c r="C88" s="233" t="n"/>
      <c r="D88" s="225" t="n"/>
      <c r="E88" s="225" t="n"/>
      <c r="F88" s="225" t="n"/>
    </row>
    <row r="89" ht="15" customHeight="1" s="131">
      <c r="A89" s="224" t="n"/>
      <c r="B89" s="225" t="n"/>
      <c r="C89" s="233" t="n"/>
      <c r="D89" s="225" t="n"/>
      <c r="E89" s="225" t="n"/>
      <c r="F89" s="225" t="n"/>
    </row>
    <row r="90" ht="15" customHeight="1" s="131">
      <c r="A90" s="224" t="n"/>
      <c r="B90" s="225" t="n"/>
      <c r="C90" s="233" t="n"/>
      <c r="D90" s="225" t="n"/>
      <c r="E90" s="225" t="n"/>
      <c r="F90" s="225" t="n"/>
    </row>
    <row r="91" ht="15" customHeight="1" s="131">
      <c r="A91" s="224" t="n"/>
      <c r="B91" s="225" t="n"/>
      <c r="C91" s="233" t="n"/>
      <c r="D91" s="225" t="n"/>
      <c r="E91" s="225" t="n"/>
      <c r="F91" s="225" t="n"/>
    </row>
    <row r="92" ht="15" customHeight="1" s="131">
      <c r="A92" s="224" t="n"/>
      <c r="B92" s="225" t="n"/>
      <c r="C92" s="233" t="n"/>
      <c r="D92" s="225" t="n"/>
      <c r="E92" s="225" t="n"/>
      <c r="F92" s="225" t="n"/>
    </row>
    <row r="93" ht="15" customHeight="1" s="131">
      <c r="A93" s="224" t="n"/>
      <c r="B93" s="225" t="n"/>
      <c r="C93" s="233" t="n"/>
      <c r="D93" s="225" t="n"/>
      <c r="E93" s="225" t="n"/>
      <c r="F93" s="225" t="n"/>
    </row>
    <row r="94" ht="15" customHeight="1" s="131">
      <c r="A94" s="224" t="n"/>
      <c r="B94" s="225" t="n"/>
      <c r="C94" s="233" t="n"/>
      <c r="D94" s="225" t="n"/>
      <c r="E94" s="225" t="n"/>
      <c r="F94" s="225" t="n"/>
    </row>
    <row r="95" ht="15" customHeight="1" s="131">
      <c r="A95" s="224" t="n"/>
      <c r="B95" s="225" t="n"/>
      <c r="C95" s="233" t="n"/>
      <c r="D95" s="225" t="n"/>
      <c r="E95" s="225" t="n"/>
      <c r="F95" s="225" t="n"/>
    </row>
    <row r="96" ht="15" customHeight="1" s="131">
      <c r="A96" s="224" t="n"/>
      <c r="B96" s="225" t="n"/>
      <c r="C96" s="233" t="n"/>
      <c r="D96" s="225" t="n"/>
      <c r="E96" s="225" t="n"/>
      <c r="F96" s="225" t="n"/>
    </row>
    <row r="97" ht="15" customHeight="1" s="131">
      <c r="A97" s="224" t="n"/>
      <c r="B97" s="225" t="n"/>
      <c r="C97" s="233" t="n"/>
      <c r="D97" s="225" t="n"/>
      <c r="E97" s="225" t="n"/>
      <c r="F97" s="225" t="n"/>
    </row>
    <row r="98" ht="15" customHeight="1" s="131">
      <c r="A98" s="224" t="n"/>
      <c r="B98" s="225" t="n"/>
      <c r="C98" s="233" t="n"/>
      <c r="D98" s="225" t="n"/>
      <c r="E98" s="225" t="n"/>
      <c r="F98" s="225" t="n"/>
    </row>
    <row r="99" ht="15" customHeight="1" s="131">
      <c r="A99" s="224" t="n"/>
      <c r="B99" s="225" t="n"/>
      <c r="C99" s="233" t="n"/>
      <c r="D99" s="225" t="n"/>
      <c r="E99" s="225" t="n"/>
      <c r="F99" s="225" t="n"/>
    </row>
    <row r="100" ht="15" customHeight="1" s="131">
      <c r="A100" s="224" t="n"/>
      <c r="B100" s="225" t="n"/>
      <c r="C100" s="233" t="n"/>
      <c r="D100" s="225" t="n"/>
      <c r="E100" s="225" t="n"/>
      <c r="F100" s="225" t="n"/>
    </row>
    <row r="101" ht="15" customHeight="1" s="131">
      <c r="A101" s="224" t="n"/>
      <c r="B101" s="225" t="n"/>
      <c r="C101" s="233" t="n"/>
      <c r="D101" s="225" t="n"/>
      <c r="E101" s="225" t="n"/>
      <c r="F101" s="225" t="n"/>
    </row>
    <row r="102" ht="15" customHeight="1" s="131">
      <c r="A102" s="224" t="n"/>
      <c r="B102" s="225" t="n"/>
      <c r="C102" s="233" t="n"/>
      <c r="D102" s="225" t="n"/>
      <c r="E102" s="225" t="n"/>
      <c r="F102" s="225" t="n"/>
    </row>
    <row r="103" ht="15" customHeight="1" s="131">
      <c r="A103" s="224" t="n"/>
      <c r="B103" s="225" t="n"/>
      <c r="C103" s="233" t="n"/>
      <c r="D103" s="225" t="n"/>
      <c r="E103" s="225" t="n"/>
      <c r="F103" s="225" t="n"/>
    </row>
    <row r="104" ht="15" customHeight="1" s="131">
      <c r="A104" s="224" t="n"/>
      <c r="B104" s="225" t="n"/>
      <c r="C104" s="233" t="n"/>
      <c r="D104" s="225" t="n"/>
      <c r="E104" s="225" t="n"/>
      <c r="F104" s="225" t="n"/>
    </row>
    <row r="105" ht="15" customHeight="1" s="131">
      <c r="A105" s="224" t="n"/>
      <c r="B105" s="225" t="n"/>
      <c r="C105" s="233" t="n"/>
      <c r="D105" s="225" t="n"/>
      <c r="E105" s="225" t="n"/>
      <c r="F105" s="225" t="n"/>
    </row>
    <row r="106" ht="15" customHeight="1" s="131">
      <c r="A106" s="224" t="n"/>
      <c r="B106" s="225" t="n"/>
      <c r="C106" s="233" t="n"/>
      <c r="D106" s="225" t="n"/>
      <c r="E106" s="225" t="n"/>
      <c r="F106" s="225" t="n"/>
    </row>
    <row r="107" ht="15" customHeight="1" s="131">
      <c r="A107" s="224" t="n"/>
      <c r="B107" s="225" t="n"/>
      <c r="C107" s="233" t="n"/>
      <c r="D107" s="225" t="n"/>
      <c r="E107" s="225" t="n"/>
      <c r="F107" s="225" t="n"/>
    </row>
    <row r="108" ht="15" customHeight="1" s="131">
      <c r="A108" s="224" t="n"/>
      <c r="B108" s="225" t="n"/>
      <c r="C108" s="233" t="n"/>
      <c r="D108" s="225" t="n"/>
      <c r="E108" s="225" t="n"/>
      <c r="F108" s="225" t="n"/>
    </row>
    <row r="109" ht="15" customHeight="1" s="131">
      <c r="A109" s="224" t="n"/>
      <c r="B109" s="225" t="n"/>
      <c r="C109" s="233" t="n"/>
      <c r="D109" s="225" t="n"/>
      <c r="E109" s="225" t="n"/>
      <c r="F109" s="225" t="n"/>
    </row>
    <row r="110" ht="15" customHeight="1" s="131">
      <c r="A110" s="224" t="n"/>
      <c r="B110" s="225" t="n"/>
      <c r="C110" s="233" t="n"/>
      <c r="D110" s="225" t="n"/>
      <c r="E110" s="225" t="n"/>
      <c r="F110" s="225" t="n"/>
    </row>
    <row r="111" ht="15" customHeight="1" s="131">
      <c r="A111" s="224" t="n"/>
      <c r="B111" s="225" t="n"/>
      <c r="C111" s="233" t="n"/>
      <c r="D111" s="225" t="n"/>
      <c r="E111" s="225" t="n"/>
      <c r="F111" s="225" t="n"/>
    </row>
    <row r="112" ht="15" customHeight="1" s="131">
      <c r="A112" s="224" t="n"/>
      <c r="B112" s="225" t="n"/>
      <c r="C112" s="233" t="n"/>
      <c r="D112" s="225" t="n"/>
      <c r="E112" s="225" t="n"/>
      <c r="F112" s="225" t="n"/>
    </row>
    <row r="113" ht="15" customHeight="1" s="131">
      <c r="A113" s="224" t="n"/>
      <c r="B113" s="225" t="n"/>
      <c r="C113" s="233" t="n"/>
      <c r="D113" s="225" t="n"/>
      <c r="E113" s="225" t="n"/>
      <c r="F113" s="225" t="n"/>
    </row>
    <row r="114" ht="15" customHeight="1" s="131">
      <c r="A114" s="224" t="n"/>
      <c r="B114" s="225" t="n"/>
      <c r="C114" s="233" t="n"/>
      <c r="D114" s="225" t="n"/>
      <c r="E114" s="225" t="n"/>
      <c r="F114" s="225" t="n"/>
    </row>
    <row r="115" ht="15" customHeight="1" s="131">
      <c r="A115" s="224" t="n"/>
      <c r="B115" s="225" t="n"/>
      <c r="C115" s="233" t="n"/>
      <c r="D115" s="225" t="n"/>
      <c r="E115" s="225" t="n"/>
      <c r="F115" s="225" t="n"/>
    </row>
    <row r="116" ht="15" customHeight="1" s="131">
      <c r="A116" s="224" t="n"/>
      <c r="B116" s="225" t="n"/>
      <c r="C116" s="233" t="n"/>
      <c r="D116" s="225" t="n"/>
      <c r="E116" s="225" t="n"/>
      <c r="F116" s="225" t="n"/>
    </row>
    <row r="117" ht="15" customHeight="1" s="131">
      <c r="A117" s="224" t="n"/>
      <c r="B117" s="225" t="n"/>
      <c r="C117" s="233" t="n"/>
      <c r="D117" s="225" t="n"/>
      <c r="E117" s="225" t="n"/>
      <c r="F117" s="225" t="n"/>
    </row>
    <row r="118" ht="15" customHeight="1" s="131">
      <c r="A118" s="224" t="n"/>
      <c r="B118" s="225" t="n"/>
      <c r="C118" s="233" t="n"/>
      <c r="D118" s="225" t="n"/>
      <c r="E118" s="225" t="n"/>
      <c r="F118" s="225" t="n"/>
    </row>
    <row r="119" ht="15" customHeight="1" s="131">
      <c r="A119" s="224" t="n"/>
      <c r="B119" s="225" t="n"/>
      <c r="C119" s="233" t="n"/>
      <c r="D119" s="225" t="n"/>
      <c r="E119" s="225" t="n"/>
      <c r="F119" s="225" t="n"/>
    </row>
    <row r="120" ht="15" customHeight="1" s="131">
      <c r="A120" s="224" t="n"/>
      <c r="B120" s="225" t="n"/>
      <c r="C120" s="233" t="n"/>
      <c r="D120" s="225" t="n"/>
      <c r="E120" s="225" t="n"/>
      <c r="F120" s="225" t="n"/>
    </row>
    <row r="121" ht="15" customHeight="1" s="131">
      <c r="A121" s="224" t="n"/>
      <c r="B121" s="225" t="n"/>
      <c r="C121" s="233" t="n"/>
      <c r="D121" s="225" t="n"/>
      <c r="E121" s="225" t="n"/>
      <c r="F121" s="225" t="n"/>
    </row>
    <row r="122" ht="15" customHeight="1" s="131">
      <c r="A122" s="224" t="n"/>
      <c r="B122" s="225" t="n"/>
      <c r="C122" s="233" t="n"/>
      <c r="D122" s="225" t="n"/>
      <c r="E122" s="225" t="n"/>
      <c r="F122" s="225" t="n"/>
    </row>
    <row r="123" ht="15" customHeight="1" s="131">
      <c r="A123" s="224" t="n"/>
      <c r="B123" s="225" t="n"/>
      <c r="C123" s="233" t="n"/>
      <c r="D123" s="225" t="n"/>
      <c r="E123" s="225" t="n"/>
      <c r="F123" s="225" t="n"/>
    </row>
    <row r="124" ht="15" customHeight="1" s="131">
      <c r="A124" s="224" t="n"/>
      <c r="B124" s="225" t="n"/>
      <c r="C124" s="233" t="n"/>
      <c r="D124" s="225" t="n"/>
      <c r="E124" s="225" t="n"/>
      <c r="F124" s="225" t="n"/>
    </row>
    <row r="125" ht="15" customHeight="1" s="131">
      <c r="A125" s="224" t="n"/>
      <c r="B125" s="225" t="n"/>
      <c r="C125" s="233" t="n"/>
      <c r="D125" s="225" t="n"/>
      <c r="E125" s="225" t="n"/>
      <c r="F125" s="225" t="n"/>
    </row>
    <row r="126" ht="15" customHeight="1" s="131">
      <c r="A126" s="224" t="n"/>
      <c r="B126" s="225" t="n"/>
      <c r="C126" s="233" t="n"/>
      <c r="D126" s="225" t="n"/>
      <c r="E126" s="225" t="n"/>
      <c r="F126" s="225" t="n"/>
    </row>
    <row r="127" ht="15" customHeight="1" s="131">
      <c r="A127" s="224" t="n"/>
      <c r="B127" s="225" t="n"/>
      <c r="C127" s="233" t="n"/>
      <c r="D127" s="225" t="n"/>
      <c r="E127" s="225" t="n"/>
      <c r="F127" s="225" t="n"/>
    </row>
    <row r="128" ht="15" customHeight="1" s="131">
      <c r="A128" s="224" t="n"/>
      <c r="B128" s="225" t="n"/>
      <c r="C128" s="233" t="n"/>
      <c r="D128" s="225" t="n"/>
      <c r="E128" s="225" t="n"/>
      <c r="F128" s="225" t="n"/>
    </row>
    <row r="129" ht="15" customHeight="1" s="131">
      <c r="A129" s="224" t="n"/>
      <c r="B129" s="225" t="n"/>
      <c r="C129" s="233" t="n"/>
      <c r="D129" s="225" t="n"/>
      <c r="E129" s="225" t="n"/>
      <c r="F129" s="225" t="n"/>
    </row>
    <row r="130" ht="15" customHeight="1" s="131">
      <c r="A130" s="224" t="n"/>
      <c r="B130" s="225" t="n"/>
      <c r="C130" s="233" t="n"/>
      <c r="D130" s="225" t="n"/>
      <c r="E130" s="225" t="n"/>
      <c r="F130" s="225" t="n"/>
    </row>
    <row r="131" ht="15" customHeight="1" s="131">
      <c r="A131" s="224" t="n"/>
      <c r="B131" s="225" t="n"/>
      <c r="C131" s="233" t="n"/>
      <c r="D131" s="225" t="n"/>
      <c r="E131" s="225" t="n"/>
      <c r="F131" s="225" t="n"/>
    </row>
    <row r="132" ht="15" customHeight="1" s="131">
      <c r="A132" s="224" t="n"/>
      <c r="B132" s="225" t="n"/>
      <c r="C132" s="233" t="n"/>
      <c r="D132" s="225" t="n"/>
      <c r="E132" s="225" t="n"/>
      <c r="F132" s="225" t="n"/>
    </row>
    <row r="133" ht="15" customHeight="1" s="131">
      <c r="A133" s="224" t="n"/>
      <c r="B133" s="225" t="n"/>
      <c r="C133" s="233" t="n"/>
      <c r="D133" s="225" t="n"/>
      <c r="E133" s="225" t="n"/>
      <c r="F133" s="225" t="n"/>
    </row>
    <row r="134" ht="15" customHeight="1" s="131">
      <c r="A134" s="224" t="n"/>
      <c r="B134" s="225" t="n"/>
      <c r="C134" s="233" t="n"/>
      <c r="D134" s="225" t="n"/>
      <c r="E134" s="225" t="n"/>
      <c r="F134" s="225" t="n"/>
    </row>
    <row r="135" ht="15" customHeight="1" s="131">
      <c r="A135" s="224" t="n"/>
      <c r="B135" s="225" t="n"/>
      <c r="C135" s="233" t="n"/>
      <c r="D135" s="225" t="n"/>
      <c r="E135" s="225" t="n"/>
      <c r="F135" s="225" t="n"/>
    </row>
    <row r="136" ht="15" customHeight="1" s="131">
      <c r="A136" s="224" t="n"/>
      <c r="B136" s="225" t="n"/>
      <c r="C136" s="233" t="n"/>
      <c r="D136" s="225" t="n"/>
      <c r="E136" s="225" t="n"/>
      <c r="F136" s="225" t="n"/>
    </row>
    <row r="137" ht="15" customHeight="1" s="131">
      <c r="A137" s="224" t="n"/>
      <c r="B137" s="225" t="n"/>
      <c r="C137" s="233" t="n"/>
      <c r="D137" s="225" t="n"/>
      <c r="E137" s="225" t="n"/>
      <c r="F137" s="225" t="n"/>
    </row>
    <row r="138" ht="15" customHeight="1" s="131">
      <c r="A138" s="224" t="n"/>
      <c r="B138" s="225" t="n"/>
      <c r="C138" s="233" t="n"/>
      <c r="D138" s="225" t="n"/>
      <c r="E138" s="225" t="n"/>
      <c r="F138" s="225" t="n"/>
    </row>
    <row r="139" ht="15" customHeight="1" s="131">
      <c r="A139" s="224" t="n"/>
      <c r="B139" s="225" t="n"/>
      <c r="C139" s="233" t="n"/>
      <c r="D139" s="225" t="n"/>
      <c r="E139" s="225" t="n"/>
      <c r="F139" s="225" t="n"/>
    </row>
    <row r="140" ht="15" customHeight="1" s="131">
      <c r="A140" s="224" t="n"/>
      <c r="B140" s="225" t="n"/>
      <c r="C140" s="233" t="n"/>
      <c r="D140" s="225" t="n"/>
      <c r="E140" s="225" t="n"/>
      <c r="F140" s="225" t="n"/>
    </row>
    <row r="141" ht="15" customHeight="1" s="131">
      <c r="A141" s="224" t="n"/>
      <c r="B141" s="225" t="n"/>
      <c r="C141" s="233" t="n"/>
      <c r="D141" s="225" t="n"/>
      <c r="E141" s="225" t="n"/>
      <c r="F141" s="225" t="n"/>
    </row>
    <row r="142" ht="15" customHeight="1" s="131">
      <c r="A142" s="224" t="n"/>
      <c r="B142" s="225" t="n"/>
      <c r="C142" s="233" t="n"/>
      <c r="D142" s="225" t="n"/>
      <c r="E142" s="225" t="n"/>
      <c r="F142" s="225" t="n"/>
    </row>
    <row r="143" ht="15" customHeight="1" s="131">
      <c r="A143" s="224" t="n"/>
      <c r="B143" s="225" t="n"/>
      <c r="C143" s="233" t="n"/>
      <c r="D143" s="225" t="n"/>
      <c r="E143" s="225" t="n"/>
      <c r="F143" s="225" t="n"/>
    </row>
    <row r="144" ht="15" customHeight="1" s="131">
      <c r="A144" s="224" t="n"/>
      <c r="B144" s="225" t="n"/>
      <c r="C144" s="233" t="n"/>
      <c r="D144" s="225" t="n"/>
      <c r="E144" s="225" t="n"/>
      <c r="F144" s="225" t="n"/>
    </row>
    <row r="145" ht="15" customHeight="1" s="131">
      <c r="A145" s="224" t="n"/>
      <c r="B145" s="225" t="n"/>
      <c r="C145" s="233" t="n"/>
      <c r="D145" s="225" t="n"/>
      <c r="E145" s="225" t="n"/>
      <c r="F145" s="225" t="n"/>
    </row>
    <row r="146" ht="15" customHeight="1" s="131">
      <c r="A146" s="224" t="n"/>
      <c r="B146" s="225" t="n"/>
      <c r="C146" s="233" t="n"/>
      <c r="D146" s="225" t="n"/>
      <c r="E146" s="225" t="n"/>
      <c r="F146" s="225" t="n"/>
    </row>
    <row r="147" ht="15" customHeight="1" s="131">
      <c r="A147" s="224" t="n"/>
      <c r="B147" s="225" t="n"/>
      <c r="C147" s="233" t="n"/>
      <c r="D147" s="225" t="n"/>
      <c r="E147" s="225" t="n"/>
      <c r="F147" s="225" t="n"/>
    </row>
    <row r="148" ht="15" customHeight="1" s="131">
      <c r="A148" s="224" t="n"/>
      <c r="B148" s="225" t="n"/>
      <c r="C148" s="233" t="n"/>
      <c r="D148" s="225" t="n"/>
      <c r="E148" s="225" t="n"/>
      <c r="F148" s="225" t="n"/>
    </row>
    <row r="149" ht="15" customHeight="1" s="131">
      <c r="A149" s="224" t="n"/>
      <c r="B149" s="225" t="n"/>
      <c r="C149" s="233" t="n"/>
      <c r="D149" s="225" t="n"/>
      <c r="E149" s="225" t="n"/>
      <c r="F149" s="225" t="n"/>
    </row>
    <row r="150" ht="15" customHeight="1" s="131">
      <c r="A150" s="224" t="n"/>
      <c r="B150" s="225" t="n"/>
      <c r="C150" s="233" t="n"/>
      <c r="D150" s="225" t="n"/>
      <c r="E150" s="225" t="n"/>
      <c r="F150" s="225" t="n"/>
    </row>
    <row r="151" ht="15" customHeight="1" s="131">
      <c r="A151" s="224" t="n"/>
      <c r="B151" s="225" t="n"/>
      <c r="C151" s="233" t="n"/>
      <c r="D151" s="225" t="n"/>
      <c r="E151" s="225" t="n"/>
      <c r="F151" s="225" t="n"/>
    </row>
    <row r="152" ht="15" customHeight="1" s="131">
      <c r="A152" s="224" t="n"/>
      <c r="B152" s="225" t="n"/>
      <c r="C152" s="233" t="n"/>
      <c r="D152" s="225" t="n"/>
      <c r="E152" s="225" t="n"/>
      <c r="F152" s="225" t="n"/>
    </row>
    <row r="153" ht="15" customHeight="1" s="131">
      <c r="A153" s="224" t="n"/>
      <c r="B153" s="225" t="n"/>
      <c r="C153" s="233" t="n"/>
      <c r="D153" s="225" t="n"/>
      <c r="E153" s="225" t="n"/>
      <c r="F153" s="225" t="n"/>
    </row>
    <row r="154" ht="15" customHeight="1" s="131">
      <c r="A154" s="224" t="n"/>
      <c r="B154" s="225" t="n"/>
      <c r="C154" s="233" t="n"/>
      <c r="D154" s="225" t="n"/>
      <c r="E154" s="225" t="n"/>
      <c r="F154" s="225" t="n"/>
    </row>
    <row r="155" ht="15" customHeight="1" s="131">
      <c r="A155" s="224" t="n"/>
      <c r="B155" s="225" t="n"/>
      <c r="C155" s="233" t="n"/>
      <c r="D155" s="225" t="n"/>
      <c r="E155" s="225" t="n"/>
      <c r="F155" s="225" t="n"/>
    </row>
    <row r="156" ht="15" customHeight="1" s="131">
      <c r="A156" s="224" t="n"/>
      <c r="B156" s="225" t="n"/>
      <c r="C156" s="233" t="n"/>
      <c r="D156" s="225" t="n"/>
      <c r="E156" s="225" t="n"/>
      <c r="F156" s="225" t="n"/>
    </row>
    <row r="157" ht="15" customHeight="1" s="131">
      <c r="A157" s="224" t="n"/>
      <c r="B157" s="225" t="n"/>
      <c r="C157" s="233" t="n"/>
      <c r="D157" s="225" t="n"/>
      <c r="E157" s="225" t="n"/>
      <c r="F157" s="225" t="n"/>
    </row>
    <row r="158" ht="15" customHeight="1" s="131">
      <c r="A158" s="224" t="n"/>
      <c r="B158" s="225" t="n"/>
      <c r="C158" s="233" t="n"/>
      <c r="D158" s="225" t="n"/>
      <c r="E158" s="225" t="n"/>
      <c r="F158" s="225" t="n"/>
    </row>
    <row r="159" ht="15" customHeight="1" s="131">
      <c r="A159" s="224" t="n"/>
      <c r="B159" s="225" t="n"/>
      <c r="C159" s="233" t="n"/>
      <c r="D159" s="225" t="n"/>
      <c r="E159" s="225" t="n"/>
      <c r="F159" s="225" t="n"/>
    </row>
    <row r="160" ht="15" customHeight="1" s="131">
      <c r="A160" s="224" t="n"/>
      <c r="B160" s="225" t="n"/>
      <c r="C160" s="233" t="n"/>
      <c r="D160" s="225" t="n"/>
      <c r="E160" s="225" t="n"/>
      <c r="F160" s="225" t="n"/>
    </row>
    <row r="161" ht="15" customHeight="1" s="131">
      <c r="A161" s="224" t="n"/>
      <c r="B161" s="225" t="n"/>
      <c r="C161" s="233" t="n"/>
      <c r="D161" s="225" t="n"/>
      <c r="E161" s="225" t="n"/>
      <c r="F161" s="225" t="n"/>
    </row>
    <row r="162" ht="15" customHeight="1" s="131">
      <c r="A162" s="224" t="n"/>
      <c r="B162" s="225" t="n"/>
      <c r="C162" s="233" t="n"/>
      <c r="D162" s="225" t="n"/>
      <c r="E162" s="225" t="n"/>
      <c r="F162" s="225" t="n"/>
    </row>
    <row r="163" ht="15" customHeight="1" s="131">
      <c r="A163" s="224" t="n"/>
      <c r="B163" s="225" t="n"/>
      <c r="C163" s="233" t="n"/>
      <c r="D163" s="225" t="n"/>
      <c r="E163" s="225" t="n"/>
      <c r="F163" s="225" t="n"/>
    </row>
    <row r="164" ht="15" customHeight="1" s="131">
      <c r="A164" s="224" t="n"/>
      <c r="B164" s="225" t="n"/>
      <c r="C164" s="233" t="n"/>
      <c r="D164" s="225" t="n"/>
      <c r="E164" s="225" t="n"/>
      <c r="F164" s="225" t="n"/>
    </row>
    <row r="165" ht="15" customHeight="1" s="131">
      <c r="A165" s="224" t="n"/>
      <c r="B165" s="225" t="n"/>
      <c r="C165" s="233" t="n"/>
      <c r="D165" s="225" t="n"/>
      <c r="E165" s="225" t="n"/>
      <c r="F165" s="225" t="n"/>
    </row>
    <row r="166" ht="15" customHeight="1" s="131">
      <c r="A166" s="224" t="n"/>
      <c r="B166" s="225" t="n"/>
      <c r="C166" s="233" t="n"/>
      <c r="D166" s="225" t="n"/>
      <c r="E166" s="225" t="n"/>
      <c r="F166" s="225" t="n"/>
    </row>
    <row r="167" ht="15" customHeight="1" s="131">
      <c r="A167" s="224" t="n"/>
      <c r="B167" s="225" t="n"/>
      <c r="C167" s="233" t="n"/>
      <c r="D167" s="225" t="n"/>
      <c r="E167" s="225" t="n"/>
      <c r="F167" s="225" t="n"/>
    </row>
    <row r="168" ht="15" customHeight="1" s="131">
      <c r="A168" s="224" t="n"/>
      <c r="B168" s="225" t="n"/>
      <c r="C168" s="233" t="n"/>
      <c r="D168" s="225" t="n"/>
      <c r="E168" s="225" t="n"/>
      <c r="F168" s="225" t="n"/>
    </row>
    <row r="169" ht="15" customHeight="1" s="131">
      <c r="A169" s="224" t="n"/>
      <c r="B169" s="225" t="n"/>
      <c r="C169" s="233" t="n"/>
      <c r="D169" s="225" t="n"/>
      <c r="E169" s="225" t="n"/>
      <c r="F169" s="225" t="n"/>
    </row>
    <row r="170" ht="15" customHeight="1" s="131">
      <c r="A170" s="224" t="n"/>
      <c r="B170" s="225" t="n"/>
      <c r="C170" s="233" t="n"/>
      <c r="D170" s="225" t="n"/>
      <c r="E170" s="225" t="n"/>
      <c r="F170" s="225" t="n"/>
    </row>
    <row r="171" ht="15" customHeight="1" s="131">
      <c r="A171" s="224" t="n"/>
      <c r="B171" s="225" t="n"/>
      <c r="C171" s="233" t="n"/>
      <c r="D171" s="225" t="n"/>
      <c r="E171" s="225" t="n"/>
      <c r="F171" s="225" t="n"/>
    </row>
    <row r="172" ht="15" customHeight="1" s="131">
      <c r="A172" s="224" t="n"/>
      <c r="B172" s="225" t="n"/>
      <c r="C172" s="233" t="n"/>
      <c r="D172" s="225" t="n"/>
      <c r="E172" s="225" t="n"/>
      <c r="F172" s="225" t="n"/>
    </row>
    <row r="173" ht="15" customHeight="1" s="131">
      <c r="A173" s="224" t="n"/>
      <c r="B173" s="225" t="n"/>
      <c r="C173" s="233" t="n"/>
      <c r="D173" s="225" t="n"/>
      <c r="E173" s="225" t="n"/>
      <c r="F173" s="225" t="n"/>
    </row>
    <row r="174" ht="15" customHeight="1" s="131">
      <c r="A174" s="224" t="n"/>
      <c r="B174" s="225" t="n"/>
      <c r="C174" s="233" t="n"/>
      <c r="D174" s="225" t="n"/>
      <c r="E174" s="225" t="n"/>
      <c r="F174" s="225" t="n"/>
    </row>
    <row r="175" ht="15" customHeight="1" s="131">
      <c r="A175" s="224" t="n"/>
      <c r="B175" s="225" t="n"/>
      <c r="C175" s="233" t="n"/>
      <c r="D175" s="225" t="n"/>
      <c r="E175" s="225" t="n"/>
      <c r="F175" s="225" t="n"/>
    </row>
    <row r="176" ht="15" customHeight="1" s="131">
      <c r="A176" s="224" t="n"/>
      <c r="B176" s="225" t="n"/>
      <c r="C176" s="233" t="n"/>
      <c r="D176" s="225" t="n"/>
      <c r="E176" s="225" t="n"/>
      <c r="F176" s="225" t="n"/>
    </row>
    <row r="177" ht="15" customHeight="1" s="131">
      <c r="A177" s="224" t="n"/>
      <c r="B177" s="225" t="n"/>
      <c r="C177" s="233" t="n"/>
      <c r="D177" s="225" t="n"/>
      <c r="E177" s="225" t="n"/>
      <c r="F177" s="225" t="n"/>
    </row>
    <row r="178" ht="15" customHeight="1" s="131">
      <c r="A178" s="224" t="n"/>
      <c r="B178" s="225" t="n"/>
      <c r="C178" s="233" t="n"/>
      <c r="D178" s="225" t="n"/>
      <c r="E178" s="225" t="n"/>
      <c r="F178" s="225" t="n"/>
    </row>
    <row r="179" ht="15" customHeight="1" s="131">
      <c r="A179" s="224" t="n"/>
      <c r="B179" s="225" t="n"/>
      <c r="C179" s="233" t="n"/>
      <c r="D179" s="225" t="n"/>
      <c r="E179" s="225" t="n"/>
      <c r="F179" s="225" t="n"/>
    </row>
    <row r="180" ht="15" customHeight="1" s="131">
      <c r="A180" s="224" t="n"/>
      <c r="B180" s="225" t="n"/>
      <c r="C180" s="233" t="n"/>
      <c r="D180" s="225" t="n"/>
      <c r="E180" s="225" t="n"/>
      <c r="F180" s="225" t="n"/>
    </row>
    <row r="181" ht="15" customHeight="1" s="131">
      <c r="A181" s="224" t="n"/>
      <c r="B181" s="225" t="n"/>
      <c r="C181" s="233" t="n"/>
      <c r="D181" s="225" t="n"/>
      <c r="E181" s="225" t="n"/>
      <c r="F181" s="225" t="n"/>
    </row>
    <row r="182" ht="15" customHeight="1" s="131">
      <c r="A182" s="224" t="n"/>
      <c r="B182" s="225" t="n"/>
      <c r="C182" s="233" t="n"/>
      <c r="D182" s="225" t="n"/>
      <c r="E182" s="225" t="n"/>
      <c r="F182" s="225" t="n"/>
    </row>
    <row r="183" ht="15" customHeight="1" s="131">
      <c r="A183" s="224" t="n"/>
      <c r="B183" s="225" t="n"/>
      <c r="C183" s="233" t="n"/>
      <c r="D183" s="225" t="n"/>
      <c r="E183" s="225" t="n"/>
      <c r="F183" s="225" t="n"/>
    </row>
    <row r="184" ht="15" customHeight="1" s="131">
      <c r="A184" s="224" t="n"/>
      <c r="B184" s="225" t="n"/>
      <c r="C184" s="233" t="n"/>
      <c r="D184" s="225" t="n"/>
      <c r="E184" s="225" t="n"/>
      <c r="F184" s="225" t="n"/>
    </row>
    <row r="185" ht="15" customHeight="1" s="131">
      <c r="A185" s="224" t="n"/>
      <c r="B185" s="225" t="n"/>
      <c r="C185" s="233" t="n"/>
      <c r="D185" s="225" t="n"/>
      <c r="E185" s="225" t="n"/>
      <c r="F185" s="225" t="n"/>
    </row>
    <row r="186" ht="15" customHeight="1" s="131">
      <c r="A186" s="224" t="n"/>
      <c r="B186" s="225" t="n"/>
      <c r="C186" s="233" t="n"/>
      <c r="D186" s="225" t="n"/>
      <c r="E186" s="225" t="n"/>
      <c r="F186" s="225" t="n"/>
    </row>
    <row r="187" ht="15" customHeight="1" s="131">
      <c r="A187" s="224" t="n"/>
      <c r="B187" s="225" t="n"/>
      <c r="C187" s="233" t="n"/>
      <c r="D187" s="225" t="n"/>
      <c r="E187" s="225" t="n"/>
      <c r="F187" s="225" t="n"/>
    </row>
    <row r="188" ht="15" customHeight="1" s="131">
      <c r="A188" s="224" t="n"/>
      <c r="B188" s="225" t="n"/>
      <c r="C188" s="233" t="n"/>
      <c r="D188" s="225" t="n"/>
      <c r="E188" s="225" t="n"/>
      <c r="F188" s="225" t="n"/>
    </row>
    <row r="189" ht="15" customHeight="1" s="131">
      <c r="A189" s="224" t="n"/>
      <c r="B189" s="225" t="n"/>
      <c r="C189" s="233" t="n"/>
      <c r="D189" s="225" t="n"/>
      <c r="E189" s="225" t="n"/>
      <c r="F189" s="225" t="n"/>
    </row>
    <row r="190" ht="15" customHeight="1" s="131">
      <c r="A190" s="224" t="n"/>
      <c r="B190" s="225" t="n"/>
      <c r="C190" s="233" t="n"/>
      <c r="D190" s="225" t="n"/>
      <c r="E190" s="225" t="n"/>
      <c r="F190" s="225" t="n"/>
    </row>
    <row r="191" ht="15" customHeight="1" s="131">
      <c r="A191" s="224" t="n"/>
      <c r="B191" s="225" t="n"/>
      <c r="C191" s="233" t="n"/>
      <c r="D191" s="225" t="n"/>
      <c r="E191" s="225" t="n"/>
      <c r="F191" s="225" t="n"/>
    </row>
    <row r="192" ht="15" customHeight="1" s="131">
      <c r="A192" s="224" t="n"/>
      <c r="B192" s="225" t="n"/>
      <c r="C192" s="233" t="n"/>
      <c r="D192" s="225" t="n"/>
      <c r="E192" s="225" t="n"/>
      <c r="F192" s="225" t="n"/>
    </row>
    <row r="193" ht="15" customHeight="1" s="131">
      <c r="A193" s="224" t="n"/>
      <c r="B193" s="225" t="n"/>
      <c r="C193" s="233" t="n"/>
      <c r="D193" s="225" t="n"/>
      <c r="E193" s="225" t="n"/>
      <c r="F193" s="225" t="n"/>
    </row>
    <row r="194" ht="15" customHeight="1" s="131">
      <c r="A194" s="224" t="n"/>
      <c r="B194" s="225" t="n"/>
      <c r="C194" s="233" t="n"/>
      <c r="D194" s="225" t="n"/>
      <c r="E194" s="225" t="n"/>
      <c r="F194" s="225" t="n"/>
    </row>
    <row r="195" ht="15" customHeight="1" s="131">
      <c r="A195" s="224" t="n"/>
      <c r="B195" s="225" t="n"/>
      <c r="C195" s="233" t="n"/>
      <c r="D195" s="225" t="n"/>
      <c r="E195" s="225" t="n"/>
      <c r="F195" s="225" t="n"/>
    </row>
    <row r="196" ht="15" customHeight="1" s="131">
      <c r="A196" s="224" t="n"/>
      <c r="B196" s="225" t="n"/>
      <c r="C196" s="233" t="n"/>
      <c r="D196" s="225" t="n"/>
      <c r="E196" s="225" t="n"/>
      <c r="F196" s="225" t="n"/>
    </row>
    <row r="197" ht="15" customHeight="1" s="131">
      <c r="A197" s="224" t="n"/>
      <c r="B197" s="225" t="n"/>
      <c r="C197" s="233" t="n"/>
      <c r="D197" s="225" t="n"/>
      <c r="E197" s="225" t="n"/>
      <c r="F197" s="225" t="n"/>
    </row>
    <row r="198" ht="15" customHeight="1" s="131">
      <c r="A198" s="224" t="n"/>
      <c r="B198" s="225" t="n"/>
      <c r="C198" s="233" t="n"/>
      <c r="D198" s="225" t="n"/>
      <c r="E198" s="225" t="n"/>
      <c r="F198" s="225" t="n"/>
    </row>
    <row r="199" ht="15" customHeight="1" s="131">
      <c r="A199" s="224" t="n"/>
      <c r="B199" s="225" t="n"/>
      <c r="C199" s="233" t="n"/>
      <c r="D199" s="225" t="n"/>
      <c r="E199" s="225" t="n"/>
      <c r="F199" s="225" t="n"/>
    </row>
    <row r="200" ht="15" customHeight="1" s="131">
      <c r="A200" s="224" t="n"/>
      <c r="B200" s="225" t="n"/>
      <c r="C200" s="233" t="n"/>
      <c r="D200" s="225" t="n"/>
      <c r="E200" s="225" t="n"/>
      <c r="F200" s="225" t="n"/>
    </row>
    <row r="201" ht="15" customHeight="1" s="131">
      <c r="A201" s="224" t="n"/>
      <c r="B201" s="225" t="n"/>
      <c r="C201" s="233" t="n"/>
      <c r="D201" s="225" t="n"/>
      <c r="E201" s="225" t="n"/>
      <c r="F201" s="225" t="n"/>
    </row>
    <row r="202" ht="15" customHeight="1" s="131">
      <c r="A202" s="224" t="n"/>
      <c r="B202" s="225" t="n"/>
      <c r="C202" s="233" t="n"/>
      <c r="D202" s="225" t="n"/>
      <c r="E202" s="225" t="n"/>
      <c r="F202" s="225" t="n"/>
    </row>
    <row r="203" ht="15" customHeight="1" s="131">
      <c r="A203" s="224" t="n"/>
      <c r="B203" s="225" t="n"/>
      <c r="C203" s="233" t="n"/>
      <c r="D203" s="225" t="n"/>
      <c r="E203" s="225" t="n"/>
      <c r="F203" s="225" t="n"/>
    </row>
    <row r="204" ht="15" customHeight="1" s="131">
      <c r="A204" s="224" t="n"/>
      <c r="B204" s="225" t="n"/>
      <c r="C204" s="233" t="n"/>
      <c r="D204" s="225" t="n"/>
      <c r="E204" s="225" t="n"/>
      <c r="F204" s="225" t="n"/>
    </row>
    <row r="205" ht="15" customHeight="1" s="131">
      <c r="A205" s="224" t="n"/>
      <c r="B205" s="225" t="n"/>
      <c r="C205" s="233" t="n"/>
      <c r="D205" s="225" t="n"/>
      <c r="E205" s="225" t="n"/>
      <c r="F205" s="225" t="n"/>
    </row>
    <row r="206" ht="15" customHeight="1" s="131">
      <c r="A206" s="224" t="n"/>
      <c r="B206" s="225" t="n"/>
      <c r="C206" s="233" t="n"/>
      <c r="D206" s="225" t="n"/>
      <c r="E206" s="225" t="n"/>
      <c r="F206" s="225" t="n"/>
    </row>
    <row r="207" ht="15" customHeight="1" s="131">
      <c r="A207" s="224" t="n"/>
      <c r="B207" s="225" t="n"/>
      <c r="C207" s="233" t="n"/>
      <c r="D207" s="225" t="n"/>
      <c r="E207" s="225" t="n"/>
      <c r="F207" s="225" t="n"/>
    </row>
    <row r="208" ht="15" customHeight="1" s="131">
      <c r="A208" s="224" t="n"/>
      <c r="B208" s="225" t="n"/>
      <c r="C208" s="233" t="n"/>
      <c r="D208" s="225" t="n"/>
      <c r="E208" s="225" t="n"/>
      <c r="F208" s="225" t="n"/>
    </row>
    <row r="209" ht="15" customHeight="1" s="131">
      <c r="A209" s="224" t="n"/>
      <c r="B209" s="225" t="n"/>
      <c r="C209" s="233" t="n"/>
      <c r="D209" s="225" t="n"/>
      <c r="E209" s="225" t="n"/>
      <c r="F209" s="225" t="n"/>
    </row>
    <row r="210" ht="15" customHeight="1" s="131">
      <c r="A210" s="224" t="n"/>
      <c r="B210" s="225" t="n"/>
      <c r="C210" s="233" t="n"/>
      <c r="D210" s="225" t="n"/>
      <c r="E210" s="225" t="n"/>
      <c r="F210" s="225" t="n"/>
    </row>
    <row r="211" ht="15" customHeight="1" s="131">
      <c r="A211" s="224" t="n"/>
      <c r="B211" s="225" t="n"/>
      <c r="C211" s="233" t="n"/>
      <c r="D211" s="225" t="n"/>
      <c r="E211" s="225" t="n"/>
      <c r="F211" s="225" t="n"/>
    </row>
    <row r="212" ht="15" customHeight="1" s="131">
      <c r="A212" s="224" t="n"/>
      <c r="B212" s="225" t="n"/>
      <c r="C212" s="233" t="n"/>
      <c r="D212" s="225" t="n"/>
      <c r="E212" s="225" t="n"/>
      <c r="F212" s="225" t="n"/>
    </row>
    <row r="213" ht="15" customHeight="1" s="131">
      <c r="A213" s="224" t="n"/>
      <c r="B213" s="225" t="n"/>
      <c r="C213" s="233" t="n"/>
      <c r="D213" s="225" t="n"/>
      <c r="E213" s="225" t="n"/>
      <c r="F213" s="225" t="n"/>
    </row>
    <row r="214" ht="15" customHeight="1" s="131">
      <c r="A214" s="224" t="n"/>
      <c r="B214" s="225" t="n"/>
      <c r="C214" s="233" t="n"/>
      <c r="D214" s="225" t="n"/>
      <c r="E214" s="225" t="n"/>
      <c r="F214" s="225" t="n"/>
    </row>
    <row r="215" ht="15" customHeight="1" s="131">
      <c r="A215" s="224" t="n"/>
      <c r="B215" s="225" t="n"/>
      <c r="C215" s="233" t="n"/>
      <c r="D215" s="225" t="n"/>
      <c r="E215" s="225" t="n"/>
      <c r="F215" s="225" t="n"/>
    </row>
    <row r="216" ht="15" customHeight="1" s="131">
      <c r="A216" s="224" t="n"/>
      <c r="B216" s="225" t="n"/>
      <c r="C216" s="233" t="n"/>
      <c r="D216" s="225" t="n"/>
      <c r="E216" s="225" t="n"/>
      <c r="F216" s="225" t="n"/>
    </row>
    <row r="217" ht="15" customHeight="1" s="131">
      <c r="A217" s="224" t="n"/>
      <c r="B217" s="225" t="n"/>
      <c r="C217" s="233" t="n"/>
      <c r="D217" s="225" t="n"/>
      <c r="E217" s="225" t="n"/>
      <c r="F217" s="225" t="n"/>
    </row>
    <row r="218" ht="15" customHeight="1" s="131">
      <c r="A218" s="224" t="n"/>
      <c r="B218" s="225" t="n"/>
      <c r="C218" s="233" t="n"/>
      <c r="D218" s="225" t="n"/>
      <c r="E218" s="225" t="n"/>
      <c r="F218" s="225" t="n"/>
    </row>
    <row r="219" ht="15" customHeight="1" s="131">
      <c r="A219" s="224" t="n"/>
      <c r="B219" s="225" t="n"/>
      <c r="C219" s="233" t="n"/>
      <c r="D219" s="225" t="n"/>
      <c r="E219" s="225" t="n"/>
      <c r="F219" s="225" t="n"/>
    </row>
    <row r="220" ht="15" customHeight="1" s="131">
      <c r="A220" s="224" t="n"/>
      <c r="B220" s="225" t="n"/>
      <c r="C220" s="233" t="n"/>
      <c r="D220" s="225" t="n"/>
      <c r="E220" s="225" t="n"/>
      <c r="F220" s="225" t="n"/>
    </row>
    <row r="221" ht="15" customHeight="1" s="131">
      <c r="A221" s="224" t="n"/>
      <c r="B221" s="225" t="n"/>
      <c r="C221" s="233" t="n"/>
      <c r="D221" s="225" t="n"/>
      <c r="E221" s="225" t="n"/>
      <c r="F221" s="225" t="n"/>
    </row>
    <row r="222" ht="15" customHeight="1" s="131">
      <c r="A222" s="224" t="n"/>
      <c r="B222" s="225" t="n"/>
      <c r="C222" s="233" t="n"/>
      <c r="D222" s="225" t="n"/>
      <c r="E222" s="225" t="n"/>
      <c r="F222" s="225" t="n"/>
    </row>
    <row r="223" ht="15" customHeight="1" s="131">
      <c r="A223" s="224" t="n"/>
      <c r="B223" s="225" t="n"/>
      <c r="C223" s="233" t="n"/>
      <c r="D223" s="225" t="n"/>
      <c r="E223" s="225" t="n"/>
      <c r="F223" s="225" t="n"/>
    </row>
    <row r="224" ht="15" customHeight="1" s="131">
      <c r="A224" s="224" t="n"/>
      <c r="B224" s="225" t="n"/>
      <c r="C224" s="233" t="n"/>
      <c r="D224" s="225" t="n"/>
      <c r="E224" s="225" t="n"/>
      <c r="F224" s="225" t="n"/>
    </row>
    <row r="225" ht="15" customHeight="1" s="131">
      <c r="A225" s="224" t="n"/>
      <c r="B225" s="225" t="n"/>
      <c r="C225" s="233" t="n"/>
      <c r="D225" s="225" t="n"/>
      <c r="E225" s="225" t="n"/>
      <c r="F225" s="225" t="n"/>
    </row>
    <row r="226" ht="15" customHeight="1" s="131">
      <c r="A226" s="224" t="n"/>
      <c r="B226" s="225" t="n"/>
      <c r="C226" s="233" t="n"/>
      <c r="D226" s="225" t="n"/>
      <c r="E226" s="225" t="n"/>
      <c r="F226" s="225" t="n"/>
    </row>
    <row r="227" ht="15" customHeight="1" s="131">
      <c r="A227" s="224" t="n"/>
      <c r="B227" s="225" t="n"/>
      <c r="C227" s="233" t="n"/>
      <c r="D227" s="225" t="n"/>
      <c r="E227" s="225" t="n"/>
      <c r="F227" s="225" t="n"/>
    </row>
    <row r="228" ht="15" customHeight="1" s="131">
      <c r="A228" s="224" t="n"/>
      <c r="B228" s="225" t="n"/>
      <c r="C228" s="233" t="n"/>
      <c r="D228" s="225" t="n"/>
      <c r="E228" s="225" t="n"/>
      <c r="F228" s="225" t="n"/>
    </row>
    <row r="229" ht="15" customHeight="1" s="131">
      <c r="A229" s="224" t="n"/>
      <c r="B229" s="225" t="n"/>
      <c r="C229" s="233" t="n"/>
      <c r="D229" s="225" t="n"/>
      <c r="E229" s="225" t="n"/>
      <c r="F229" s="225" t="n"/>
    </row>
    <row r="230" ht="15" customHeight="1" s="131">
      <c r="A230" s="224" t="n"/>
      <c r="B230" s="225" t="n"/>
      <c r="C230" s="233" t="n"/>
      <c r="D230" s="225" t="n"/>
      <c r="E230" s="225" t="n"/>
      <c r="F230" s="225" t="n"/>
    </row>
    <row r="231" ht="15" customHeight="1" s="131">
      <c r="A231" s="224" t="n"/>
      <c r="B231" s="225" t="n"/>
      <c r="C231" s="233" t="n"/>
      <c r="D231" s="225" t="n"/>
      <c r="E231" s="225" t="n"/>
      <c r="F231" s="225" t="n"/>
    </row>
    <row r="232" ht="15" customHeight="1" s="131">
      <c r="A232" s="224" t="n"/>
      <c r="B232" s="225" t="n"/>
      <c r="C232" s="233" t="n"/>
      <c r="D232" s="225" t="n"/>
      <c r="E232" s="225" t="n"/>
      <c r="F232" s="225" t="n"/>
    </row>
    <row r="233" ht="15" customHeight="1" s="131">
      <c r="A233" s="224" t="n"/>
      <c r="B233" s="225" t="n"/>
      <c r="C233" s="233" t="n"/>
      <c r="D233" s="225" t="n"/>
      <c r="E233" s="225" t="n"/>
      <c r="F233" s="225" t="n"/>
    </row>
    <row r="234" ht="15" customHeight="1" s="131">
      <c r="A234" s="224" t="n"/>
      <c r="B234" s="225" t="n"/>
      <c r="C234" s="233" t="n"/>
      <c r="D234" s="225" t="n"/>
      <c r="E234" s="225" t="n"/>
      <c r="F234" s="225" t="n"/>
    </row>
    <row r="235" ht="15" customHeight="1" s="131">
      <c r="A235" s="224" t="n"/>
      <c r="B235" s="225" t="n"/>
      <c r="C235" s="233" t="n"/>
      <c r="D235" s="225" t="n"/>
      <c r="E235" s="225" t="n"/>
      <c r="F235" s="225" t="n"/>
    </row>
    <row r="236" ht="15" customHeight="1" s="131">
      <c r="A236" s="224" t="n"/>
      <c r="B236" s="225" t="n"/>
      <c r="C236" s="233" t="n"/>
      <c r="D236" s="225" t="n"/>
      <c r="E236" s="225" t="n"/>
      <c r="F236" s="225" t="n"/>
    </row>
    <row r="237" ht="15" customHeight="1" s="131">
      <c r="A237" s="224" t="n"/>
      <c r="B237" s="225" t="n"/>
      <c r="C237" s="233" t="n"/>
      <c r="D237" s="225" t="n"/>
      <c r="E237" s="225" t="n"/>
      <c r="F237" s="225" t="n"/>
    </row>
    <row r="238" ht="15" customHeight="1" s="131">
      <c r="A238" s="224" t="n"/>
      <c r="B238" s="225" t="n"/>
      <c r="C238" s="233" t="n"/>
      <c r="D238" s="225" t="n"/>
      <c r="E238" s="225" t="n"/>
      <c r="F238" s="225" t="n"/>
    </row>
    <row r="239" ht="15" customHeight="1" s="131">
      <c r="A239" s="224" t="n"/>
      <c r="B239" s="225" t="n"/>
      <c r="C239" s="233" t="n"/>
      <c r="D239" s="225" t="n"/>
      <c r="E239" s="225" t="n"/>
      <c r="F239" s="225" t="n"/>
    </row>
    <row r="240" ht="15" customHeight="1" s="131">
      <c r="A240" s="224" t="n"/>
      <c r="B240" s="225" t="n"/>
      <c r="C240" s="233" t="n"/>
      <c r="D240" s="225" t="n"/>
      <c r="E240" s="225" t="n"/>
      <c r="F240" s="225" t="n"/>
    </row>
    <row r="241" ht="15" customHeight="1" s="131">
      <c r="A241" s="224" t="n"/>
      <c r="B241" s="225" t="n"/>
      <c r="C241" s="233" t="n"/>
      <c r="D241" s="225" t="n"/>
      <c r="E241" s="225" t="n"/>
      <c r="F241" s="225" t="n"/>
    </row>
    <row r="242" ht="15" customHeight="1" s="131">
      <c r="A242" s="224" t="n"/>
      <c r="B242" s="225" t="n"/>
      <c r="C242" s="233" t="n"/>
      <c r="D242" s="225" t="n"/>
      <c r="E242" s="225" t="n"/>
      <c r="F242" s="225" t="n"/>
    </row>
    <row r="243" ht="15" customHeight="1" s="131">
      <c r="A243" s="224" t="n"/>
      <c r="B243" s="225" t="n"/>
      <c r="C243" s="233" t="n"/>
      <c r="D243" s="225" t="n"/>
      <c r="E243" s="225" t="n"/>
      <c r="F243" s="225" t="n"/>
    </row>
    <row r="244" ht="15" customHeight="1" s="131">
      <c r="A244" s="224" t="n"/>
      <c r="B244" s="225" t="n"/>
      <c r="C244" s="233" t="n"/>
      <c r="D244" s="225" t="n"/>
      <c r="E244" s="225" t="n"/>
      <c r="F244" s="225" t="n"/>
    </row>
    <row r="245" ht="15" customHeight="1" s="131">
      <c r="A245" s="224" t="n"/>
      <c r="B245" s="225" t="n"/>
      <c r="C245" s="233" t="n"/>
      <c r="D245" s="225" t="n"/>
      <c r="E245" s="225" t="n"/>
      <c r="F245" s="225" t="n"/>
    </row>
    <row r="246" ht="15" customHeight="1" s="131">
      <c r="A246" s="224" t="n"/>
      <c r="B246" s="225" t="n"/>
      <c r="C246" s="233" t="n"/>
      <c r="D246" s="225" t="n"/>
      <c r="E246" s="225" t="n"/>
      <c r="F246" s="225" t="n"/>
    </row>
    <row r="247" ht="15" customHeight="1" s="131">
      <c r="A247" s="224" t="n"/>
      <c r="B247" s="225" t="n"/>
      <c r="C247" s="233" t="n"/>
      <c r="D247" s="225" t="n"/>
      <c r="E247" s="225" t="n"/>
      <c r="F247" s="225" t="n"/>
    </row>
    <row r="248" ht="15" customHeight="1" s="131">
      <c r="A248" s="224" t="n"/>
      <c r="B248" s="225" t="n"/>
      <c r="C248" s="233" t="n"/>
      <c r="D248" s="225" t="n"/>
      <c r="E248" s="225" t="n"/>
      <c r="F248" s="225" t="n"/>
    </row>
    <row r="249" ht="15" customHeight="1" s="131">
      <c r="A249" s="224" t="n"/>
      <c r="B249" s="225" t="n"/>
      <c r="C249" s="233" t="n"/>
      <c r="D249" s="225" t="n"/>
      <c r="E249" s="225" t="n"/>
      <c r="F249" s="225" t="n"/>
    </row>
    <row r="250" ht="15" customHeight="1" s="131">
      <c r="A250" s="224" t="n"/>
      <c r="B250" s="225" t="n"/>
      <c r="C250" s="233" t="n"/>
      <c r="D250" s="225" t="n"/>
      <c r="E250" s="225" t="n"/>
      <c r="F250" s="225" t="n"/>
    </row>
    <row r="251" ht="15" customHeight="1" s="131">
      <c r="A251" s="224" t="n"/>
      <c r="B251" s="225" t="n"/>
      <c r="C251" s="233" t="n"/>
      <c r="D251" s="225" t="n"/>
      <c r="E251" s="225" t="n"/>
      <c r="F251" s="225" t="n"/>
    </row>
    <row r="252" ht="15" customHeight="1" s="131">
      <c r="A252" s="224" t="n"/>
      <c r="B252" s="225" t="n"/>
      <c r="C252" s="233" t="n"/>
      <c r="D252" s="225" t="n"/>
      <c r="E252" s="225" t="n"/>
      <c r="F252" s="225" t="n"/>
    </row>
    <row r="253" ht="15" customHeight="1" s="131">
      <c r="A253" s="224" t="n"/>
      <c r="B253" s="225" t="n"/>
      <c r="C253" s="233" t="n"/>
      <c r="D253" s="225" t="n"/>
      <c r="E253" s="225" t="n"/>
      <c r="F253" s="225" t="n"/>
    </row>
    <row r="254" ht="15" customHeight="1" s="131">
      <c r="A254" s="224" t="n"/>
      <c r="B254" s="225" t="n"/>
      <c r="C254" s="233" t="n"/>
      <c r="D254" s="225" t="n"/>
      <c r="E254" s="225" t="n"/>
      <c r="F254" s="225" t="n"/>
    </row>
    <row r="255" ht="15" customHeight="1" s="131">
      <c r="A255" s="224" t="n"/>
      <c r="B255" s="225" t="n"/>
      <c r="C255" s="233" t="n"/>
      <c r="D255" s="225" t="n"/>
      <c r="E255" s="225" t="n"/>
      <c r="F255" s="225" t="n"/>
    </row>
    <row r="256" ht="15" customHeight="1" s="131">
      <c r="A256" s="224" t="n"/>
      <c r="B256" s="225" t="n"/>
      <c r="C256" s="233" t="n"/>
      <c r="D256" s="225" t="n"/>
      <c r="E256" s="225" t="n"/>
      <c r="F256" s="225" t="n"/>
    </row>
    <row r="257" ht="15" customHeight="1" s="131">
      <c r="A257" s="224" t="n"/>
      <c r="B257" s="225" t="n"/>
      <c r="C257" s="233" t="n"/>
      <c r="D257" s="225" t="n"/>
      <c r="E257" s="225" t="n"/>
      <c r="F257" s="225" t="n"/>
    </row>
    <row r="258" ht="15" customHeight="1" s="131">
      <c r="A258" s="224" t="n"/>
      <c r="B258" s="225" t="n"/>
      <c r="C258" s="233" t="n"/>
      <c r="D258" s="225" t="n"/>
      <c r="E258" s="225" t="n"/>
      <c r="F258" s="225" t="n"/>
    </row>
    <row r="259" ht="15" customHeight="1" s="131">
      <c r="A259" s="224" t="n"/>
      <c r="B259" s="225" t="n"/>
      <c r="C259" s="233" t="n"/>
      <c r="D259" s="225" t="n"/>
      <c r="E259" s="225" t="n"/>
      <c r="F259" s="225" t="n"/>
    </row>
    <row r="260" ht="15" customHeight="1" s="131">
      <c r="A260" s="224" t="n"/>
      <c r="B260" s="225" t="n"/>
      <c r="C260" s="233" t="n"/>
      <c r="D260" s="225" t="n"/>
      <c r="E260" s="225" t="n"/>
      <c r="F260" s="225" t="n"/>
    </row>
    <row r="261" ht="15" customHeight="1" s="131">
      <c r="A261" s="224" t="n"/>
      <c r="B261" s="225" t="n"/>
      <c r="C261" s="233" t="n"/>
      <c r="D261" s="225" t="n"/>
      <c r="E261" s="225" t="n"/>
      <c r="F261" s="225" t="n"/>
    </row>
    <row r="262" ht="15" customHeight="1" s="131">
      <c r="A262" s="224" t="n"/>
      <c r="B262" s="225" t="n"/>
      <c r="C262" s="233" t="n"/>
      <c r="D262" s="225" t="n"/>
      <c r="E262" s="225" t="n"/>
      <c r="F262" s="225" t="n"/>
    </row>
    <row r="263" ht="15" customHeight="1" s="131">
      <c r="A263" s="224" t="n"/>
      <c r="B263" s="225" t="n"/>
      <c r="C263" s="233" t="n"/>
      <c r="D263" s="225" t="n"/>
      <c r="E263" s="225" t="n"/>
      <c r="F263" s="225" t="n"/>
    </row>
    <row r="264" ht="15" customHeight="1" s="131">
      <c r="A264" s="224" t="n"/>
      <c r="B264" s="225" t="n"/>
      <c r="C264" s="233" t="n"/>
      <c r="D264" s="225" t="n"/>
      <c r="E264" s="225" t="n"/>
      <c r="F264" s="225" t="n"/>
    </row>
    <row r="265" ht="15" customHeight="1" s="131">
      <c r="A265" s="224" t="n"/>
      <c r="B265" s="225" t="n"/>
      <c r="C265" s="233" t="n"/>
      <c r="D265" s="225" t="n"/>
      <c r="E265" s="225" t="n"/>
      <c r="F265" s="225" t="n"/>
    </row>
    <row r="266" ht="15" customHeight="1" s="131">
      <c r="A266" s="224" t="n"/>
      <c r="B266" s="225" t="n"/>
      <c r="C266" s="233" t="n"/>
      <c r="D266" s="225" t="n"/>
      <c r="E266" s="225" t="n"/>
      <c r="F266" s="225" t="n"/>
    </row>
    <row r="267" ht="15" customHeight="1" s="131">
      <c r="A267" s="224" t="n"/>
      <c r="B267" s="225" t="n"/>
      <c r="C267" s="233" t="n"/>
      <c r="D267" s="225" t="n"/>
      <c r="E267" s="225" t="n"/>
      <c r="F267" s="225" t="n"/>
    </row>
    <row r="268" ht="15" customHeight="1" s="131">
      <c r="A268" s="224" t="n"/>
      <c r="B268" s="225" t="n"/>
      <c r="C268" s="233" t="n"/>
      <c r="D268" s="225" t="n"/>
      <c r="E268" s="225" t="n"/>
      <c r="F268" s="225" t="n"/>
    </row>
    <row r="269" ht="15" customHeight="1" s="131">
      <c r="A269" s="224" t="n"/>
      <c r="B269" s="225" t="n"/>
      <c r="C269" s="233" t="n"/>
      <c r="D269" s="225" t="n"/>
      <c r="E269" s="225" t="n"/>
      <c r="F269" s="225" t="n"/>
    </row>
    <row r="270" ht="15" customHeight="1" s="131">
      <c r="A270" s="224" t="n"/>
      <c r="B270" s="225" t="n"/>
      <c r="C270" s="233" t="n"/>
      <c r="D270" s="225" t="n"/>
      <c r="E270" s="225" t="n"/>
      <c r="F270" s="225" t="n"/>
    </row>
    <row r="271" ht="15" customHeight="1" s="131">
      <c r="A271" s="224" t="n"/>
      <c r="B271" s="225" t="n"/>
      <c r="C271" s="233" t="n"/>
      <c r="D271" s="225" t="n"/>
      <c r="E271" s="225" t="n"/>
      <c r="F271" s="225" t="n"/>
    </row>
    <row r="272" ht="15" customHeight="1" s="131">
      <c r="A272" s="224" t="n"/>
      <c r="B272" s="225" t="n"/>
      <c r="C272" s="233" t="n"/>
      <c r="D272" s="225" t="n"/>
      <c r="E272" s="225" t="n"/>
      <c r="F272" s="225" t="n"/>
    </row>
    <row r="273" ht="15" customHeight="1" s="131">
      <c r="A273" s="224" t="n"/>
      <c r="B273" s="225" t="n"/>
      <c r="C273" s="233" t="n"/>
      <c r="D273" s="225" t="n"/>
      <c r="E273" s="225" t="n"/>
      <c r="F273" s="225" t="n"/>
    </row>
    <row r="274" ht="15" customHeight="1" s="131">
      <c r="A274" s="224" t="n"/>
      <c r="B274" s="225" t="n"/>
      <c r="C274" s="233" t="n"/>
      <c r="D274" s="225" t="n"/>
      <c r="E274" s="225" t="n"/>
      <c r="F274" s="225" t="n"/>
    </row>
    <row r="275" ht="15" customHeight="1" s="131">
      <c r="A275" s="224" t="n"/>
      <c r="B275" s="225" t="n"/>
      <c r="C275" s="233" t="n"/>
      <c r="D275" s="225" t="n"/>
      <c r="E275" s="225" t="n"/>
      <c r="F275" s="225" t="n"/>
    </row>
    <row r="276" ht="15" customHeight="1" s="131">
      <c r="A276" s="224" t="n"/>
      <c r="B276" s="225" t="n"/>
      <c r="C276" s="233" t="n"/>
      <c r="D276" s="225" t="n"/>
      <c r="E276" s="225" t="n"/>
      <c r="F276" s="225" t="n"/>
    </row>
    <row r="277" ht="15" customHeight="1" s="131">
      <c r="A277" s="224" t="n"/>
      <c r="B277" s="225" t="n"/>
      <c r="C277" s="233" t="n"/>
      <c r="D277" s="225" t="n"/>
      <c r="E277" s="225" t="n"/>
      <c r="F277" s="225" t="n"/>
    </row>
    <row r="278" ht="15" customHeight="1" s="131">
      <c r="A278" s="224" t="n"/>
      <c r="B278" s="225" t="n"/>
      <c r="C278" s="233" t="n"/>
      <c r="D278" s="225" t="n"/>
      <c r="E278" s="225" t="n"/>
      <c r="F278" s="225" t="n"/>
    </row>
    <row r="279" ht="15" customHeight="1" s="131">
      <c r="A279" s="224" t="n"/>
      <c r="B279" s="225" t="n"/>
      <c r="C279" s="233" t="n"/>
      <c r="D279" s="225" t="n"/>
      <c r="E279" s="225" t="n"/>
      <c r="F279" s="225" t="n"/>
    </row>
    <row r="280" ht="15" customHeight="1" s="131">
      <c r="A280" s="224" t="n"/>
      <c r="B280" s="225" t="n"/>
      <c r="C280" s="233" t="n"/>
      <c r="D280" s="225" t="n"/>
      <c r="E280" s="225" t="n"/>
      <c r="F280" s="225" t="n"/>
    </row>
    <row r="281" ht="15" customHeight="1" s="131">
      <c r="A281" s="224" t="n"/>
      <c r="B281" s="225" t="n"/>
      <c r="C281" s="233" t="n"/>
      <c r="D281" s="225" t="n"/>
      <c r="E281" s="225" t="n"/>
      <c r="F281" s="225" t="n"/>
    </row>
    <row r="282" ht="15" customHeight="1" s="131">
      <c r="A282" s="224" t="n"/>
      <c r="B282" s="225" t="n"/>
      <c r="C282" s="233" t="n"/>
      <c r="D282" s="225" t="n"/>
      <c r="E282" s="225" t="n"/>
      <c r="F282" s="225" t="n"/>
    </row>
    <row r="283" ht="15" customHeight="1" s="131">
      <c r="A283" s="224" t="n"/>
      <c r="B283" s="225" t="n"/>
      <c r="C283" s="233" t="n"/>
      <c r="D283" s="225" t="n"/>
      <c r="E283" s="225" t="n"/>
      <c r="F283" s="225" t="n"/>
    </row>
    <row r="284" ht="15" customHeight="1" s="131">
      <c r="A284" s="224" t="n"/>
      <c r="B284" s="225" t="n"/>
      <c r="C284" s="233" t="n"/>
      <c r="D284" s="225" t="n"/>
      <c r="E284" s="225" t="n"/>
      <c r="F284" s="225" t="n"/>
    </row>
    <row r="285" ht="15" customHeight="1" s="131">
      <c r="A285" s="224" t="n"/>
      <c r="B285" s="225" t="n"/>
      <c r="C285" s="233" t="n"/>
      <c r="D285" s="225" t="n"/>
      <c r="E285" s="225" t="n"/>
      <c r="F285" s="225" t="n"/>
    </row>
    <row r="286" ht="15" customHeight="1" s="131">
      <c r="A286" s="224" t="n"/>
      <c r="B286" s="225" t="n"/>
      <c r="C286" s="233" t="n"/>
      <c r="D286" s="225" t="n"/>
      <c r="E286" s="225" t="n"/>
      <c r="F286" s="225" t="n"/>
    </row>
    <row r="287" ht="15" customHeight="1" s="131">
      <c r="A287" s="224" t="n"/>
      <c r="B287" s="225" t="n"/>
      <c r="C287" s="233" t="n"/>
      <c r="D287" s="225" t="n"/>
      <c r="E287" s="225" t="n"/>
      <c r="F287" s="225" t="n"/>
    </row>
    <row r="288" ht="15" customHeight="1" s="131">
      <c r="A288" s="224" t="n"/>
      <c r="B288" s="225" t="n"/>
      <c r="C288" s="233" t="n"/>
      <c r="D288" s="225" t="n"/>
      <c r="E288" s="225" t="n"/>
      <c r="F288" s="225" t="n"/>
    </row>
    <row r="289" ht="15" customHeight="1" s="131">
      <c r="A289" s="224" t="n"/>
      <c r="B289" s="225" t="n"/>
      <c r="C289" s="233" t="n"/>
      <c r="D289" s="225" t="n"/>
      <c r="E289" s="225" t="n"/>
      <c r="F289" s="225" t="n"/>
    </row>
    <row r="290" ht="15" customHeight="1" s="131">
      <c r="A290" s="224" t="n"/>
      <c r="B290" s="225" t="n"/>
      <c r="C290" s="233" t="n"/>
      <c r="D290" s="225" t="n"/>
      <c r="E290" s="225" t="n"/>
      <c r="F290" s="225" t="n"/>
    </row>
    <row r="291" ht="15" customHeight="1" s="131">
      <c r="A291" s="224" t="n"/>
      <c r="B291" s="225" t="n"/>
      <c r="C291" s="233" t="n"/>
      <c r="D291" s="225" t="n"/>
      <c r="E291" s="225" t="n"/>
      <c r="F291" s="225" t="n"/>
    </row>
    <row r="292" ht="15" customHeight="1" s="131">
      <c r="A292" s="224" t="n"/>
      <c r="B292" s="225" t="n"/>
      <c r="C292" s="233" t="n"/>
      <c r="D292" s="225" t="n"/>
      <c r="E292" s="225" t="n"/>
      <c r="F292" s="225" t="n"/>
    </row>
    <row r="293" ht="15" customHeight="1" s="131">
      <c r="A293" s="224" t="n"/>
      <c r="B293" s="225" t="n"/>
      <c r="C293" s="233" t="n"/>
      <c r="D293" s="225" t="n"/>
      <c r="E293" s="225" t="n"/>
      <c r="F293" s="225" t="n"/>
    </row>
    <row r="294" ht="15" customHeight="1" s="131">
      <c r="A294" s="224" t="n"/>
      <c r="B294" s="225" t="n"/>
      <c r="C294" s="233" t="n"/>
      <c r="D294" s="225" t="n"/>
      <c r="E294" s="225" t="n"/>
      <c r="F294" s="225" t="n"/>
    </row>
    <row r="295" ht="15" customHeight="1" s="131">
      <c r="A295" s="224" t="n"/>
      <c r="B295" s="225" t="n"/>
      <c r="C295" s="233" t="n"/>
      <c r="D295" s="225" t="n"/>
      <c r="E295" s="225" t="n"/>
      <c r="F295" s="225" t="n"/>
    </row>
    <row r="296" ht="15" customHeight="1" s="131">
      <c r="A296" s="224" t="n"/>
      <c r="B296" s="225" t="n"/>
      <c r="C296" s="233" t="n"/>
      <c r="D296" s="225" t="n"/>
      <c r="E296" s="225" t="n"/>
      <c r="F296" s="225" t="n"/>
    </row>
    <row r="297" ht="15" customHeight="1" s="131">
      <c r="A297" s="224" t="n"/>
      <c r="B297" s="225" t="n"/>
      <c r="C297" s="233" t="n"/>
      <c r="D297" s="225" t="n"/>
      <c r="E297" s="225" t="n"/>
      <c r="F297" s="225" t="n"/>
    </row>
    <row r="298" ht="15" customHeight="1" s="131">
      <c r="A298" s="224" t="n"/>
      <c r="B298" s="225" t="n"/>
      <c r="C298" s="233" t="n"/>
      <c r="D298" s="225" t="n"/>
      <c r="E298" s="225" t="n"/>
      <c r="F298" s="225" t="n"/>
    </row>
    <row r="299" ht="15" customHeight="1" s="131">
      <c r="A299" s="224" t="n"/>
      <c r="B299" s="225" t="n"/>
      <c r="C299" s="233" t="n"/>
      <c r="D299" s="225" t="n"/>
      <c r="E299" s="225" t="n"/>
      <c r="F299" s="225" t="n"/>
    </row>
    <row r="300" ht="15" customHeight="1" s="131">
      <c r="A300" s="224" t="n"/>
      <c r="B300" s="225" t="n"/>
      <c r="C300" s="233" t="n"/>
      <c r="D300" s="225" t="n"/>
      <c r="E300" s="225" t="n"/>
      <c r="F300" s="225" t="n"/>
    </row>
    <row r="301" ht="15" customHeight="1" s="131">
      <c r="A301" s="224" t="n"/>
      <c r="B301" s="225" t="n"/>
      <c r="C301" s="233" t="n"/>
      <c r="D301" s="225" t="n"/>
      <c r="E301" s="225" t="n"/>
      <c r="F301" s="225" t="n"/>
    </row>
    <row r="302" ht="15" customHeight="1" s="131">
      <c r="A302" s="224" t="n"/>
      <c r="B302" s="225" t="n"/>
      <c r="C302" s="233" t="n"/>
      <c r="D302" s="225" t="n"/>
      <c r="E302" s="225" t="n"/>
      <c r="F302" s="225" t="n"/>
    </row>
    <row r="303" ht="15" customHeight="1" s="131">
      <c r="A303" s="224" t="n"/>
      <c r="B303" s="225" t="n"/>
      <c r="C303" s="233" t="n"/>
      <c r="D303" s="225" t="n"/>
      <c r="E303" s="225" t="n"/>
      <c r="F303" s="225" t="n"/>
    </row>
    <row r="304" ht="15" customHeight="1" s="131">
      <c r="A304" s="224" t="n"/>
      <c r="B304" s="225" t="n"/>
      <c r="C304" s="233" t="n"/>
      <c r="D304" s="225" t="n"/>
      <c r="E304" s="225" t="n"/>
      <c r="F304" s="225" t="n"/>
    </row>
    <row r="305" ht="15" customHeight="1" s="131">
      <c r="A305" s="224" t="n"/>
      <c r="B305" s="225" t="n"/>
      <c r="C305" s="233" t="n"/>
      <c r="D305" s="225" t="n"/>
      <c r="E305" s="225" t="n"/>
      <c r="F305" s="225" t="n"/>
    </row>
    <row r="306" ht="15" customHeight="1" s="131">
      <c r="A306" s="224" t="n"/>
      <c r="B306" s="225" t="n"/>
      <c r="C306" s="233" t="n"/>
      <c r="D306" s="225" t="n"/>
      <c r="E306" s="225" t="n"/>
      <c r="F306" s="225" t="n"/>
    </row>
    <row r="307" ht="15" customHeight="1" s="131">
      <c r="A307" s="224" t="n"/>
      <c r="B307" s="225" t="n"/>
      <c r="C307" s="233" t="n"/>
      <c r="D307" s="225" t="n"/>
      <c r="E307" s="225" t="n"/>
      <c r="F307" s="225" t="n"/>
    </row>
    <row r="308" ht="15" customHeight="1" s="131">
      <c r="A308" s="224" t="n"/>
      <c r="B308" s="225" t="n"/>
      <c r="C308" s="233" t="n"/>
      <c r="D308" s="225" t="n"/>
      <c r="E308" s="225" t="n"/>
      <c r="F308" s="225" t="n"/>
    </row>
    <row r="309" ht="15" customHeight="1" s="131">
      <c r="A309" s="224" t="n"/>
      <c r="B309" s="225" t="n"/>
      <c r="C309" s="233" t="n"/>
      <c r="D309" s="225" t="n"/>
      <c r="E309" s="225" t="n"/>
      <c r="F309" s="225" t="n"/>
    </row>
    <row r="310" ht="15" customHeight="1" s="131">
      <c r="A310" s="224" t="n"/>
      <c r="B310" s="225" t="n"/>
      <c r="C310" s="233" t="n"/>
      <c r="D310" s="225" t="n"/>
      <c r="E310" s="225" t="n"/>
      <c r="F310" s="225" t="n"/>
    </row>
    <row r="311" ht="15" customHeight="1" s="131">
      <c r="A311" s="224" t="n"/>
      <c r="B311" s="225" t="n"/>
      <c r="C311" s="233" t="n"/>
      <c r="D311" s="225" t="n"/>
      <c r="E311" s="225" t="n"/>
      <c r="F311" s="225" t="n"/>
    </row>
    <row r="312" ht="15" customHeight="1" s="131">
      <c r="A312" s="224" t="n"/>
      <c r="B312" s="225" t="n"/>
      <c r="C312" s="233" t="n"/>
      <c r="D312" s="225" t="n"/>
      <c r="E312" s="225" t="n"/>
      <c r="F312" s="225" t="n"/>
    </row>
    <row r="313" ht="15" customHeight="1" s="131">
      <c r="A313" s="224" t="n"/>
      <c r="B313" s="225" t="n"/>
      <c r="C313" s="233" t="n"/>
      <c r="D313" s="225" t="n"/>
      <c r="E313" s="225" t="n"/>
      <c r="F313" s="225" t="n"/>
    </row>
    <row r="314" ht="15" customHeight="1" s="131">
      <c r="A314" s="224" t="n"/>
      <c r="B314" s="225" t="n"/>
      <c r="C314" s="233" t="n"/>
      <c r="D314" s="225" t="n"/>
      <c r="E314" s="225" t="n"/>
      <c r="F314" s="225" t="n"/>
    </row>
    <row r="315" ht="15" customHeight="1" s="131">
      <c r="A315" s="224" t="n"/>
      <c r="B315" s="225" t="n"/>
      <c r="C315" s="233" t="n"/>
      <c r="D315" s="225" t="n"/>
      <c r="E315" s="225" t="n"/>
      <c r="F315" s="225" t="n"/>
    </row>
    <row r="316" ht="15" customHeight="1" s="131">
      <c r="A316" s="224" t="n"/>
      <c r="B316" s="225" t="n"/>
      <c r="C316" s="233" t="n"/>
      <c r="D316" s="225" t="n"/>
      <c r="E316" s="225" t="n"/>
      <c r="F316" s="225" t="n"/>
    </row>
    <row r="317" ht="15" customHeight="1" s="131">
      <c r="A317" s="224" t="n"/>
      <c r="B317" s="225" t="n"/>
      <c r="C317" s="233" t="n"/>
      <c r="D317" s="225" t="n"/>
      <c r="E317" s="225" t="n"/>
      <c r="F317" s="225" t="n"/>
    </row>
    <row r="318" ht="15" customHeight="1" s="131">
      <c r="A318" s="224" t="n"/>
      <c r="B318" s="225" t="n"/>
      <c r="C318" s="233" t="n"/>
      <c r="D318" s="225" t="n"/>
      <c r="E318" s="225" t="n"/>
      <c r="F318" s="225" t="n"/>
    </row>
    <row r="319" ht="15" customHeight="1" s="131">
      <c r="A319" s="224" t="n"/>
      <c r="B319" s="225" t="n"/>
      <c r="C319" s="233" t="n"/>
      <c r="D319" s="225" t="n"/>
      <c r="E319" s="225" t="n"/>
      <c r="F319" s="225" t="n"/>
    </row>
    <row r="320" ht="15" customHeight="1" s="131">
      <c r="A320" s="224" t="n"/>
      <c r="B320" s="225" t="n"/>
      <c r="C320" s="233" t="n"/>
      <c r="D320" s="225" t="n"/>
      <c r="E320" s="225" t="n"/>
      <c r="F320" s="225" t="n"/>
    </row>
    <row r="321" ht="15" customHeight="1" s="131">
      <c r="A321" s="224" t="n"/>
      <c r="B321" s="225" t="n"/>
      <c r="C321" s="233" t="n"/>
      <c r="D321" s="225" t="n"/>
      <c r="E321" s="225" t="n"/>
      <c r="F321" s="225" t="n"/>
    </row>
    <row r="322" ht="15" customHeight="1" s="131">
      <c r="A322" s="224" t="n"/>
      <c r="B322" s="225" t="n"/>
      <c r="C322" s="233" t="n"/>
      <c r="D322" s="225" t="n"/>
      <c r="E322" s="225" t="n"/>
      <c r="F322" s="225" t="n"/>
    </row>
    <row r="323" ht="15" customHeight="1" s="131">
      <c r="A323" s="224" t="n"/>
      <c r="B323" s="225" t="n"/>
      <c r="C323" s="233" t="n"/>
      <c r="D323" s="225" t="n"/>
      <c r="E323" s="225" t="n"/>
      <c r="F323" s="225" t="n"/>
    </row>
    <row r="324" ht="15" customHeight="1" s="131">
      <c r="A324" s="224" t="n"/>
      <c r="B324" s="225" t="n"/>
      <c r="C324" s="233" t="n"/>
      <c r="D324" s="225" t="n"/>
      <c r="E324" s="225" t="n"/>
      <c r="F324" s="225" t="n"/>
    </row>
    <row r="325" ht="15" customHeight="1" s="131">
      <c r="A325" s="224" t="n"/>
      <c r="B325" s="225" t="n"/>
      <c r="C325" s="233" t="n"/>
      <c r="D325" s="225" t="n"/>
      <c r="E325" s="225" t="n"/>
      <c r="F325" s="225" t="n"/>
    </row>
    <row r="326" ht="15" customHeight="1" s="131">
      <c r="A326" s="224" t="n"/>
      <c r="B326" s="225" t="n"/>
      <c r="C326" s="233" t="n"/>
      <c r="D326" s="225" t="n"/>
      <c r="E326" s="225" t="n"/>
      <c r="F326" s="225" t="n"/>
    </row>
    <row r="327" ht="15" customHeight="1" s="131">
      <c r="A327" s="224" t="n"/>
      <c r="B327" s="225" t="n"/>
      <c r="C327" s="233" t="n"/>
      <c r="D327" s="225" t="n"/>
      <c r="E327" s="225" t="n"/>
      <c r="F327" s="225" t="n"/>
    </row>
    <row r="328" ht="15" customHeight="1" s="131">
      <c r="A328" s="224" t="n"/>
      <c r="B328" s="225" t="n"/>
      <c r="C328" s="233" t="n"/>
      <c r="D328" s="225" t="n"/>
      <c r="E328" s="225" t="n"/>
      <c r="F328" s="225" t="n"/>
    </row>
    <row r="329" ht="15" customHeight="1" s="131">
      <c r="A329" s="224" t="n"/>
      <c r="B329" s="225" t="n"/>
      <c r="C329" s="233" t="n"/>
      <c r="D329" s="225" t="n"/>
      <c r="E329" s="225" t="n"/>
      <c r="F329" s="225" t="n"/>
    </row>
    <row r="330" ht="15" customHeight="1" s="131">
      <c r="A330" s="224" t="n"/>
      <c r="B330" s="225" t="n"/>
      <c r="C330" s="233" t="n"/>
      <c r="D330" s="225" t="n"/>
      <c r="E330" s="225" t="n"/>
      <c r="F330" s="225" t="n"/>
    </row>
    <row r="331" ht="15" customHeight="1" s="131">
      <c r="A331" s="224" t="n"/>
      <c r="B331" s="225" t="n"/>
      <c r="C331" s="233" t="n"/>
      <c r="D331" s="225" t="n"/>
      <c r="E331" s="225" t="n"/>
      <c r="F331" s="225" t="n"/>
    </row>
    <row r="332" ht="15" customHeight="1" s="131">
      <c r="A332" s="224" t="n"/>
      <c r="B332" s="225" t="n"/>
      <c r="C332" s="233" t="n"/>
      <c r="D332" s="225" t="n"/>
      <c r="E332" s="225" t="n"/>
      <c r="F332" s="225" t="n"/>
    </row>
    <row r="333" ht="15" customHeight="1" s="131">
      <c r="A333" s="224" t="n"/>
      <c r="B333" s="225" t="n"/>
      <c r="C333" s="233" t="n"/>
      <c r="D333" s="225" t="n"/>
      <c r="E333" s="225" t="n"/>
      <c r="F333" s="225" t="n"/>
    </row>
    <row r="334" ht="15" customHeight="1" s="131">
      <c r="A334" s="224" t="n"/>
      <c r="B334" s="225" t="n"/>
      <c r="C334" s="233" t="n"/>
      <c r="D334" s="225" t="n"/>
      <c r="E334" s="225" t="n"/>
      <c r="F334" s="225" t="n"/>
    </row>
    <row r="335" ht="15" customHeight="1" s="131">
      <c r="A335" s="224" t="n"/>
      <c r="B335" s="225" t="n"/>
      <c r="C335" s="233" t="n"/>
      <c r="D335" s="225" t="n"/>
      <c r="E335" s="225" t="n"/>
      <c r="F335" s="225" t="n"/>
    </row>
    <row r="336" ht="15" customHeight="1" s="131">
      <c r="A336" s="224" t="n"/>
      <c r="B336" s="225" t="n"/>
      <c r="C336" s="233" t="n"/>
      <c r="D336" s="225" t="n"/>
      <c r="E336" s="225" t="n"/>
      <c r="F336" s="225" t="n"/>
    </row>
    <row r="337" ht="15" customHeight="1" s="131">
      <c r="A337" s="224" t="n"/>
      <c r="B337" s="225" t="n"/>
      <c r="C337" s="233" t="n"/>
      <c r="D337" s="225" t="n"/>
      <c r="E337" s="225" t="n"/>
      <c r="F337" s="225" t="n"/>
    </row>
    <row r="338" ht="15" customHeight="1" s="131">
      <c r="A338" s="224" t="n"/>
      <c r="B338" s="225" t="n"/>
      <c r="C338" s="233" t="n"/>
      <c r="D338" s="225" t="n"/>
      <c r="E338" s="225" t="n"/>
      <c r="F338" s="225" t="n"/>
    </row>
    <row r="339" ht="15" customHeight="1" s="131">
      <c r="A339" s="224" t="n"/>
      <c r="B339" s="225" t="n"/>
      <c r="C339" s="233" t="n"/>
      <c r="D339" s="225" t="n"/>
      <c r="E339" s="225" t="n"/>
      <c r="F339" s="225" t="n"/>
    </row>
    <row r="340" ht="15" customHeight="1" s="131">
      <c r="A340" s="224" t="n"/>
      <c r="B340" s="225" t="n"/>
      <c r="C340" s="233" t="n"/>
      <c r="D340" s="225" t="n"/>
      <c r="E340" s="225" t="n"/>
      <c r="F340" s="225" t="n"/>
    </row>
    <row r="341" ht="15" customHeight="1" s="131">
      <c r="A341" s="224" t="n"/>
      <c r="B341" s="225" t="n"/>
      <c r="C341" s="233" t="n"/>
      <c r="D341" s="225" t="n"/>
      <c r="E341" s="225" t="n"/>
      <c r="F341" s="225" t="n"/>
    </row>
    <row r="342" ht="15" customHeight="1" s="131">
      <c r="A342" s="224" t="n"/>
      <c r="B342" s="225" t="n"/>
      <c r="C342" s="233" t="n"/>
      <c r="D342" s="225" t="n"/>
      <c r="E342" s="225" t="n"/>
      <c r="F342" s="225" t="n"/>
    </row>
    <row r="343" ht="15" customHeight="1" s="131">
      <c r="A343" s="224" t="n"/>
      <c r="B343" s="225" t="n"/>
      <c r="C343" s="233" t="n"/>
      <c r="D343" s="225" t="n"/>
      <c r="E343" s="225" t="n"/>
      <c r="F343" s="225" t="n"/>
    </row>
    <row r="344" ht="15" customHeight="1" s="131">
      <c r="A344" s="224" t="n"/>
      <c r="B344" s="225" t="n"/>
      <c r="C344" s="233" t="n"/>
      <c r="D344" s="225" t="n"/>
      <c r="E344" s="225" t="n"/>
      <c r="F344" s="225" t="n"/>
    </row>
    <row r="345" ht="15" customHeight="1" s="131">
      <c r="A345" s="224" t="n"/>
      <c r="B345" s="225" t="n"/>
      <c r="C345" s="233" t="n"/>
      <c r="D345" s="225" t="n"/>
      <c r="E345" s="225" t="n"/>
      <c r="F345" s="225" t="n"/>
    </row>
    <row r="346" ht="15" customHeight="1" s="131">
      <c r="A346" s="224" t="n"/>
      <c r="B346" s="225" t="n"/>
      <c r="C346" s="233" t="n"/>
      <c r="D346" s="225" t="n"/>
      <c r="E346" s="225" t="n"/>
      <c r="F346" s="225" t="n"/>
    </row>
    <row r="347" ht="15" customHeight="1" s="131">
      <c r="A347" s="224" t="n"/>
      <c r="B347" s="225" t="n"/>
      <c r="C347" s="233" t="n"/>
      <c r="D347" s="225" t="n"/>
      <c r="E347" s="225" t="n"/>
      <c r="F347" s="225" t="n"/>
    </row>
    <row r="348" ht="15" customHeight="1" s="131">
      <c r="A348" s="224" t="n"/>
      <c r="B348" s="225" t="n"/>
      <c r="C348" s="233" t="n"/>
      <c r="D348" s="225" t="n"/>
      <c r="E348" s="225" t="n"/>
      <c r="F348" s="225" t="n"/>
    </row>
    <row r="349" ht="15" customHeight="1" s="131">
      <c r="A349" s="224" t="n"/>
      <c r="B349" s="225" t="n"/>
      <c r="C349" s="233" t="n"/>
      <c r="D349" s="225" t="n"/>
      <c r="E349" s="225" t="n"/>
      <c r="F349" s="225" t="n"/>
    </row>
    <row r="350" ht="15" customHeight="1" s="131">
      <c r="A350" s="224" t="n"/>
      <c r="B350" s="225" t="n"/>
      <c r="C350" s="233" t="n"/>
      <c r="D350" s="225" t="n"/>
      <c r="E350" s="225" t="n"/>
      <c r="F350" s="225" t="n"/>
    </row>
    <row r="351" ht="15" customHeight="1" s="131">
      <c r="A351" s="224" t="n"/>
      <c r="B351" s="225" t="n"/>
      <c r="C351" s="233" t="n"/>
      <c r="D351" s="225" t="n"/>
      <c r="E351" s="225" t="n"/>
      <c r="F351" s="225" t="n"/>
    </row>
    <row r="352" ht="15" customHeight="1" s="131">
      <c r="A352" s="224" t="n"/>
      <c r="B352" s="225" t="n"/>
      <c r="C352" s="233" t="n"/>
      <c r="D352" s="225" t="n"/>
      <c r="E352" s="225" t="n"/>
      <c r="F352" s="225" t="n"/>
    </row>
    <row r="353" ht="15" customHeight="1" s="131">
      <c r="A353" s="224" t="n"/>
      <c r="B353" s="225" t="n"/>
      <c r="C353" s="233" t="n"/>
      <c r="D353" s="225" t="n"/>
      <c r="E353" s="225" t="n"/>
      <c r="F353" s="225" t="n"/>
    </row>
    <row r="354" ht="15" customHeight="1" s="131">
      <c r="A354" s="224" t="n"/>
      <c r="B354" s="225" t="n"/>
      <c r="C354" s="233" t="n"/>
      <c r="D354" s="225" t="n"/>
      <c r="E354" s="225" t="n"/>
      <c r="F354" s="225" t="n"/>
    </row>
    <row r="355" ht="15" customHeight="1" s="131">
      <c r="A355" s="224" t="n"/>
      <c r="B355" s="225" t="n"/>
      <c r="C355" s="233" t="n"/>
      <c r="D355" s="225" t="n"/>
      <c r="E355" s="225" t="n"/>
      <c r="F355" s="225" t="n"/>
    </row>
    <row r="356" ht="15" customHeight="1" s="131">
      <c r="A356" s="224" t="n"/>
      <c r="B356" s="225" t="n"/>
      <c r="C356" s="233" t="n"/>
      <c r="D356" s="225" t="n"/>
      <c r="E356" s="225" t="n"/>
      <c r="F356" s="225" t="n"/>
    </row>
    <row r="357" ht="15" customHeight="1" s="131">
      <c r="A357" s="224" t="n"/>
      <c r="B357" s="225" t="n"/>
      <c r="C357" s="233" t="n"/>
      <c r="D357" s="225" t="n"/>
      <c r="E357" s="225" t="n"/>
      <c r="F357" s="225" t="n"/>
    </row>
    <row r="358" ht="15" customHeight="1" s="131">
      <c r="A358" s="224" t="n"/>
      <c r="B358" s="225" t="n"/>
      <c r="C358" s="233" t="n"/>
      <c r="D358" s="225" t="n"/>
      <c r="E358" s="225" t="n"/>
      <c r="F358" s="225" t="n"/>
    </row>
    <row r="359" ht="15" customHeight="1" s="131">
      <c r="A359" s="224" t="n"/>
      <c r="B359" s="225" t="n"/>
      <c r="C359" s="233" t="n"/>
      <c r="D359" s="225" t="n"/>
      <c r="E359" s="225" t="n"/>
      <c r="F359" s="225" t="n"/>
    </row>
    <row r="360" ht="15" customHeight="1" s="131">
      <c r="A360" s="224" t="n"/>
      <c r="B360" s="225" t="n"/>
      <c r="C360" s="233" t="n"/>
      <c r="D360" s="225" t="n"/>
      <c r="E360" s="225" t="n"/>
      <c r="F360" s="225" t="n"/>
    </row>
    <row r="361" ht="15" customHeight="1" s="131">
      <c r="A361" s="224" t="n"/>
      <c r="B361" s="225" t="n"/>
      <c r="C361" s="233" t="n"/>
      <c r="D361" s="225" t="n"/>
      <c r="E361" s="225" t="n"/>
      <c r="F361" s="225" t="n"/>
    </row>
    <row r="362" ht="15" customHeight="1" s="131">
      <c r="A362" s="224" t="n"/>
      <c r="B362" s="225" t="n"/>
      <c r="C362" s="233" t="n"/>
      <c r="D362" s="225" t="n"/>
      <c r="E362" s="225" t="n"/>
      <c r="F362" s="225" t="n"/>
    </row>
    <row r="363" ht="15" customHeight="1" s="131">
      <c r="A363" s="224" t="n"/>
      <c r="B363" s="225" t="n"/>
      <c r="C363" s="233" t="n"/>
      <c r="D363" s="225" t="n"/>
      <c r="E363" s="225" t="n"/>
      <c r="F363" s="225" t="n"/>
    </row>
    <row r="364" ht="15" customHeight="1" s="131">
      <c r="A364" s="224" t="n"/>
      <c r="B364" s="225" t="n"/>
      <c r="C364" s="233" t="n"/>
      <c r="D364" s="225" t="n"/>
      <c r="E364" s="225" t="n"/>
      <c r="F364" s="225" t="n"/>
    </row>
    <row r="365" ht="15" customHeight="1" s="131">
      <c r="A365" s="224" t="n"/>
      <c r="B365" s="225" t="n"/>
      <c r="C365" s="233" t="n"/>
      <c r="D365" s="225" t="n"/>
      <c r="E365" s="225" t="n"/>
      <c r="F365" s="225" t="n"/>
    </row>
    <row r="366" ht="15" customHeight="1" s="131">
      <c r="A366" s="224" t="n"/>
      <c r="B366" s="225" t="n"/>
      <c r="C366" s="233" t="n"/>
      <c r="D366" s="225" t="n"/>
      <c r="E366" s="225" t="n"/>
      <c r="F366" s="225" t="n"/>
    </row>
    <row r="367" ht="15" customHeight="1" s="131">
      <c r="A367" s="224" t="n"/>
      <c r="B367" s="225" t="n"/>
      <c r="C367" s="233" t="n"/>
      <c r="D367" s="225" t="n"/>
      <c r="E367" s="225" t="n"/>
      <c r="F367" s="225" t="n"/>
    </row>
    <row r="368" ht="15" customHeight="1" s="131">
      <c r="A368" s="224" t="n"/>
      <c r="B368" s="225" t="n"/>
      <c r="C368" s="233" t="n"/>
      <c r="D368" s="225" t="n"/>
      <c r="E368" s="225" t="n"/>
      <c r="F368" s="225" t="n"/>
    </row>
    <row r="369" ht="15" customHeight="1" s="131">
      <c r="A369" s="224" t="n"/>
      <c r="B369" s="225" t="n"/>
      <c r="C369" s="233" t="n"/>
      <c r="D369" s="225" t="n"/>
      <c r="E369" s="225" t="n"/>
      <c r="F369" s="225" t="n"/>
    </row>
    <row r="370" ht="15" customHeight="1" s="131">
      <c r="A370" s="224" t="n"/>
      <c r="B370" s="225" t="n"/>
      <c r="C370" s="233" t="n"/>
      <c r="D370" s="225" t="n"/>
      <c r="E370" s="225" t="n"/>
      <c r="F370" s="225" t="n"/>
    </row>
    <row r="371" ht="15" customHeight="1" s="131">
      <c r="A371" s="224" t="n"/>
      <c r="B371" s="225" t="n"/>
      <c r="C371" s="233" t="n"/>
      <c r="D371" s="225" t="n"/>
      <c r="E371" s="225" t="n"/>
      <c r="F371" s="225" t="n"/>
    </row>
    <row r="372" ht="15" customHeight="1" s="131">
      <c r="A372" s="224" t="n"/>
      <c r="B372" s="225" t="n"/>
      <c r="C372" s="233" t="n"/>
      <c r="D372" s="225" t="n"/>
      <c r="E372" s="225" t="n"/>
      <c r="F372" s="225" t="n"/>
    </row>
    <row r="373" ht="15" customHeight="1" s="131">
      <c r="A373" s="224" t="n"/>
      <c r="B373" s="225" t="n"/>
      <c r="C373" s="233" t="n"/>
      <c r="D373" s="225" t="n"/>
      <c r="E373" s="225" t="n"/>
      <c r="F373" s="225" t="n"/>
    </row>
    <row r="374" ht="15" customHeight="1" s="131">
      <c r="A374" s="224" t="n"/>
      <c r="B374" s="225" t="n"/>
      <c r="C374" s="233" t="n"/>
      <c r="D374" s="225" t="n"/>
      <c r="E374" s="225" t="n"/>
      <c r="F374" s="225" t="n"/>
    </row>
    <row r="375" ht="15" customHeight="1" s="131">
      <c r="A375" s="224" t="n"/>
      <c r="B375" s="225" t="n"/>
      <c r="C375" s="233" t="n"/>
      <c r="D375" s="225" t="n"/>
      <c r="E375" s="225" t="n"/>
      <c r="F375" s="225" t="n"/>
    </row>
    <row r="376" ht="15" customHeight="1" s="131">
      <c r="A376" s="224" t="n"/>
      <c r="B376" s="225" t="n"/>
      <c r="C376" s="233" t="n"/>
      <c r="D376" s="225" t="n"/>
      <c r="E376" s="225" t="n"/>
      <c r="F376" s="225" t="n"/>
    </row>
    <row r="377" ht="15" customHeight="1" s="131">
      <c r="A377" s="224" t="n"/>
      <c r="B377" s="225" t="n"/>
      <c r="C377" s="233" t="n"/>
      <c r="D377" s="225" t="n"/>
      <c r="E377" s="225" t="n"/>
      <c r="F377" s="225" t="n"/>
    </row>
    <row r="378" ht="15" customHeight="1" s="131">
      <c r="A378" s="224" t="n"/>
      <c r="B378" s="225" t="n"/>
      <c r="C378" s="233" t="n"/>
      <c r="D378" s="225" t="n"/>
      <c r="E378" s="225" t="n"/>
      <c r="F378" s="225" t="n"/>
    </row>
    <row r="379" ht="15" customHeight="1" s="131">
      <c r="A379" s="224" t="n"/>
      <c r="B379" s="225" t="n"/>
      <c r="C379" s="233" t="n"/>
      <c r="D379" s="225" t="n"/>
      <c r="E379" s="225" t="n"/>
      <c r="F379" s="225" t="n"/>
    </row>
    <row r="380" ht="15" customHeight="1" s="131">
      <c r="A380" s="224" t="n"/>
      <c r="B380" s="225" t="n"/>
      <c r="C380" s="233" t="n"/>
      <c r="D380" s="225" t="n"/>
      <c r="E380" s="225" t="n"/>
      <c r="F380" s="225" t="n"/>
    </row>
    <row r="381" ht="15" customHeight="1" s="131">
      <c r="A381" s="224" t="n"/>
      <c r="B381" s="225" t="n"/>
      <c r="C381" s="233" t="n"/>
      <c r="D381" s="225" t="n"/>
      <c r="E381" s="225" t="n"/>
      <c r="F381" s="225" t="n"/>
    </row>
    <row r="382" ht="15" customHeight="1" s="131">
      <c r="A382" s="224" t="n"/>
      <c r="B382" s="225" t="n"/>
      <c r="C382" s="233" t="n"/>
      <c r="D382" s="225" t="n"/>
      <c r="E382" s="225" t="n"/>
      <c r="F382" s="225" t="n"/>
    </row>
    <row r="383" ht="15" customHeight="1" s="131">
      <c r="A383" s="224" t="n"/>
      <c r="B383" s="225" t="n"/>
      <c r="C383" s="233" t="n"/>
      <c r="D383" s="225" t="n"/>
      <c r="E383" s="225" t="n"/>
      <c r="F383" s="225" t="n"/>
    </row>
    <row r="384" ht="15" customHeight="1" s="131">
      <c r="A384" s="224" t="n"/>
      <c r="B384" s="225" t="n"/>
      <c r="C384" s="233" t="n"/>
      <c r="D384" s="225" t="n"/>
      <c r="E384" s="225" t="n"/>
      <c r="F384" s="225" t="n"/>
    </row>
    <row r="385" ht="15" customHeight="1" s="131">
      <c r="A385" s="224" t="n"/>
      <c r="B385" s="225" t="n"/>
      <c r="C385" s="233" t="n"/>
      <c r="D385" s="225" t="n"/>
      <c r="E385" s="225" t="n"/>
      <c r="F385" s="225" t="n"/>
    </row>
    <row r="386" ht="15" customHeight="1" s="131">
      <c r="A386" s="224" t="n"/>
      <c r="B386" s="225" t="n"/>
      <c r="C386" s="233" t="n"/>
      <c r="D386" s="225" t="n"/>
      <c r="E386" s="225" t="n"/>
      <c r="F386" s="225" t="n"/>
    </row>
    <row r="387" ht="15" customHeight="1" s="131">
      <c r="A387" s="224" t="n"/>
      <c r="B387" s="225" t="n"/>
      <c r="C387" s="233" t="n"/>
      <c r="D387" s="225" t="n"/>
      <c r="E387" s="225" t="n"/>
      <c r="F387" s="225" t="n"/>
    </row>
    <row r="388" ht="15" customHeight="1" s="131">
      <c r="A388" s="224" t="n"/>
      <c r="B388" s="225" t="n"/>
      <c r="C388" s="233" t="n"/>
      <c r="D388" s="225" t="n"/>
      <c r="E388" s="225" t="n"/>
      <c r="F388" s="225" t="n"/>
    </row>
    <row r="389" ht="15" customHeight="1" s="131">
      <c r="A389" s="224" t="n"/>
      <c r="B389" s="225" t="n"/>
      <c r="C389" s="233" t="n"/>
      <c r="D389" s="225" t="n"/>
      <c r="E389" s="225" t="n"/>
      <c r="F389" s="225" t="n"/>
    </row>
    <row r="390" ht="15" customHeight="1" s="131">
      <c r="A390" s="224" t="n"/>
      <c r="B390" s="225" t="n"/>
      <c r="C390" s="233" t="n"/>
      <c r="D390" s="225" t="n"/>
      <c r="E390" s="225" t="n"/>
      <c r="F390" s="225" t="n"/>
    </row>
    <row r="391" ht="15" customHeight="1" s="131">
      <c r="A391" s="224" t="n"/>
      <c r="B391" s="225" t="n"/>
      <c r="C391" s="233" t="n"/>
      <c r="D391" s="225" t="n"/>
      <c r="E391" s="225" t="n"/>
      <c r="F391" s="225" t="n"/>
    </row>
    <row r="392" ht="15" customHeight="1" s="131">
      <c r="A392" s="224" t="n"/>
      <c r="B392" s="225" t="n"/>
      <c r="C392" s="233" t="n"/>
      <c r="D392" s="225" t="n"/>
      <c r="E392" s="225" t="n"/>
      <c r="F392" s="225" t="n"/>
    </row>
    <row r="393" ht="15" customHeight="1" s="131">
      <c r="A393" s="224" t="n"/>
      <c r="B393" s="225" t="n"/>
      <c r="C393" s="233" t="n"/>
      <c r="D393" s="225" t="n"/>
      <c r="E393" s="225" t="n"/>
      <c r="F393" s="225" t="n"/>
    </row>
    <row r="394" ht="15" customHeight="1" s="131">
      <c r="A394" s="224" t="n"/>
      <c r="B394" s="225" t="n"/>
      <c r="C394" s="233" t="n"/>
      <c r="D394" s="225" t="n"/>
      <c r="E394" s="225" t="n"/>
      <c r="F394" s="225" t="n"/>
    </row>
    <row r="395" ht="15" customHeight="1" s="131">
      <c r="A395" s="224" t="n"/>
      <c r="B395" s="225" t="n"/>
      <c r="C395" s="233" t="n"/>
      <c r="D395" s="225" t="n"/>
      <c r="E395" s="225" t="n"/>
      <c r="F395" s="225" t="n"/>
    </row>
    <row r="396" ht="15" customHeight="1" s="131">
      <c r="A396" s="224" t="n"/>
      <c r="B396" s="225" t="n"/>
      <c r="C396" s="233" t="n"/>
      <c r="D396" s="225" t="n"/>
      <c r="E396" s="225" t="n"/>
      <c r="F396" s="225" t="n"/>
    </row>
    <row r="397" ht="15" customHeight="1" s="131">
      <c r="A397" s="224" t="n"/>
      <c r="B397" s="225" t="n"/>
      <c r="C397" s="233" t="n"/>
      <c r="D397" s="225" t="n"/>
      <c r="E397" s="225" t="n"/>
      <c r="F397" s="225" t="n"/>
    </row>
    <row r="398" ht="15" customHeight="1" s="131">
      <c r="A398" s="224" t="n"/>
      <c r="B398" s="225" t="n"/>
      <c r="C398" s="233" t="n"/>
      <c r="D398" s="225" t="n"/>
      <c r="E398" s="225" t="n"/>
      <c r="F398" s="225" t="n"/>
    </row>
    <row r="399" ht="15" customHeight="1" s="131">
      <c r="A399" s="224" t="n"/>
      <c r="B399" s="225" t="n"/>
      <c r="C399" s="233" t="n"/>
      <c r="D399" s="225" t="n"/>
      <c r="E399" s="225" t="n"/>
      <c r="F399" s="225" t="n"/>
    </row>
    <row r="400" ht="15" customHeight="1" s="131">
      <c r="A400" s="224" t="n"/>
      <c r="B400" s="225" t="n"/>
      <c r="C400" s="233" t="n"/>
      <c r="D400" s="225" t="n"/>
      <c r="E400" s="225" t="n"/>
      <c r="F400" s="225" t="n"/>
    </row>
    <row r="401" ht="15" customHeight="1" s="131">
      <c r="A401" s="224" t="n"/>
      <c r="B401" s="225" t="n"/>
      <c r="C401" s="233" t="n"/>
      <c r="D401" s="225" t="n"/>
      <c r="E401" s="225" t="n"/>
      <c r="F401" s="225" t="n"/>
    </row>
    <row r="402" ht="15" customHeight="1" s="131">
      <c r="A402" s="224" t="n"/>
      <c r="B402" s="225" t="n"/>
      <c r="C402" s="233" t="n"/>
      <c r="D402" s="225" t="n"/>
      <c r="E402" s="225" t="n"/>
      <c r="F402" s="225" t="n"/>
    </row>
    <row r="403" ht="15" customHeight="1" s="131">
      <c r="A403" s="224" t="n"/>
      <c r="B403" s="225" t="n"/>
      <c r="C403" s="233" t="n"/>
      <c r="D403" s="225" t="n"/>
      <c r="E403" s="225" t="n"/>
      <c r="F403" s="225" t="n"/>
    </row>
    <row r="404" ht="15" customHeight="1" s="131">
      <c r="A404" s="224" t="n"/>
      <c r="B404" s="225" t="n"/>
      <c r="C404" s="233" t="n"/>
      <c r="D404" s="225" t="n"/>
      <c r="E404" s="225" t="n"/>
      <c r="F404" s="225" t="n"/>
    </row>
  </sheetData>
  <mergeCells count="2">
    <mergeCell ref="A2:F2"/>
    <mergeCell ref="A1:F1"/>
  </mergeCells>
  <dataValidations count="2">
    <dataValidation sqref="B5:B13" showDropDown="0" showInputMessage="0" showErrorMessage="0" allowBlank="1" type="list" errorStyle="stop" operator="between">
      <formula1>'LISTAS DE APOIO'!$D$5:$D$6</formula1>
      <formula2>0</formula2>
    </dataValidation>
    <dataValidation sqref="D5:D13" showDropDown="0" showInputMessage="0" showErrorMessage="0" allowBlank="1" type="list" errorStyle="stop" operator="between">
      <formula1>DIM_MES!$B$5:$B$148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A5A5A5"/>
    <outlinePr summaryBelow="1" summaryRight="1"/>
    <pageSetUpPr fitToPage="0"/>
  </sheetPr>
  <dimension ref="A1:J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2" customWidth="1" style="130" min="1" max="1"/>
    <col width="30" customWidth="1" style="130" min="2" max="2"/>
    <col width="20" customWidth="1" style="130" min="3" max="3"/>
    <col width="13" customWidth="1" style="130" min="4" max="4"/>
    <col width="18" customWidth="1" style="130" min="5" max="5"/>
    <col width="9" customWidth="1" style="130" min="6" max="6"/>
    <col width="17" customWidth="1" style="130" min="7" max="7"/>
    <col width="44" customWidth="1" style="130" min="8" max="8"/>
    <col width="22" customWidth="1" style="130" min="9" max="9"/>
    <col width="20" customWidth="1" style="130" min="10" max="10"/>
  </cols>
  <sheetData>
    <row r="1" ht="24" customHeight="1" s="131">
      <c r="A1" s="132" t="inlineStr">
        <is>
          <t>REGISTRO DE DEFINIÇÕES</t>
        </is>
      </c>
    </row>
    <row r="2" ht="30" customHeight="1" s="131">
      <c r="A2" s="133" t="inlineStr">
        <is>
          <t>Os três KPIs da DADM são alimentados mensalmente. A direção é 'menor é melhor'; DADM-10 usa R$/m² como medida principal.</t>
        </is>
      </c>
    </row>
    <row r="3"/>
    <row r="4" ht="30" customHeight="1" s="131">
      <c r="A4" s="199" t="inlineStr">
        <is>
          <t>Código</t>
        </is>
      </c>
      <c r="B4" s="199" t="inlineStr">
        <is>
          <t>Nome</t>
        </is>
      </c>
      <c r="C4" s="199" t="inlineStr">
        <is>
          <t>Aba de entrada</t>
        </is>
      </c>
      <c r="D4" s="199" t="inlineStr">
        <is>
          <t>Tabela</t>
        </is>
      </c>
      <c r="E4" s="199" t="inlineStr">
        <is>
          <t>Direção</t>
        </is>
      </c>
      <c r="F4" s="199" t="inlineStr">
        <is>
          <t>Formato</t>
        </is>
      </c>
      <c r="G4" s="199" t="inlineStr">
        <is>
          <t>Variação medida como</t>
        </is>
      </c>
      <c r="H4" s="199" t="inlineStr">
        <is>
          <t>Objetivo</t>
        </is>
      </c>
      <c r="I4" s="199" t="inlineStr">
        <is>
          <t>Periodicidade de alimentação</t>
        </is>
      </c>
      <c r="J4" s="199" t="inlineStr">
        <is>
          <t>Nível de detalhe</t>
        </is>
      </c>
    </row>
    <row r="5" ht="23.25" customHeight="1" s="131">
      <c r="A5" s="163" t="inlineStr">
        <is>
          <t>DADM-01</t>
        </is>
      </c>
      <c r="B5" s="234" t="inlineStr">
        <is>
          <t>Taxa de Evasão</t>
        </is>
      </c>
      <c r="C5" s="233" t="inlineStr">
        <is>
          <t>DADM-01 EVASAO</t>
        </is>
      </c>
      <c r="D5" s="233" t="inlineStr">
        <is>
          <t>Dadm01Base</t>
        </is>
      </c>
      <c r="E5" s="233" t="inlineStr">
        <is>
          <t>Menor é melhor</t>
        </is>
      </c>
      <c r="F5" s="233" t="inlineStr">
        <is>
          <t>pct</t>
        </is>
      </c>
      <c r="G5" s="233" t="inlineStr">
        <is>
          <t>Diferença (p.p.)</t>
        </is>
      </c>
      <c r="H5" s="234" t="inlineStr">
        <is>
          <t>Desligamentos do mês sobre alunos ativos no início do mês.</t>
        </is>
      </c>
      <c r="I5" s="225" t="inlineStr">
        <is>
          <t>Mensal</t>
        </is>
      </c>
      <c r="J5" s="225" t="inlineStr">
        <is>
          <t>Curso</t>
        </is>
      </c>
    </row>
    <row r="6" ht="23.25" customHeight="1" s="131">
      <c r="A6" s="163" t="inlineStr">
        <is>
          <t>DADM-09</t>
        </is>
      </c>
      <c r="B6" s="234" t="inlineStr">
        <is>
          <t>Custo Administrativo por Aluno</t>
        </is>
      </c>
      <c r="C6" s="233" t="inlineStr">
        <is>
          <t>DADM-09 CUSTOS</t>
        </is>
      </c>
      <c r="D6" s="233" t="inlineStr">
        <is>
          <t>Dadm09Custos</t>
        </is>
      </c>
      <c r="E6" s="233" t="inlineStr">
        <is>
          <t>Menor é melhor</t>
        </is>
      </c>
      <c r="F6" s="233" t="inlineStr">
        <is>
          <t>R$/aluno</t>
        </is>
      </c>
      <c r="G6" s="233" t="inlineStr">
        <is>
          <t>Razão (%)</t>
        </is>
      </c>
      <c r="H6" s="234" t="inlineStr">
        <is>
          <t>Despesa administrativa consolidada sobre população acadêmica ativa.</t>
        </is>
      </c>
      <c r="I6" s="225" t="inlineStr">
        <is>
          <t>Mensal</t>
        </is>
      </c>
      <c r="J6" s="225" t="inlineStr">
        <is>
          <t>Modalidade / centro de custo</t>
        </is>
      </c>
    </row>
    <row r="7" ht="23.25" customHeight="1" s="131">
      <c r="A7" s="163" t="inlineStr">
        <is>
          <t>DADM-10</t>
        </is>
      </c>
      <c r="B7" s="234" t="inlineStr">
        <is>
          <t>Eficiência das Despesas de Infraestrutura</t>
        </is>
      </c>
      <c r="C7" s="233" t="inlineStr">
        <is>
          <t>DADM-10 INFRA</t>
        </is>
      </c>
      <c r="D7" s="233" t="inlineStr">
        <is>
          <t>Dadm10Infra</t>
        </is>
      </c>
      <c r="E7" s="233" t="inlineStr">
        <is>
          <t>Menor é melhor</t>
        </is>
      </c>
      <c r="F7" s="233" t="inlineStr">
        <is>
          <t>R$/m²</t>
        </is>
      </c>
      <c r="G7" s="233" t="inlineStr">
        <is>
          <t>Razão (%)</t>
        </is>
      </c>
      <c r="H7" s="234" t="inlineStr">
        <is>
          <t>Despesa de infraestrutura sobre área em uso; R$/aluno é complementar.</t>
        </is>
      </c>
      <c r="I7" s="225" t="inlineStr">
        <is>
          <t>Mensal</t>
        </is>
      </c>
      <c r="J7" s="225" t="inlineStr">
        <is>
          <t>Institucional</t>
        </is>
      </c>
    </row>
    <row r="8"/>
    <row r="9" ht="15" customHeight="1" s="131">
      <c r="A9" s="235" t="inlineStr">
        <is>
          <t>A medida principal do DADM-10 é R$/m². Mudanças de definição, meta ou fonte devem preservar vigência e histórico.</t>
        </is>
      </c>
    </row>
  </sheetData>
  <mergeCells count="3">
    <mergeCell ref="A1:J1"/>
    <mergeCell ref="A9:J9"/>
    <mergeCell ref="A2:J2"/>
  </mergeCells>
  <dataValidations count="2">
    <dataValidation sqref="I5:I24" showDropDown="0" showInputMessage="0" showErrorMessage="0" allowBlank="1" type="list" errorStyle="stop" operator="between">
      <formula1>'LISTAS DE APOIO'!$G$5:$G$8</formula1>
      <formula2>0</formula2>
    </dataValidation>
    <dataValidation sqref="J5:J24" showDropDown="0" showInputMessage="0" showErrorMessage="0" allowBlank="1" type="list" errorStyle="stop" operator="between">
      <formula1>'LISTAS DE APOIO'!$I$5:$I$6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A5A5A5"/>
    <outlinePr summaryBelow="1" summaryRight="1"/>
    <pageSetUpPr fitToPage="0"/>
  </sheetPr>
  <dimension ref="A1:O17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4" customWidth="1" style="130" min="1" max="1"/>
    <col width="15" customWidth="1" style="130" min="2" max="16"/>
  </cols>
  <sheetData>
    <row r="1" ht="24" customHeight="1" s="131">
      <c r="A1" s="132" t="inlineStr">
        <is>
          <t>CAMADA DE PROCESSAMENTO — NÃO EDITAR</t>
        </is>
      </c>
    </row>
    <row r="2" ht="30" customHeight="1" s="131">
      <c r="A2" s="133" t="inlineStr">
        <is>
          <t>Mesma função da CALC do DTNH: documenta séries, metas, resumos e recortes que alimentam PAINEL e MATRIZ.</t>
        </is>
      </c>
    </row>
    <row r="3"/>
    <row r="4" ht="15" customHeight="1" s="131">
      <c r="A4" s="236" t="inlineStr">
        <is>
          <t>Janela de</t>
        </is>
      </c>
      <c r="B4" s="237" t="inlineStr"/>
      <c r="C4" s="236" t="n"/>
      <c r="D4" s="237" t="inlineStr">
        <is>
          <t>até</t>
        </is>
      </c>
      <c r="E4" s="236" t="inlineStr"/>
      <c r="F4" s="237" t="n"/>
      <c r="G4" s="236" t="inlineStr">
        <is>
          <t>Referência</t>
        </is>
      </c>
      <c r="H4" s="237" t="inlineStr"/>
      <c r="I4" s="236" t="n"/>
      <c r="J4" s="237" t="inlineStr">
        <is>
          <t>Comparação</t>
        </is>
      </c>
      <c r="K4" t="inlineStr"/>
      <c r="M4" t="inlineStr">
        <is>
          <t>Recorte</t>
        </is>
      </c>
      <c r="N4" t="inlineStr"/>
    </row>
    <row r="5"/>
    <row r="6" ht="26.25" customHeight="1" s="131">
      <c r="A6" s="137" t="inlineStr">
        <is>
          <t>METAS VIGENTES NO MÊS DE REFERÊNCIA</t>
        </is>
      </c>
    </row>
    <row r="7" ht="30" customHeight="1" s="131">
      <c r="A7" s="199" t="inlineStr">
        <is>
          <t>Recorte</t>
        </is>
      </c>
      <c r="B7" s="199" t="inlineStr">
        <is>
          <t>DADM-01 meta</t>
        </is>
      </c>
      <c r="C7" s="199" t="inlineStr">
        <is>
          <t>DADM-01 atenção</t>
        </is>
      </c>
      <c r="D7" s="199" t="inlineStr">
        <is>
          <t>DADM-09 meta</t>
        </is>
      </c>
      <c r="E7" s="199" t="inlineStr">
        <is>
          <t>DADM-09 atenção</t>
        </is>
      </c>
      <c r="F7" s="199" t="inlineStr">
        <is>
          <t>DADM-10 meta</t>
        </is>
      </c>
      <c r="G7" s="199" t="inlineStr">
        <is>
          <t>DADM-10 atenção</t>
        </is>
      </c>
    </row>
    <row r="8" ht="15" customHeight="1" s="131">
      <c r="A8" s="210" t="n"/>
      <c r="B8" s="202" t="n"/>
      <c r="C8" s="238" t="n"/>
      <c r="D8" s="208" t="n"/>
      <c r="E8" s="239" t="n"/>
      <c r="F8" s="208" t="n"/>
      <c r="G8" s="239" t="n"/>
    </row>
    <row r="9" ht="15" customHeight="1" s="131">
      <c r="A9" s="167" t="n"/>
      <c r="B9" s="240" t="n"/>
      <c r="C9" s="169" t="n"/>
      <c r="D9" s="241" t="n"/>
      <c r="E9" s="181" t="n"/>
      <c r="F9" s="241" t="n"/>
      <c r="G9" s="181" t="n"/>
    </row>
    <row r="10" ht="15" customHeight="1" s="131">
      <c r="A10" s="167" t="n"/>
      <c r="B10" s="240" t="n"/>
      <c r="C10" s="169" t="n"/>
      <c r="D10" s="241" t="n"/>
      <c r="E10" s="181" t="n"/>
      <c r="F10" s="241" t="n"/>
      <c r="G10" s="181" t="n"/>
    </row>
    <row r="11" ht="15" customHeight="1" s="131">
      <c r="A11" s="167" t="n"/>
      <c r="B11" s="240" t="n"/>
      <c r="C11" s="169" t="n"/>
      <c r="D11" s="241" t="n"/>
      <c r="E11" s="181" t="n"/>
      <c r="F11" s="241" t="n"/>
      <c r="G11" s="181" t="n"/>
    </row>
    <row r="12" ht="15" customHeight="1" s="131">
      <c r="A12" s="167" t="n"/>
      <c r="B12" s="240" t="n"/>
      <c r="C12" s="169" t="n"/>
      <c r="D12" s="241" t="n"/>
      <c r="E12" s="181" t="n"/>
      <c r="F12" s="241" t="n"/>
      <c r="G12" s="181" t="n"/>
    </row>
    <row r="13" ht="15" customHeight="1" s="131">
      <c r="A13" s="167" t="n"/>
      <c r="B13" s="240" t="n"/>
      <c r="C13" s="169" t="n"/>
      <c r="D13" s="241" t="n"/>
      <c r="E13" s="181" t="n"/>
      <c r="F13" s="241" t="n"/>
      <c r="G13" s="181" t="n"/>
    </row>
    <row r="14" ht="15" customHeight="1" s="131">
      <c r="A14" s="167" t="n"/>
      <c r="B14" s="240" t="n"/>
      <c r="C14" s="169" t="n"/>
      <c r="D14" s="241" t="n"/>
      <c r="E14" s="181" t="n"/>
      <c r="F14" s="241" t="n"/>
      <c r="G14" s="181" t="n"/>
    </row>
    <row r="15" ht="15" customHeight="1" s="131">
      <c r="A15" s="167" t="n"/>
      <c r="B15" s="240" t="n"/>
      <c r="C15" s="169" t="n"/>
      <c r="D15" s="241" t="n"/>
      <c r="E15" s="181" t="n"/>
      <c r="F15" s="241" t="n"/>
      <c r="G15" s="181" t="n"/>
    </row>
    <row r="16" ht="15" customHeight="1" s="131">
      <c r="A16" s="167" t="n"/>
      <c r="B16" s="240" t="n"/>
      <c r="C16" s="169" t="n"/>
      <c r="D16" s="241" t="n"/>
      <c r="E16" s="181" t="n"/>
      <c r="F16" s="241" t="n"/>
      <c r="G16" s="181" t="n"/>
    </row>
    <row r="17" ht="15" customHeight="1" s="131">
      <c r="A17" s="167" t="n"/>
      <c r="B17" s="240" t="n"/>
      <c r="C17" s="169" t="n"/>
      <c r="D17" s="241" t="n"/>
      <c r="E17" s="181" t="n"/>
      <c r="F17" s="241" t="n"/>
      <c r="G17" s="181" t="n"/>
    </row>
    <row r="18"/>
    <row r="19"/>
    <row r="20" ht="32.25" customHeight="1" s="131">
      <c r="A20" s="198" t="inlineStr">
        <is>
          <t>DADM-01 — Taxa de Evasão</t>
        </is>
      </c>
      <c r="C20" s="140" t="n"/>
    </row>
    <row r="21" ht="31.5" customHeight="1" s="131">
      <c r="A21" s="199" t="inlineStr">
        <is>
          <t>Mês</t>
        </is>
      </c>
      <c r="B21" s="199" t="inlineStr">
        <is>
          <t>Base de alunos</t>
        </is>
      </c>
      <c r="C21" s="199" t="inlineStr">
        <is>
          <t>Desligamentos</t>
        </is>
      </c>
      <c r="D21" s="199" t="inlineStr">
        <is>
          <t>Valor apurado</t>
        </is>
      </c>
      <c r="E21" s="199" t="inlineStr">
        <is>
          <t>Meta</t>
        </is>
      </c>
      <c r="F21" s="199" t="inlineStr">
        <is>
          <t>Atenção</t>
        </is>
      </c>
      <c r="G21" s="199" t="inlineStr">
        <is>
          <t>Status</t>
        </is>
      </c>
      <c r="H21" s="199" t="inlineStr">
        <is>
          <t>Lançamentos</t>
        </is>
      </c>
      <c r="I21" s="199" t="n"/>
    </row>
    <row r="22" ht="15" customHeight="1" s="131">
      <c r="A22" s="242" t="n"/>
      <c r="B22" s="243" t="n"/>
      <c r="C22" s="179" t="n"/>
      <c r="D22" s="179" t="n"/>
      <c r="E22" s="179" t="n"/>
      <c r="F22" s="179" t="n"/>
      <c r="G22" s="244" t="n"/>
      <c r="H22" s="202" t="n"/>
      <c r="I22" s="245" t="n"/>
    </row>
    <row r="23" ht="15" customHeight="1" s="131">
      <c r="A23" s="242" t="n"/>
      <c r="B23" s="243" t="n"/>
      <c r="C23" s="179" t="n"/>
      <c r="D23" s="179" t="n"/>
      <c r="E23" s="179" t="n"/>
      <c r="F23" s="179" t="n"/>
      <c r="G23" s="244" t="n"/>
      <c r="H23" s="202" t="n"/>
      <c r="I23" s="245" t="n"/>
    </row>
    <row r="24" ht="15" customHeight="1" s="131">
      <c r="A24" s="242" t="n"/>
      <c r="B24" s="243" t="n"/>
      <c r="C24" s="179" t="n"/>
      <c r="D24" s="179" t="n"/>
      <c r="E24" s="179" t="n"/>
      <c r="F24" s="179" t="n"/>
      <c r="G24" s="244" t="n"/>
      <c r="H24" s="202" t="n"/>
      <c r="I24" s="245" t="n"/>
    </row>
    <row r="25" ht="15" customHeight="1" s="131">
      <c r="A25" s="242" t="n"/>
      <c r="B25" s="243" t="n"/>
      <c r="C25" s="179" t="n"/>
      <c r="D25" s="179" t="n"/>
      <c r="E25" s="179" t="n"/>
      <c r="F25" s="179" t="n"/>
      <c r="G25" s="244" t="n"/>
      <c r="H25" s="202" t="n"/>
      <c r="I25" s="245" t="n"/>
    </row>
    <row r="26" ht="15" customHeight="1" s="131">
      <c r="A26" s="242" t="n"/>
      <c r="B26" s="243" t="n"/>
      <c r="C26" s="179" t="n"/>
      <c r="D26" s="179" t="n"/>
      <c r="E26" s="179" t="n"/>
      <c r="F26" s="179" t="n"/>
      <c r="G26" s="244" t="n"/>
      <c r="H26" s="202" t="n"/>
      <c r="I26" s="245" t="n"/>
    </row>
    <row r="27" ht="15" customHeight="1" s="131">
      <c r="A27" s="242" t="n"/>
      <c r="B27" s="243" t="n"/>
      <c r="C27" s="179" t="n"/>
      <c r="D27" s="179" t="n"/>
      <c r="E27" s="179" t="n"/>
      <c r="F27" s="179" t="n"/>
      <c r="G27" s="244" t="n"/>
      <c r="H27" s="202" t="n"/>
      <c r="I27" s="245" t="n"/>
    </row>
    <row r="28" ht="15" customHeight="1" s="131">
      <c r="A28" s="242" t="n"/>
      <c r="B28" s="243" t="n"/>
      <c r="C28" s="179" t="n"/>
      <c r="D28" s="179" t="n"/>
      <c r="E28" s="179" t="n"/>
      <c r="F28" s="179" t="n"/>
      <c r="G28" s="244" t="n"/>
      <c r="H28" s="202" t="n"/>
      <c r="I28" s="245" t="n"/>
    </row>
    <row r="29" ht="15" customHeight="1" s="131">
      <c r="A29" s="242" t="n"/>
      <c r="B29" s="243" t="n"/>
      <c r="C29" s="179" t="n"/>
      <c r="D29" s="179" t="n"/>
      <c r="E29" s="179" t="n"/>
      <c r="F29" s="179" t="n"/>
      <c r="G29" s="244" t="n"/>
      <c r="H29" s="202" t="n"/>
      <c r="I29" s="245" t="n"/>
    </row>
    <row r="30" ht="15" customHeight="1" s="131">
      <c r="A30" s="242" t="n"/>
      <c r="B30" s="243" t="n"/>
      <c r="C30" s="179" t="n"/>
      <c r="D30" s="179" t="n"/>
      <c r="E30" s="179" t="n"/>
      <c r="F30" s="179" t="n"/>
      <c r="G30" s="244" t="n"/>
      <c r="H30" s="202" t="n"/>
      <c r="I30" s="245" t="n"/>
    </row>
    <row r="31" ht="15" customHeight="1" s="131">
      <c r="A31" s="242" t="n"/>
      <c r="B31" s="243" t="n"/>
      <c r="C31" s="179" t="n"/>
      <c r="D31" s="179" t="n"/>
      <c r="E31" s="179" t="n"/>
      <c r="F31" s="179" t="n"/>
      <c r="G31" s="244" t="n"/>
      <c r="H31" s="202" t="n"/>
      <c r="I31" s="245" t="n"/>
    </row>
    <row r="32" ht="15" customHeight="1" s="131">
      <c r="A32" s="242" t="n"/>
      <c r="B32" s="243" t="n"/>
      <c r="C32" s="179" t="n"/>
      <c r="D32" s="179" t="n"/>
      <c r="E32" s="179" t="n"/>
      <c r="F32" s="179" t="n"/>
      <c r="G32" s="244" t="n"/>
      <c r="H32" s="202" t="n"/>
      <c r="I32" s="245" t="n"/>
    </row>
    <row r="33" ht="15" customHeight="1" s="131">
      <c r="A33" s="242" t="n"/>
      <c r="B33" s="243" t="n"/>
      <c r="C33" s="179" t="n"/>
      <c r="D33" s="179" t="n"/>
      <c r="E33" s="179" t="n"/>
      <c r="F33" s="179" t="n"/>
      <c r="G33" s="244" t="n"/>
      <c r="H33" s="202" t="n"/>
      <c r="I33" s="245" t="n"/>
    </row>
    <row r="34"/>
    <row r="35" ht="15" customHeight="1" s="131">
      <c r="A35" s="246" t="n"/>
    </row>
    <row r="36" ht="33.75" customHeight="1" s="131">
      <c r="A36" s="199" t="inlineStr">
        <is>
          <t>KPI</t>
        </is>
      </c>
      <c r="B36" s="199" t="inlineStr">
        <is>
          <t>Referência</t>
        </is>
      </c>
      <c r="C36" s="199" t="inlineStr">
        <is>
          <t>Comparação</t>
        </is>
      </c>
      <c r="D36" s="199" t="inlineStr">
        <is>
          <t>Variação</t>
        </is>
      </c>
      <c r="E36" s="199" t="inlineStr">
        <is>
          <t>Meta</t>
        </is>
      </c>
      <c r="F36" s="199" t="inlineStr">
        <is>
          <t>Atenção</t>
        </is>
      </c>
      <c r="G36" s="199" t="inlineStr">
        <is>
          <t>Distância meta</t>
        </is>
      </c>
      <c r="H36" s="199" t="inlineStr">
        <is>
          <t>Distância atenção</t>
        </is>
      </c>
      <c r="I36" s="199" t="inlineStr">
        <is>
          <t>Atingimento</t>
        </is>
      </c>
      <c r="J36" s="199" t="inlineStr">
        <is>
          <t>Status</t>
        </is>
      </c>
      <c r="K36" s="199" t="inlineStr">
        <is>
          <t>Situação</t>
        </is>
      </c>
      <c r="L36" s="199" t="inlineStr">
        <is>
          <t>Lançamentos</t>
        </is>
      </c>
      <c r="M36" s="199" t="inlineStr"/>
      <c r="N36" s="199" t="inlineStr">
        <is>
          <t>Mês referência</t>
        </is>
      </c>
      <c r="O36" s="199" t="inlineStr">
        <is>
          <t>Mês comparação</t>
        </is>
      </c>
    </row>
    <row r="37" ht="15" customHeight="1" s="131">
      <c r="A37" s="138" t="n"/>
      <c r="B37" s="247" t="n"/>
      <c r="C37" s="248" t="n"/>
      <c r="D37" s="161" t="n"/>
      <c r="E37" s="168" t="n"/>
      <c r="F37" s="248" t="n"/>
      <c r="G37" s="161" t="n"/>
      <c r="H37" s="161" t="n"/>
      <c r="I37" s="162" t="n"/>
      <c r="J37" s="163" t="n"/>
      <c r="K37" s="163" t="n"/>
      <c r="L37" s="165" t="n"/>
      <c r="M37" s="165" t="n"/>
      <c r="N37" s="243" t="n"/>
      <c r="O37" s="243" t="n"/>
    </row>
    <row r="38"/>
    <row r="39" ht="23.25" customHeight="1" s="131">
      <c r="A39" s="246" t="n"/>
    </row>
    <row r="40" ht="33.75" customHeight="1" s="131">
      <c r="A40" s="199" t="inlineStr">
        <is>
          <t>Curso</t>
        </is>
      </c>
      <c r="B40" s="199" t="inlineStr">
        <is>
          <t>Diretoria</t>
        </is>
      </c>
      <c r="C40" s="199" t="inlineStr">
        <is>
          <t>Modalidade</t>
        </is>
      </c>
      <c r="D40" s="199" t="inlineStr">
        <is>
          <t>Base</t>
        </is>
      </c>
      <c r="E40" s="199" t="inlineStr">
        <is>
          <t>Desligamentos</t>
        </is>
      </c>
      <c r="F40" s="199" t="inlineStr">
        <is>
          <t>Referência</t>
        </is>
      </c>
      <c r="G40" s="199" t="inlineStr">
        <is>
          <t>Comparação</t>
        </is>
      </c>
      <c r="H40" s="199" t="inlineStr">
        <is>
          <t>Variação</t>
        </is>
      </c>
      <c r="I40" s="199" t="inlineStr">
        <is>
          <t>Meta</t>
        </is>
      </c>
      <c r="J40" s="199" t="inlineStr">
        <is>
          <t>Atenção</t>
        </is>
      </c>
      <c r="K40" s="199" t="inlineStr">
        <is>
          <t>Status</t>
        </is>
      </c>
    </row>
    <row r="41" ht="15" customHeight="1" s="131">
      <c r="A41" s="167" t="n"/>
      <c r="B41" s="179" t="n"/>
      <c r="C41" s="179" t="n"/>
      <c r="D41" s="179" t="n"/>
      <c r="E41" s="179" t="n"/>
      <c r="F41" s="249" t="n"/>
      <c r="G41" s="169" t="n"/>
      <c r="H41" s="203" t="n"/>
      <c r="I41" s="169" t="n"/>
      <c r="J41" s="169" t="n"/>
      <c r="K41" s="171" t="n"/>
    </row>
    <row r="42" ht="15" customHeight="1" s="131">
      <c r="A42" s="167" t="n"/>
      <c r="B42" s="179" t="n"/>
      <c r="C42" s="179" t="n"/>
      <c r="D42" s="179" t="n"/>
      <c r="E42" s="179" t="n"/>
      <c r="F42" s="249" t="n"/>
      <c r="G42" s="169" t="n"/>
      <c r="H42" s="203" t="n"/>
      <c r="I42" s="169" t="n"/>
      <c r="J42" s="169" t="n"/>
      <c r="K42" s="171" t="n"/>
    </row>
    <row r="43" ht="15" customHeight="1" s="131">
      <c r="A43" s="167" t="n"/>
      <c r="B43" s="179" t="n"/>
      <c r="C43" s="179" t="n"/>
      <c r="D43" s="179" t="n"/>
      <c r="E43" s="179" t="n"/>
      <c r="F43" s="249" t="n"/>
      <c r="G43" s="169" t="n"/>
      <c r="H43" s="203" t="n"/>
      <c r="I43" s="169" t="n"/>
      <c r="J43" s="169" t="n"/>
      <c r="K43" s="171" t="n"/>
    </row>
    <row r="44" ht="15" customHeight="1" s="131">
      <c r="A44" s="167" t="n"/>
      <c r="B44" s="179" t="n"/>
      <c r="C44" s="179" t="n"/>
      <c r="D44" s="179" t="n"/>
      <c r="E44" s="179" t="n"/>
      <c r="F44" s="249" t="n"/>
      <c r="G44" s="169" t="n"/>
      <c r="H44" s="203" t="n"/>
      <c r="I44" s="169" t="n"/>
      <c r="J44" s="169" t="n"/>
      <c r="K44" s="171" t="n"/>
    </row>
    <row r="45" ht="15" customHeight="1" s="131">
      <c r="A45" s="167" t="n"/>
      <c r="B45" s="179" t="n"/>
      <c r="C45" s="179" t="n"/>
      <c r="D45" s="179" t="n"/>
      <c r="E45" s="179" t="n"/>
      <c r="F45" s="249" t="n"/>
      <c r="G45" s="169" t="n"/>
      <c r="H45" s="203" t="n"/>
      <c r="I45" s="169" t="n"/>
      <c r="J45" s="169" t="n"/>
      <c r="K45" s="171" t="n"/>
    </row>
    <row r="46" ht="15" customHeight="1" s="131">
      <c r="A46" s="167" t="n"/>
      <c r="B46" s="179" t="n"/>
      <c r="C46" s="179" t="n"/>
      <c r="D46" s="179" t="n"/>
      <c r="E46" s="179" t="n"/>
      <c r="F46" s="249" t="n"/>
      <c r="G46" s="169" t="n"/>
      <c r="H46" s="203" t="n"/>
      <c r="I46" s="169" t="n"/>
      <c r="J46" s="169" t="n"/>
      <c r="K46" s="171" t="n"/>
    </row>
    <row r="47" ht="15" customHeight="1" s="131">
      <c r="A47" s="167" t="n"/>
      <c r="B47" s="179" t="n"/>
      <c r="C47" s="179" t="n"/>
      <c r="D47" s="179" t="n"/>
      <c r="E47" s="179" t="n"/>
      <c r="F47" s="249" t="n"/>
      <c r="G47" s="169" t="n"/>
      <c r="H47" s="203" t="n"/>
      <c r="I47" s="169" t="n"/>
      <c r="J47" s="169" t="n"/>
      <c r="K47" s="171" t="n"/>
    </row>
    <row r="48" ht="15" customHeight="1" s="131">
      <c r="A48" s="167" t="n"/>
      <c r="B48" s="179" t="n"/>
      <c r="C48" s="179" t="n"/>
      <c r="D48" s="179" t="n"/>
      <c r="E48" s="179" t="n"/>
      <c r="F48" s="249" t="n"/>
      <c r="G48" s="169" t="n"/>
      <c r="H48" s="203" t="n"/>
      <c r="I48" s="169" t="n"/>
      <c r="J48" s="169" t="n"/>
      <c r="K48" s="171" t="n"/>
    </row>
    <row r="49" ht="15" customHeight="1" s="131">
      <c r="A49" s="167" t="n"/>
      <c r="B49" s="179" t="n"/>
      <c r="C49" s="179" t="n"/>
      <c r="D49" s="179" t="n"/>
      <c r="E49" s="179" t="n"/>
      <c r="F49" s="249" t="n"/>
      <c r="G49" s="169" t="n"/>
      <c r="H49" s="203" t="n"/>
      <c r="I49" s="169" t="n"/>
      <c r="J49" s="169" t="n"/>
      <c r="K49" s="171" t="n"/>
    </row>
    <row r="50"/>
    <row r="51"/>
    <row r="52"/>
    <row r="53" ht="32.25" customHeight="1" s="131">
      <c r="A53" s="198" t="inlineStr">
        <is>
          <t>DADM-09 — Custo Administrativo por Aluno</t>
        </is>
      </c>
      <c r="C53" s="140" t="n"/>
    </row>
    <row r="54" ht="31.5" customHeight="1" s="131">
      <c r="A54" s="199" t="inlineStr">
        <is>
          <t>Mês</t>
        </is>
      </c>
      <c r="B54" s="199" t="inlineStr">
        <is>
          <t>Despesa</t>
        </is>
      </c>
      <c r="C54" s="199" t="inlineStr">
        <is>
          <t>Alunos ativos</t>
        </is>
      </c>
      <c r="D54" s="199" t="inlineStr">
        <is>
          <t>Valor apurado</t>
        </is>
      </c>
      <c r="E54" s="199" t="inlineStr">
        <is>
          <t>Meta</t>
        </is>
      </c>
      <c r="F54" s="199" t="inlineStr">
        <is>
          <t>Atenção</t>
        </is>
      </c>
      <c r="G54" s="199" t="inlineStr">
        <is>
          <t>Status</t>
        </is>
      </c>
      <c r="H54" t="inlineStr">
        <is>
          <t>Lançamentos</t>
        </is>
      </c>
    </row>
    <row r="55" ht="15" customHeight="1" s="131">
      <c r="A55" s="242" t="n"/>
      <c r="B55" s="243" t="n"/>
      <c r="C55" s="179" t="n"/>
      <c r="D55" s="244" t="n"/>
      <c r="E55" s="205" t="n"/>
      <c r="F55" s="250" t="n"/>
      <c r="G55" s="251" t="n"/>
    </row>
    <row r="56" ht="15" customHeight="1" s="131">
      <c r="A56" s="242" t="n"/>
      <c r="B56" s="243" t="n"/>
      <c r="C56" s="179" t="n"/>
      <c r="D56" s="244" t="n"/>
      <c r="E56" s="205" t="n"/>
      <c r="F56" s="250" t="n"/>
      <c r="G56" s="251" t="n"/>
    </row>
    <row r="57" ht="15" customHeight="1" s="131">
      <c r="A57" s="242" t="n"/>
      <c r="B57" s="243" t="n"/>
      <c r="C57" s="179" t="n"/>
      <c r="D57" s="244" t="n"/>
      <c r="E57" s="205" t="n"/>
      <c r="F57" s="250" t="n"/>
      <c r="G57" s="251" t="n"/>
    </row>
    <row r="58" ht="15" customHeight="1" s="131">
      <c r="A58" s="242" t="n"/>
      <c r="B58" s="243" t="n"/>
      <c r="C58" s="179" t="n"/>
      <c r="D58" s="244" t="n"/>
      <c r="E58" s="205" t="n"/>
      <c r="F58" s="250" t="n"/>
      <c r="G58" s="251" t="n"/>
    </row>
    <row r="59" ht="15" customHeight="1" s="131">
      <c r="A59" s="242" t="n"/>
      <c r="B59" s="243" t="n"/>
      <c r="C59" s="179" t="n"/>
      <c r="D59" s="244" t="n"/>
      <c r="E59" s="205" t="n"/>
      <c r="F59" s="250" t="n"/>
      <c r="G59" s="251" t="n"/>
    </row>
    <row r="60" ht="15" customHeight="1" s="131">
      <c r="A60" s="242" t="n"/>
      <c r="B60" s="243" t="n"/>
      <c r="C60" s="179" t="n"/>
      <c r="D60" s="244" t="n"/>
      <c r="E60" s="205" t="n"/>
      <c r="F60" s="250" t="n"/>
      <c r="G60" s="251" t="n"/>
    </row>
    <row r="61" ht="15" customHeight="1" s="131">
      <c r="A61" s="242" t="n"/>
      <c r="B61" s="243" t="n"/>
      <c r="C61" s="179" t="n"/>
      <c r="D61" s="244" t="n"/>
      <c r="E61" s="205" t="n"/>
      <c r="F61" s="250" t="n"/>
      <c r="G61" s="251" t="n"/>
    </row>
    <row r="62" ht="15" customHeight="1" s="131">
      <c r="A62" s="242" t="n"/>
      <c r="B62" s="243" t="n"/>
      <c r="C62" s="179" t="n"/>
      <c r="D62" s="244" t="n"/>
      <c r="E62" s="205" t="n"/>
      <c r="F62" s="250" t="n"/>
      <c r="G62" s="251" t="n"/>
    </row>
    <row r="63" ht="15" customHeight="1" s="131">
      <c r="A63" s="242" t="n"/>
      <c r="B63" s="243" t="n"/>
      <c r="C63" s="179" t="n"/>
      <c r="D63" s="244" t="n"/>
      <c r="E63" s="205" t="n"/>
      <c r="F63" s="250" t="n"/>
      <c r="G63" s="251" t="n"/>
    </row>
    <row r="64" ht="15" customHeight="1" s="131">
      <c r="A64" s="242" t="n"/>
      <c r="B64" s="243" t="n"/>
      <c r="C64" s="179" t="n"/>
      <c r="D64" s="244" t="n"/>
      <c r="E64" s="205" t="n"/>
      <c r="F64" s="250" t="n"/>
      <c r="G64" s="251" t="n"/>
    </row>
    <row r="65" ht="15" customHeight="1" s="131">
      <c r="A65" s="242" t="n"/>
      <c r="B65" s="243" t="n"/>
      <c r="C65" s="179" t="n"/>
      <c r="D65" s="244" t="n"/>
      <c r="E65" s="205" t="n"/>
      <c r="F65" s="250" t="n"/>
      <c r="G65" s="251" t="n"/>
    </row>
    <row r="66" ht="15" customHeight="1" s="131">
      <c r="A66" s="242" t="n"/>
      <c r="B66" s="243" t="n"/>
      <c r="C66" s="179" t="n"/>
      <c r="D66" s="244" t="n"/>
      <c r="E66" s="205" t="n"/>
      <c r="F66" s="250" t="n"/>
      <c r="G66" s="251" t="n"/>
    </row>
    <row r="67"/>
    <row r="68" ht="15" customHeight="1" s="131">
      <c r="A68" s="246" t="n"/>
    </row>
    <row r="69" ht="33.75" customHeight="1" s="131">
      <c r="A69" s="199" t="inlineStr">
        <is>
          <t>KPI</t>
        </is>
      </c>
      <c r="B69" s="199" t="inlineStr">
        <is>
          <t>Referência</t>
        </is>
      </c>
      <c r="C69" s="199" t="inlineStr">
        <is>
          <t>Comparação</t>
        </is>
      </c>
      <c r="D69" s="199" t="inlineStr">
        <is>
          <t>Variação</t>
        </is>
      </c>
      <c r="E69" s="199" t="inlineStr">
        <is>
          <t>Meta</t>
        </is>
      </c>
      <c r="F69" s="199" t="inlineStr">
        <is>
          <t>Atenção</t>
        </is>
      </c>
      <c r="G69" s="199" t="inlineStr">
        <is>
          <t>Distância meta</t>
        </is>
      </c>
      <c r="H69" s="199" t="inlineStr">
        <is>
          <t>Distância atenção</t>
        </is>
      </c>
      <c r="I69" s="199" t="inlineStr">
        <is>
          <t>Atingimento</t>
        </is>
      </c>
      <c r="J69" s="199" t="inlineStr">
        <is>
          <t>Status</t>
        </is>
      </c>
      <c r="K69" s="199" t="inlineStr">
        <is>
          <t>Situação</t>
        </is>
      </c>
      <c r="L69" s="199" t="inlineStr">
        <is>
          <t>Lançamentos</t>
        </is>
      </c>
      <c r="M69" s="199" t="inlineStr"/>
      <c r="N69" s="199" t="inlineStr">
        <is>
          <t>Mês referência</t>
        </is>
      </c>
      <c r="O69" s="199" t="inlineStr">
        <is>
          <t>Mês comparação</t>
        </is>
      </c>
    </row>
    <row r="70" ht="15" customHeight="1" s="131">
      <c r="A70" s="138" t="n"/>
      <c r="B70" s="252" t="n"/>
      <c r="C70" s="165" t="n"/>
      <c r="D70" s="177" t="n"/>
      <c r="E70" s="184" t="n"/>
      <c r="F70" s="162" t="n"/>
      <c r="G70" s="177" t="n"/>
      <c r="H70" s="177" t="n"/>
      <c r="I70" s="162" t="n"/>
      <c r="J70" s="163" t="n"/>
      <c r="K70" s="163" t="n"/>
      <c r="L70" s="165" t="n"/>
      <c r="M70" s="165" t="n"/>
      <c r="N70" s="243" t="n"/>
      <c r="O70" s="243" t="n"/>
    </row>
    <row r="71"/>
    <row r="72" ht="23.25" customHeight="1" s="131">
      <c r="A72" s="246" t="n"/>
    </row>
    <row r="73" ht="33.75" customHeight="1" s="131">
      <c r="A73" s="199" t="inlineStr">
        <is>
          <t>Centro de custo</t>
        </is>
      </c>
      <c r="B73" s="199" t="inlineStr">
        <is>
          <t>Despesa</t>
        </is>
      </c>
      <c r="C73" s="199" t="inlineStr">
        <is>
          <t>Modalidade</t>
        </is>
      </c>
      <c r="D73" s="199" t="inlineStr">
        <is>
          <t>Referência</t>
        </is>
      </c>
      <c r="E73" s="199" t="inlineStr">
        <is>
          <t>Comparação</t>
        </is>
      </c>
      <c r="F73" s="199" t="inlineStr">
        <is>
          <t>Variação</t>
        </is>
      </c>
      <c r="G73" s="199" t="inlineStr">
        <is>
          <t>% da despesa</t>
        </is>
      </c>
      <c r="H73" s="199" t="inlineStr">
        <is>
          <t>Leitura</t>
        </is>
      </c>
    </row>
    <row r="74" ht="15" customHeight="1" s="131">
      <c r="A74" s="167" t="n"/>
      <c r="B74" s="179" t="n"/>
      <c r="C74" s="253" t="n"/>
      <c r="D74" s="179" t="n"/>
      <c r="E74" s="206" t="n"/>
      <c r="F74" s="181" t="n"/>
      <c r="G74" s="181" t="n"/>
      <c r="H74" s="171" t="n"/>
    </row>
    <row r="75" ht="15" customHeight="1" s="131">
      <c r="A75" s="167" t="n"/>
      <c r="B75" s="179" t="n"/>
      <c r="C75" s="253" t="n"/>
      <c r="D75" s="179" t="n"/>
      <c r="E75" s="206" t="n"/>
      <c r="F75" s="181" t="n"/>
      <c r="G75" s="181" t="n"/>
      <c r="H75" s="171" t="n"/>
    </row>
    <row r="76" ht="15" customHeight="1" s="131">
      <c r="A76" s="167" t="n"/>
      <c r="B76" s="179" t="n"/>
      <c r="C76" s="253" t="n"/>
      <c r="D76" s="179" t="n"/>
      <c r="E76" s="206" t="n"/>
      <c r="F76" s="181" t="n"/>
      <c r="G76" s="181" t="n"/>
      <c r="H76" s="171" t="n"/>
    </row>
    <row r="77" ht="15" customHeight="1" s="131">
      <c r="A77" s="167" t="n"/>
      <c r="B77" s="179" t="n"/>
      <c r="C77" s="253" t="n"/>
      <c r="D77" s="179" t="n"/>
      <c r="E77" s="206" t="n"/>
      <c r="F77" s="181" t="n"/>
      <c r="G77" s="181" t="n"/>
      <c r="H77" s="171" t="n"/>
    </row>
    <row r="78" ht="15" customHeight="1" s="131">
      <c r="A78" s="167" t="n"/>
      <c r="B78" s="179" t="n"/>
      <c r="C78" s="253" t="n"/>
      <c r="D78" s="179" t="n"/>
      <c r="E78" s="206" t="n"/>
      <c r="F78" s="181" t="n"/>
      <c r="G78" s="181" t="n"/>
      <c r="H78" s="171" t="n"/>
    </row>
    <row r="79" ht="15" customHeight="1" s="131">
      <c r="A79" s="167" t="n"/>
      <c r="B79" s="179" t="n"/>
      <c r="C79" s="253" t="n"/>
      <c r="D79" s="179" t="n"/>
      <c r="E79" s="206" t="n"/>
      <c r="F79" s="181" t="n"/>
      <c r="G79" s="181" t="n"/>
      <c r="H79" s="171" t="n"/>
    </row>
    <row r="80" ht="15" customHeight="1" s="131">
      <c r="A80" s="167" t="n"/>
      <c r="B80" s="179" t="n"/>
      <c r="C80" s="253" t="n"/>
      <c r="D80" s="179" t="n"/>
      <c r="E80" s="206" t="n"/>
      <c r="F80" s="181" t="n"/>
      <c r="G80" s="181" t="n"/>
      <c r="H80" s="171" t="n"/>
    </row>
    <row r="81" ht="15" customHeight="1" s="131">
      <c r="A81" s="167" t="n"/>
      <c r="B81" s="179" t="n"/>
      <c r="C81" s="253" t="n"/>
      <c r="D81" s="179" t="n"/>
      <c r="E81" s="206" t="n"/>
      <c r="F81" s="181" t="n"/>
      <c r="G81" s="181" t="n"/>
      <c r="H81" s="171" t="n"/>
    </row>
    <row r="82" ht="15" customHeight="1" s="131">
      <c r="A82" s="167" t="n"/>
      <c r="B82" s="179" t="n"/>
      <c r="C82" s="253" t="n"/>
      <c r="D82" s="179" t="n"/>
      <c r="E82" s="206" t="n"/>
      <c r="F82" s="181" t="n"/>
      <c r="G82" s="181" t="n"/>
      <c r="H82" s="171" t="n"/>
    </row>
    <row r="83"/>
    <row r="84"/>
    <row r="85"/>
    <row r="86" ht="42.75" customHeight="1" s="131">
      <c r="A86" s="198" t="inlineStr">
        <is>
          <t>DADM-10 — Eficiência das Despesas de Infraestrutura</t>
        </is>
      </c>
      <c r="C86" s="140" t="n"/>
    </row>
    <row r="87" ht="31.5" customHeight="1" s="131">
      <c r="A87" s="199" t="inlineStr">
        <is>
          <t>Mês</t>
        </is>
      </c>
      <c r="B87" s="199" t="inlineStr">
        <is>
          <t>Despesa</t>
        </is>
      </c>
      <c r="C87" s="199" t="inlineStr">
        <is>
          <t>Área em uso</t>
        </is>
      </c>
      <c r="D87" s="199" t="inlineStr">
        <is>
          <t>Alunos ativos</t>
        </is>
      </c>
      <c r="E87" s="199" t="inlineStr">
        <is>
          <t>R$/m²</t>
        </is>
      </c>
      <c r="F87" s="199" t="inlineStr">
        <is>
          <t>Meta</t>
        </is>
      </c>
      <c r="G87" s="199" t="inlineStr">
        <is>
          <t>Atenção</t>
        </is>
      </c>
      <c r="H87" t="inlineStr">
        <is>
          <t>R$/aluno</t>
        </is>
      </c>
      <c r="I87" t="inlineStr">
        <is>
          <t>Status</t>
        </is>
      </c>
    </row>
    <row r="88" ht="15" customHeight="1" s="131">
      <c r="A88" s="242" t="n"/>
      <c r="B88" s="243" t="n"/>
      <c r="C88" s="179" t="n"/>
      <c r="D88" s="179" t="n"/>
      <c r="E88" s="244" t="n"/>
      <c r="F88" s="208" t="n"/>
      <c r="G88" s="250" t="n"/>
    </row>
    <row r="89" ht="15" customHeight="1" s="131">
      <c r="A89" s="242" t="n"/>
      <c r="B89" s="243" t="n"/>
      <c r="C89" s="179" t="n"/>
      <c r="D89" s="179" t="n"/>
      <c r="E89" s="244" t="n"/>
      <c r="F89" s="208" t="n"/>
      <c r="G89" s="250" t="n"/>
    </row>
    <row r="90" ht="15" customHeight="1" s="131">
      <c r="A90" s="242" t="n"/>
      <c r="B90" s="243" t="n"/>
      <c r="C90" s="179" t="n"/>
      <c r="D90" s="179" t="n"/>
      <c r="E90" s="244" t="n"/>
      <c r="F90" s="208" t="n"/>
      <c r="G90" s="250" t="n"/>
    </row>
    <row r="91" ht="15" customHeight="1" s="131">
      <c r="A91" s="242" t="n"/>
      <c r="B91" s="243" t="n"/>
      <c r="C91" s="179" t="n"/>
      <c r="D91" s="179" t="n"/>
      <c r="E91" s="244" t="n"/>
      <c r="F91" s="208" t="n"/>
      <c r="G91" s="250" t="n"/>
    </row>
    <row r="92" ht="15" customHeight="1" s="131">
      <c r="A92" s="242" t="n"/>
      <c r="B92" s="243" t="n"/>
      <c r="C92" s="179" t="n"/>
      <c r="D92" s="179" t="n"/>
      <c r="E92" s="244" t="n"/>
      <c r="F92" s="208" t="n"/>
      <c r="G92" s="250" t="n"/>
    </row>
    <row r="93" ht="15" customHeight="1" s="131">
      <c r="A93" s="242" t="n"/>
      <c r="B93" s="243" t="n"/>
      <c r="C93" s="179" t="n"/>
      <c r="D93" s="179" t="n"/>
      <c r="E93" s="244" t="n"/>
      <c r="F93" s="208" t="n"/>
      <c r="G93" s="250" t="n"/>
    </row>
    <row r="94" ht="15" customHeight="1" s="131">
      <c r="A94" s="242" t="n"/>
      <c r="B94" s="243" t="n"/>
      <c r="C94" s="179" t="n"/>
      <c r="D94" s="179" t="n"/>
      <c r="E94" s="244" t="n"/>
      <c r="F94" s="208" t="n"/>
      <c r="G94" s="250" t="n"/>
    </row>
    <row r="95" ht="15" customHeight="1" s="131">
      <c r="A95" s="242" t="n"/>
      <c r="B95" s="243" t="n"/>
      <c r="C95" s="179" t="n"/>
      <c r="D95" s="179" t="n"/>
      <c r="E95" s="244" t="n"/>
      <c r="F95" s="208" t="n"/>
      <c r="G95" s="250" t="n"/>
    </row>
    <row r="96" ht="15" customHeight="1" s="131">
      <c r="A96" s="242" t="n"/>
      <c r="B96" s="243" t="n"/>
      <c r="C96" s="179" t="n"/>
      <c r="D96" s="179" t="n"/>
      <c r="E96" s="244" t="n"/>
      <c r="F96" s="208" t="n"/>
      <c r="G96" s="250" t="n"/>
    </row>
    <row r="97" ht="15" customHeight="1" s="131">
      <c r="A97" s="242" t="n"/>
      <c r="B97" s="243" t="n"/>
      <c r="C97" s="179" t="n"/>
      <c r="D97" s="179" t="n"/>
      <c r="E97" s="244" t="n"/>
      <c r="F97" s="208" t="n"/>
      <c r="G97" s="250" t="n"/>
    </row>
    <row r="98" ht="15" customHeight="1" s="131">
      <c r="A98" s="242" t="n"/>
      <c r="B98" s="243" t="n"/>
      <c r="C98" s="179" t="n"/>
      <c r="D98" s="179" t="n"/>
      <c r="E98" s="244" t="n"/>
      <c r="F98" s="208" t="n"/>
      <c r="G98" s="250" t="n"/>
    </row>
    <row r="99" ht="15" customHeight="1" s="131">
      <c r="A99" s="242" t="n"/>
      <c r="B99" s="243" t="n"/>
      <c r="C99" s="179" t="n"/>
      <c r="D99" s="179" t="n"/>
      <c r="E99" s="244" t="n"/>
      <c r="F99" s="208" t="n"/>
      <c r="G99" s="250" t="n"/>
    </row>
    <row r="100"/>
    <row r="101" ht="15" customHeight="1" s="131">
      <c r="A101" s="246" t="n"/>
    </row>
    <row r="102" ht="33.75" customHeight="1" s="131">
      <c r="A102" s="199" t="inlineStr">
        <is>
          <t>KPI</t>
        </is>
      </c>
      <c r="B102" s="199" t="inlineStr">
        <is>
          <t>Referência</t>
        </is>
      </c>
      <c r="C102" s="199" t="inlineStr">
        <is>
          <t>Comparação</t>
        </is>
      </c>
      <c r="D102" s="199" t="inlineStr">
        <is>
          <t>Variação</t>
        </is>
      </c>
      <c r="E102" s="199" t="inlineStr">
        <is>
          <t>Meta</t>
        </is>
      </c>
      <c r="F102" s="199" t="inlineStr">
        <is>
          <t>Atenção</t>
        </is>
      </c>
      <c r="G102" s="199" t="inlineStr">
        <is>
          <t>Distância meta</t>
        </is>
      </c>
      <c r="H102" s="199" t="inlineStr">
        <is>
          <t>Distância atenção</t>
        </is>
      </c>
      <c r="I102" s="199" t="inlineStr">
        <is>
          <t>Atingimento</t>
        </is>
      </c>
      <c r="J102" s="199" t="inlineStr">
        <is>
          <t>Status</t>
        </is>
      </c>
      <c r="K102" s="199" t="inlineStr">
        <is>
          <t>Situação</t>
        </is>
      </c>
      <c r="L102" s="199" t="inlineStr">
        <is>
          <t>Lançamentos</t>
        </is>
      </c>
      <c r="M102" s="199" t="inlineStr"/>
      <c r="N102" s="199" t="inlineStr">
        <is>
          <t>Mês referência</t>
        </is>
      </c>
      <c r="O102" s="199" t="inlineStr">
        <is>
          <t>Mês comparação</t>
        </is>
      </c>
    </row>
    <row r="103" ht="15" customHeight="1" s="131">
      <c r="A103" s="138" t="n"/>
      <c r="B103" s="254" t="n"/>
      <c r="C103" s="162" t="n"/>
      <c r="D103" s="177" t="n"/>
      <c r="E103" s="184" t="n"/>
      <c r="F103" s="162" t="n"/>
      <c r="G103" s="177" t="n"/>
      <c r="H103" s="177" t="n"/>
      <c r="I103" s="162" t="n"/>
      <c r="J103" s="163" t="n"/>
      <c r="K103" s="163" t="n"/>
      <c r="L103" s="165" t="n"/>
      <c r="M103" s="165" t="n"/>
      <c r="N103" s="243" t="n"/>
      <c r="O103" s="243" t="n"/>
    </row>
    <row r="104"/>
    <row r="105" ht="23.25" customHeight="1" s="131">
      <c r="A105" s="246" t="n"/>
    </row>
    <row r="106" ht="33.75" customHeight="1" s="131">
      <c r="A106" s="199" t="inlineStr">
        <is>
          <t>Medida</t>
        </is>
      </c>
      <c r="B106" s="199" t="inlineStr">
        <is>
          <t>Unidade</t>
        </is>
      </c>
      <c r="C106" s="199" t="inlineStr">
        <is>
          <t>Origem</t>
        </is>
      </c>
      <c r="D106" s="199" t="inlineStr">
        <is>
          <t>Referência</t>
        </is>
      </c>
      <c r="E106" s="199" t="inlineStr">
        <is>
          <t>Comparação</t>
        </is>
      </c>
      <c r="F106" s="199" t="inlineStr">
        <is>
          <t>Variação</t>
        </is>
      </c>
      <c r="G106" s="199" t="inlineStr">
        <is>
          <t>Meta</t>
        </is>
      </c>
      <c r="H106" s="199" t="inlineStr">
        <is>
          <t>Atenção</t>
        </is>
      </c>
      <c r="I106" s="199" t="inlineStr">
        <is>
          <t>Status</t>
        </is>
      </c>
    </row>
    <row r="107" ht="15" customHeight="1" s="131">
      <c r="A107" s="167" t="n"/>
      <c r="B107" s="179" t="n"/>
      <c r="C107" s="179" t="n"/>
      <c r="D107" s="185" t="n"/>
      <c r="E107" s="181" t="n"/>
      <c r="F107" s="206" t="n"/>
      <c r="G107" s="181" t="n"/>
      <c r="H107" s="181" t="n"/>
      <c r="I107" s="171" t="n"/>
    </row>
    <row r="108" ht="15" customHeight="1" s="131">
      <c r="A108" s="167" t="n"/>
      <c r="B108" s="179" t="n"/>
      <c r="C108" s="179" t="n"/>
      <c r="D108" s="185" t="n"/>
      <c r="E108" s="181" t="n"/>
      <c r="F108" s="206" t="n"/>
      <c r="G108" s="181" t="n"/>
      <c r="H108" s="181" t="n"/>
      <c r="I108" s="171" t="n"/>
    </row>
    <row r="109" ht="15" customHeight="1" s="131">
      <c r="A109" s="167" t="n"/>
      <c r="B109" s="179" t="n"/>
      <c r="C109" s="179" t="n"/>
      <c r="D109" s="185" t="n"/>
      <c r="E109" s="181" t="n"/>
      <c r="F109" s="206" t="n"/>
      <c r="G109" s="181" t="n"/>
      <c r="H109" s="181" t="n"/>
      <c r="I109" s="171" t="n"/>
    </row>
    <row r="110" ht="15" customHeight="1" s="131">
      <c r="A110" s="167" t="n"/>
      <c r="B110" s="179" t="n"/>
      <c r="C110" s="179" t="n"/>
      <c r="D110" s="185" t="n"/>
      <c r="E110" s="181" t="n"/>
      <c r="F110" s="206" t="n"/>
      <c r="G110" s="181" t="n"/>
      <c r="H110" s="181" t="n"/>
      <c r="I110" s="171" t="n"/>
    </row>
    <row r="111" ht="15" customHeight="1" s="131">
      <c r="A111" s="167" t="n"/>
      <c r="B111" s="179" t="n"/>
      <c r="C111" s="179" t="n"/>
      <c r="D111" s="185" t="n"/>
      <c r="E111" s="181" t="n"/>
      <c r="F111" s="206" t="n"/>
      <c r="G111" s="181" t="n"/>
      <c r="H111" s="181" t="n"/>
      <c r="I111" s="171" t="n"/>
    </row>
    <row r="112" ht="15" customHeight="1" s="131">
      <c r="A112" s="167" t="n"/>
      <c r="B112" s="179" t="n"/>
      <c r="C112" s="179" t="n"/>
      <c r="D112" s="185" t="n"/>
      <c r="E112" s="181" t="n"/>
      <c r="F112" s="206" t="n"/>
      <c r="G112" s="181" t="n"/>
      <c r="H112" s="181" t="n"/>
      <c r="I112" s="171" t="n"/>
    </row>
    <row r="113" ht="15" customHeight="1" s="131">
      <c r="A113" s="167" t="n"/>
      <c r="B113" s="179" t="n"/>
      <c r="C113" s="179" t="n"/>
      <c r="D113" s="185" t="n"/>
      <c r="E113" s="181" t="n"/>
      <c r="F113" s="206" t="n"/>
      <c r="G113" s="181" t="n"/>
      <c r="H113" s="181" t="n"/>
      <c r="I113" s="171" t="n"/>
    </row>
    <row r="114" ht="15" customHeight="1" s="131">
      <c r="A114" s="167" t="n"/>
      <c r="B114" s="179" t="n"/>
      <c r="C114" s="179" t="n"/>
      <c r="D114" s="185" t="n"/>
      <c r="E114" s="181" t="n"/>
      <c r="F114" s="206" t="n"/>
      <c r="G114" s="181" t="n"/>
      <c r="H114" s="181" t="n"/>
      <c r="I114" s="171" t="n"/>
    </row>
    <row r="115" ht="15" customHeight="1" s="131">
      <c r="A115" s="167" t="n"/>
      <c r="B115" s="179" t="n"/>
      <c r="C115" s="179" t="n"/>
      <c r="D115" s="185" t="n"/>
      <c r="E115" s="181" t="n"/>
      <c r="F115" s="206" t="n"/>
      <c r="G115" s="181" t="n"/>
      <c r="H115" s="181" t="n"/>
      <c r="I115" s="171" t="n"/>
    </row>
    <row r="116"/>
    <row r="117"/>
    <row r="118"/>
    <row r="119" ht="32.25" customHeight="1" s="131">
      <c r="A119" s="246" t="n"/>
      <c r="D119" s="140" t="n"/>
    </row>
    <row r="120" ht="31.5" customHeight="1" s="131">
      <c r="A120" s="199" t="n"/>
      <c r="B120" s="199" t="n"/>
      <c r="C120" s="199" t="n"/>
      <c r="D120" s="199" t="n"/>
      <c r="E120" s="199" t="n"/>
      <c r="F120" s="199" t="n"/>
      <c r="G120" s="199" t="n"/>
      <c r="H120" s="199" t="n"/>
    </row>
    <row r="121" ht="21.75" customHeight="1" s="131">
      <c r="A121" s="167" t="n"/>
      <c r="B121" s="167" t="n"/>
      <c r="C121" s="179" t="n"/>
      <c r="D121" s="179" t="n"/>
      <c r="E121" s="208" t="n"/>
      <c r="F121" s="181" t="n"/>
      <c r="G121" s="181" t="n"/>
      <c r="H121" s="171" t="n"/>
    </row>
    <row r="122" ht="15" customHeight="1" s="131">
      <c r="A122" s="167" t="n"/>
      <c r="B122" s="167" t="n"/>
      <c r="C122" s="179" t="n"/>
      <c r="D122" s="179" t="n"/>
      <c r="E122" s="208" t="n"/>
      <c r="F122" s="181" t="n"/>
      <c r="G122" s="181" t="n"/>
      <c r="H122" s="171" t="n"/>
    </row>
    <row r="123" ht="15" customHeight="1" s="131">
      <c r="A123" s="167" t="n"/>
      <c r="B123" s="167" t="n"/>
      <c r="C123" s="179" t="n"/>
      <c r="D123" s="179" t="n"/>
      <c r="E123" s="208" t="n"/>
      <c r="F123" s="181" t="n"/>
      <c r="G123" s="181" t="n"/>
      <c r="H123" s="171" t="n"/>
    </row>
    <row r="124" ht="21.75" customHeight="1" s="131">
      <c r="A124" s="167" t="n"/>
      <c r="B124" s="167" t="n"/>
      <c r="C124" s="179" t="n"/>
      <c r="D124" s="179" t="n"/>
      <c r="E124" s="208" t="n"/>
      <c r="F124" s="181" t="n"/>
      <c r="G124" s="181" t="n"/>
      <c r="H124" s="171" t="n"/>
    </row>
    <row r="125" ht="15" customHeight="1" s="131">
      <c r="A125" s="167" t="n"/>
      <c r="B125" s="167" t="n"/>
      <c r="C125" s="179" t="n"/>
      <c r="D125" s="179" t="n"/>
      <c r="E125" s="208" t="n"/>
      <c r="F125" s="181" t="n"/>
      <c r="G125" s="181" t="n"/>
      <c r="H125" s="171" t="n"/>
    </row>
    <row r="126" ht="21.75" customHeight="1" s="131">
      <c r="A126" s="167" t="n"/>
      <c r="B126" s="167" t="n"/>
      <c r="C126" s="179" t="n"/>
      <c r="D126" s="179" t="n"/>
      <c r="E126" s="208" t="n"/>
      <c r="F126" s="181" t="n"/>
      <c r="G126" s="181" t="n"/>
      <c r="H126" s="171" t="n"/>
    </row>
    <row r="127" ht="15" customHeight="1" s="131">
      <c r="A127" s="167" t="n"/>
      <c r="B127" s="167" t="n"/>
      <c r="C127" s="179" t="n"/>
      <c r="D127" s="179" t="n"/>
      <c r="E127" s="208" t="n"/>
      <c r="F127" s="181" t="n"/>
      <c r="G127" s="181" t="n"/>
      <c r="H127" s="171" t="n"/>
    </row>
    <row r="128" ht="21.75" customHeight="1" s="131">
      <c r="A128" s="167" t="n"/>
      <c r="B128" s="167" t="n"/>
      <c r="C128" s="179" t="n"/>
      <c r="D128" s="179" t="n"/>
      <c r="E128" s="208" t="n"/>
      <c r="F128" s="181" t="n"/>
      <c r="G128" s="181" t="n"/>
      <c r="H128" s="171" t="n"/>
    </row>
    <row r="129" ht="32.25" customHeight="1" s="131">
      <c r="A129" s="167" t="n"/>
      <c r="B129" s="167" t="n"/>
      <c r="C129" s="179" t="n"/>
      <c r="D129" s="179" t="n"/>
      <c r="E129" s="208" t="n"/>
      <c r="F129" s="181" t="n"/>
      <c r="G129" s="181" t="n"/>
      <c r="H129" s="171" t="n"/>
    </row>
    <row r="130" ht="15" customHeight="1" s="131">
      <c r="A130" s="167" t="n"/>
      <c r="B130" s="167" t="n"/>
      <c r="C130" s="179" t="n"/>
      <c r="D130" s="179" t="n"/>
      <c r="E130" s="208" t="n"/>
      <c r="F130" s="181" t="n"/>
      <c r="G130" s="181" t="n"/>
      <c r="H130" s="171" t="n"/>
    </row>
    <row r="131" ht="21.75" customHeight="1" s="131">
      <c r="A131" s="167" t="n"/>
      <c r="B131" s="167" t="n"/>
      <c r="C131" s="179" t="n"/>
      <c r="D131" s="179" t="n"/>
      <c r="E131" s="208" t="n"/>
      <c r="F131" s="181" t="n"/>
      <c r="G131" s="181" t="n"/>
      <c r="H131" s="171" t="n"/>
    </row>
    <row r="132" ht="21.75" customHeight="1" s="131">
      <c r="A132" s="167" t="n"/>
      <c r="B132" s="167" t="n"/>
      <c r="C132" s="179" t="n"/>
      <c r="D132" s="179" t="n"/>
      <c r="E132" s="208" t="n"/>
      <c r="F132" s="181" t="n"/>
      <c r="G132" s="181" t="n"/>
      <c r="H132" s="171" t="n"/>
    </row>
    <row r="133" ht="21.75" customHeight="1" s="131">
      <c r="A133" s="167" t="n"/>
      <c r="B133" s="167" t="n"/>
      <c r="C133" s="179" t="n"/>
      <c r="D133" s="179" t="n"/>
      <c r="E133" s="208" t="n"/>
      <c r="F133" s="181" t="n"/>
      <c r="G133" s="181" t="n"/>
      <c r="H133" s="171" t="n"/>
    </row>
    <row r="134" ht="21.75" customHeight="1" s="131">
      <c r="A134" s="167" t="n"/>
      <c r="B134" s="167" t="n"/>
      <c r="C134" s="179" t="n"/>
      <c r="D134" s="179" t="n"/>
      <c r="E134" s="208" t="n"/>
      <c r="F134" s="181" t="n"/>
      <c r="G134" s="181" t="n"/>
      <c r="H134" s="171" t="n"/>
    </row>
    <row r="135" ht="15" customHeight="1" s="131">
      <c r="A135" s="167" t="n"/>
      <c r="B135" s="167" t="n"/>
      <c r="C135" s="179" t="n"/>
      <c r="D135" s="179" t="n"/>
      <c r="E135" s="208" t="n"/>
      <c r="F135" s="181" t="n"/>
      <c r="G135" s="181" t="n"/>
      <c r="H135" s="171" t="n"/>
    </row>
    <row r="136" ht="15" customHeight="1" s="131">
      <c r="A136" s="167" t="n"/>
      <c r="B136" s="167" t="n"/>
      <c r="C136" s="179" t="n"/>
      <c r="D136" s="179" t="n"/>
      <c r="E136" s="208" t="n"/>
      <c r="F136" s="181" t="n"/>
      <c r="G136" s="181" t="n"/>
      <c r="H136" s="171" t="n"/>
    </row>
    <row r="137" ht="21.75" customHeight="1" s="131">
      <c r="A137" s="167" t="n"/>
      <c r="B137" s="167" t="n"/>
      <c r="C137" s="179" t="n"/>
      <c r="D137" s="179" t="n"/>
      <c r="E137" s="208" t="n"/>
      <c r="F137" s="181" t="n"/>
      <c r="G137" s="181" t="n"/>
      <c r="H137" s="171" t="n"/>
    </row>
    <row r="138" ht="21.75" customHeight="1" s="131">
      <c r="A138" s="167" t="n"/>
      <c r="B138" s="167" t="n"/>
      <c r="C138" s="179" t="n"/>
      <c r="D138" s="179" t="n"/>
      <c r="E138" s="208" t="n"/>
      <c r="F138" s="181" t="n"/>
      <c r="G138" s="181" t="n"/>
      <c r="H138" s="171" t="n"/>
    </row>
    <row r="139" ht="15" customHeight="1" s="131">
      <c r="A139" s="167" t="n"/>
      <c r="B139" s="167" t="n"/>
      <c r="C139" s="179" t="n"/>
      <c r="D139" s="179" t="n"/>
      <c r="E139" s="208" t="n"/>
      <c r="F139" s="181" t="n"/>
      <c r="G139" s="181" t="n"/>
      <c r="H139" s="171" t="n"/>
    </row>
    <row r="140" ht="21.75" customHeight="1" s="131">
      <c r="A140" s="167" t="n"/>
      <c r="B140" s="167" t="n"/>
      <c r="C140" s="179" t="n"/>
      <c r="D140" s="179" t="n"/>
      <c r="E140" s="208" t="n"/>
      <c r="F140" s="181" t="n"/>
      <c r="G140" s="181" t="n"/>
      <c r="H140" s="171" t="n"/>
    </row>
    <row r="141" ht="21.75" customHeight="1" s="131">
      <c r="A141" s="167" t="n"/>
      <c r="B141" s="167" t="n"/>
      <c r="C141" s="179" t="n"/>
      <c r="D141" s="179" t="n"/>
      <c r="E141" s="208" t="n"/>
      <c r="F141" s="181" t="n"/>
      <c r="G141" s="181" t="n"/>
      <c r="H141" s="171" t="n"/>
    </row>
    <row r="142" ht="21.75" customHeight="1" s="131">
      <c r="A142" s="167" t="n"/>
      <c r="B142" s="167" t="n"/>
      <c r="C142" s="179" t="n"/>
      <c r="D142" s="179" t="n"/>
      <c r="E142" s="208" t="n"/>
      <c r="F142" s="181" t="n"/>
      <c r="G142" s="181" t="n"/>
      <c r="H142" s="171" t="n"/>
    </row>
    <row r="143" ht="21.75" customHeight="1" s="131">
      <c r="A143" s="167" t="n"/>
      <c r="B143" s="167" t="n"/>
      <c r="C143" s="179" t="n"/>
      <c r="D143" s="179" t="n"/>
      <c r="E143" s="208" t="n"/>
      <c r="F143" s="181" t="n"/>
      <c r="G143" s="181" t="n"/>
      <c r="H143" s="171" t="n"/>
    </row>
    <row r="144" ht="21.75" customHeight="1" s="131">
      <c r="A144" s="167" t="n"/>
      <c r="B144" s="167" t="n"/>
      <c r="C144" s="179" t="n"/>
      <c r="D144" s="179" t="n"/>
      <c r="E144" s="208" t="n"/>
      <c r="F144" s="181" t="n"/>
      <c r="G144" s="181" t="n"/>
      <c r="H144" s="171" t="n"/>
    </row>
    <row r="145" ht="21.75" customHeight="1" s="131">
      <c r="A145" s="167" t="n"/>
      <c r="B145" s="167" t="n"/>
      <c r="C145" s="179" t="n"/>
      <c r="D145" s="179" t="n"/>
      <c r="E145" s="208" t="n"/>
      <c r="F145" s="181" t="n"/>
      <c r="G145" s="181" t="n"/>
      <c r="H145" s="171" t="n"/>
    </row>
    <row r="146" ht="15" customHeight="1" s="131">
      <c r="A146" s="167" t="n"/>
      <c r="B146" s="167" t="n"/>
      <c r="C146" s="179" t="n"/>
      <c r="D146" s="179" t="n"/>
      <c r="E146" s="208" t="n"/>
      <c r="F146" s="181" t="n"/>
      <c r="G146" s="181" t="n"/>
      <c r="H146" s="171" t="n"/>
    </row>
    <row r="147" ht="15" customHeight="1" s="131">
      <c r="A147" s="167" t="n"/>
      <c r="B147" s="167" t="n"/>
      <c r="C147" s="179" t="n"/>
      <c r="D147" s="179" t="n"/>
      <c r="E147" s="208" t="n"/>
      <c r="F147" s="181" t="n"/>
      <c r="G147" s="181" t="n"/>
      <c r="H147" s="171" t="n"/>
    </row>
    <row r="148" ht="21.75" customHeight="1" s="131">
      <c r="A148" s="167" t="n"/>
      <c r="B148" s="167" t="n"/>
      <c r="C148" s="179" t="n"/>
      <c r="D148" s="179" t="n"/>
      <c r="E148" s="208" t="n"/>
      <c r="F148" s="181" t="n"/>
      <c r="G148" s="181" t="n"/>
      <c r="H148" s="171" t="n"/>
    </row>
    <row r="149" ht="15" customHeight="1" s="131">
      <c r="A149" s="167" t="n"/>
      <c r="B149" s="167" t="n"/>
      <c r="C149" s="179" t="n"/>
      <c r="D149" s="179" t="n"/>
      <c r="E149" s="208" t="n"/>
      <c r="F149" s="181" t="n"/>
      <c r="G149" s="181" t="n"/>
      <c r="H149" s="171" t="n"/>
    </row>
    <row r="150" ht="21.75" customHeight="1" s="131">
      <c r="A150" s="167" t="n"/>
      <c r="B150" s="167" t="n"/>
      <c r="C150" s="179" t="n"/>
      <c r="D150" s="179" t="n"/>
      <c r="E150" s="208" t="n"/>
      <c r="F150" s="181" t="n"/>
      <c r="G150" s="181" t="n"/>
      <c r="H150" s="171" t="n"/>
    </row>
    <row r="151" ht="32.25" customHeight="1" s="131">
      <c r="A151" s="167" t="n"/>
      <c r="B151" s="167" t="n"/>
      <c r="C151" s="179" t="n"/>
      <c r="D151" s="179" t="n"/>
      <c r="E151" s="208" t="n"/>
      <c r="F151" s="181" t="n"/>
      <c r="G151" s="181" t="n"/>
      <c r="H151" s="171" t="n"/>
    </row>
    <row r="152" ht="21.75" customHeight="1" s="131">
      <c r="A152" s="167" t="n"/>
      <c r="B152" s="167" t="n"/>
      <c r="C152" s="179" t="n"/>
      <c r="D152" s="179" t="n"/>
      <c r="E152" s="208" t="n"/>
      <c r="F152" s="181" t="n"/>
      <c r="G152" s="181" t="n"/>
      <c r="H152" s="171" t="n"/>
    </row>
    <row r="153" ht="15" customHeight="1" s="131">
      <c r="A153" s="167" t="n"/>
      <c r="B153" s="167" t="n"/>
      <c r="C153" s="179" t="n"/>
      <c r="D153" s="179" t="n"/>
      <c r="E153" s="208" t="n"/>
      <c r="F153" s="181" t="n"/>
      <c r="G153" s="181" t="n"/>
      <c r="H153" s="171" t="n"/>
    </row>
    <row r="154" ht="21.75" customHeight="1" s="131">
      <c r="A154" s="167" t="n"/>
      <c r="B154" s="167" t="n"/>
      <c r="C154" s="179" t="n"/>
      <c r="D154" s="179" t="n"/>
      <c r="E154" s="208" t="n"/>
      <c r="F154" s="181" t="n"/>
      <c r="G154" s="181" t="n"/>
      <c r="H154" s="171" t="n"/>
    </row>
    <row r="155" ht="15" customHeight="1" s="131">
      <c r="A155" s="167" t="n"/>
      <c r="B155" s="167" t="n"/>
      <c r="C155" s="179" t="n"/>
      <c r="D155" s="179" t="n"/>
      <c r="E155" s="208" t="n"/>
      <c r="F155" s="181" t="n"/>
      <c r="G155" s="181" t="n"/>
      <c r="H155" s="171" t="n"/>
    </row>
    <row r="156" ht="15" customHeight="1" s="131">
      <c r="A156" s="167" t="n"/>
      <c r="B156" s="167" t="n"/>
      <c r="C156" s="179" t="n"/>
      <c r="D156" s="179" t="n"/>
      <c r="E156" s="208" t="n"/>
      <c r="F156" s="181" t="n"/>
      <c r="G156" s="181" t="n"/>
      <c r="H156" s="171" t="n"/>
    </row>
    <row r="157" ht="21.75" customHeight="1" s="131">
      <c r="A157" s="167" t="n"/>
      <c r="B157" s="167" t="n"/>
      <c r="C157" s="179" t="n"/>
      <c r="D157" s="179" t="n"/>
      <c r="E157" s="208" t="n"/>
      <c r="F157" s="181" t="n"/>
      <c r="G157" s="181" t="n"/>
      <c r="H157" s="171" t="n"/>
    </row>
    <row r="158" ht="15" customHeight="1" s="131">
      <c r="A158" s="255" t="n"/>
      <c r="B158" s="256" t="n"/>
      <c r="C158" s="179" t="n"/>
      <c r="D158" s="179" t="n"/>
      <c r="E158" s="257" t="n"/>
      <c r="F158" s="256" t="n"/>
      <c r="G158" s="256" t="n"/>
      <c r="H158" s="256" t="n"/>
    </row>
    <row r="159"/>
    <row r="160"/>
    <row r="161" ht="23.25" customHeight="1" s="131">
      <c r="A161" s="246" t="n"/>
    </row>
    <row r="162" ht="33.75" customHeight="1" s="131">
      <c r="A162" s="199" t="n"/>
      <c r="B162" s="199" t="n"/>
      <c r="C162" s="199" t="n"/>
      <c r="D162" s="199" t="n"/>
      <c r="E162" s="199" t="n"/>
      <c r="F162" s="199" t="n"/>
      <c r="G162" s="199" t="n"/>
      <c r="H162" s="199" t="n"/>
      <c r="I162" s="199" t="n"/>
    </row>
    <row r="163" ht="15" customHeight="1" s="131">
      <c r="A163" s="258" t="n"/>
      <c r="B163" s="167" t="n"/>
      <c r="C163" s="179" t="n"/>
      <c r="D163" s="179" t="n"/>
      <c r="E163" s="208" t="n"/>
      <c r="F163" s="244" t="n"/>
      <c r="G163" s="259" t="n"/>
      <c r="H163" s="259" t="n"/>
      <c r="I163" s="260" t="n"/>
    </row>
    <row r="164" ht="15" customHeight="1" s="131">
      <c r="A164" s="258" t="n"/>
      <c r="B164" s="167" t="n"/>
      <c r="C164" s="179" t="n"/>
      <c r="D164" s="179" t="n"/>
      <c r="E164" s="208" t="n"/>
      <c r="F164" s="244" t="n"/>
      <c r="G164" s="259" t="n"/>
      <c r="H164" s="259" t="n"/>
      <c r="I164" s="260" t="n"/>
    </row>
    <row r="165" ht="15" customHeight="1" s="131">
      <c r="A165" s="258" t="n"/>
      <c r="B165" s="167" t="n"/>
      <c r="C165" s="179" t="n"/>
      <c r="D165" s="179" t="n"/>
      <c r="E165" s="208" t="n"/>
      <c r="F165" s="244" t="n"/>
      <c r="G165" s="259" t="n"/>
      <c r="H165" s="259" t="n"/>
      <c r="I165" s="260" t="n"/>
    </row>
    <row r="166" ht="15" customHeight="1" s="131">
      <c r="A166" s="258" t="n"/>
      <c r="B166" s="167" t="n"/>
      <c r="C166" s="179" t="n"/>
      <c r="D166" s="179" t="n"/>
      <c r="E166" s="208" t="n"/>
      <c r="F166" s="244" t="n"/>
      <c r="G166" s="259" t="n"/>
      <c r="H166" s="259" t="n"/>
      <c r="I166" s="260" t="n"/>
    </row>
    <row r="167" ht="15" customHeight="1" s="131">
      <c r="A167" s="258" t="n"/>
      <c r="B167" s="167" t="n"/>
      <c r="C167" s="179" t="n"/>
      <c r="D167" s="179" t="n"/>
      <c r="E167" s="208" t="n"/>
      <c r="F167" s="244" t="n"/>
      <c r="G167" s="259" t="n"/>
      <c r="H167" s="259" t="n"/>
      <c r="I167" s="260" t="n"/>
    </row>
    <row r="168" ht="15" customHeight="1" s="131">
      <c r="A168" s="258" t="n"/>
      <c r="B168" s="167" t="n"/>
      <c r="C168" s="179" t="n"/>
      <c r="D168" s="179" t="n"/>
      <c r="E168" s="208" t="n"/>
      <c r="F168" s="244" t="n"/>
      <c r="G168" s="259" t="n"/>
      <c r="H168" s="259" t="n"/>
      <c r="I168" s="260" t="n"/>
    </row>
    <row r="169" ht="15" customHeight="1" s="131">
      <c r="A169" s="258" t="n"/>
      <c r="B169" s="167" t="n"/>
      <c r="C169" s="179" t="n"/>
      <c r="D169" s="179" t="n"/>
      <c r="E169" s="208" t="n"/>
      <c r="F169" s="244" t="n"/>
      <c r="G169" s="259" t="n"/>
      <c r="H169" s="259" t="n"/>
      <c r="I169" s="260" t="n"/>
    </row>
    <row r="170" ht="15" customHeight="1" s="131">
      <c r="A170" s="258" t="n"/>
      <c r="B170" s="255" t="n"/>
      <c r="C170" s="179" t="n"/>
      <c r="D170" s="179" t="n"/>
      <c r="E170" s="208" t="n"/>
      <c r="F170" s="244" t="n"/>
      <c r="G170" s="259" t="n"/>
      <c r="H170" s="259" t="n"/>
      <c r="I170" s="260" t="n"/>
    </row>
    <row r="171" ht="21.75" customHeight="1" s="131">
      <c r="A171" s="258" t="n"/>
      <c r="B171" s="255" t="n"/>
      <c r="C171" s="179" t="n"/>
      <c r="D171" s="179" t="n"/>
      <c r="E171" s="208" t="n"/>
      <c r="F171" s="244" t="n"/>
      <c r="G171" s="259" t="n"/>
      <c r="H171" s="259" t="n"/>
      <c r="I171" s="260" t="n"/>
    </row>
  </sheetData>
  <mergeCells count="2">
    <mergeCell ref="A1:O1"/>
    <mergeCell ref="A2:O2"/>
  </mergeCells>
  <conditionalFormatting sqref="J37">
    <cfRule type="cellIs" rank="0" priority="2" equalAverage="0" operator="equal" aboveAverage="0" dxfId="1" text="" percent="0" bottom="0">
      <formula>"Dentro da meta"</formula>
    </cfRule>
    <cfRule type="cellIs" rank="0" priority="3" equalAverage="0" operator="equal" aboveAverage="0" dxfId="2" text="" percent="0" bottom="0">
      <formula>"Atenção"</formula>
    </cfRule>
    <cfRule type="cellIs" rank="0" priority="4" equalAverage="0" operator="equal" aboveAverage="0" dxfId="0" text="" percent="0" bottom="0">
      <formula>"Fora da meta"</formula>
    </cfRule>
  </conditionalFormatting>
  <conditionalFormatting sqref="K41:K49">
    <cfRule type="cellIs" rank="0" priority="5" equalAverage="0" operator="equal" aboveAverage="0" dxfId="1" text="" percent="0" bottom="0">
      <formula>"Dentro da meta"</formula>
    </cfRule>
    <cfRule type="cellIs" rank="0" priority="6" equalAverage="0" operator="equal" aboveAverage="0" dxfId="2" text="" percent="0" bottom="0">
      <formula>"Atenção"</formula>
    </cfRule>
    <cfRule type="cellIs" rank="0" priority="7" equalAverage="0" operator="equal" aboveAverage="0" dxfId="0" text="" percent="0" bottom="0">
      <formula>"Fora da meta"</formula>
    </cfRule>
  </conditionalFormatting>
  <conditionalFormatting sqref="J70">
    <cfRule type="cellIs" rank="0" priority="8" equalAverage="0" operator="equal" aboveAverage="0" dxfId="1" text="" percent="0" bottom="0">
      <formula>"Dentro da meta"</formula>
    </cfRule>
    <cfRule type="cellIs" rank="0" priority="9" equalAverage="0" operator="equal" aboveAverage="0" dxfId="2" text="" percent="0" bottom="0">
      <formula>"Atenção"</formula>
    </cfRule>
    <cfRule type="cellIs" rank="0" priority="10" equalAverage="0" operator="equal" aboveAverage="0" dxfId="0" text="" percent="0" bottom="0">
      <formula>"Fora da meta"</formula>
    </cfRule>
  </conditionalFormatting>
  <conditionalFormatting sqref="H74:H82">
    <cfRule type="cellIs" rank="0" priority="11" equalAverage="0" operator="equal" aboveAverage="0" dxfId="1" text="" percent="0" bottom="0">
      <formula>"Dentro da meta"</formula>
    </cfRule>
    <cfRule type="cellIs" rank="0" priority="12" equalAverage="0" operator="equal" aboveAverage="0" dxfId="2" text="" percent="0" bottom="0">
      <formula>"Atenção"</formula>
    </cfRule>
    <cfRule type="cellIs" rank="0" priority="13" equalAverage="0" operator="equal" aboveAverage="0" dxfId="0" text="" percent="0" bottom="0">
      <formula>"Fora da meta"</formula>
    </cfRule>
  </conditionalFormatting>
  <conditionalFormatting sqref="J103">
    <cfRule type="cellIs" rank="0" priority="14" equalAverage="0" operator="equal" aboveAverage="0" dxfId="1" text="" percent="0" bottom="0">
      <formula>"Dentro da meta"</formula>
    </cfRule>
    <cfRule type="cellIs" rank="0" priority="15" equalAverage="0" operator="equal" aboveAverage="0" dxfId="2" text="" percent="0" bottom="0">
      <formula>"Atenção"</formula>
    </cfRule>
    <cfRule type="cellIs" rank="0" priority="16" equalAverage="0" operator="equal" aboveAverage="0" dxfId="0" text="" percent="0" bottom="0">
      <formula>"Fora da meta"</formula>
    </cfRule>
  </conditionalFormatting>
  <conditionalFormatting sqref="I107:I115">
    <cfRule type="cellIs" rank="0" priority="17" equalAverage="0" operator="equal" aboveAverage="0" dxfId="1" text="" percent="0" bottom="0">
      <formula>"Dentro da meta"</formula>
    </cfRule>
    <cfRule type="cellIs" rank="0" priority="18" equalAverage="0" operator="equal" aboveAverage="0" dxfId="2" text="" percent="0" bottom="0">
      <formula>"Atenção"</formula>
    </cfRule>
    <cfRule type="cellIs" rank="0" priority="19" equalAverage="0" operator="equal" aboveAverage="0" dxfId="0" text="" percent="0" bottom="0">
      <formula>"Fora da meta"</formula>
    </cfRule>
  </conditionalFormatting>
  <conditionalFormatting sqref="H121:H157">
    <cfRule type="cellIs" rank="0" priority="20" equalAverage="0" operator="equal" aboveAverage="0" dxfId="1" text="" percent="0" bottom="0">
      <formula>"Dentro da meta"</formula>
    </cfRule>
    <cfRule type="cellIs" rank="0" priority="21" equalAverage="0" operator="equal" aboveAverage="0" dxfId="2" text="" percent="0" bottom="0">
      <formula>"Atenção"</formula>
    </cfRule>
    <cfRule type="cellIs" rank="0" priority="22" equalAverage="0" operator="equal" aboveAverage="0" dxfId="0" text="" percent="0" bottom="0">
      <formula>"Fora da meta"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A5A5A5"/>
    <outlinePr summaryBelow="1" summaryRight="1"/>
    <pageSetUpPr fitToPage="0"/>
  </sheetPr>
  <dimension ref="A1:I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0" customWidth="1" style="130" min="1" max="1"/>
    <col width="20" customWidth="1" style="130" min="2" max="2"/>
    <col width="14" customWidth="1" style="130" min="3" max="3"/>
    <col width="10" customWidth="1" style="130" min="4" max="4"/>
    <col width="22" customWidth="1" style="130" min="5" max="5"/>
    <col width="24" customWidth="1" style="130" min="6" max="6"/>
    <col width="26" customWidth="1" style="130" min="7" max="7"/>
    <col width="40" customWidth="1" style="130" min="8" max="8"/>
    <col width="22" customWidth="1" style="130" min="9" max="9"/>
  </cols>
  <sheetData>
    <row r="1" ht="24" customHeight="1" s="131">
      <c r="A1" s="132" t="inlineStr">
        <is>
          <t>LISTAS DE APOIO</t>
        </is>
      </c>
    </row>
    <row r="2" ht="30" customHeight="1" s="131">
      <c r="A2" s="133" t="inlineStr">
        <is>
          <t>Usadas pelas validações. Não apague colunas. A exportação preenche cursos e centros de custo disponíveis.</t>
        </is>
      </c>
    </row>
    <row r="3"/>
    <row r="4" ht="30" customHeight="1" s="131">
      <c r="A4" s="199" t="inlineStr">
        <is>
          <t>Recortes</t>
        </is>
      </c>
      <c r="B4" s="199" t="inlineStr">
        <is>
          <t>Modalidades</t>
        </is>
      </c>
      <c r="C4" s="199" t="inlineStr">
        <is>
          <t>Sim / Não</t>
        </is>
      </c>
      <c r="D4" s="199" t="inlineStr">
        <is>
          <t>Ativo</t>
        </is>
      </c>
      <c r="E4" s="199" t="inlineStr">
        <is>
          <t>Status possíveis</t>
        </is>
      </c>
      <c r="F4" s="199" t="inlineStr">
        <is>
          <t>Status do plano de ação</t>
        </is>
      </c>
      <c r="G4" s="199" t="inlineStr">
        <is>
          <t>Direção</t>
        </is>
      </c>
      <c r="H4" s="199" t="inlineStr">
        <is>
          <t>Curso em foco</t>
        </is>
      </c>
      <c r="I4" s="199" t="inlineStr">
        <is>
          <t>Setor</t>
        </is>
      </c>
    </row>
    <row r="5" ht="15" customHeight="1" s="131">
      <c r="A5" s="218" t="inlineStr">
        <is>
          <t>TOTAL</t>
        </is>
      </c>
      <c r="B5" s="164" t="inlineStr">
        <is>
          <t>Presencial</t>
        </is>
      </c>
      <c r="C5" s="164" t="inlineStr">
        <is>
          <t>Não</t>
        </is>
      </c>
      <c r="D5" s="164" t="inlineStr">
        <is>
          <t>S</t>
        </is>
      </c>
      <c r="E5" s="164" t="inlineStr">
        <is>
          <t>Dentro da meta</t>
        </is>
      </c>
      <c r="F5" s="164" t="inlineStr">
        <is>
          <t>Não iniciado</t>
        </is>
      </c>
      <c r="G5" s="164" t="inlineStr">
        <is>
          <t>Menor é melhor</t>
        </is>
      </c>
      <c r="H5" s="164" t="inlineStr">
        <is>
          <t>(todos)</t>
        </is>
      </c>
      <c r="I5" s="164" t="inlineStr">
        <is>
          <t>(todos)</t>
        </is>
      </c>
    </row>
    <row r="6" ht="15" customHeight="1" s="131">
      <c r="A6" s="218" t="n"/>
      <c r="B6" s="164" t="inlineStr">
        <is>
          <t>EAD</t>
        </is>
      </c>
      <c r="C6" s="164" t="inlineStr">
        <is>
          <t>Sim</t>
        </is>
      </c>
      <c r="D6" s="164" t="inlineStr">
        <is>
          <t>N</t>
        </is>
      </c>
      <c r="E6" s="164" t="inlineStr">
        <is>
          <t>Atenção</t>
        </is>
      </c>
      <c r="F6" s="164" t="inlineStr">
        <is>
          <t>Em andamento</t>
        </is>
      </c>
      <c r="G6" s="164" t="n"/>
      <c r="H6" s="164" t="n"/>
      <c r="I6" s="164" t="n"/>
    </row>
    <row r="7" ht="15" customHeight="1" s="131">
      <c r="A7" s="218" t="n"/>
      <c r="B7" s="164" t="inlineStr">
        <is>
          <t>Semipresencial</t>
        </is>
      </c>
      <c r="E7" s="164" t="inlineStr">
        <is>
          <t>Fora da meta</t>
        </is>
      </c>
      <c r="F7" s="164" t="inlineStr">
        <is>
          <t>Concluído</t>
        </is>
      </c>
      <c r="G7" s="164" t="n"/>
      <c r="H7" s="164" t="n"/>
    </row>
    <row r="8" ht="15" customHeight="1" s="131">
      <c r="A8" s="218" t="n"/>
      <c r="B8" t="inlineStr">
        <is>
          <t>(todas)</t>
        </is>
      </c>
      <c r="E8" t="inlineStr">
        <is>
          <t>Sem dados</t>
        </is>
      </c>
      <c r="F8" s="164" t="inlineStr">
        <is>
          <t>Atrasado</t>
        </is>
      </c>
      <c r="G8" s="164" t="n"/>
      <c r="H8" s="164" t="n"/>
    </row>
    <row r="9" ht="15" customHeight="1" s="131">
      <c r="A9" s="218" t="n"/>
      <c r="E9" t="inlineStr">
        <is>
          <t>Recorte analítico</t>
        </is>
      </c>
      <c r="F9" s="164" t="inlineStr">
        <is>
          <t>Cancelado</t>
        </is>
      </c>
      <c r="H9" s="164" t="n"/>
    </row>
    <row r="10" ht="15" customHeight="1" s="131">
      <c r="A10" s="218" t="n"/>
      <c r="H10" s="164" t="n"/>
    </row>
    <row r="11" ht="15" customHeight="1" s="131">
      <c r="A11" s="218" t="n"/>
      <c r="H11" s="164" t="n"/>
    </row>
    <row r="12" ht="15" customHeight="1" s="131">
      <c r="A12" s="218" t="n"/>
      <c r="H12" s="164" t="n"/>
    </row>
    <row r="13" ht="15" customHeight="1" s="131">
      <c r="A13" s="218" t="n"/>
      <c r="H13" s="164" t="n"/>
    </row>
    <row r="14" ht="15" customHeight="1" s="131">
      <c r="A14" s="218" t="n"/>
      <c r="H14" s="164" t="n"/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A5A5A5"/>
    <outlinePr summaryBelow="1" summaryRight="1"/>
    <pageSetUpPr fitToPage="0"/>
  </sheetPr>
  <dimension ref="A1:E29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6" customWidth="1" style="130" min="1" max="1"/>
    <col width="18" customWidth="1" style="130" min="2" max="4"/>
    <col width="34" customWidth="1" style="130" min="5" max="5"/>
  </cols>
  <sheetData>
    <row r="1" ht="24" customHeight="1" s="131">
      <c r="A1" s="132" t="inlineStr">
        <is>
          <t>DIMENSÃO DE PERÍODOS DE ALIMENTAÇÃO</t>
        </is>
      </c>
    </row>
    <row r="2" ht="30" customHeight="1" s="131">
      <c r="A2" s="133" t="inlineStr">
        <is>
          <t>Na DADM operacional, DADM-01, DADM-09 e DADM-10 usam competência mensal. A tabela mantém o mesmo papel da DIM_PERIODO do DTNH.</t>
        </is>
      </c>
    </row>
    <row r="3"/>
    <row r="4" ht="30" customHeight="1" s="131">
      <c r="A4" s="199" t="inlineStr">
        <is>
          <t>Mensal</t>
        </is>
      </c>
      <c r="B4" s="199" t="inlineStr">
        <is>
          <t>DADM-01</t>
        </is>
      </c>
      <c r="C4" s="199" t="inlineStr">
        <is>
          <t>DADM-09</t>
        </is>
      </c>
      <c r="D4" s="199" t="inlineStr">
        <is>
          <t>DADM-10</t>
        </is>
      </c>
      <c r="E4" s="199" t="inlineStr">
        <is>
          <t>Observação</t>
        </is>
      </c>
    </row>
    <row r="5" ht="15" customHeight="1" s="131">
      <c r="A5" s="164" t="inlineStr">
        <is>
          <t>2025-01</t>
        </is>
      </c>
      <c r="B5" s="164" t="inlineStr">
        <is>
          <t>2025-01</t>
        </is>
      </c>
      <c r="C5" s="164" t="inlineStr">
        <is>
          <t>2025-01</t>
        </is>
      </c>
      <c r="D5" s="164" t="inlineStr">
        <is>
          <t>2025-01</t>
        </is>
      </c>
      <c r="E5" s="164" t="inlineStr">
        <is>
          <t>Competência mensal</t>
        </is>
      </c>
    </row>
    <row r="6" ht="15" customHeight="1" s="131">
      <c r="A6" s="164" t="inlineStr">
        <is>
          <t>2025-02</t>
        </is>
      </c>
      <c r="B6" s="164" t="inlineStr">
        <is>
          <t>2025-02</t>
        </is>
      </c>
      <c r="C6" s="164" t="inlineStr">
        <is>
          <t>2025-02</t>
        </is>
      </c>
      <c r="D6" s="164" t="inlineStr">
        <is>
          <t>2025-02</t>
        </is>
      </c>
      <c r="E6" s="164" t="inlineStr">
        <is>
          <t>Competência mensal</t>
        </is>
      </c>
    </row>
    <row r="7" ht="15" customHeight="1" s="131">
      <c r="A7" s="164" t="inlineStr">
        <is>
          <t>2025-03</t>
        </is>
      </c>
      <c r="B7" s="164" t="inlineStr">
        <is>
          <t>2025-03</t>
        </is>
      </c>
      <c r="C7" s="164" t="inlineStr">
        <is>
          <t>2025-03</t>
        </is>
      </c>
      <c r="D7" s="164" t="inlineStr">
        <is>
          <t>2025-03</t>
        </is>
      </c>
      <c r="E7" s="164" t="inlineStr">
        <is>
          <t>Competência mensal</t>
        </is>
      </c>
    </row>
    <row r="8" ht="15" customHeight="1" s="131">
      <c r="A8" s="164" t="inlineStr">
        <is>
          <t>2025-04</t>
        </is>
      </c>
      <c r="B8" s="164" t="inlineStr">
        <is>
          <t>2025-04</t>
        </is>
      </c>
      <c r="C8" s="164" t="inlineStr">
        <is>
          <t>2025-04</t>
        </is>
      </c>
      <c r="D8" s="164" t="inlineStr">
        <is>
          <t>2025-04</t>
        </is>
      </c>
      <c r="E8" s="164" t="inlineStr">
        <is>
          <t>Competência mensal</t>
        </is>
      </c>
    </row>
    <row r="9" ht="15" customHeight="1" s="131">
      <c r="A9" s="164" t="inlineStr">
        <is>
          <t>2025-05</t>
        </is>
      </c>
      <c r="B9" s="164" t="inlineStr">
        <is>
          <t>2025-05</t>
        </is>
      </c>
      <c r="C9" s="164" t="inlineStr">
        <is>
          <t>2025-05</t>
        </is>
      </c>
      <c r="D9" s="164" t="inlineStr">
        <is>
          <t>2025-05</t>
        </is>
      </c>
      <c r="E9" s="164" t="inlineStr">
        <is>
          <t>Competência mensal</t>
        </is>
      </c>
    </row>
    <row r="10" ht="15" customHeight="1" s="131">
      <c r="A10" s="164" t="inlineStr">
        <is>
          <t>2025-06</t>
        </is>
      </c>
      <c r="B10" s="164" t="inlineStr">
        <is>
          <t>2025-06</t>
        </is>
      </c>
      <c r="C10" s="164" t="inlineStr">
        <is>
          <t>2025-06</t>
        </is>
      </c>
      <c r="D10" s="164" t="inlineStr">
        <is>
          <t>2025-06</t>
        </is>
      </c>
      <c r="E10" s="164" t="inlineStr">
        <is>
          <t>Competência mensal</t>
        </is>
      </c>
    </row>
    <row r="11" ht="15" customHeight="1" s="131">
      <c r="A11" s="164" t="inlineStr">
        <is>
          <t>2025-07</t>
        </is>
      </c>
      <c r="B11" s="164" t="inlineStr">
        <is>
          <t>2025-07</t>
        </is>
      </c>
      <c r="C11" s="164" t="inlineStr">
        <is>
          <t>2025-07</t>
        </is>
      </c>
      <c r="D11" s="164" t="inlineStr">
        <is>
          <t>2025-07</t>
        </is>
      </c>
      <c r="E11" s="164" t="inlineStr">
        <is>
          <t>Competência mensal</t>
        </is>
      </c>
    </row>
    <row r="12" ht="15" customHeight="1" s="131">
      <c r="A12" s="164" t="inlineStr">
        <is>
          <t>2025-08</t>
        </is>
      </c>
      <c r="B12" s="164" t="inlineStr">
        <is>
          <t>2025-08</t>
        </is>
      </c>
      <c r="C12" s="164" t="inlineStr">
        <is>
          <t>2025-08</t>
        </is>
      </c>
      <c r="D12" s="164" t="inlineStr">
        <is>
          <t>2025-08</t>
        </is>
      </c>
      <c r="E12" s="164" t="inlineStr">
        <is>
          <t>Competência mensal</t>
        </is>
      </c>
    </row>
    <row r="13" ht="15" customHeight="1" s="131">
      <c r="A13" s="164" t="inlineStr">
        <is>
          <t>2025-09</t>
        </is>
      </c>
      <c r="B13" s="164" t="inlineStr">
        <is>
          <t>2025-09</t>
        </is>
      </c>
      <c r="C13" s="164" t="inlineStr">
        <is>
          <t>2025-09</t>
        </is>
      </c>
      <c r="D13" t="inlineStr">
        <is>
          <t>2025-09</t>
        </is>
      </c>
      <c r="E13" s="164" t="inlineStr">
        <is>
          <t>Competência mensal</t>
        </is>
      </c>
    </row>
    <row r="14" ht="15" customHeight="1" s="131">
      <c r="A14" s="164" t="inlineStr">
        <is>
          <t>2025-10</t>
        </is>
      </c>
      <c r="B14" s="164" t="inlineStr">
        <is>
          <t>2025-10</t>
        </is>
      </c>
      <c r="C14" s="164" t="inlineStr">
        <is>
          <t>2025-10</t>
        </is>
      </c>
      <c r="D14" t="inlineStr">
        <is>
          <t>2025-10</t>
        </is>
      </c>
      <c r="E14" s="164" t="inlineStr">
        <is>
          <t>Competência mensal</t>
        </is>
      </c>
    </row>
    <row r="15" ht="15" customHeight="1" s="131">
      <c r="A15" s="164" t="inlineStr">
        <is>
          <t>2025-11</t>
        </is>
      </c>
      <c r="B15" s="164" t="inlineStr">
        <is>
          <t>2025-11</t>
        </is>
      </c>
      <c r="C15" s="164" t="inlineStr">
        <is>
          <t>2025-11</t>
        </is>
      </c>
      <c r="D15" t="inlineStr">
        <is>
          <t>2025-11</t>
        </is>
      </c>
      <c r="E15" s="164" t="inlineStr">
        <is>
          <t>Competência mensal</t>
        </is>
      </c>
    </row>
    <row r="16" ht="15" customHeight="1" s="131">
      <c r="A16" s="164" t="inlineStr">
        <is>
          <t>2025-12</t>
        </is>
      </c>
      <c r="B16" s="164" t="inlineStr">
        <is>
          <t>2025-12</t>
        </is>
      </c>
      <c r="C16" s="164" t="inlineStr">
        <is>
          <t>2025-12</t>
        </is>
      </c>
      <c r="D16" t="inlineStr">
        <is>
          <t>2025-12</t>
        </is>
      </c>
      <c r="E16" s="164" t="inlineStr">
        <is>
          <t>Competência mensal</t>
        </is>
      </c>
    </row>
    <row r="17" ht="15" customHeight="1" s="131">
      <c r="A17" s="164" t="inlineStr">
        <is>
          <t>2026-01</t>
        </is>
      </c>
      <c r="B17" s="164" t="inlineStr">
        <is>
          <t>2026-01</t>
        </is>
      </c>
      <c r="C17" s="164" t="inlineStr">
        <is>
          <t>2026-01</t>
        </is>
      </c>
      <c r="D17" t="inlineStr">
        <is>
          <t>2026-01</t>
        </is>
      </c>
      <c r="E17" s="164" t="inlineStr">
        <is>
          <t>Competência mensal</t>
        </is>
      </c>
    </row>
    <row r="18" ht="15" customHeight="1" s="131">
      <c r="A18" s="164" t="inlineStr">
        <is>
          <t>2026-02</t>
        </is>
      </c>
      <c r="B18" s="164" t="inlineStr">
        <is>
          <t>2026-02</t>
        </is>
      </c>
      <c r="C18" s="164" t="inlineStr">
        <is>
          <t>2026-02</t>
        </is>
      </c>
      <c r="D18" t="inlineStr">
        <is>
          <t>2026-02</t>
        </is>
      </c>
      <c r="E18" s="164" t="inlineStr">
        <is>
          <t>Competência mensal</t>
        </is>
      </c>
    </row>
    <row r="19" ht="15" customHeight="1" s="131">
      <c r="A19" s="164" t="inlineStr">
        <is>
          <t>2026-03</t>
        </is>
      </c>
      <c r="B19" s="164" t="inlineStr">
        <is>
          <t>2026-03</t>
        </is>
      </c>
      <c r="C19" s="164" t="inlineStr">
        <is>
          <t>2026-03</t>
        </is>
      </c>
      <c r="D19" t="inlineStr">
        <is>
          <t>2026-03</t>
        </is>
      </c>
      <c r="E19" s="164" t="inlineStr">
        <is>
          <t>Competência mensal</t>
        </is>
      </c>
    </row>
    <row r="20" ht="15" customHeight="1" s="131">
      <c r="A20" s="164" t="inlineStr">
        <is>
          <t>2026-04</t>
        </is>
      </c>
      <c r="B20" s="164" t="inlineStr">
        <is>
          <t>2026-04</t>
        </is>
      </c>
      <c r="C20" s="164" t="inlineStr">
        <is>
          <t>2026-04</t>
        </is>
      </c>
      <c r="D20" t="inlineStr">
        <is>
          <t>2026-04</t>
        </is>
      </c>
      <c r="E20" s="164" t="inlineStr">
        <is>
          <t>Competência mensal</t>
        </is>
      </c>
    </row>
    <row r="21" ht="15" customHeight="1" s="131">
      <c r="A21" s="164" t="inlineStr">
        <is>
          <t>2026-05</t>
        </is>
      </c>
      <c r="B21" s="164" t="inlineStr">
        <is>
          <t>2026-05</t>
        </is>
      </c>
      <c r="C21" s="164" t="inlineStr">
        <is>
          <t>2026-05</t>
        </is>
      </c>
      <c r="D21" t="inlineStr">
        <is>
          <t>2026-05</t>
        </is>
      </c>
      <c r="E21" s="164" t="inlineStr">
        <is>
          <t>Competência mensal</t>
        </is>
      </c>
    </row>
    <row r="22" ht="15" customHeight="1" s="131">
      <c r="A22" s="164" t="inlineStr">
        <is>
          <t>2026-06</t>
        </is>
      </c>
      <c r="B22" s="164" t="inlineStr">
        <is>
          <t>2026-06</t>
        </is>
      </c>
      <c r="C22" s="164" t="inlineStr">
        <is>
          <t>2026-06</t>
        </is>
      </c>
      <c r="D22" t="inlineStr">
        <is>
          <t>2026-06</t>
        </is>
      </c>
      <c r="E22" s="164" t="inlineStr">
        <is>
          <t>Competência mensal</t>
        </is>
      </c>
    </row>
    <row r="23" ht="15" customHeight="1" s="131">
      <c r="A23" s="164" t="inlineStr">
        <is>
          <t>2026-07</t>
        </is>
      </c>
      <c r="B23" s="164" t="inlineStr">
        <is>
          <t>2026-07</t>
        </is>
      </c>
      <c r="C23" s="164" t="inlineStr">
        <is>
          <t>2026-07</t>
        </is>
      </c>
      <c r="D23" t="inlineStr">
        <is>
          <t>2026-07</t>
        </is>
      </c>
      <c r="E23" s="164" t="inlineStr">
        <is>
          <t>Competência mensal</t>
        </is>
      </c>
    </row>
    <row r="24" ht="15" customHeight="1" s="131">
      <c r="A24" s="164" t="inlineStr">
        <is>
          <t>2026-08</t>
        </is>
      </c>
      <c r="B24" s="164" t="inlineStr">
        <is>
          <t>2026-08</t>
        </is>
      </c>
      <c r="C24" s="164" t="inlineStr">
        <is>
          <t>2026-08</t>
        </is>
      </c>
      <c r="D24" t="inlineStr">
        <is>
          <t>2026-08</t>
        </is>
      </c>
      <c r="E24" s="164" t="inlineStr">
        <is>
          <t>Competência mensal</t>
        </is>
      </c>
    </row>
    <row r="25" ht="15" customHeight="1" s="131">
      <c r="A25" s="164" t="inlineStr">
        <is>
          <t>2026-09</t>
        </is>
      </c>
      <c r="B25" s="164" t="inlineStr">
        <is>
          <t>2026-09</t>
        </is>
      </c>
      <c r="C25" s="164" t="inlineStr">
        <is>
          <t>2026-09</t>
        </is>
      </c>
      <c r="D25" t="inlineStr">
        <is>
          <t>2026-09</t>
        </is>
      </c>
      <c r="E25" s="164" t="inlineStr">
        <is>
          <t>Competência mensal</t>
        </is>
      </c>
    </row>
    <row r="26" ht="15" customHeight="1" s="131">
      <c r="A26" s="164" t="inlineStr">
        <is>
          <t>2026-10</t>
        </is>
      </c>
      <c r="B26" s="164" t="inlineStr">
        <is>
          <t>2026-10</t>
        </is>
      </c>
      <c r="C26" s="164" t="inlineStr">
        <is>
          <t>2026-10</t>
        </is>
      </c>
      <c r="D26" t="inlineStr">
        <is>
          <t>2026-10</t>
        </is>
      </c>
      <c r="E26" s="164" t="inlineStr">
        <is>
          <t>Competência mensal</t>
        </is>
      </c>
    </row>
    <row r="27" ht="15" customHeight="1" s="131">
      <c r="A27" s="164" t="inlineStr">
        <is>
          <t>2026-11</t>
        </is>
      </c>
      <c r="B27" s="164" t="inlineStr">
        <is>
          <t>2026-11</t>
        </is>
      </c>
      <c r="C27" s="164" t="inlineStr">
        <is>
          <t>2026-11</t>
        </is>
      </c>
      <c r="D27" t="inlineStr">
        <is>
          <t>2026-11</t>
        </is>
      </c>
      <c r="E27" s="164" t="inlineStr">
        <is>
          <t>Competência mensal</t>
        </is>
      </c>
    </row>
    <row r="28" ht="15" customHeight="1" s="131">
      <c r="A28" s="164" t="inlineStr">
        <is>
          <t>2026-12</t>
        </is>
      </c>
      <c r="B28" s="164" t="inlineStr">
        <is>
          <t>2026-12</t>
        </is>
      </c>
      <c r="C28" s="164" t="inlineStr">
        <is>
          <t>2026-12</t>
        </is>
      </c>
      <c r="D28" t="inlineStr">
        <is>
          <t>2026-12</t>
        </is>
      </c>
      <c r="E28" s="164" t="inlineStr">
        <is>
          <t>Competência mensal</t>
        </is>
      </c>
    </row>
    <row r="29" ht="15" customHeight="1" s="131">
      <c r="A29" s="164" t="inlineStr">
        <is>
          <t>2027-01</t>
        </is>
      </c>
      <c r="B29" s="164" t="inlineStr">
        <is>
          <t>2027-01</t>
        </is>
      </c>
      <c r="C29" s="164" t="inlineStr">
        <is>
          <t>2027-01</t>
        </is>
      </c>
      <c r="D29" t="inlineStr">
        <is>
          <t>2027-01</t>
        </is>
      </c>
      <c r="E29" s="164" t="inlineStr">
        <is>
          <t>Competência mensal</t>
        </is>
      </c>
    </row>
    <row r="30" ht="15" customHeight="1" s="131">
      <c r="A30" s="164" t="inlineStr">
        <is>
          <t>2027-02</t>
        </is>
      </c>
      <c r="B30" s="164" t="inlineStr">
        <is>
          <t>2027-02</t>
        </is>
      </c>
      <c r="C30" s="164" t="inlineStr">
        <is>
          <t>2027-02</t>
        </is>
      </c>
      <c r="D30" t="inlineStr">
        <is>
          <t>2027-02</t>
        </is>
      </c>
      <c r="E30" s="164" t="inlineStr">
        <is>
          <t>Competência mensal</t>
        </is>
      </c>
    </row>
    <row r="31" ht="15" customHeight="1" s="131">
      <c r="A31" s="164" t="inlineStr">
        <is>
          <t>2027-03</t>
        </is>
      </c>
      <c r="B31" s="164" t="inlineStr">
        <is>
          <t>2027-03</t>
        </is>
      </c>
      <c r="C31" s="164" t="inlineStr">
        <is>
          <t>2027-03</t>
        </is>
      </c>
      <c r="D31" t="inlineStr">
        <is>
          <t>2027-03</t>
        </is>
      </c>
      <c r="E31" s="164" t="inlineStr">
        <is>
          <t>Competência mensal</t>
        </is>
      </c>
    </row>
    <row r="32" ht="15" customHeight="1" s="131">
      <c r="A32" s="164" t="inlineStr">
        <is>
          <t>2027-04</t>
        </is>
      </c>
      <c r="B32" s="164" t="inlineStr">
        <is>
          <t>2027-04</t>
        </is>
      </c>
      <c r="C32" s="164" t="inlineStr">
        <is>
          <t>2027-04</t>
        </is>
      </c>
      <c r="D32" t="inlineStr">
        <is>
          <t>2027-04</t>
        </is>
      </c>
      <c r="E32" s="164" t="inlineStr">
        <is>
          <t>Competência mensal</t>
        </is>
      </c>
    </row>
    <row r="33" ht="15" customHeight="1" s="131">
      <c r="A33" s="164" t="inlineStr">
        <is>
          <t>2027-05</t>
        </is>
      </c>
      <c r="B33" s="164" t="inlineStr">
        <is>
          <t>2027-05</t>
        </is>
      </c>
      <c r="C33" s="164" t="inlineStr">
        <is>
          <t>2027-05</t>
        </is>
      </c>
      <c r="D33" t="inlineStr">
        <is>
          <t>2027-05</t>
        </is>
      </c>
      <c r="E33" s="164" t="inlineStr">
        <is>
          <t>Competência mensal</t>
        </is>
      </c>
    </row>
    <row r="34" ht="15" customHeight="1" s="131">
      <c r="A34" s="164" t="inlineStr">
        <is>
          <t>2027-06</t>
        </is>
      </c>
      <c r="B34" s="164" t="inlineStr">
        <is>
          <t>2027-06</t>
        </is>
      </c>
      <c r="C34" s="164" t="inlineStr">
        <is>
          <t>2027-06</t>
        </is>
      </c>
      <c r="D34" t="inlineStr">
        <is>
          <t>2027-06</t>
        </is>
      </c>
      <c r="E34" s="164" t="inlineStr">
        <is>
          <t>Competência mensal</t>
        </is>
      </c>
    </row>
    <row r="35" ht="15" customHeight="1" s="131">
      <c r="A35" s="164" t="inlineStr">
        <is>
          <t>2027-07</t>
        </is>
      </c>
      <c r="B35" s="164" t="inlineStr">
        <is>
          <t>2027-07</t>
        </is>
      </c>
      <c r="C35" s="164" t="inlineStr">
        <is>
          <t>2027-07</t>
        </is>
      </c>
      <c r="D35" t="inlineStr">
        <is>
          <t>2027-07</t>
        </is>
      </c>
      <c r="E35" s="164" t="inlineStr">
        <is>
          <t>Competência mensal</t>
        </is>
      </c>
    </row>
    <row r="36" ht="15" customHeight="1" s="131">
      <c r="A36" s="164" t="inlineStr">
        <is>
          <t>2027-08</t>
        </is>
      </c>
      <c r="B36" s="164" t="inlineStr">
        <is>
          <t>2027-08</t>
        </is>
      </c>
      <c r="C36" s="164" t="inlineStr">
        <is>
          <t>2027-08</t>
        </is>
      </c>
      <c r="D36" t="inlineStr">
        <is>
          <t>2027-08</t>
        </is>
      </c>
      <c r="E36" s="164" t="inlineStr">
        <is>
          <t>Competência mensal</t>
        </is>
      </c>
    </row>
    <row r="37" ht="15" customHeight="1" s="131">
      <c r="A37" s="164" t="inlineStr">
        <is>
          <t>2027-09</t>
        </is>
      </c>
      <c r="B37" s="164" t="inlineStr">
        <is>
          <t>2027-09</t>
        </is>
      </c>
      <c r="C37" s="164" t="inlineStr">
        <is>
          <t>2027-09</t>
        </is>
      </c>
      <c r="D37" t="inlineStr">
        <is>
          <t>2027-09</t>
        </is>
      </c>
      <c r="E37" s="164" t="inlineStr">
        <is>
          <t>Competência mensal</t>
        </is>
      </c>
    </row>
    <row r="38" ht="15" customHeight="1" s="131">
      <c r="A38" s="164" t="inlineStr">
        <is>
          <t>2027-10</t>
        </is>
      </c>
      <c r="B38" s="164" t="inlineStr">
        <is>
          <t>2027-10</t>
        </is>
      </c>
      <c r="C38" s="164" t="inlineStr">
        <is>
          <t>2027-10</t>
        </is>
      </c>
      <c r="D38" t="inlineStr">
        <is>
          <t>2027-10</t>
        </is>
      </c>
      <c r="E38" s="164" t="inlineStr">
        <is>
          <t>Competência mensal</t>
        </is>
      </c>
    </row>
    <row r="39" ht="15" customHeight="1" s="131">
      <c r="A39" s="164" t="inlineStr">
        <is>
          <t>2027-11</t>
        </is>
      </c>
      <c r="B39" s="164" t="inlineStr">
        <is>
          <t>2027-11</t>
        </is>
      </c>
      <c r="C39" s="164" t="inlineStr">
        <is>
          <t>2027-11</t>
        </is>
      </c>
      <c r="D39" t="inlineStr">
        <is>
          <t>2027-11</t>
        </is>
      </c>
      <c r="E39" s="164" t="inlineStr">
        <is>
          <t>Competência mensal</t>
        </is>
      </c>
    </row>
    <row r="40" ht="15" customHeight="1" s="131">
      <c r="A40" s="164" t="inlineStr">
        <is>
          <t>2027-12</t>
        </is>
      </c>
      <c r="B40" s="164" t="inlineStr">
        <is>
          <t>2027-12</t>
        </is>
      </c>
      <c r="C40" s="164" t="inlineStr">
        <is>
          <t>2027-12</t>
        </is>
      </c>
      <c r="D40" t="inlineStr">
        <is>
          <t>2027-12</t>
        </is>
      </c>
      <c r="E40" s="164" t="inlineStr">
        <is>
          <t>Competência mensal</t>
        </is>
      </c>
    </row>
    <row r="41" ht="15" customHeight="1" s="131">
      <c r="A41" s="164" t="inlineStr">
        <is>
          <t>2028-01</t>
        </is>
      </c>
      <c r="B41" s="164" t="inlineStr">
        <is>
          <t>2028-01</t>
        </is>
      </c>
      <c r="C41" s="164" t="inlineStr">
        <is>
          <t>2028-01</t>
        </is>
      </c>
      <c r="D41" t="inlineStr">
        <is>
          <t>2028-01</t>
        </is>
      </c>
      <c r="E41" s="164" t="inlineStr">
        <is>
          <t>Competência mensal</t>
        </is>
      </c>
    </row>
    <row r="42" ht="15" customHeight="1" s="131">
      <c r="A42" s="164" t="inlineStr">
        <is>
          <t>2028-02</t>
        </is>
      </c>
      <c r="B42" s="164" t="inlineStr">
        <is>
          <t>2028-02</t>
        </is>
      </c>
      <c r="C42" s="164" t="inlineStr">
        <is>
          <t>2028-02</t>
        </is>
      </c>
      <c r="D42" t="inlineStr">
        <is>
          <t>2028-02</t>
        </is>
      </c>
      <c r="E42" s="164" t="inlineStr">
        <is>
          <t>Competência mensal</t>
        </is>
      </c>
    </row>
    <row r="43" ht="15" customHeight="1" s="131">
      <c r="A43" s="164" t="inlineStr">
        <is>
          <t>2028-03</t>
        </is>
      </c>
      <c r="B43" s="164" t="inlineStr">
        <is>
          <t>2028-03</t>
        </is>
      </c>
      <c r="C43" s="164" t="inlineStr">
        <is>
          <t>2028-03</t>
        </is>
      </c>
      <c r="D43" t="inlineStr">
        <is>
          <t>2028-03</t>
        </is>
      </c>
      <c r="E43" s="164" t="inlineStr">
        <is>
          <t>Competência mensal</t>
        </is>
      </c>
    </row>
    <row r="44" ht="15" customHeight="1" s="131">
      <c r="A44" s="164" t="inlineStr">
        <is>
          <t>2028-04</t>
        </is>
      </c>
      <c r="B44" s="164" t="inlineStr">
        <is>
          <t>2028-04</t>
        </is>
      </c>
      <c r="C44" s="164" t="inlineStr">
        <is>
          <t>2028-04</t>
        </is>
      </c>
      <c r="D44" t="inlineStr">
        <is>
          <t>2028-04</t>
        </is>
      </c>
      <c r="E44" s="164" t="inlineStr">
        <is>
          <t>Competência mensal</t>
        </is>
      </c>
    </row>
    <row r="45" ht="15" customHeight="1" s="131">
      <c r="A45" s="164" t="inlineStr">
        <is>
          <t>2028-05</t>
        </is>
      </c>
      <c r="B45" s="164" t="inlineStr">
        <is>
          <t>2028-05</t>
        </is>
      </c>
      <c r="C45" s="164" t="inlineStr">
        <is>
          <t>2028-05</t>
        </is>
      </c>
      <c r="D45" t="inlineStr">
        <is>
          <t>2028-05</t>
        </is>
      </c>
      <c r="E45" s="164" t="inlineStr">
        <is>
          <t>Competência mensal</t>
        </is>
      </c>
    </row>
    <row r="46" ht="15" customHeight="1" s="131">
      <c r="A46" s="164" t="inlineStr">
        <is>
          <t>2028-06</t>
        </is>
      </c>
      <c r="B46" s="164" t="inlineStr">
        <is>
          <t>2028-06</t>
        </is>
      </c>
      <c r="C46" s="164" t="inlineStr">
        <is>
          <t>2028-06</t>
        </is>
      </c>
      <c r="D46" t="inlineStr">
        <is>
          <t>2028-06</t>
        </is>
      </c>
      <c r="E46" s="164" t="inlineStr">
        <is>
          <t>Competência mensal</t>
        </is>
      </c>
    </row>
    <row r="47" ht="15" customHeight="1" s="131">
      <c r="A47" s="164" t="inlineStr">
        <is>
          <t>2028-07</t>
        </is>
      </c>
      <c r="B47" s="164" t="inlineStr">
        <is>
          <t>2028-07</t>
        </is>
      </c>
      <c r="C47" s="164" t="inlineStr">
        <is>
          <t>2028-07</t>
        </is>
      </c>
      <c r="D47" t="inlineStr">
        <is>
          <t>2028-07</t>
        </is>
      </c>
      <c r="E47" s="164" t="inlineStr">
        <is>
          <t>Competência mensal</t>
        </is>
      </c>
    </row>
    <row r="48" ht="15" customHeight="1" s="131">
      <c r="A48" s="164" t="inlineStr">
        <is>
          <t>2028-08</t>
        </is>
      </c>
      <c r="B48" s="164" t="inlineStr">
        <is>
          <t>2028-08</t>
        </is>
      </c>
      <c r="C48" s="164" t="inlineStr">
        <is>
          <t>2028-08</t>
        </is>
      </c>
      <c r="D48" t="inlineStr">
        <is>
          <t>2028-08</t>
        </is>
      </c>
      <c r="E48" s="164" t="inlineStr">
        <is>
          <t>Competência mensal</t>
        </is>
      </c>
    </row>
    <row r="49" ht="15" customHeight="1" s="131">
      <c r="A49" s="164" t="inlineStr">
        <is>
          <t>2028-09</t>
        </is>
      </c>
      <c r="B49" s="164" t="inlineStr">
        <is>
          <t>2028-09</t>
        </is>
      </c>
      <c r="C49" s="164" t="inlineStr">
        <is>
          <t>2028-09</t>
        </is>
      </c>
      <c r="D49" t="inlineStr">
        <is>
          <t>2028-09</t>
        </is>
      </c>
      <c r="E49" s="164" t="inlineStr">
        <is>
          <t>Competência mensal</t>
        </is>
      </c>
    </row>
    <row r="50" ht="15" customHeight="1" s="131">
      <c r="A50" s="164" t="inlineStr">
        <is>
          <t>2028-10</t>
        </is>
      </c>
      <c r="B50" s="164" t="inlineStr">
        <is>
          <t>2028-10</t>
        </is>
      </c>
      <c r="C50" s="164" t="inlineStr">
        <is>
          <t>2028-10</t>
        </is>
      </c>
      <c r="D50" t="inlineStr">
        <is>
          <t>2028-10</t>
        </is>
      </c>
      <c r="E50" s="164" t="inlineStr">
        <is>
          <t>Competência mensal</t>
        </is>
      </c>
    </row>
    <row r="51" ht="15" customHeight="1" s="131">
      <c r="A51" s="164" t="inlineStr">
        <is>
          <t>2028-11</t>
        </is>
      </c>
      <c r="B51" s="164" t="inlineStr">
        <is>
          <t>2028-11</t>
        </is>
      </c>
      <c r="C51" s="164" t="inlineStr">
        <is>
          <t>2028-11</t>
        </is>
      </c>
      <c r="D51" t="inlineStr">
        <is>
          <t>2028-11</t>
        </is>
      </c>
      <c r="E51" s="164" t="inlineStr">
        <is>
          <t>Competência mensal</t>
        </is>
      </c>
    </row>
    <row r="52" ht="15" customHeight="1" s="131">
      <c r="A52" s="164" t="inlineStr">
        <is>
          <t>2028-12</t>
        </is>
      </c>
      <c r="B52" s="164" t="inlineStr">
        <is>
          <t>2028-12</t>
        </is>
      </c>
      <c r="C52" s="164" t="inlineStr">
        <is>
          <t>2028-12</t>
        </is>
      </c>
      <c r="D52" t="inlineStr">
        <is>
          <t>2028-12</t>
        </is>
      </c>
      <c r="E52" s="164" t="inlineStr">
        <is>
          <t>Competência mensal</t>
        </is>
      </c>
    </row>
    <row r="53" ht="15" customHeight="1" s="131">
      <c r="A53" t="inlineStr">
        <is>
          <t>2029-01</t>
        </is>
      </c>
      <c r="B53" s="164" t="inlineStr">
        <is>
          <t>2029-01</t>
        </is>
      </c>
      <c r="C53" s="164" t="inlineStr">
        <is>
          <t>2029-01</t>
        </is>
      </c>
      <c r="D53" t="inlineStr">
        <is>
          <t>2029-01</t>
        </is>
      </c>
      <c r="E53" s="164" t="inlineStr">
        <is>
          <t>Competência mensal</t>
        </is>
      </c>
    </row>
    <row r="54" ht="15" customHeight="1" s="131">
      <c r="A54" t="inlineStr">
        <is>
          <t>2029-02</t>
        </is>
      </c>
      <c r="B54" s="164" t="inlineStr">
        <is>
          <t>2029-02</t>
        </is>
      </c>
      <c r="C54" s="164" t="inlineStr">
        <is>
          <t>2029-02</t>
        </is>
      </c>
      <c r="D54" t="inlineStr">
        <is>
          <t>2029-02</t>
        </is>
      </c>
      <c r="E54" s="164" t="inlineStr">
        <is>
          <t>Competência mensal</t>
        </is>
      </c>
    </row>
    <row r="55" ht="15" customHeight="1" s="131">
      <c r="A55" t="inlineStr">
        <is>
          <t>2029-03</t>
        </is>
      </c>
      <c r="B55" s="164" t="inlineStr">
        <is>
          <t>2029-03</t>
        </is>
      </c>
      <c r="C55" s="164" t="inlineStr">
        <is>
          <t>2029-03</t>
        </is>
      </c>
      <c r="D55" t="inlineStr">
        <is>
          <t>2029-03</t>
        </is>
      </c>
      <c r="E55" s="164" t="inlineStr">
        <is>
          <t>Competência mensal</t>
        </is>
      </c>
    </row>
    <row r="56" ht="15" customHeight="1" s="131">
      <c r="A56" t="inlineStr">
        <is>
          <t>2029-04</t>
        </is>
      </c>
      <c r="B56" s="164" t="inlineStr">
        <is>
          <t>2029-04</t>
        </is>
      </c>
      <c r="C56" s="164" t="inlineStr">
        <is>
          <t>2029-04</t>
        </is>
      </c>
      <c r="D56" t="inlineStr">
        <is>
          <t>2029-04</t>
        </is>
      </c>
      <c r="E56" s="164" t="inlineStr">
        <is>
          <t>Competência mensal</t>
        </is>
      </c>
    </row>
    <row r="57" ht="15" customHeight="1" s="131">
      <c r="A57" t="inlineStr">
        <is>
          <t>2029-05</t>
        </is>
      </c>
      <c r="B57" s="164" t="inlineStr">
        <is>
          <t>2029-05</t>
        </is>
      </c>
      <c r="C57" s="164" t="inlineStr">
        <is>
          <t>2029-05</t>
        </is>
      </c>
      <c r="D57" t="inlineStr">
        <is>
          <t>2029-05</t>
        </is>
      </c>
      <c r="E57" s="164" t="inlineStr">
        <is>
          <t>Competência mensal</t>
        </is>
      </c>
    </row>
    <row r="58" ht="15" customHeight="1" s="131">
      <c r="A58" t="inlineStr">
        <is>
          <t>2029-06</t>
        </is>
      </c>
      <c r="B58" s="164" t="inlineStr">
        <is>
          <t>2029-06</t>
        </is>
      </c>
      <c r="C58" s="164" t="inlineStr">
        <is>
          <t>2029-06</t>
        </is>
      </c>
      <c r="D58" t="inlineStr">
        <is>
          <t>2029-06</t>
        </is>
      </c>
      <c r="E58" s="164" t="inlineStr">
        <is>
          <t>Competência mensal</t>
        </is>
      </c>
    </row>
    <row r="59" ht="15" customHeight="1" s="131">
      <c r="A59" t="inlineStr">
        <is>
          <t>2029-07</t>
        </is>
      </c>
      <c r="B59" s="164" t="inlineStr">
        <is>
          <t>2029-07</t>
        </is>
      </c>
      <c r="C59" s="164" t="inlineStr">
        <is>
          <t>2029-07</t>
        </is>
      </c>
      <c r="D59" t="inlineStr">
        <is>
          <t>2029-07</t>
        </is>
      </c>
      <c r="E59" s="164" t="inlineStr">
        <is>
          <t>Competência mensal</t>
        </is>
      </c>
    </row>
    <row r="60" ht="15" customHeight="1" s="131">
      <c r="A60" t="inlineStr">
        <is>
          <t>2029-08</t>
        </is>
      </c>
      <c r="B60" s="164" t="inlineStr">
        <is>
          <t>2029-08</t>
        </is>
      </c>
      <c r="C60" s="164" t="inlineStr">
        <is>
          <t>2029-08</t>
        </is>
      </c>
      <c r="D60" t="inlineStr">
        <is>
          <t>2029-08</t>
        </is>
      </c>
      <c r="E60" s="164" t="inlineStr">
        <is>
          <t>Competência mensal</t>
        </is>
      </c>
    </row>
    <row r="61" ht="15" customHeight="1" s="131">
      <c r="A61" t="inlineStr">
        <is>
          <t>2029-09</t>
        </is>
      </c>
      <c r="B61" s="164" t="inlineStr">
        <is>
          <t>2029-09</t>
        </is>
      </c>
      <c r="C61" s="164" t="inlineStr">
        <is>
          <t>2029-09</t>
        </is>
      </c>
      <c r="D61" t="inlineStr">
        <is>
          <t>2029-09</t>
        </is>
      </c>
      <c r="E61" s="164" t="inlineStr">
        <is>
          <t>Competência mensal</t>
        </is>
      </c>
    </row>
    <row r="62" ht="15" customHeight="1" s="131">
      <c r="A62" t="inlineStr">
        <is>
          <t>2029-10</t>
        </is>
      </c>
      <c r="B62" s="164" t="inlineStr">
        <is>
          <t>2029-10</t>
        </is>
      </c>
      <c r="C62" s="164" t="inlineStr">
        <is>
          <t>2029-10</t>
        </is>
      </c>
      <c r="D62" t="inlineStr">
        <is>
          <t>2029-10</t>
        </is>
      </c>
      <c r="E62" s="164" t="inlineStr">
        <is>
          <t>Competência mensal</t>
        </is>
      </c>
    </row>
    <row r="63" ht="15" customHeight="1" s="131">
      <c r="A63" t="inlineStr">
        <is>
          <t>2029-11</t>
        </is>
      </c>
      <c r="B63" s="164" t="inlineStr">
        <is>
          <t>2029-11</t>
        </is>
      </c>
      <c r="C63" s="164" t="inlineStr">
        <is>
          <t>2029-11</t>
        </is>
      </c>
      <c r="D63" t="inlineStr">
        <is>
          <t>2029-11</t>
        </is>
      </c>
      <c r="E63" s="164" t="inlineStr">
        <is>
          <t>Competência mensal</t>
        </is>
      </c>
    </row>
    <row r="64" ht="15" customHeight="1" s="131">
      <c r="A64" t="inlineStr">
        <is>
          <t>2029-12</t>
        </is>
      </c>
      <c r="B64" s="164" t="inlineStr">
        <is>
          <t>2029-12</t>
        </is>
      </c>
      <c r="C64" s="164" t="inlineStr">
        <is>
          <t>2029-12</t>
        </is>
      </c>
      <c r="D64" t="inlineStr">
        <is>
          <t>2029-12</t>
        </is>
      </c>
      <c r="E64" s="164" t="inlineStr">
        <is>
          <t>Competência mensal</t>
        </is>
      </c>
    </row>
    <row r="65" ht="15" customHeight="1" s="131">
      <c r="A65" t="inlineStr">
        <is>
          <t>2030-01</t>
        </is>
      </c>
      <c r="B65" s="164" t="inlineStr">
        <is>
          <t>2030-01</t>
        </is>
      </c>
      <c r="C65" s="164" t="inlineStr">
        <is>
          <t>2030-01</t>
        </is>
      </c>
      <c r="D65" t="inlineStr">
        <is>
          <t>2030-01</t>
        </is>
      </c>
      <c r="E65" s="164" t="inlineStr">
        <is>
          <t>Competência mensal</t>
        </is>
      </c>
    </row>
    <row r="66" ht="15" customHeight="1" s="131">
      <c r="A66" t="inlineStr">
        <is>
          <t>2030-02</t>
        </is>
      </c>
      <c r="B66" s="164" t="inlineStr">
        <is>
          <t>2030-02</t>
        </is>
      </c>
      <c r="C66" s="164" t="inlineStr">
        <is>
          <t>2030-02</t>
        </is>
      </c>
      <c r="D66" t="inlineStr">
        <is>
          <t>2030-02</t>
        </is>
      </c>
      <c r="E66" s="164" t="inlineStr">
        <is>
          <t>Competência mensal</t>
        </is>
      </c>
    </row>
    <row r="67" ht="15" customHeight="1" s="131">
      <c r="A67" t="inlineStr">
        <is>
          <t>2030-03</t>
        </is>
      </c>
      <c r="B67" s="164" t="inlineStr">
        <is>
          <t>2030-03</t>
        </is>
      </c>
      <c r="C67" s="164" t="inlineStr">
        <is>
          <t>2030-03</t>
        </is>
      </c>
      <c r="D67" t="inlineStr">
        <is>
          <t>2030-03</t>
        </is>
      </c>
      <c r="E67" s="164" t="inlineStr">
        <is>
          <t>Competência mensal</t>
        </is>
      </c>
    </row>
    <row r="68" ht="15" customHeight="1" s="131">
      <c r="A68" t="inlineStr">
        <is>
          <t>2030-04</t>
        </is>
      </c>
      <c r="B68" s="164" t="inlineStr">
        <is>
          <t>2030-04</t>
        </is>
      </c>
      <c r="C68" s="164" t="inlineStr">
        <is>
          <t>2030-04</t>
        </is>
      </c>
      <c r="D68" t="inlineStr">
        <is>
          <t>2030-04</t>
        </is>
      </c>
      <c r="E68" s="164" t="inlineStr">
        <is>
          <t>Competência mensal</t>
        </is>
      </c>
    </row>
    <row r="69" ht="15" customHeight="1" s="131">
      <c r="A69" t="inlineStr">
        <is>
          <t>2030-05</t>
        </is>
      </c>
      <c r="B69" s="164" t="inlineStr">
        <is>
          <t>2030-05</t>
        </is>
      </c>
      <c r="C69" s="164" t="inlineStr">
        <is>
          <t>2030-05</t>
        </is>
      </c>
      <c r="D69" t="inlineStr">
        <is>
          <t>2030-05</t>
        </is>
      </c>
      <c r="E69" s="164" t="inlineStr">
        <is>
          <t>Competência mensal</t>
        </is>
      </c>
    </row>
    <row r="70" ht="15" customHeight="1" s="131">
      <c r="A70" t="inlineStr">
        <is>
          <t>2030-06</t>
        </is>
      </c>
      <c r="B70" s="164" t="inlineStr">
        <is>
          <t>2030-06</t>
        </is>
      </c>
      <c r="C70" s="164" t="inlineStr">
        <is>
          <t>2030-06</t>
        </is>
      </c>
      <c r="D70" t="inlineStr">
        <is>
          <t>2030-06</t>
        </is>
      </c>
      <c r="E70" s="164" t="inlineStr">
        <is>
          <t>Competência mensal</t>
        </is>
      </c>
    </row>
    <row r="71" ht="15" customHeight="1" s="131">
      <c r="A71" t="inlineStr">
        <is>
          <t>2030-07</t>
        </is>
      </c>
      <c r="B71" s="164" t="inlineStr">
        <is>
          <t>2030-07</t>
        </is>
      </c>
      <c r="C71" s="164" t="inlineStr">
        <is>
          <t>2030-07</t>
        </is>
      </c>
      <c r="D71" t="inlineStr">
        <is>
          <t>2030-07</t>
        </is>
      </c>
      <c r="E71" s="164" t="inlineStr">
        <is>
          <t>Competência mensal</t>
        </is>
      </c>
    </row>
    <row r="72" ht="15" customHeight="1" s="131">
      <c r="A72" t="inlineStr">
        <is>
          <t>2030-08</t>
        </is>
      </c>
      <c r="B72" s="164" t="inlineStr">
        <is>
          <t>2030-08</t>
        </is>
      </c>
      <c r="C72" s="164" t="inlineStr">
        <is>
          <t>2030-08</t>
        </is>
      </c>
      <c r="D72" t="inlineStr">
        <is>
          <t>2030-08</t>
        </is>
      </c>
      <c r="E72" s="164" t="inlineStr">
        <is>
          <t>Competência mensal</t>
        </is>
      </c>
    </row>
    <row r="73" ht="15" customHeight="1" s="131">
      <c r="A73" t="inlineStr">
        <is>
          <t>2030-09</t>
        </is>
      </c>
      <c r="B73" s="164" t="inlineStr">
        <is>
          <t>2030-09</t>
        </is>
      </c>
      <c r="C73" s="164" t="inlineStr">
        <is>
          <t>2030-09</t>
        </is>
      </c>
      <c r="D73" t="inlineStr">
        <is>
          <t>2030-09</t>
        </is>
      </c>
      <c r="E73" s="164" t="inlineStr">
        <is>
          <t>Competência mensal</t>
        </is>
      </c>
    </row>
    <row r="74" ht="15" customHeight="1" s="131">
      <c r="A74" t="inlineStr">
        <is>
          <t>2030-10</t>
        </is>
      </c>
      <c r="B74" s="164" t="inlineStr">
        <is>
          <t>2030-10</t>
        </is>
      </c>
      <c r="C74" s="164" t="inlineStr">
        <is>
          <t>2030-10</t>
        </is>
      </c>
      <c r="D74" t="inlineStr">
        <is>
          <t>2030-10</t>
        </is>
      </c>
      <c r="E74" s="164" t="inlineStr">
        <is>
          <t>Competência mensal</t>
        </is>
      </c>
    </row>
    <row r="75" ht="15" customHeight="1" s="131">
      <c r="A75" t="inlineStr">
        <is>
          <t>2030-11</t>
        </is>
      </c>
      <c r="B75" s="164" t="inlineStr">
        <is>
          <t>2030-11</t>
        </is>
      </c>
      <c r="C75" s="164" t="inlineStr">
        <is>
          <t>2030-11</t>
        </is>
      </c>
      <c r="D75" t="inlineStr">
        <is>
          <t>2030-11</t>
        </is>
      </c>
      <c r="E75" s="164" t="inlineStr">
        <is>
          <t>Competência mensal</t>
        </is>
      </c>
    </row>
    <row r="76" ht="15" customHeight="1" s="131">
      <c r="A76" t="inlineStr">
        <is>
          <t>2030-12</t>
        </is>
      </c>
      <c r="B76" s="164" t="inlineStr">
        <is>
          <t>2030-12</t>
        </is>
      </c>
      <c r="C76" s="164" t="inlineStr">
        <is>
          <t>2030-12</t>
        </is>
      </c>
      <c r="D76" t="inlineStr">
        <is>
          <t>2030-12</t>
        </is>
      </c>
      <c r="E76" s="164" t="inlineStr">
        <is>
          <t>Competência mensal</t>
        </is>
      </c>
    </row>
    <row r="77" ht="15" customHeight="1" s="131">
      <c r="A77" t="inlineStr">
        <is>
          <t>2031-01</t>
        </is>
      </c>
      <c r="B77" s="164" t="inlineStr">
        <is>
          <t>2031-01</t>
        </is>
      </c>
      <c r="C77" s="164" t="inlineStr">
        <is>
          <t>2031-01</t>
        </is>
      </c>
      <c r="D77" t="inlineStr">
        <is>
          <t>2031-01</t>
        </is>
      </c>
      <c r="E77" s="164" t="inlineStr">
        <is>
          <t>Competência mensal</t>
        </is>
      </c>
    </row>
    <row r="78" ht="15" customHeight="1" s="131">
      <c r="A78" t="inlineStr">
        <is>
          <t>2031-02</t>
        </is>
      </c>
      <c r="B78" s="164" t="inlineStr">
        <is>
          <t>2031-02</t>
        </is>
      </c>
      <c r="C78" s="164" t="inlineStr">
        <is>
          <t>2031-02</t>
        </is>
      </c>
      <c r="D78" t="inlineStr">
        <is>
          <t>2031-02</t>
        </is>
      </c>
      <c r="E78" s="164" t="inlineStr">
        <is>
          <t>Competência mensal</t>
        </is>
      </c>
    </row>
    <row r="79" ht="15" customHeight="1" s="131">
      <c r="A79" t="inlineStr">
        <is>
          <t>2031-03</t>
        </is>
      </c>
      <c r="B79" s="164" t="inlineStr">
        <is>
          <t>2031-03</t>
        </is>
      </c>
      <c r="C79" s="164" t="inlineStr">
        <is>
          <t>2031-03</t>
        </is>
      </c>
      <c r="D79" t="inlineStr">
        <is>
          <t>2031-03</t>
        </is>
      </c>
      <c r="E79" s="164" t="inlineStr">
        <is>
          <t>Competência mensal</t>
        </is>
      </c>
    </row>
    <row r="80" ht="15" customHeight="1" s="131">
      <c r="A80" t="inlineStr">
        <is>
          <t>2031-04</t>
        </is>
      </c>
      <c r="B80" s="164" t="inlineStr">
        <is>
          <t>2031-04</t>
        </is>
      </c>
      <c r="C80" s="164" t="inlineStr">
        <is>
          <t>2031-04</t>
        </is>
      </c>
      <c r="D80" t="inlineStr">
        <is>
          <t>2031-04</t>
        </is>
      </c>
      <c r="E80" s="164" t="inlineStr">
        <is>
          <t>Competência mensal</t>
        </is>
      </c>
    </row>
    <row r="81" ht="15" customHeight="1" s="131">
      <c r="A81" t="inlineStr">
        <is>
          <t>2031-05</t>
        </is>
      </c>
      <c r="B81" s="164" t="inlineStr">
        <is>
          <t>2031-05</t>
        </is>
      </c>
      <c r="C81" s="164" t="inlineStr">
        <is>
          <t>2031-05</t>
        </is>
      </c>
      <c r="D81" t="inlineStr">
        <is>
          <t>2031-05</t>
        </is>
      </c>
      <c r="E81" s="164" t="inlineStr">
        <is>
          <t>Competência mensal</t>
        </is>
      </c>
    </row>
    <row r="82" ht="15" customHeight="1" s="131">
      <c r="A82" t="inlineStr">
        <is>
          <t>2031-06</t>
        </is>
      </c>
      <c r="B82" s="164" t="inlineStr">
        <is>
          <t>2031-06</t>
        </is>
      </c>
      <c r="C82" s="164" t="inlineStr">
        <is>
          <t>2031-06</t>
        </is>
      </c>
      <c r="D82" t="inlineStr">
        <is>
          <t>2031-06</t>
        </is>
      </c>
      <c r="E82" s="164" t="inlineStr">
        <is>
          <t>Competência mensal</t>
        </is>
      </c>
    </row>
    <row r="83" ht="15" customHeight="1" s="131">
      <c r="A83" t="inlineStr">
        <is>
          <t>2031-07</t>
        </is>
      </c>
      <c r="B83" s="164" t="inlineStr">
        <is>
          <t>2031-07</t>
        </is>
      </c>
      <c r="C83" s="164" t="inlineStr">
        <is>
          <t>2031-07</t>
        </is>
      </c>
      <c r="D83" t="inlineStr">
        <is>
          <t>2031-07</t>
        </is>
      </c>
      <c r="E83" s="164" t="inlineStr">
        <is>
          <t>Competência mensal</t>
        </is>
      </c>
    </row>
    <row r="84" ht="15" customHeight="1" s="131">
      <c r="A84" t="inlineStr">
        <is>
          <t>2031-08</t>
        </is>
      </c>
      <c r="B84" s="164" t="inlineStr">
        <is>
          <t>2031-08</t>
        </is>
      </c>
      <c r="C84" s="164" t="inlineStr">
        <is>
          <t>2031-08</t>
        </is>
      </c>
      <c r="D84" t="inlineStr">
        <is>
          <t>2031-08</t>
        </is>
      </c>
      <c r="E84" s="164" t="inlineStr">
        <is>
          <t>Competência mensal</t>
        </is>
      </c>
    </row>
    <row r="85" ht="15" customHeight="1" s="131">
      <c r="A85" t="inlineStr">
        <is>
          <t>2031-09</t>
        </is>
      </c>
      <c r="B85" s="164" t="inlineStr">
        <is>
          <t>2031-09</t>
        </is>
      </c>
      <c r="C85" s="164" t="inlineStr">
        <is>
          <t>2031-09</t>
        </is>
      </c>
      <c r="D85" t="inlineStr">
        <is>
          <t>2031-09</t>
        </is>
      </c>
      <c r="E85" s="164" t="inlineStr">
        <is>
          <t>Competência mensal</t>
        </is>
      </c>
    </row>
    <row r="86" ht="15" customHeight="1" s="131">
      <c r="A86" t="inlineStr">
        <is>
          <t>2031-10</t>
        </is>
      </c>
      <c r="B86" s="164" t="inlineStr">
        <is>
          <t>2031-10</t>
        </is>
      </c>
      <c r="C86" s="164" t="inlineStr">
        <is>
          <t>2031-10</t>
        </is>
      </c>
      <c r="D86" t="inlineStr">
        <is>
          <t>2031-10</t>
        </is>
      </c>
      <c r="E86" s="164" t="inlineStr">
        <is>
          <t>Competência mensal</t>
        </is>
      </c>
    </row>
    <row r="87" ht="15" customHeight="1" s="131">
      <c r="A87" t="inlineStr">
        <is>
          <t>2031-11</t>
        </is>
      </c>
      <c r="B87" s="164" t="inlineStr">
        <is>
          <t>2031-11</t>
        </is>
      </c>
      <c r="C87" s="164" t="inlineStr">
        <is>
          <t>2031-11</t>
        </is>
      </c>
      <c r="D87" t="inlineStr">
        <is>
          <t>2031-11</t>
        </is>
      </c>
      <c r="E87" s="164" t="inlineStr">
        <is>
          <t>Competência mensal</t>
        </is>
      </c>
    </row>
    <row r="88" ht="15" customHeight="1" s="131">
      <c r="A88" t="inlineStr">
        <is>
          <t>2031-12</t>
        </is>
      </c>
      <c r="B88" s="164" t="inlineStr">
        <is>
          <t>2031-12</t>
        </is>
      </c>
      <c r="C88" s="164" t="inlineStr">
        <is>
          <t>2031-12</t>
        </is>
      </c>
      <c r="D88" t="inlineStr">
        <is>
          <t>2031-12</t>
        </is>
      </c>
      <c r="E88" s="164" t="inlineStr">
        <is>
          <t>Competência mensal</t>
        </is>
      </c>
    </row>
    <row r="89" ht="15" customHeight="1" s="131">
      <c r="A89" t="inlineStr">
        <is>
          <t>2032-01</t>
        </is>
      </c>
      <c r="B89" s="164" t="inlineStr">
        <is>
          <t>2032-01</t>
        </is>
      </c>
      <c r="C89" s="164" t="inlineStr">
        <is>
          <t>2032-01</t>
        </is>
      </c>
      <c r="D89" t="inlineStr">
        <is>
          <t>2032-01</t>
        </is>
      </c>
      <c r="E89" s="164" t="inlineStr">
        <is>
          <t>Competência mensal</t>
        </is>
      </c>
    </row>
    <row r="90" ht="15" customHeight="1" s="131">
      <c r="A90" t="inlineStr">
        <is>
          <t>2032-02</t>
        </is>
      </c>
      <c r="B90" s="164" t="inlineStr">
        <is>
          <t>2032-02</t>
        </is>
      </c>
      <c r="C90" s="164" t="inlineStr">
        <is>
          <t>2032-02</t>
        </is>
      </c>
      <c r="D90" t="inlineStr">
        <is>
          <t>2032-02</t>
        </is>
      </c>
      <c r="E90" s="164" t="inlineStr">
        <is>
          <t>Competência mensal</t>
        </is>
      </c>
    </row>
    <row r="91" ht="15" customHeight="1" s="131">
      <c r="A91" t="inlineStr">
        <is>
          <t>2032-03</t>
        </is>
      </c>
      <c r="B91" s="164" t="inlineStr">
        <is>
          <t>2032-03</t>
        </is>
      </c>
      <c r="C91" s="164" t="inlineStr">
        <is>
          <t>2032-03</t>
        </is>
      </c>
      <c r="D91" t="inlineStr">
        <is>
          <t>2032-03</t>
        </is>
      </c>
      <c r="E91" s="164" t="inlineStr">
        <is>
          <t>Competência mensal</t>
        </is>
      </c>
    </row>
    <row r="92" ht="15" customHeight="1" s="131">
      <c r="A92" t="inlineStr">
        <is>
          <t>2032-04</t>
        </is>
      </c>
      <c r="B92" s="164" t="inlineStr">
        <is>
          <t>2032-04</t>
        </is>
      </c>
      <c r="C92" s="164" t="inlineStr">
        <is>
          <t>2032-04</t>
        </is>
      </c>
      <c r="D92" t="inlineStr">
        <is>
          <t>2032-04</t>
        </is>
      </c>
      <c r="E92" s="164" t="inlineStr">
        <is>
          <t>Competência mensal</t>
        </is>
      </c>
    </row>
    <row r="93" ht="15" customHeight="1" s="131">
      <c r="A93" t="inlineStr">
        <is>
          <t>2032-05</t>
        </is>
      </c>
      <c r="B93" s="164" t="inlineStr">
        <is>
          <t>2032-05</t>
        </is>
      </c>
      <c r="C93" s="164" t="inlineStr">
        <is>
          <t>2032-05</t>
        </is>
      </c>
      <c r="D93" t="inlineStr">
        <is>
          <t>2032-05</t>
        </is>
      </c>
      <c r="E93" s="164" t="inlineStr">
        <is>
          <t>Competência mensal</t>
        </is>
      </c>
    </row>
    <row r="94" ht="15" customHeight="1" s="131">
      <c r="A94" t="inlineStr">
        <is>
          <t>2032-06</t>
        </is>
      </c>
      <c r="B94" s="164" t="inlineStr">
        <is>
          <t>2032-06</t>
        </is>
      </c>
      <c r="C94" s="164" t="inlineStr">
        <is>
          <t>2032-06</t>
        </is>
      </c>
      <c r="D94" t="inlineStr">
        <is>
          <t>2032-06</t>
        </is>
      </c>
      <c r="E94" s="164" t="inlineStr">
        <is>
          <t>Competência mensal</t>
        </is>
      </c>
    </row>
    <row r="95" ht="15" customHeight="1" s="131">
      <c r="A95" t="inlineStr">
        <is>
          <t>2032-07</t>
        </is>
      </c>
      <c r="B95" s="164" t="inlineStr">
        <is>
          <t>2032-07</t>
        </is>
      </c>
      <c r="C95" s="164" t="inlineStr">
        <is>
          <t>2032-07</t>
        </is>
      </c>
      <c r="D95" t="inlineStr">
        <is>
          <t>2032-07</t>
        </is>
      </c>
      <c r="E95" s="164" t="inlineStr">
        <is>
          <t>Competência mensal</t>
        </is>
      </c>
    </row>
    <row r="96" ht="15" customHeight="1" s="131">
      <c r="A96" t="inlineStr">
        <is>
          <t>2032-08</t>
        </is>
      </c>
      <c r="B96" s="164" t="inlineStr">
        <is>
          <t>2032-08</t>
        </is>
      </c>
      <c r="C96" s="164" t="inlineStr">
        <is>
          <t>2032-08</t>
        </is>
      </c>
      <c r="D96" t="inlineStr">
        <is>
          <t>2032-08</t>
        </is>
      </c>
      <c r="E96" s="164" t="inlineStr">
        <is>
          <t>Competência mensal</t>
        </is>
      </c>
    </row>
    <row r="97" ht="15" customHeight="1" s="131">
      <c r="A97" t="inlineStr">
        <is>
          <t>2032-09</t>
        </is>
      </c>
      <c r="B97" s="164" t="inlineStr">
        <is>
          <t>2032-09</t>
        </is>
      </c>
      <c r="C97" s="164" t="inlineStr">
        <is>
          <t>2032-09</t>
        </is>
      </c>
      <c r="D97" t="inlineStr">
        <is>
          <t>2032-09</t>
        </is>
      </c>
      <c r="E97" s="164" t="inlineStr">
        <is>
          <t>Competência mensal</t>
        </is>
      </c>
    </row>
    <row r="98" ht="15" customHeight="1" s="131">
      <c r="A98" t="inlineStr">
        <is>
          <t>2032-10</t>
        </is>
      </c>
      <c r="B98" s="164" t="inlineStr">
        <is>
          <t>2032-10</t>
        </is>
      </c>
      <c r="C98" s="164" t="inlineStr">
        <is>
          <t>2032-10</t>
        </is>
      </c>
      <c r="D98" t="inlineStr">
        <is>
          <t>2032-10</t>
        </is>
      </c>
      <c r="E98" s="164" t="inlineStr">
        <is>
          <t>Competência mensal</t>
        </is>
      </c>
    </row>
    <row r="99" ht="15" customHeight="1" s="131">
      <c r="A99" t="inlineStr">
        <is>
          <t>2032-11</t>
        </is>
      </c>
      <c r="B99" s="164" t="inlineStr">
        <is>
          <t>2032-11</t>
        </is>
      </c>
      <c r="C99" s="164" t="inlineStr">
        <is>
          <t>2032-11</t>
        </is>
      </c>
      <c r="D99" t="inlineStr">
        <is>
          <t>2032-11</t>
        </is>
      </c>
      <c r="E99" s="164" t="inlineStr">
        <is>
          <t>Competência mensal</t>
        </is>
      </c>
    </row>
    <row r="100" ht="15" customHeight="1" s="131">
      <c r="A100" t="inlineStr">
        <is>
          <t>2032-12</t>
        </is>
      </c>
      <c r="B100" s="164" t="inlineStr">
        <is>
          <t>2032-12</t>
        </is>
      </c>
      <c r="C100" s="164" t="inlineStr">
        <is>
          <t>2032-12</t>
        </is>
      </c>
      <c r="D100" t="inlineStr">
        <is>
          <t>2032-12</t>
        </is>
      </c>
      <c r="E100" s="164" t="inlineStr">
        <is>
          <t>Competência mensal</t>
        </is>
      </c>
    </row>
    <row r="101" ht="15" customHeight="1" s="131">
      <c r="A101" t="inlineStr">
        <is>
          <t>2033-01</t>
        </is>
      </c>
      <c r="B101" t="inlineStr">
        <is>
          <t>2033-01</t>
        </is>
      </c>
      <c r="C101" s="164" t="inlineStr">
        <is>
          <t>2033-01</t>
        </is>
      </c>
      <c r="D101" t="inlineStr">
        <is>
          <t>2033-01</t>
        </is>
      </c>
      <c r="E101" s="164" t="inlineStr">
        <is>
          <t>Competência mensal</t>
        </is>
      </c>
    </row>
    <row r="102" ht="15" customHeight="1" s="131">
      <c r="A102" t="inlineStr">
        <is>
          <t>2033-02</t>
        </is>
      </c>
      <c r="B102" t="inlineStr">
        <is>
          <t>2033-02</t>
        </is>
      </c>
      <c r="C102" s="164" t="inlineStr">
        <is>
          <t>2033-02</t>
        </is>
      </c>
      <c r="D102" t="inlineStr">
        <is>
          <t>2033-02</t>
        </is>
      </c>
      <c r="E102" s="164" t="inlineStr">
        <is>
          <t>Competência mensal</t>
        </is>
      </c>
    </row>
    <row r="103" ht="15" customHeight="1" s="131">
      <c r="A103" t="inlineStr">
        <is>
          <t>2033-03</t>
        </is>
      </c>
      <c r="B103" t="inlineStr">
        <is>
          <t>2033-03</t>
        </is>
      </c>
      <c r="C103" s="164" t="inlineStr">
        <is>
          <t>2033-03</t>
        </is>
      </c>
      <c r="D103" t="inlineStr">
        <is>
          <t>2033-03</t>
        </is>
      </c>
      <c r="E103" s="164" t="inlineStr">
        <is>
          <t>Competência mensal</t>
        </is>
      </c>
    </row>
    <row r="104" ht="15" customHeight="1" s="131">
      <c r="A104" t="inlineStr">
        <is>
          <t>2033-04</t>
        </is>
      </c>
      <c r="B104" t="inlineStr">
        <is>
          <t>2033-04</t>
        </is>
      </c>
      <c r="C104" s="164" t="inlineStr">
        <is>
          <t>2033-04</t>
        </is>
      </c>
      <c r="D104" t="inlineStr">
        <is>
          <t>2033-04</t>
        </is>
      </c>
      <c r="E104" s="164" t="inlineStr">
        <is>
          <t>Competência mensal</t>
        </is>
      </c>
    </row>
    <row r="105" ht="15" customHeight="1" s="131">
      <c r="A105" t="inlineStr">
        <is>
          <t>2033-05</t>
        </is>
      </c>
      <c r="B105" t="inlineStr">
        <is>
          <t>2033-05</t>
        </is>
      </c>
      <c r="C105" s="164" t="inlineStr">
        <is>
          <t>2033-05</t>
        </is>
      </c>
      <c r="D105" t="inlineStr">
        <is>
          <t>2033-05</t>
        </is>
      </c>
      <c r="E105" s="164" t="inlineStr">
        <is>
          <t>Competência mensal</t>
        </is>
      </c>
    </row>
    <row r="106" ht="15" customHeight="1" s="131">
      <c r="A106" t="inlineStr">
        <is>
          <t>2033-06</t>
        </is>
      </c>
      <c r="B106" t="inlineStr">
        <is>
          <t>2033-06</t>
        </is>
      </c>
      <c r="C106" s="164" t="inlineStr">
        <is>
          <t>2033-06</t>
        </is>
      </c>
      <c r="D106" t="inlineStr">
        <is>
          <t>2033-06</t>
        </is>
      </c>
      <c r="E106" s="164" t="inlineStr">
        <is>
          <t>Competência mensal</t>
        </is>
      </c>
    </row>
    <row r="107" ht="15" customHeight="1" s="131">
      <c r="A107" t="inlineStr">
        <is>
          <t>2033-07</t>
        </is>
      </c>
      <c r="B107" t="inlineStr">
        <is>
          <t>2033-07</t>
        </is>
      </c>
      <c r="C107" s="164" t="inlineStr">
        <is>
          <t>2033-07</t>
        </is>
      </c>
      <c r="D107" t="inlineStr">
        <is>
          <t>2033-07</t>
        </is>
      </c>
      <c r="E107" s="164" t="inlineStr">
        <is>
          <t>Competência mensal</t>
        </is>
      </c>
    </row>
    <row r="108" ht="15" customHeight="1" s="131">
      <c r="A108" t="inlineStr">
        <is>
          <t>2033-08</t>
        </is>
      </c>
      <c r="B108" t="inlineStr">
        <is>
          <t>2033-08</t>
        </is>
      </c>
      <c r="C108" s="164" t="inlineStr">
        <is>
          <t>2033-08</t>
        </is>
      </c>
      <c r="D108" t="inlineStr">
        <is>
          <t>2033-08</t>
        </is>
      </c>
      <c r="E108" s="164" t="inlineStr">
        <is>
          <t>Competência mensal</t>
        </is>
      </c>
    </row>
    <row r="109" ht="15" customHeight="1" s="131">
      <c r="A109" t="inlineStr">
        <is>
          <t>2033-09</t>
        </is>
      </c>
      <c r="B109" t="inlineStr">
        <is>
          <t>2033-09</t>
        </is>
      </c>
      <c r="C109" s="164" t="inlineStr">
        <is>
          <t>2033-09</t>
        </is>
      </c>
      <c r="D109" t="inlineStr">
        <is>
          <t>2033-09</t>
        </is>
      </c>
      <c r="E109" s="164" t="inlineStr">
        <is>
          <t>Competência mensal</t>
        </is>
      </c>
    </row>
    <row r="110" ht="15" customHeight="1" s="131">
      <c r="A110" t="inlineStr">
        <is>
          <t>2033-10</t>
        </is>
      </c>
      <c r="B110" t="inlineStr">
        <is>
          <t>2033-10</t>
        </is>
      </c>
      <c r="C110" s="164" t="inlineStr">
        <is>
          <t>2033-10</t>
        </is>
      </c>
      <c r="D110" t="inlineStr">
        <is>
          <t>2033-10</t>
        </is>
      </c>
      <c r="E110" s="164" t="inlineStr">
        <is>
          <t>Competência mensal</t>
        </is>
      </c>
    </row>
    <row r="111" ht="15" customHeight="1" s="131">
      <c r="A111" t="inlineStr">
        <is>
          <t>2033-11</t>
        </is>
      </c>
      <c r="B111" t="inlineStr">
        <is>
          <t>2033-11</t>
        </is>
      </c>
      <c r="C111" s="164" t="inlineStr">
        <is>
          <t>2033-11</t>
        </is>
      </c>
      <c r="D111" t="inlineStr">
        <is>
          <t>2033-11</t>
        </is>
      </c>
      <c r="E111" s="164" t="inlineStr">
        <is>
          <t>Competência mensal</t>
        </is>
      </c>
    </row>
    <row r="112" ht="15" customHeight="1" s="131">
      <c r="A112" t="inlineStr">
        <is>
          <t>2033-12</t>
        </is>
      </c>
      <c r="B112" t="inlineStr">
        <is>
          <t>2033-12</t>
        </is>
      </c>
      <c r="C112" s="164" t="inlineStr">
        <is>
          <t>2033-12</t>
        </is>
      </c>
      <c r="D112" t="inlineStr">
        <is>
          <t>2033-12</t>
        </is>
      </c>
      <c r="E112" s="164" t="inlineStr">
        <is>
          <t>Competência mensal</t>
        </is>
      </c>
    </row>
    <row r="113" ht="15" customHeight="1" s="131">
      <c r="A113" t="inlineStr">
        <is>
          <t>2034-01</t>
        </is>
      </c>
      <c r="B113" t="inlineStr">
        <is>
          <t>2034-01</t>
        </is>
      </c>
      <c r="C113" s="164" t="inlineStr">
        <is>
          <t>2034-01</t>
        </is>
      </c>
      <c r="D113" t="inlineStr">
        <is>
          <t>2034-01</t>
        </is>
      </c>
      <c r="E113" s="164" t="inlineStr">
        <is>
          <t>Competência mensal</t>
        </is>
      </c>
    </row>
    <row r="114" ht="15" customHeight="1" s="131">
      <c r="A114" t="inlineStr">
        <is>
          <t>2034-02</t>
        </is>
      </c>
      <c r="B114" t="inlineStr">
        <is>
          <t>2034-02</t>
        </is>
      </c>
      <c r="C114" s="164" t="inlineStr">
        <is>
          <t>2034-02</t>
        </is>
      </c>
      <c r="D114" t="inlineStr">
        <is>
          <t>2034-02</t>
        </is>
      </c>
      <c r="E114" s="164" t="inlineStr">
        <is>
          <t>Competência mensal</t>
        </is>
      </c>
    </row>
    <row r="115" ht="15" customHeight="1" s="131">
      <c r="A115" t="inlineStr">
        <is>
          <t>2034-03</t>
        </is>
      </c>
      <c r="B115" t="inlineStr">
        <is>
          <t>2034-03</t>
        </is>
      </c>
      <c r="C115" s="164" t="inlineStr">
        <is>
          <t>2034-03</t>
        </is>
      </c>
      <c r="D115" t="inlineStr">
        <is>
          <t>2034-03</t>
        </is>
      </c>
      <c r="E115" s="164" t="inlineStr">
        <is>
          <t>Competência mensal</t>
        </is>
      </c>
    </row>
    <row r="116" ht="15" customHeight="1" s="131">
      <c r="A116" t="inlineStr">
        <is>
          <t>2034-04</t>
        </is>
      </c>
      <c r="B116" t="inlineStr">
        <is>
          <t>2034-04</t>
        </is>
      </c>
      <c r="C116" s="164" t="inlineStr">
        <is>
          <t>2034-04</t>
        </is>
      </c>
      <c r="D116" t="inlineStr">
        <is>
          <t>2034-04</t>
        </is>
      </c>
      <c r="E116" s="164" t="inlineStr">
        <is>
          <t>Competência mensal</t>
        </is>
      </c>
    </row>
    <row r="117" ht="15" customHeight="1" s="131">
      <c r="A117" t="inlineStr">
        <is>
          <t>2034-05</t>
        </is>
      </c>
      <c r="B117" t="inlineStr">
        <is>
          <t>2034-05</t>
        </is>
      </c>
      <c r="C117" s="164" t="inlineStr">
        <is>
          <t>2034-05</t>
        </is>
      </c>
      <c r="D117" t="inlineStr">
        <is>
          <t>2034-05</t>
        </is>
      </c>
      <c r="E117" s="164" t="inlineStr">
        <is>
          <t>Competência mensal</t>
        </is>
      </c>
    </row>
    <row r="118" ht="15" customHeight="1" s="131">
      <c r="A118" t="inlineStr">
        <is>
          <t>2034-06</t>
        </is>
      </c>
      <c r="B118" t="inlineStr">
        <is>
          <t>2034-06</t>
        </is>
      </c>
      <c r="C118" s="164" t="inlineStr">
        <is>
          <t>2034-06</t>
        </is>
      </c>
      <c r="D118" t="inlineStr">
        <is>
          <t>2034-06</t>
        </is>
      </c>
      <c r="E118" s="164" t="inlineStr">
        <is>
          <t>Competência mensal</t>
        </is>
      </c>
    </row>
    <row r="119" ht="15" customHeight="1" s="131">
      <c r="A119" t="inlineStr">
        <is>
          <t>2034-07</t>
        </is>
      </c>
      <c r="B119" t="inlineStr">
        <is>
          <t>2034-07</t>
        </is>
      </c>
      <c r="C119" s="164" t="inlineStr">
        <is>
          <t>2034-07</t>
        </is>
      </c>
      <c r="D119" t="inlineStr">
        <is>
          <t>2034-07</t>
        </is>
      </c>
      <c r="E119" s="164" t="inlineStr">
        <is>
          <t>Competência mensal</t>
        </is>
      </c>
    </row>
    <row r="120" ht="15" customHeight="1" s="131">
      <c r="A120" t="inlineStr">
        <is>
          <t>2034-08</t>
        </is>
      </c>
      <c r="B120" t="inlineStr">
        <is>
          <t>2034-08</t>
        </is>
      </c>
      <c r="C120" s="164" t="inlineStr">
        <is>
          <t>2034-08</t>
        </is>
      </c>
      <c r="D120" t="inlineStr">
        <is>
          <t>2034-08</t>
        </is>
      </c>
      <c r="E120" s="164" t="inlineStr">
        <is>
          <t>Competência mensal</t>
        </is>
      </c>
    </row>
    <row r="121" ht="15" customHeight="1" s="131">
      <c r="A121" t="inlineStr">
        <is>
          <t>2034-09</t>
        </is>
      </c>
      <c r="B121" t="inlineStr">
        <is>
          <t>2034-09</t>
        </is>
      </c>
      <c r="C121" s="164" t="inlineStr">
        <is>
          <t>2034-09</t>
        </is>
      </c>
      <c r="D121" t="inlineStr">
        <is>
          <t>2034-09</t>
        </is>
      </c>
      <c r="E121" s="164" t="inlineStr">
        <is>
          <t>Competência mensal</t>
        </is>
      </c>
    </row>
    <row r="122" ht="15" customHeight="1" s="131">
      <c r="A122" t="inlineStr">
        <is>
          <t>2034-10</t>
        </is>
      </c>
      <c r="B122" t="inlineStr">
        <is>
          <t>2034-10</t>
        </is>
      </c>
      <c r="C122" s="164" t="inlineStr">
        <is>
          <t>2034-10</t>
        </is>
      </c>
      <c r="D122" t="inlineStr">
        <is>
          <t>2034-10</t>
        </is>
      </c>
      <c r="E122" s="164" t="inlineStr">
        <is>
          <t>Competência mensal</t>
        </is>
      </c>
    </row>
    <row r="123" ht="15" customHeight="1" s="131">
      <c r="A123" t="inlineStr">
        <is>
          <t>2034-11</t>
        </is>
      </c>
      <c r="B123" t="inlineStr">
        <is>
          <t>2034-11</t>
        </is>
      </c>
      <c r="C123" s="164" t="inlineStr">
        <is>
          <t>2034-11</t>
        </is>
      </c>
      <c r="D123" t="inlineStr">
        <is>
          <t>2034-11</t>
        </is>
      </c>
      <c r="E123" s="164" t="inlineStr">
        <is>
          <t>Competência mensal</t>
        </is>
      </c>
    </row>
    <row r="124" ht="15" customHeight="1" s="131">
      <c r="A124" t="inlineStr">
        <is>
          <t>2034-12</t>
        </is>
      </c>
      <c r="B124" t="inlineStr">
        <is>
          <t>2034-12</t>
        </is>
      </c>
      <c r="C124" s="164" t="inlineStr">
        <is>
          <t>2034-12</t>
        </is>
      </c>
      <c r="D124" t="inlineStr">
        <is>
          <t>2034-12</t>
        </is>
      </c>
      <c r="E124" s="164" t="inlineStr">
        <is>
          <t>Competência mensal</t>
        </is>
      </c>
    </row>
    <row r="125" ht="15" customHeight="1" s="131">
      <c r="A125" t="inlineStr">
        <is>
          <t>2035-01</t>
        </is>
      </c>
      <c r="B125" t="inlineStr">
        <is>
          <t>2035-01</t>
        </is>
      </c>
      <c r="C125" s="164" t="inlineStr">
        <is>
          <t>2035-01</t>
        </is>
      </c>
      <c r="D125" t="inlineStr">
        <is>
          <t>2035-01</t>
        </is>
      </c>
      <c r="E125" s="164" t="inlineStr">
        <is>
          <t>Competência mensal</t>
        </is>
      </c>
    </row>
    <row r="126" ht="15" customHeight="1" s="131">
      <c r="A126" t="inlineStr">
        <is>
          <t>2035-02</t>
        </is>
      </c>
      <c r="B126" t="inlineStr">
        <is>
          <t>2035-02</t>
        </is>
      </c>
      <c r="C126" s="164" t="inlineStr">
        <is>
          <t>2035-02</t>
        </is>
      </c>
      <c r="D126" t="inlineStr">
        <is>
          <t>2035-02</t>
        </is>
      </c>
      <c r="E126" s="164" t="inlineStr">
        <is>
          <t>Competência mensal</t>
        </is>
      </c>
    </row>
    <row r="127" ht="15" customHeight="1" s="131">
      <c r="A127" t="inlineStr">
        <is>
          <t>2035-03</t>
        </is>
      </c>
      <c r="B127" t="inlineStr">
        <is>
          <t>2035-03</t>
        </is>
      </c>
      <c r="C127" s="164" t="inlineStr">
        <is>
          <t>2035-03</t>
        </is>
      </c>
      <c r="D127" t="inlineStr">
        <is>
          <t>2035-03</t>
        </is>
      </c>
      <c r="E127" s="164" t="inlineStr">
        <is>
          <t>Competência mensal</t>
        </is>
      </c>
    </row>
    <row r="128" ht="15" customHeight="1" s="131">
      <c r="A128" t="inlineStr">
        <is>
          <t>2035-04</t>
        </is>
      </c>
      <c r="B128" t="inlineStr">
        <is>
          <t>2035-04</t>
        </is>
      </c>
      <c r="C128" s="164" t="inlineStr">
        <is>
          <t>2035-04</t>
        </is>
      </c>
      <c r="D128" t="inlineStr">
        <is>
          <t>2035-04</t>
        </is>
      </c>
      <c r="E128" s="164" t="inlineStr">
        <is>
          <t>Competência mensal</t>
        </is>
      </c>
    </row>
    <row r="129" ht="15" customHeight="1" s="131">
      <c r="A129" t="inlineStr">
        <is>
          <t>2035-05</t>
        </is>
      </c>
      <c r="B129" t="inlineStr">
        <is>
          <t>2035-05</t>
        </is>
      </c>
      <c r="C129" s="164" t="inlineStr">
        <is>
          <t>2035-05</t>
        </is>
      </c>
      <c r="D129" t="inlineStr">
        <is>
          <t>2035-05</t>
        </is>
      </c>
      <c r="E129" s="164" t="inlineStr">
        <is>
          <t>Competência mensal</t>
        </is>
      </c>
    </row>
    <row r="130" ht="15" customHeight="1" s="131">
      <c r="A130" t="inlineStr">
        <is>
          <t>2035-06</t>
        </is>
      </c>
      <c r="B130" t="inlineStr">
        <is>
          <t>2035-06</t>
        </is>
      </c>
      <c r="C130" s="164" t="inlineStr">
        <is>
          <t>2035-06</t>
        </is>
      </c>
      <c r="D130" t="inlineStr">
        <is>
          <t>2035-06</t>
        </is>
      </c>
      <c r="E130" s="164" t="inlineStr">
        <is>
          <t>Competência mensal</t>
        </is>
      </c>
    </row>
    <row r="131" ht="15" customHeight="1" s="131">
      <c r="A131" t="inlineStr">
        <is>
          <t>2035-07</t>
        </is>
      </c>
      <c r="B131" t="inlineStr">
        <is>
          <t>2035-07</t>
        </is>
      </c>
      <c r="C131" s="164" t="inlineStr">
        <is>
          <t>2035-07</t>
        </is>
      </c>
      <c r="D131" t="inlineStr">
        <is>
          <t>2035-07</t>
        </is>
      </c>
      <c r="E131" s="164" t="inlineStr">
        <is>
          <t>Competência mensal</t>
        </is>
      </c>
    </row>
    <row r="132" ht="15" customHeight="1" s="131">
      <c r="A132" t="inlineStr">
        <is>
          <t>2035-08</t>
        </is>
      </c>
      <c r="B132" t="inlineStr">
        <is>
          <t>2035-08</t>
        </is>
      </c>
      <c r="C132" s="164" t="inlineStr">
        <is>
          <t>2035-08</t>
        </is>
      </c>
      <c r="D132" t="inlineStr">
        <is>
          <t>2035-08</t>
        </is>
      </c>
      <c r="E132" s="164" t="inlineStr">
        <is>
          <t>Competência mensal</t>
        </is>
      </c>
    </row>
    <row r="133" ht="15" customHeight="1" s="131">
      <c r="A133" t="inlineStr">
        <is>
          <t>2035-09</t>
        </is>
      </c>
      <c r="B133" t="inlineStr">
        <is>
          <t>2035-09</t>
        </is>
      </c>
      <c r="C133" s="164" t="inlineStr">
        <is>
          <t>2035-09</t>
        </is>
      </c>
      <c r="D133" t="inlineStr">
        <is>
          <t>2035-09</t>
        </is>
      </c>
      <c r="E133" s="164" t="inlineStr">
        <is>
          <t>Competência mensal</t>
        </is>
      </c>
    </row>
    <row r="134" ht="15" customHeight="1" s="131">
      <c r="A134" t="inlineStr">
        <is>
          <t>2035-10</t>
        </is>
      </c>
      <c r="B134" t="inlineStr">
        <is>
          <t>2035-10</t>
        </is>
      </c>
      <c r="C134" s="164" t="inlineStr">
        <is>
          <t>2035-10</t>
        </is>
      </c>
      <c r="D134" t="inlineStr">
        <is>
          <t>2035-10</t>
        </is>
      </c>
      <c r="E134" s="164" t="inlineStr">
        <is>
          <t>Competência mensal</t>
        </is>
      </c>
    </row>
    <row r="135" ht="15" customHeight="1" s="131">
      <c r="A135" t="inlineStr">
        <is>
          <t>2035-11</t>
        </is>
      </c>
      <c r="B135" t="inlineStr">
        <is>
          <t>2035-11</t>
        </is>
      </c>
      <c r="C135" s="164" t="inlineStr">
        <is>
          <t>2035-11</t>
        </is>
      </c>
      <c r="D135" t="inlineStr">
        <is>
          <t>2035-11</t>
        </is>
      </c>
      <c r="E135" s="164" t="inlineStr">
        <is>
          <t>Competência mensal</t>
        </is>
      </c>
    </row>
    <row r="136" ht="15" customHeight="1" s="131">
      <c r="A136" t="inlineStr">
        <is>
          <t>2035-12</t>
        </is>
      </c>
      <c r="B136" t="inlineStr">
        <is>
          <t>2035-12</t>
        </is>
      </c>
      <c r="C136" s="164" t="inlineStr">
        <is>
          <t>2035-12</t>
        </is>
      </c>
      <c r="D136" t="inlineStr">
        <is>
          <t>2035-12</t>
        </is>
      </c>
      <c r="E136" s="164" t="inlineStr">
        <is>
          <t>Competência mensal</t>
        </is>
      </c>
    </row>
    <row r="137" ht="15" customHeight="1" s="131">
      <c r="A137" t="inlineStr">
        <is>
          <t>2036-01</t>
        </is>
      </c>
      <c r="B137" t="inlineStr">
        <is>
          <t>2036-01</t>
        </is>
      </c>
      <c r="C137" s="164" t="inlineStr">
        <is>
          <t>2036-01</t>
        </is>
      </c>
      <c r="D137" t="inlineStr">
        <is>
          <t>2036-01</t>
        </is>
      </c>
      <c r="E137" s="164" t="inlineStr">
        <is>
          <t>Competência mensal</t>
        </is>
      </c>
    </row>
    <row r="138" ht="15" customHeight="1" s="131">
      <c r="A138" t="inlineStr">
        <is>
          <t>2036-02</t>
        </is>
      </c>
      <c r="B138" t="inlineStr">
        <is>
          <t>2036-02</t>
        </is>
      </c>
      <c r="C138" s="164" t="inlineStr">
        <is>
          <t>2036-02</t>
        </is>
      </c>
      <c r="D138" t="inlineStr">
        <is>
          <t>2036-02</t>
        </is>
      </c>
      <c r="E138" s="164" t="inlineStr">
        <is>
          <t>Competência mensal</t>
        </is>
      </c>
    </row>
    <row r="139" ht="15" customHeight="1" s="131">
      <c r="A139" t="inlineStr">
        <is>
          <t>2036-03</t>
        </is>
      </c>
      <c r="B139" t="inlineStr">
        <is>
          <t>2036-03</t>
        </is>
      </c>
      <c r="C139" s="164" t="inlineStr">
        <is>
          <t>2036-03</t>
        </is>
      </c>
      <c r="D139" t="inlineStr">
        <is>
          <t>2036-03</t>
        </is>
      </c>
      <c r="E139" s="164" t="inlineStr">
        <is>
          <t>Competência mensal</t>
        </is>
      </c>
    </row>
    <row r="140" ht="15" customHeight="1" s="131">
      <c r="A140" t="inlineStr">
        <is>
          <t>2036-04</t>
        </is>
      </c>
      <c r="B140" t="inlineStr">
        <is>
          <t>2036-04</t>
        </is>
      </c>
      <c r="C140" s="164" t="inlineStr">
        <is>
          <t>2036-04</t>
        </is>
      </c>
      <c r="D140" t="inlineStr">
        <is>
          <t>2036-04</t>
        </is>
      </c>
      <c r="E140" s="164" t="inlineStr">
        <is>
          <t>Competência mensal</t>
        </is>
      </c>
    </row>
    <row r="141" ht="15" customHeight="1" s="131">
      <c r="A141" t="inlineStr">
        <is>
          <t>2036-05</t>
        </is>
      </c>
      <c r="B141" t="inlineStr">
        <is>
          <t>2036-05</t>
        </is>
      </c>
      <c r="C141" s="164" t="inlineStr">
        <is>
          <t>2036-05</t>
        </is>
      </c>
      <c r="D141" t="inlineStr">
        <is>
          <t>2036-05</t>
        </is>
      </c>
      <c r="E141" s="164" t="inlineStr">
        <is>
          <t>Competência mensal</t>
        </is>
      </c>
    </row>
    <row r="142" ht="15" customHeight="1" s="131">
      <c r="A142" t="inlineStr">
        <is>
          <t>2036-06</t>
        </is>
      </c>
      <c r="B142" t="inlineStr">
        <is>
          <t>2036-06</t>
        </is>
      </c>
      <c r="C142" s="164" t="inlineStr">
        <is>
          <t>2036-06</t>
        </is>
      </c>
      <c r="D142" t="inlineStr">
        <is>
          <t>2036-06</t>
        </is>
      </c>
      <c r="E142" s="164" t="inlineStr">
        <is>
          <t>Competência mensal</t>
        </is>
      </c>
    </row>
    <row r="143" ht="15" customHeight="1" s="131">
      <c r="A143" t="inlineStr">
        <is>
          <t>2036-07</t>
        </is>
      </c>
      <c r="B143" t="inlineStr">
        <is>
          <t>2036-07</t>
        </is>
      </c>
      <c r="C143" s="164" t="inlineStr">
        <is>
          <t>2036-07</t>
        </is>
      </c>
      <c r="D143" t="inlineStr">
        <is>
          <t>2036-07</t>
        </is>
      </c>
      <c r="E143" s="164" t="inlineStr">
        <is>
          <t>Competência mensal</t>
        </is>
      </c>
    </row>
    <row r="144" ht="15" customHeight="1" s="131">
      <c r="A144" t="inlineStr">
        <is>
          <t>2036-08</t>
        </is>
      </c>
      <c r="B144" t="inlineStr">
        <is>
          <t>2036-08</t>
        </is>
      </c>
      <c r="C144" s="164" t="inlineStr">
        <is>
          <t>2036-08</t>
        </is>
      </c>
      <c r="D144" t="inlineStr">
        <is>
          <t>2036-08</t>
        </is>
      </c>
      <c r="E144" s="164" t="inlineStr">
        <is>
          <t>Competência mensal</t>
        </is>
      </c>
    </row>
    <row r="145" ht="15" customHeight="1" s="131">
      <c r="A145" t="inlineStr">
        <is>
          <t>2036-09</t>
        </is>
      </c>
      <c r="B145" t="inlineStr">
        <is>
          <t>2036-09</t>
        </is>
      </c>
      <c r="C145" s="164" t="inlineStr">
        <is>
          <t>2036-09</t>
        </is>
      </c>
      <c r="D145" t="inlineStr">
        <is>
          <t>2036-09</t>
        </is>
      </c>
      <c r="E145" s="164" t="inlineStr">
        <is>
          <t>Competência mensal</t>
        </is>
      </c>
    </row>
    <row r="146" ht="15" customHeight="1" s="131">
      <c r="A146" t="inlineStr">
        <is>
          <t>2036-10</t>
        </is>
      </c>
      <c r="B146" t="inlineStr">
        <is>
          <t>2036-10</t>
        </is>
      </c>
      <c r="C146" s="164" t="inlineStr">
        <is>
          <t>2036-10</t>
        </is>
      </c>
      <c r="D146" t="inlineStr">
        <is>
          <t>2036-10</t>
        </is>
      </c>
      <c r="E146" s="164" t="inlineStr">
        <is>
          <t>Competência mensal</t>
        </is>
      </c>
    </row>
    <row r="147" ht="15" customHeight="1" s="131">
      <c r="A147" t="inlineStr">
        <is>
          <t>2036-11</t>
        </is>
      </c>
      <c r="B147" t="inlineStr">
        <is>
          <t>2036-11</t>
        </is>
      </c>
      <c r="C147" s="164" t="inlineStr">
        <is>
          <t>2036-11</t>
        </is>
      </c>
      <c r="D147" t="inlineStr">
        <is>
          <t>2036-11</t>
        </is>
      </c>
      <c r="E147" s="164" t="inlineStr">
        <is>
          <t>Competência mensal</t>
        </is>
      </c>
    </row>
    <row r="148" ht="15" customHeight="1" s="131">
      <c r="A148" t="inlineStr">
        <is>
          <t>2036-12</t>
        </is>
      </c>
      <c r="B148" t="inlineStr">
        <is>
          <t>2036-12</t>
        </is>
      </c>
      <c r="C148" s="164" t="inlineStr">
        <is>
          <t>2036-12</t>
        </is>
      </c>
      <c r="D148" t="inlineStr">
        <is>
          <t>2036-12</t>
        </is>
      </c>
      <c r="E148" s="164" t="inlineStr">
        <is>
          <t>Competência mensal</t>
        </is>
      </c>
    </row>
    <row r="149" ht="15" customHeight="1" s="131">
      <c r="C149" s="164" t="n"/>
      <c r="E149" s="164" t="n"/>
    </row>
    <row r="150" ht="15" customHeight="1" s="131">
      <c r="C150" s="164" t="n"/>
      <c r="E150" s="164" t="n"/>
    </row>
    <row r="151" ht="15" customHeight="1" s="131">
      <c r="C151" s="164" t="n"/>
      <c r="E151" s="164" t="n"/>
    </row>
    <row r="152" ht="15" customHeight="1" s="131">
      <c r="C152" s="164" t="n"/>
      <c r="E152" s="164" t="n"/>
    </row>
    <row r="153" ht="15" customHeight="1" s="131">
      <c r="C153" s="164" t="n"/>
      <c r="E153" s="164" t="n"/>
    </row>
    <row r="154" ht="15" customHeight="1" s="131">
      <c r="C154" s="164" t="n"/>
      <c r="E154" s="164" t="n"/>
    </row>
    <row r="155" ht="15" customHeight="1" s="131">
      <c r="C155" s="164" t="n"/>
      <c r="E155" s="164" t="n"/>
    </row>
    <row r="156" ht="15" customHeight="1" s="131">
      <c r="C156" s="164" t="n"/>
      <c r="E156" s="164" t="n"/>
    </row>
    <row r="157" ht="15" customHeight="1" s="131">
      <c r="C157" s="164" t="n"/>
      <c r="E157" s="164" t="n"/>
    </row>
    <row r="158" ht="15" customHeight="1" s="131">
      <c r="C158" s="164" t="n"/>
      <c r="E158" s="164" t="n"/>
    </row>
    <row r="159" ht="15" customHeight="1" s="131">
      <c r="C159" s="164" t="n"/>
      <c r="E159" s="164" t="n"/>
    </row>
    <row r="160" ht="15" customHeight="1" s="131">
      <c r="C160" s="164" t="n"/>
      <c r="E160" s="164" t="n"/>
    </row>
    <row r="161" ht="15" customHeight="1" s="131">
      <c r="C161" s="164" t="n"/>
      <c r="E161" s="164" t="n"/>
    </row>
    <row r="162" ht="15" customHeight="1" s="131">
      <c r="C162" s="164" t="n"/>
      <c r="E162" s="164" t="n"/>
    </row>
    <row r="163" ht="15" customHeight="1" s="131">
      <c r="C163" s="164" t="n"/>
      <c r="E163" s="164" t="n"/>
    </row>
    <row r="164" ht="15" customHeight="1" s="131">
      <c r="C164" s="164" t="n"/>
      <c r="E164" s="164" t="n"/>
    </row>
    <row r="165" ht="15" customHeight="1" s="131">
      <c r="C165" s="164" t="n"/>
      <c r="E165" s="164" t="n"/>
    </row>
    <row r="166" ht="15" customHeight="1" s="131">
      <c r="C166" s="164" t="n"/>
      <c r="E166" s="164" t="n"/>
    </row>
    <row r="167" ht="15" customHeight="1" s="131">
      <c r="C167" s="164" t="n"/>
      <c r="E167" s="164" t="n"/>
    </row>
    <row r="168" ht="15" customHeight="1" s="131">
      <c r="C168" s="164" t="n"/>
      <c r="E168" s="164" t="n"/>
    </row>
    <row r="169" ht="15" customHeight="1" s="131">
      <c r="C169" s="164" t="n"/>
      <c r="E169" s="164" t="n"/>
    </row>
    <row r="170" ht="15" customHeight="1" s="131">
      <c r="C170" s="164" t="n"/>
      <c r="E170" s="164" t="n"/>
    </row>
    <row r="171" ht="15" customHeight="1" s="131">
      <c r="C171" s="164" t="n"/>
      <c r="E171" s="164" t="n"/>
    </row>
    <row r="172" ht="15" customHeight="1" s="131">
      <c r="C172" s="164" t="n"/>
      <c r="E172" s="164" t="n"/>
    </row>
    <row r="173" ht="15" customHeight="1" s="131">
      <c r="C173" s="164" t="n"/>
      <c r="E173" s="164" t="n"/>
    </row>
    <row r="174" ht="15" customHeight="1" s="131">
      <c r="C174" s="164" t="n"/>
      <c r="E174" s="164" t="n"/>
    </row>
    <row r="175" ht="15" customHeight="1" s="131">
      <c r="C175" s="164" t="n"/>
      <c r="E175" s="164" t="n"/>
    </row>
    <row r="176" ht="15" customHeight="1" s="131">
      <c r="C176" s="164" t="n"/>
      <c r="E176" s="164" t="n"/>
    </row>
    <row r="177" ht="15" customHeight="1" s="131">
      <c r="C177" s="164" t="n"/>
      <c r="E177" s="164" t="n"/>
    </row>
    <row r="178" ht="15" customHeight="1" s="131">
      <c r="C178" s="164" t="n"/>
      <c r="E178" s="164" t="n"/>
    </row>
    <row r="179" ht="15" customHeight="1" s="131">
      <c r="C179" s="164" t="n"/>
      <c r="E179" s="164" t="n"/>
    </row>
    <row r="180" ht="15" customHeight="1" s="131">
      <c r="C180" s="164" t="n"/>
      <c r="E180" s="164" t="n"/>
    </row>
    <row r="181" ht="15" customHeight="1" s="131">
      <c r="C181" s="164" t="n"/>
      <c r="E181" s="164" t="n"/>
    </row>
    <row r="182" ht="15" customHeight="1" s="131">
      <c r="C182" s="164" t="n"/>
      <c r="E182" s="164" t="n"/>
    </row>
    <row r="183" ht="15" customHeight="1" s="131">
      <c r="C183" s="164" t="n"/>
      <c r="E183" s="164" t="n"/>
    </row>
    <row r="184" ht="15" customHeight="1" s="131">
      <c r="C184" s="164" t="n"/>
      <c r="E184" s="164" t="n"/>
    </row>
    <row r="185" ht="15" customHeight="1" s="131">
      <c r="C185" s="164" t="n"/>
      <c r="E185" s="164" t="n"/>
    </row>
    <row r="186" ht="15" customHeight="1" s="131">
      <c r="C186" s="164" t="n"/>
      <c r="E186" s="164" t="n"/>
    </row>
    <row r="187" ht="15" customHeight="1" s="131">
      <c r="C187" s="164" t="n"/>
      <c r="E187" s="164" t="n"/>
    </row>
    <row r="188" ht="15" customHeight="1" s="131">
      <c r="C188" s="164" t="n"/>
      <c r="E188" s="164" t="n"/>
    </row>
    <row r="189" ht="15" customHeight="1" s="131">
      <c r="C189" s="164" t="n"/>
      <c r="E189" s="164" t="n"/>
    </row>
    <row r="190" ht="15" customHeight="1" s="131">
      <c r="C190" s="164" t="n"/>
      <c r="E190" s="164" t="n"/>
    </row>
    <row r="191" ht="15" customHeight="1" s="131">
      <c r="C191" s="164" t="n"/>
      <c r="E191" s="164" t="n"/>
    </row>
    <row r="192" ht="15" customHeight="1" s="131">
      <c r="C192" s="164" t="n"/>
      <c r="E192" s="164" t="n"/>
    </row>
    <row r="193" ht="15" customHeight="1" s="131">
      <c r="C193" s="164" t="n"/>
      <c r="E193" s="164" t="n"/>
    </row>
    <row r="194" ht="15" customHeight="1" s="131">
      <c r="C194" s="164" t="n"/>
      <c r="E194" s="164" t="n"/>
    </row>
    <row r="195" ht="15" customHeight="1" s="131">
      <c r="C195" s="164" t="n"/>
      <c r="E195" s="164" t="n"/>
    </row>
    <row r="196" ht="15" customHeight="1" s="131">
      <c r="C196" s="164" t="n"/>
      <c r="E196" s="164" t="n"/>
    </row>
    <row r="197" ht="15" customHeight="1" s="131">
      <c r="C197" s="164" t="n"/>
      <c r="E197" s="164" t="n"/>
    </row>
    <row r="198" ht="15" customHeight="1" s="131">
      <c r="C198" s="164" t="n"/>
      <c r="E198" s="164" t="n"/>
    </row>
    <row r="199" ht="15" customHeight="1" s="131">
      <c r="C199" s="164" t="n"/>
      <c r="E199" s="164" t="n"/>
    </row>
    <row r="200" ht="15" customHeight="1" s="131">
      <c r="C200" s="164" t="n"/>
      <c r="E200" s="164" t="n"/>
    </row>
    <row r="201" ht="15" customHeight="1" s="131">
      <c r="C201" s="164" t="n"/>
      <c r="E201" s="164" t="n"/>
    </row>
    <row r="202" ht="15" customHeight="1" s="131">
      <c r="C202" s="164" t="n"/>
      <c r="E202" s="164" t="n"/>
    </row>
    <row r="203" ht="15" customHeight="1" s="131">
      <c r="C203" s="164" t="n"/>
      <c r="E203" s="164" t="n"/>
    </row>
    <row r="204" ht="15" customHeight="1" s="131">
      <c r="C204" s="164" t="n"/>
      <c r="E204" s="164" t="n"/>
    </row>
    <row r="205" ht="15" customHeight="1" s="131">
      <c r="C205" s="164" t="n"/>
      <c r="E205" s="164" t="n"/>
    </row>
    <row r="206" ht="15" customHeight="1" s="131">
      <c r="C206" s="164" t="n"/>
      <c r="E206" s="164" t="n"/>
    </row>
    <row r="207" ht="15" customHeight="1" s="131">
      <c r="C207" s="164" t="n"/>
      <c r="E207" s="164" t="n"/>
    </row>
    <row r="208" ht="15" customHeight="1" s="131">
      <c r="C208" s="164" t="n"/>
      <c r="E208" s="164" t="n"/>
    </row>
    <row r="209" ht="15" customHeight="1" s="131">
      <c r="C209" s="164" t="n"/>
      <c r="E209" s="164" t="n"/>
    </row>
    <row r="210" ht="15" customHeight="1" s="131">
      <c r="C210" s="164" t="n"/>
      <c r="E210" s="164" t="n"/>
    </row>
    <row r="211" ht="15" customHeight="1" s="131">
      <c r="C211" s="164" t="n"/>
      <c r="E211" s="164" t="n"/>
    </row>
    <row r="212" ht="15" customHeight="1" s="131">
      <c r="C212" s="164" t="n"/>
      <c r="E212" s="164" t="n"/>
    </row>
    <row r="213" ht="15" customHeight="1" s="131">
      <c r="C213" s="164" t="n"/>
      <c r="E213" s="164" t="n"/>
    </row>
    <row r="214" ht="15" customHeight="1" s="131">
      <c r="C214" s="164" t="n"/>
      <c r="E214" s="164" t="n"/>
    </row>
    <row r="215" ht="15" customHeight="1" s="131">
      <c r="C215" s="164" t="n"/>
      <c r="E215" s="164" t="n"/>
    </row>
    <row r="216" ht="15" customHeight="1" s="131">
      <c r="C216" s="164" t="n"/>
      <c r="E216" s="164" t="n"/>
    </row>
    <row r="217" ht="15" customHeight="1" s="131">
      <c r="C217" s="164" t="n"/>
      <c r="E217" s="164" t="n"/>
    </row>
    <row r="218" ht="15" customHeight="1" s="131">
      <c r="C218" s="164" t="n"/>
      <c r="E218" s="164" t="n"/>
    </row>
    <row r="219" ht="15" customHeight="1" s="131">
      <c r="C219" s="164" t="n"/>
      <c r="E219" s="164" t="n"/>
    </row>
    <row r="220" ht="15" customHeight="1" s="131">
      <c r="C220" s="164" t="n"/>
      <c r="E220" s="164" t="n"/>
    </row>
    <row r="221" ht="15" customHeight="1" s="131">
      <c r="C221" s="164" t="n"/>
      <c r="E221" s="164" t="n"/>
    </row>
    <row r="222" ht="15" customHeight="1" s="131">
      <c r="C222" s="164" t="n"/>
      <c r="E222" s="164" t="n"/>
    </row>
    <row r="223" ht="15" customHeight="1" s="131">
      <c r="C223" s="164" t="n"/>
      <c r="E223" s="164" t="n"/>
    </row>
    <row r="224" ht="15" customHeight="1" s="131">
      <c r="C224" s="164" t="n"/>
      <c r="E224" s="164" t="n"/>
    </row>
    <row r="225" ht="15" customHeight="1" s="131">
      <c r="C225" s="164" t="n"/>
      <c r="E225" s="164" t="n"/>
    </row>
    <row r="226" ht="15" customHeight="1" s="131">
      <c r="C226" s="164" t="n"/>
      <c r="E226" s="164" t="n"/>
    </row>
    <row r="227" ht="15" customHeight="1" s="131">
      <c r="C227" s="164" t="n"/>
      <c r="E227" s="164" t="n"/>
    </row>
    <row r="228" ht="15" customHeight="1" s="131">
      <c r="C228" s="164" t="n"/>
      <c r="E228" s="164" t="n"/>
    </row>
    <row r="229" ht="15" customHeight="1" s="131">
      <c r="C229" s="164" t="n"/>
      <c r="E229" s="164" t="n"/>
    </row>
    <row r="230" ht="15" customHeight="1" s="131">
      <c r="C230" s="164" t="n"/>
      <c r="E230" s="164" t="n"/>
    </row>
    <row r="231" ht="15" customHeight="1" s="131">
      <c r="C231" s="164" t="n"/>
      <c r="E231" s="164" t="n"/>
    </row>
    <row r="232" ht="15" customHeight="1" s="131">
      <c r="C232" s="164" t="n"/>
      <c r="E232" s="164" t="n"/>
    </row>
    <row r="233" ht="15" customHeight="1" s="131">
      <c r="C233" s="164" t="n"/>
      <c r="E233" s="164" t="n"/>
    </row>
    <row r="234" ht="15" customHeight="1" s="131">
      <c r="C234" s="164" t="n"/>
      <c r="E234" s="164" t="n"/>
    </row>
    <row r="235" ht="15" customHeight="1" s="131">
      <c r="C235" s="164" t="n"/>
      <c r="E235" s="164" t="n"/>
    </row>
    <row r="236" ht="15" customHeight="1" s="131">
      <c r="C236" s="164" t="n"/>
      <c r="E236" s="164" t="n"/>
    </row>
    <row r="237" ht="15" customHeight="1" s="131">
      <c r="C237" s="164" t="n"/>
      <c r="E237" s="164" t="n"/>
    </row>
    <row r="238" ht="15" customHeight="1" s="131">
      <c r="C238" s="164" t="n"/>
      <c r="E238" s="164" t="n"/>
    </row>
    <row r="239" ht="15" customHeight="1" s="131">
      <c r="C239" s="164" t="n"/>
      <c r="E239" s="164" t="n"/>
    </row>
    <row r="240" ht="15" customHeight="1" s="131">
      <c r="C240" s="164" t="n"/>
      <c r="E240" s="164" t="n"/>
    </row>
    <row r="241" ht="15" customHeight="1" s="131">
      <c r="C241" s="164" t="n"/>
      <c r="E241" s="164" t="n"/>
    </row>
    <row r="242" ht="15" customHeight="1" s="131">
      <c r="C242" s="164" t="n"/>
      <c r="E242" s="164" t="n"/>
    </row>
    <row r="243" ht="15" customHeight="1" s="131">
      <c r="C243" s="164" t="n"/>
      <c r="E243" s="164" t="n"/>
    </row>
    <row r="244" ht="15" customHeight="1" s="131">
      <c r="C244" s="164" t="n"/>
      <c r="E244" s="164" t="n"/>
    </row>
    <row r="245" ht="15" customHeight="1" s="131">
      <c r="E245" s="164" t="n"/>
    </row>
    <row r="246" ht="15" customHeight="1" s="131">
      <c r="E246" s="164" t="n"/>
    </row>
    <row r="247" ht="15" customHeight="1" s="131">
      <c r="E247" s="164" t="n"/>
    </row>
    <row r="248" ht="15" customHeight="1" s="131">
      <c r="E248" s="164" t="n"/>
    </row>
    <row r="249" ht="15" customHeight="1" s="131">
      <c r="E249" s="164" t="n"/>
    </row>
    <row r="250" ht="15" customHeight="1" s="131">
      <c r="E250" s="164" t="n"/>
    </row>
    <row r="251" ht="15" customHeight="1" s="131">
      <c r="E251" s="164" t="n"/>
    </row>
    <row r="252" ht="15" customHeight="1" s="131">
      <c r="E252" s="164" t="n"/>
    </row>
    <row r="253" ht="15" customHeight="1" s="131">
      <c r="E253" s="164" t="n"/>
    </row>
    <row r="254" ht="15" customHeight="1" s="131">
      <c r="E254" s="164" t="n"/>
    </row>
    <row r="255" ht="15" customHeight="1" s="131">
      <c r="E255" s="164" t="n"/>
    </row>
    <row r="256" ht="15" customHeight="1" s="131">
      <c r="E256" s="164" t="n"/>
    </row>
    <row r="257" ht="15" customHeight="1" s="131">
      <c r="E257" s="164" t="n"/>
    </row>
    <row r="258" ht="15" customHeight="1" s="131">
      <c r="E258" s="164" t="n"/>
    </row>
    <row r="259" ht="15" customHeight="1" s="131">
      <c r="E259" s="164" t="n"/>
    </row>
    <row r="260" ht="15" customHeight="1" s="131">
      <c r="E260" s="164" t="n"/>
    </row>
    <row r="261" ht="15" customHeight="1" s="131">
      <c r="E261" s="164" t="n"/>
    </row>
    <row r="262" ht="15" customHeight="1" s="131">
      <c r="E262" s="164" t="n"/>
    </row>
    <row r="263" ht="15" customHeight="1" s="131">
      <c r="E263" s="164" t="n"/>
    </row>
    <row r="264" ht="15" customHeight="1" s="131">
      <c r="E264" s="164" t="n"/>
    </row>
    <row r="265" ht="15" customHeight="1" s="131">
      <c r="E265" s="164" t="n"/>
    </row>
    <row r="266" ht="15" customHeight="1" s="131">
      <c r="E266" s="164" t="n"/>
    </row>
    <row r="267" ht="15" customHeight="1" s="131">
      <c r="E267" s="164" t="n"/>
    </row>
    <row r="268" ht="15" customHeight="1" s="131">
      <c r="E268" s="164" t="n"/>
    </row>
    <row r="269" ht="15" customHeight="1" s="131">
      <c r="E269" s="164" t="n"/>
    </row>
    <row r="270" ht="15" customHeight="1" s="131">
      <c r="E270" s="164" t="n"/>
    </row>
    <row r="271" ht="15" customHeight="1" s="131">
      <c r="E271" s="164" t="n"/>
    </row>
    <row r="272" ht="15" customHeight="1" s="131">
      <c r="E272" s="164" t="n"/>
    </row>
    <row r="273" ht="15" customHeight="1" s="131">
      <c r="E273" s="164" t="n"/>
    </row>
    <row r="274" ht="15" customHeight="1" s="131">
      <c r="E274" s="164" t="n"/>
    </row>
    <row r="275" ht="15" customHeight="1" s="131">
      <c r="E275" s="164" t="n"/>
    </row>
    <row r="276" ht="15" customHeight="1" s="131">
      <c r="E276" s="164" t="n"/>
    </row>
    <row r="277" ht="15" customHeight="1" s="131">
      <c r="E277" s="164" t="n"/>
    </row>
    <row r="278" ht="15" customHeight="1" s="131">
      <c r="E278" s="164" t="n"/>
    </row>
    <row r="279" ht="15" customHeight="1" s="131">
      <c r="E279" s="164" t="n"/>
    </row>
    <row r="280" ht="15" customHeight="1" s="131">
      <c r="E280" s="164" t="n"/>
    </row>
    <row r="281" ht="15" customHeight="1" s="131">
      <c r="E281" s="164" t="n"/>
    </row>
    <row r="282" ht="15" customHeight="1" s="131">
      <c r="E282" s="164" t="n"/>
    </row>
    <row r="283" ht="15" customHeight="1" s="131">
      <c r="E283" s="164" t="n"/>
    </row>
    <row r="284" ht="15" customHeight="1" s="131">
      <c r="E284" s="164" t="n"/>
    </row>
    <row r="285" ht="15" customHeight="1" s="131">
      <c r="E285" s="164" t="n"/>
    </row>
    <row r="286" ht="15" customHeight="1" s="131">
      <c r="E286" s="164" t="n"/>
    </row>
    <row r="287" ht="15" customHeight="1" s="131">
      <c r="E287" s="164" t="n"/>
    </row>
    <row r="288" ht="15" customHeight="1" s="131">
      <c r="E288" s="164" t="n"/>
    </row>
    <row r="289" ht="15" customHeight="1" s="131">
      <c r="E289" s="164" t="n"/>
    </row>
    <row r="290" ht="15" customHeight="1" s="131">
      <c r="E290" s="164" t="n"/>
    </row>
    <row r="291" ht="15" customHeight="1" s="131">
      <c r="E291" s="164" t="n"/>
    </row>
    <row r="292" ht="15" customHeight="1" s="131">
      <c r="E292" s="164" t="n"/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A5A5A5"/>
    <outlinePr summaryBelow="1" summaryRight="1"/>
    <pageSetUpPr fitToPage="0"/>
  </sheetPr>
  <dimension ref="A1:H14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4" customWidth="1" style="130" min="1" max="1"/>
    <col width="16" customWidth="1" style="130" min="2" max="2"/>
    <col width="8" customWidth="1" style="130" min="3" max="3"/>
    <col width="9" customWidth="1" style="130" min="4" max="4"/>
    <col width="12" customWidth="1" style="130" min="5" max="5"/>
    <col width="18" customWidth="1" style="130" min="6" max="7"/>
    <col width="20" customWidth="1" style="130" min="8" max="8"/>
  </cols>
  <sheetData>
    <row r="1" ht="24" customHeight="1" s="131">
      <c r="A1" s="132" t="inlineStr">
        <is>
          <t>DIMENSÃO DE MESES (EXIBIÇÃO)</t>
        </is>
      </c>
    </row>
    <row r="2" ht="30" customHeight="1" s="131">
      <c r="A2" s="133" t="inlineStr">
        <is>
          <t>Meses usados em parâmetros, diagnóstico e janela. Lançamentos somam as quatro bases operacionais da DADM.</t>
        </is>
      </c>
    </row>
    <row r="3"/>
    <row r="4" ht="30" customHeight="1" s="131">
      <c r="A4" s="199" t="inlineStr">
        <is>
          <t>Data</t>
        </is>
      </c>
      <c r="B4" s="199" t="inlineStr">
        <is>
          <t>Mês</t>
        </is>
      </c>
      <c r="C4" s="199" t="inlineStr">
        <is>
          <t>Ano</t>
        </is>
      </c>
      <c r="D4" s="199" t="inlineStr">
        <is>
          <t>Nº mês</t>
        </is>
      </c>
      <c r="E4" s="199" t="inlineStr">
        <is>
          <t>Chave</t>
        </is>
      </c>
      <c r="F4" s="199" t="inlineStr">
        <is>
          <t>Lançamentos</t>
        </is>
      </c>
      <c r="G4" s="199" t="inlineStr">
        <is>
          <t>Primeira chave com dado</t>
        </is>
      </c>
      <c r="H4" s="199" t="inlineStr">
        <is>
          <t>Última chave com dado</t>
        </is>
      </c>
    </row>
    <row r="5" ht="15" customHeight="1" s="131">
      <c r="A5" s="261" t="n">
        <v>45658</v>
      </c>
      <c r="B5" s="171" t="inlineStr">
        <is>
          <t>2025-01</t>
        </is>
      </c>
      <c r="C5" s="164" t="n">
        <v>2025</v>
      </c>
      <c r="D5" s="164" t="n">
        <v>1</v>
      </c>
      <c r="E5" s="164" t="n">
        <v>202501</v>
      </c>
      <c r="F5" s="164">
        <f>COUNTIF('DADM-01 EVASAO'!$A$5:$A$1200,$B5)+COUNTIF('DADM-09 CUSTOS'!$A$5:$A$1200,$B5)+COUNTIF('DADM-09 ALUNOS'!$A$5:$A$1200,$B5)+COUNTIF('DADM-10 INFRA'!$A$5:$A$1200,$B5)</f>
        <v/>
      </c>
      <c r="G5" s="256">
        <f>IF($F5&gt;0,$E5,999999)</f>
        <v/>
      </c>
      <c r="H5" s="256">
        <f>IF($F5&gt;0,$E5,0)</f>
        <v/>
      </c>
    </row>
    <row r="6" ht="15" customHeight="1" s="131">
      <c r="A6" s="261" t="n">
        <v>45689</v>
      </c>
      <c r="B6" s="171" t="inlineStr">
        <is>
          <t>2025-02</t>
        </is>
      </c>
      <c r="C6" s="164" t="n">
        <v>2025</v>
      </c>
      <c r="D6" s="164" t="n">
        <v>2</v>
      </c>
      <c r="E6" s="164" t="n">
        <v>202502</v>
      </c>
      <c r="F6" s="164">
        <f>COUNTIF('DADM-01 EVASAO'!$A$5:$A$1200,$B6)+COUNTIF('DADM-09 CUSTOS'!$A$5:$A$1200,$B6)+COUNTIF('DADM-09 ALUNOS'!$A$5:$A$1200,$B6)+COUNTIF('DADM-10 INFRA'!$A$5:$A$1200,$B6)</f>
        <v/>
      </c>
      <c r="G6" s="256">
        <f>IF($F6&gt;0,$E6,999999)</f>
        <v/>
      </c>
      <c r="H6" s="256">
        <f>IF($F6&gt;0,$E6,0)</f>
        <v/>
      </c>
    </row>
    <row r="7" ht="15" customHeight="1" s="131">
      <c r="A7" s="261" t="n">
        <v>45717</v>
      </c>
      <c r="B7" s="171" t="inlineStr">
        <is>
          <t>2025-03</t>
        </is>
      </c>
      <c r="C7" s="164" t="n">
        <v>2025</v>
      </c>
      <c r="D7" s="164" t="n">
        <v>3</v>
      </c>
      <c r="E7" s="164" t="n">
        <v>202503</v>
      </c>
      <c r="F7" s="164">
        <f>COUNTIF('DADM-01 EVASAO'!$A$5:$A$1200,$B7)+COUNTIF('DADM-09 CUSTOS'!$A$5:$A$1200,$B7)+COUNTIF('DADM-09 ALUNOS'!$A$5:$A$1200,$B7)+COUNTIF('DADM-10 INFRA'!$A$5:$A$1200,$B7)</f>
        <v/>
      </c>
      <c r="G7" s="256">
        <f>IF($F7&gt;0,$E7,999999)</f>
        <v/>
      </c>
      <c r="H7" s="256">
        <f>IF($F7&gt;0,$E7,0)</f>
        <v/>
      </c>
    </row>
    <row r="8" ht="15" customHeight="1" s="131">
      <c r="A8" s="261" t="n">
        <v>45748</v>
      </c>
      <c r="B8" s="171" t="inlineStr">
        <is>
          <t>2025-04</t>
        </is>
      </c>
      <c r="C8" s="164" t="n">
        <v>2025</v>
      </c>
      <c r="D8" s="164" t="n">
        <v>4</v>
      </c>
      <c r="E8" s="164" t="n">
        <v>202504</v>
      </c>
      <c r="F8" s="164">
        <f>COUNTIF('DADM-01 EVASAO'!$A$5:$A$1200,$B8)+COUNTIF('DADM-09 CUSTOS'!$A$5:$A$1200,$B8)+COUNTIF('DADM-09 ALUNOS'!$A$5:$A$1200,$B8)+COUNTIF('DADM-10 INFRA'!$A$5:$A$1200,$B8)</f>
        <v/>
      </c>
      <c r="G8" s="256">
        <f>IF($F8&gt;0,$E8,999999)</f>
        <v/>
      </c>
      <c r="H8" s="256">
        <f>IF($F8&gt;0,$E8,0)</f>
        <v/>
      </c>
    </row>
    <row r="9" ht="15" customHeight="1" s="131">
      <c r="A9" s="261" t="n">
        <v>45778</v>
      </c>
      <c r="B9" s="171" t="inlineStr">
        <is>
          <t>2025-05</t>
        </is>
      </c>
      <c r="C9" s="164" t="n">
        <v>2025</v>
      </c>
      <c r="D9" s="164" t="n">
        <v>5</v>
      </c>
      <c r="E9" s="164" t="n">
        <v>202505</v>
      </c>
      <c r="F9" s="164">
        <f>COUNTIF('DADM-01 EVASAO'!$A$5:$A$1200,$B9)+COUNTIF('DADM-09 CUSTOS'!$A$5:$A$1200,$B9)+COUNTIF('DADM-09 ALUNOS'!$A$5:$A$1200,$B9)+COUNTIF('DADM-10 INFRA'!$A$5:$A$1200,$B9)</f>
        <v/>
      </c>
      <c r="G9" s="256">
        <f>IF($F9&gt;0,$E9,999999)</f>
        <v/>
      </c>
      <c r="H9" s="256">
        <f>IF($F9&gt;0,$E9,0)</f>
        <v/>
      </c>
    </row>
    <row r="10" ht="15" customHeight="1" s="131">
      <c r="A10" s="261" t="n">
        <v>45809</v>
      </c>
      <c r="B10" s="171" t="inlineStr">
        <is>
          <t>2025-06</t>
        </is>
      </c>
      <c r="C10" s="164" t="n">
        <v>2025</v>
      </c>
      <c r="D10" s="164" t="n">
        <v>6</v>
      </c>
      <c r="E10" s="164" t="n">
        <v>202506</v>
      </c>
      <c r="F10" s="164">
        <f>COUNTIF('DADM-01 EVASAO'!$A$5:$A$1200,$B10)+COUNTIF('DADM-09 CUSTOS'!$A$5:$A$1200,$B10)+COUNTIF('DADM-09 ALUNOS'!$A$5:$A$1200,$B10)+COUNTIF('DADM-10 INFRA'!$A$5:$A$1200,$B10)</f>
        <v/>
      </c>
      <c r="G10" s="256">
        <f>IF($F10&gt;0,$E10,999999)</f>
        <v/>
      </c>
      <c r="H10" s="256">
        <f>IF($F10&gt;0,$E10,0)</f>
        <v/>
      </c>
    </row>
    <row r="11" ht="15" customHeight="1" s="131">
      <c r="A11" s="261" t="n">
        <v>45839</v>
      </c>
      <c r="B11" s="171" t="inlineStr">
        <is>
          <t>2025-07</t>
        </is>
      </c>
      <c r="C11" s="164" t="n">
        <v>2025</v>
      </c>
      <c r="D11" s="164" t="n">
        <v>7</v>
      </c>
      <c r="E11" s="164" t="n">
        <v>202507</v>
      </c>
      <c r="F11" s="164">
        <f>COUNTIF('DADM-01 EVASAO'!$A$5:$A$1200,$B11)+COUNTIF('DADM-09 CUSTOS'!$A$5:$A$1200,$B11)+COUNTIF('DADM-09 ALUNOS'!$A$5:$A$1200,$B11)+COUNTIF('DADM-10 INFRA'!$A$5:$A$1200,$B11)</f>
        <v/>
      </c>
      <c r="G11" s="256">
        <f>IF($F11&gt;0,$E11,999999)</f>
        <v/>
      </c>
      <c r="H11" s="256">
        <f>IF($F11&gt;0,$E11,0)</f>
        <v/>
      </c>
    </row>
    <row r="12" ht="15" customHeight="1" s="131">
      <c r="A12" s="261" t="n">
        <v>45870</v>
      </c>
      <c r="B12" s="171" t="inlineStr">
        <is>
          <t>2025-08</t>
        </is>
      </c>
      <c r="C12" s="164" t="n">
        <v>2025</v>
      </c>
      <c r="D12" s="164" t="n">
        <v>8</v>
      </c>
      <c r="E12" s="164" t="n">
        <v>202508</v>
      </c>
      <c r="F12" s="164">
        <f>COUNTIF('DADM-01 EVASAO'!$A$5:$A$1200,$B12)+COUNTIF('DADM-09 CUSTOS'!$A$5:$A$1200,$B12)+COUNTIF('DADM-09 ALUNOS'!$A$5:$A$1200,$B12)+COUNTIF('DADM-10 INFRA'!$A$5:$A$1200,$B12)</f>
        <v/>
      </c>
      <c r="G12" s="256">
        <f>IF($F12&gt;0,$E12,999999)</f>
        <v/>
      </c>
      <c r="H12" s="256">
        <f>IF($F12&gt;0,$E12,0)</f>
        <v/>
      </c>
    </row>
    <row r="13" ht="15" customHeight="1" s="131">
      <c r="A13" s="261" t="n">
        <v>45901</v>
      </c>
      <c r="B13" s="171" t="inlineStr">
        <is>
          <t>2025-09</t>
        </is>
      </c>
      <c r="C13" s="164" t="n">
        <v>2025</v>
      </c>
      <c r="D13" s="164" t="n">
        <v>9</v>
      </c>
      <c r="E13" s="164" t="n">
        <v>202509</v>
      </c>
      <c r="F13" s="164">
        <f>COUNTIF('DADM-01 EVASAO'!$A$5:$A$1200,$B13)+COUNTIF('DADM-09 CUSTOS'!$A$5:$A$1200,$B13)+COUNTIF('DADM-09 ALUNOS'!$A$5:$A$1200,$B13)+COUNTIF('DADM-10 INFRA'!$A$5:$A$1200,$B13)</f>
        <v/>
      </c>
      <c r="G13" s="256">
        <f>IF($F13&gt;0,$E13,999999)</f>
        <v/>
      </c>
      <c r="H13" s="256">
        <f>IF($F13&gt;0,$E13,0)</f>
        <v/>
      </c>
    </row>
    <row r="14" ht="15" customHeight="1" s="131">
      <c r="A14" s="261" t="n">
        <v>45931</v>
      </c>
      <c r="B14" s="171" t="inlineStr">
        <is>
          <t>2025-10</t>
        </is>
      </c>
      <c r="C14" s="164" t="n">
        <v>2025</v>
      </c>
      <c r="D14" s="164" t="n">
        <v>10</v>
      </c>
      <c r="E14" s="164" t="n">
        <v>202510</v>
      </c>
      <c r="F14" s="164">
        <f>COUNTIF('DADM-01 EVASAO'!$A$5:$A$1200,$B14)+COUNTIF('DADM-09 CUSTOS'!$A$5:$A$1200,$B14)+COUNTIF('DADM-09 ALUNOS'!$A$5:$A$1200,$B14)+COUNTIF('DADM-10 INFRA'!$A$5:$A$1200,$B14)</f>
        <v/>
      </c>
      <c r="G14" s="256">
        <f>IF($F14&gt;0,$E14,999999)</f>
        <v/>
      </c>
      <c r="H14" s="256">
        <f>IF($F14&gt;0,$E14,0)</f>
        <v/>
      </c>
    </row>
    <row r="15" ht="15" customHeight="1" s="131">
      <c r="A15" s="261" t="n">
        <v>45962</v>
      </c>
      <c r="B15" s="171" t="inlineStr">
        <is>
          <t>2025-11</t>
        </is>
      </c>
      <c r="C15" s="164" t="n">
        <v>2025</v>
      </c>
      <c r="D15" s="164" t="n">
        <v>11</v>
      </c>
      <c r="E15" s="164" t="n">
        <v>202511</v>
      </c>
      <c r="F15" s="164">
        <f>COUNTIF('DADM-01 EVASAO'!$A$5:$A$1200,$B15)+COUNTIF('DADM-09 CUSTOS'!$A$5:$A$1200,$B15)+COUNTIF('DADM-09 ALUNOS'!$A$5:$A$1200,$B15)+COUNTIF('DADM-10 INFRA'!$A$5:$A$1200,$B15)</f>
        <v/>
      </c>
      <c r="G15" s="256">
        <f>IF($F15&gt;0,$E15,999999)</f>
        <v/>
      </c>
      <c r="H15" s="256">
        <f>IF($F15&gt;0,$E15,0)</f>
        <v/>
      </c>
    </row>
    <row r="16" ht="15" customHeight="1" s="131">
      <c r="A16" s="261" t="n">
        <v>45992</v>
      </c>
      <c r="B16" s="171" t="inlineStr">
        <is>
          <t>2025-12</t>
        </is>
      </c>
      <c r="C16" s="164" t="n">
        <v>2025</v>
      </c>
      <c r="D16" s="164" t="n">
        <v>12</v>
      </c>
      <c r="E16" s="164" t="n">
        <v>202512</v>
      </c>
      <c r="F16" s="164">
        <f>COUNTIF('DADM-01 EVASAO'!$A$5:$A$1200,$B16)+COUNTIF('DADM-09 CUSTOS'!$A$5:$A$1200,$B16)+COUNTIF('DADM-09 ALUNOS'!$A$5:$A$1200,$B16)+COUNTIF('DADM-10 INFRA'!$A$5:$A$1200,$B16)</f>
        <v/>
      </c>
      <c r="G16" s="256">
        <f>IF($F16&gt;0,$E16,999999)</f>
        <v/>
      </c>
      <c r="H16" s="256">
        <f>IF($F16&gt;0,$E16,0)</f>
        <v/>
      </c>
    </row>
    <row r="17" ht="15" customHeight="1" s="131">
      <c r="A17" s="261" t="n">
        <v>46023</v>
      </c>
      <c r="B17" s="171" t="inlineStr">
        <is>
          <t>2026-01</t>
        </is>
      </c>
      <c r="C17" s="164" t="n">
        <v>2026</v>
      </c>
      <c r="D17" s="164" t="n">
        <v>1</v>
      </c>
      <c r="E17" s="164" t="n">
        <v>202601</v>
      </c>
      <c r="F17" s="164">
        <f>COUNTIF('DADM-01 EVASAO'!$A$5:$A$1200,$B17)+COUNTIF('DADM-09 CUSTOS'!$A$5:$A$1200,$B17)+COUNTIF('DADM-09 ALUNOS'!$A$5:$A$1200,$B17)+COUNTIF('DADM-10 INFRA'!$A$5:$A$1200,$B17)</f>
        <v/>
      </c>
      <c r="G17" s="256">
        <f>IF($F17&gt;0,$E17,999999)</f>
        <v/>
      </c>
      <c r="H17" s="256">
        <f>IF($F17&gt;0,$E17,0)</f>
        <v/>
      </c>
    </row>
    <row r="18" ht="15" customHeight="1" s="131">
      <c r="A18" s="261" t="n">
        <v>46054</v>
      </c>
      <c r="B18" s="171" t="inlineStr">
        <is>
          <t>2026-02</t>
        </is>
      </c>
      <c r="C18" s="164" t="n">
        <v>2026</v>
      </c>
      <c r="D18" s="164" t="n">
        <v>2</v>
      </c>
      <c r="E18" s="164" t="n">
        <v>202602</v>
      </c>
      <c r="F18" s="164">
        <f>COUNTIF('DADM-01 EVASAO'!$A$5:$A$1200,$B18)+COUNTIF('DADM-09 CUSTOS'!$A$5:$A$1200,$B18)+COUNTIF('DADM-09 ALUNOS'!$A$5:$A$1200,$B18)+COUNTIF('DADM-10 INFRA'!$A$5:$A$1200,$B18)</f>
        <v/>
      </c>
      <c r="G18" s="256">
        <f>IF($F18&gt;0,$E18,999999)</f>
        <v/>
      </c>
      <c r="H18" s="256">
        <f>IF($F18&gt;0,$E18,0)</f>
        <v/>
      </c>
    </row>
    <row r="19" ht="15" customHeight="1" s="131">
      <c r="A19" s="261" t="n">
        <v>46082</v>
      </c>
      <c r="B19" s="171" t="inlineStr">
        <is>
          <t>2026-03</t>
        </is>
      </c>
      <c r="C19" s="164" t="n">
        <v>2026</v>
      </c>
      <c r="D19" s="164" t="n">
        <v>3</v>
      </c>
      <c r="E19" s="164" t="n">
        <v>202603</v>
      </c>
      <c r="F19" s="164">
        <f>COUNTIF('DADM-01 EVASAO'!$A$5:$A$1200,$B19)+COUNTIF('DADM-09 CUSTOS'!$A$5:$A$1200,$B19)+COUNTIF('DADM-09 ALUNOS'!$A$5:$A$1200,$B19)+COUNTIF('DADM-10 INFRA'!$A$5:$A$1200,$B19)</f>
        <v/>
      </c>
      <c r="G19" s="256">
        <f>IF($F19&gt;0,$E19,999999)</f>
        <v/>
      </c>
      <c r="H19" s="256">
        <f>IF($F19&gt;0,$E19,0)</f>
        <v/>
      </c>
    </row>
    <row r="20" ht="15" customHeight="1" s="131">
      <c r="A20" s="261" t="n">
        <v>46113</v>
      </c>
      <c r="B20" s="171" t="inlineStr">
        <is>
          <t>2026-04</t>
        </is>
      </c>
      <c r="C20" s="164" t="n">
        <v>2026</v>
      </c>
      <c r="D20" s="164" t="n">
        <v>4</v>
      </c>
      <c r="E20" s="164" t="n">
        <v>202604</v>
      </c>
      <c r="F20" s="164">
        <f>COUNTIF('DADM-01 EVASAO'!$A$5:$A$1200,$B20)+COUNTIF('DADM-09 CUSTOS'!$A$5:$A$1200,$B20)+COUNTIF('DADM-09 ALUNOS'!$A$5:$A$1200,$B20)+COUNTIF('DADM-10 INFRA'!$A$5:$A$1200,$B20)</f>
        <v/>
      </c>
      <c r="G20" s="256">
        <f>IF($F20&gt;0,$E20,999999)</f>
        <v/>
      </c>
      <c r="H20" s="256">
        <f>IF($F20&gt;0,$E20,0)</f>
        <v/>
      </c>
    </row>
    <row r="21" ht="15" customHeight="1" s="131">
      <c r="A21" s="261" t="n">
        <v>46143</v>
      </c>
      <c r="B21" s="171" t="inlineStr">
        <is>
          <t>2026-05</t>
        </is>
      </c>
      <c r="C21" s="164" t="n">
        <v>2026</v>
      </c>
      <c r="D21" s="164" t="n">
        <v>5</v>
      </c>
      <c r="E21" s="164" t="n">
        <v>202605</v>
      </c>
      <c r="F21" s="164">
        <f>COUNTIF('DADM-01 EVASAO'!$A$5:$A$1200,$B21)+COUNTIF('DADM-09 CUSTOS'!$A$5:$A$1200,$B21)+COUNTIF('DADM-09 ALUNOS'!$A$5:$A$1200,$B21)+COUNTIF('DADM-10 INFRA'!$A$5:$A$1200,$B21)</f>
        <v/>
      </c>
      <c r="G21" s="256">
        <f>IF($F21&gt;0,$E21,999999)</f>
        <v/>
      </c>
      <c r="H21" s="256">
        <f>IF($F21&gt;0,$E21,0)</f>
        <v/>
      </c>
    </row>
    <row r="22" ht="15" customHeight="1" s="131">
      <c r="A22" s="261" t="n">
        <v>46174</v>
      </c>
      <c r="B22" s="171" t="inlineStr">
        <is>
          <t>2026-06</t>
        </is>
      </c>
      <c r="C22" s="164" t="n">
        <v>2026</v>
      </c>
      <c r="D22" s="164" t="n">
        <v>6</v>
      </c>
      <c r="E22" s="164" t="n">
        <v>202606</v>
      </c>
      <c r="F22" s="164">
        <f>COUNTIF('DADM-01 EVASAO'!$A$5:$A$1200,$B22)+COUNTIF('DADM-09 CUSTOS'!$A$5:$A$1200,$B22)+COUNTIF('DADM-09 ALUNOS'!$A$5:$A$1200,$B22)+COUNTIF('DADM-10 INFRA'!$A$5:$A$1200,$B22)</f>
        <v/>
      </c>
      <c r="G22" s="256">
        <f>IF($F22&gt;0,$E22,999999)</f>
        <v/>
      </c>
      <c r="H22" s="256">
        <f>IF($F22&gt;0,$E22,0)</f>
        <v/>
      </c>
    </row>
    <row r="23" ht="15" customHeight="1" s="131">
      <c r="A23" s="261" t="n">
        <v>46204</v>
      </c>
      <c r="B23" s="171" t="inlineStr">
        <is>
          <t>2026-07</t>
        </is>
      </c>
      <c r="C23" s="164" t="n">
        <v>2026</v>
      </c>
      <c r="D23" s="164" t="n">
        <v>7</v>
      </c>
      <c r="E23" s="164" t="n">
        <v>202607</v>
      </c>
      <c r="F23" s="164">
        <f>COUNTIF('DADM-01 EVASAO'!$A$5:$A$1200,$B23)+COUNTIF('DADM-09 CUSTOS'!$A$5:$A$1200,$B23)+COUNTIF('DADM-09 ALUNOS'!$A$5:$A$1200,$B23)+COUNTIF('DADM-10 INFRA'!$A$5:$A$1200,$B23)</f>
        <v/>
      </c>
      <c r="G23" s="256">
        <f>IF($F23&gt;0,$E23,999999)</f>
        <v/>
      </c>
      <c r="H23" s="256">
        <f>IF($F23&gt;0,$E23,0)</f>
        <v/>
      </c>
    </row>
    <row r="24" ht="15" customHeight="1" s="131">
      <c r="A24" s="261" t="n">
        <v>46235</v>
      </c>
      <c r="B24" s="171" t="inlineStr">
        <is>
          <t>2026-08</t>
        </is>
      </c>
      <c r="C24" s="164" t="n">
        <v>2026</v>
      </c>
      <c r="D24" s="164" t="n">
        <v>8</v>
      </c>
      <c r="E24" s="164" t="n">
        <v>202608</v>
      </c>
      <c r="F24" s="164">
        <f>COUNTIF('DADM-01 EVASAO'!$A$5:$A$1200,$B24)+COUNTIF('DADM-09 CUSTOS'!$A$5:$A$1200,$B24)+COUNTIF('DADM-09 ALUNOS'!$A$5:$A$1200,$B24)+COUNTIF('DADM-10 INFRA'!$A$5:$A$1200,$B24)</f>
        <v/>
      </c>
      <c r="G24" s="256">
        <f>IF($F24&gt;0,$E24,999999)</f>
        <v/>
      </c>
      <c r="H24" s="256">
        <f>IF($F24&gt;0,$E24,0)</f>
        <v/>
      </c>
    </row>
    <row r="25" ht="15" customHeight="1" s="131">
      <c r="A25" s="261" t="n">
        <v>46266</v>
      </c>
      <c r="B25" s="171" t="inlineStr">
        <is>
          <t>2026-09</t>
        </is>
      </c>
      <c r="C25" s="164" t="n">
        <v>2026</v>
      </c>
      <c r="D25" s="164" t="n">
        <v>9</v>
      </c>
      <c r="E25" s="164" t="n">
        <v>202609</v>
      </c>
      <c r="F25" s="164">
        <f>COUNTIF('DADM-01 EVASAO'!$A$5:$A$1200,$B25)+COUNTIF('DADM-09 CUSTOS'!$A$5:$A$1200,$B25)+COUNTIF('DADM-09 ALUNOS'!$A$5:$A$1200,$B25)+COUNTIF('DADM-10 INFRA'!$A$5:$A$1200,$B25)</f>
        <v/>
      </c>
      <c r="G25" s="256">
        <f>IF($F25&gt;0,$E25,999999)</f>
        <v/>
      </c>
      <c r="H25" s="256">
        <f>IF($F25&gt;0,$E25,0)</f>
        <v/>
      </c>
    </row>
    <row r="26" ht="15" customHeight="1" s="131">
      <c r="A26" s="261" t="n">
        <v>46296</v>
      </c>
      <c r="B26" s="171" t="inlineStr">
        <is>
          <t>2026-10</t>
        </is>
      </c>
      <c r="C26" s="164" t="n">
        <v>2026</v>
      </c>
      <c r="D26" s="164" t="n">
        <v>10</v>
      </c>
      <c r="E26" s="164" t="n">
        <v>202610</v>
      </c>
      <c r="F26" s="164">
        <f>COUNTIF('DADM-01 EVASAO'!$A$5:$A$1200,$B26)+COUNTIF('DADM-09 CUSTOS'!$A$5:$A$1200,$B26)+COUNTIF('DADM-09 ALUNOS'!$A$5:$A$1200,$B26)+COUNTIF('DADM-10 INFRA'!$A$5:$A$1200,$B26)</f>
        <v/>
      </c>
      <c r="G26" s="256">
        <f>IF($F26&gt;0,$E26,999999)</f>
        <v/>
      </c>
      <c r="H26" s="256">
        <f>IF($F26&gt;0,$E26,0)</f>
        <v/>
      </c>
    </row>
    <row r="27" ht="15" customHeight="1" s="131">
      <c r="A27" s="261" t="n">
        <v>46327</v>
      </c>
      <c r="B27" s="171" t="inlineStr">
        <is>
          <t>2026-11</t>
        </is>
      </c>
      <c r="C27" s="164" t="n">
        <v>2026</v>
      </c>
      <c r="D27" s="164" t="n">
        <v>11</v>
      </c>
      <c r="E27" s="164" t="n">
        <v>202611</v>
      </c>
      <c r="F27" s="164">
        <f>COUNTIF('DADM-01 EVASAO'!$A$5:$A$1200,$B27)+COUNTIF('DADM-09 CUSTOS'!$A$5:$A$1200,$B27)+COUNTIF('DADM-09 ALUNOS'!$A$5:$A$1200,$B27)+COUNTIF('DADM-10 INFRA'!$A$5:$A$1200,$B27)</f>
        <v/>
      </c>
      <c r="G27" s="256">
        <f>IF($F27&gt;0,$E27,999999)</f>
        <v/>
      </c>
      <c r="H27" s="256">
        <f>IF($F27&gt;0,$E27,0)</f>
        <v/>
      </c>
    </row>
    <row r="28" ht="15" customHeight="1" s="131">
      <c r="A28" s="261" t="n">
        <v>46357</v>
      </c>
      <c r="B28" s="171" t="inlineStr">
        <is>
          <t>2026-12</t>
        </is>
      </c>
      <c r="C28" s="164" t="n">
        <v>2026</v>
      </c>
      <c r="D28" s="164" t="n">
        <v>12</v>
      </c>
      <c r="E28" s="164" t="n">
        <v>202612</v>
      </c>
      <c r="F28" s="164">
        <f>COUNTIF('DADM-01 EVASAO'!$A$5:$A$1200,$B28)+COUNTIF('DADM-09 CUSTOS'!$A$5:$A$1200,$B28)+COUNTIF('DADM-09 ALUNOS'!$A$5:$A$1200,$B28)+COUNTIF('DADM-10 INFRA'!$A$5:$A$1200,$B28)</f>
        <v/>
      </c>
      <c r="G28" s="256">
        <f>IF($F28&gt;0,$E28,999999)</f>
        <v/>
      </c>
      <c r="H28" s="256">
        <f>IF($F28&gt;0,$E28,0)</f>
        <v/>
      </c>
    </row>
    <row r="29" ht="15" customHeight="1" s="131">
      <c r="A29" s="261" t="n">
        <v>46388</v>
      </c>
      <c r="B29" s="171" t="inlineStr">
        <is>
          <t>2027-01</t>
        </is>
      </c>
      <c r="C29" s="164" t="n">
        <v>2027</v>
      </c>
      <c r="D29" s="164" t="n">
        <v>1</v>
      </c>
      <c r="E29" s="164" t="n">
        <v>202701</v>
      </c>
      <c r="F29" s="164">
        <f>COUNTIF('DADM-01 EVASAO'!$A$5:$A$1200,$B29)+COUNTIF('DADM-09 CUSTOS'!$A$5:$A$1200,$B29)+COUNTIF('DADM-09 ALUNOS'!$A$5:$A$1200,$B29)+COUNTIF('DADM-10 INFRA'!$A$5:$A$1200,$B29)</f>
        <v/>
      </c>
      <c r="G29" s="256">
        <f>IF($F29&gt;0,$E29,999999)</f>
        <v/>
      </c>
      <c r="H29" s="256">
        <f>IF($F29&gt;0,$E29,0)</f>
        <v/>
      </c>
    </row>
    <row r="30" ht="15" customHeight="1" s="131">
      <c r="A30" s="261" t="n">
        <v>46419</v>
      </c>
      <c r="B30" s="171" t="inlineStr">
        <is>
          <t>2027-02</t>
        </is>
      </c>
      <c r="C30" s="164" t="n">
        <v>2027</v>
      </c>
      <c r="D30" s="164" t="n">
        <v>2</v>
      </c>
      <c r="E30" s="164" t="n">
        <v>202702</v>
      </c>
      <c r="F30" s="164">
        <f>COUNTIF('DADM-01 EVASAO'!$A$5:$A$1200,$B30)+COUNTIF('DADM-09 CUSTOS'!$A$5:$A$1200,$B30)+COUNTIF('DADM-09 ALUNOS'!$A$5:$A$1200,$B30)+COUNTIF('DADM-10 INFRA'!$A$5:$A$1200,$B30)</f>
        <v/>
      </c>
      <c r="G30" s="256">
        <f>IF($F30&gt;0,$E30,999999)</f>
        <v/>
      </c>
      <c r="H30" s="256">
        <f>IF($F30&gt;0,$E30,0)</f>
        <v/>
      </c>
    </row>
    <row r="31" ht="15" customHeight="1" s="131">
      <c r="A31" s="261" t="n">
        <v>46447</v>
      </c>
      <c r="B31" s="171" t="inlineStr">
        <is>
          <t>2027-03</t>
        </is>
      </c>
      <c r="C31" s="164" t="n">
        <v>2027</v>
      </c>
      <c r="D31" s="164" t="n">
        <v>3</v>
      </c>
      <c r="E31" s="164" t="n">
        <v>202703</v>
      </c>
      <c r="F31" s="164">
        <f>COUNTIF('DADM-01 EVASAO'!$A$5:$A$1200,$B31)+COUNTIF('DADM-09 CUSTOS'!$A$5:$A$1200,$B31)+COUNTIF('DADM-09 ALUNOS'!$A$5:$A$1200,$B31)+COUNTIF('DADM-10 INFRA'!$A$5:$A$1200,$B31)</f>
        <v/>
      </c>
      <c r="G31" s="256">
        <f>IF($F31&gt;0,$E31,999999)</f>
        <v/>
      </c>
      <c r="H31" s="256">
        <f>IF($F31&gt;0,$E31,0)</f>
        <v/>
      </c>
    </row>
    <row r="32" ht="15" customHeight="1" s="131">
      <c r="A32" s="261" t="n">
        <v>46478</v>
      </c>
      <c r="B32" s="171" t="inlineStr">
        <is>
          <t>2027-04</t>
        </is>
      </c>
      <c r="C32" s="164" t="n">
        <v>2027</v>
      </c>
      <c r="D32" s="164" t="n">
        <v>4</v>
      </c>
      <c r="E32" s="164" t="n">
        <v>202704</v>
      </c>
      <c r="F32" s="164">
        <f>COUNTIF('DADM-01 EVASAO'!$A$5:$A$1200,$B32)+COUNTIF('DADM-09 CUSTOS'!$A$5:$A$1200,$B32)+COUNTIF('DADM-09 ALUNOS'!$A$5:$A$1200,$B32)+COUNTIF('DADM-10 INFRA'!$A$5:$A$1200,$B32)</f>
        <v/>
      </c>
      <c r="G32" s="256">
        <f>IF($F32&gt;0,$E32,999999)</f>
        <v/>
      </c>
      <c r="H32" s="256">
        <f>IF($F32&gt;0,$E32,0)</f>
        <v/>
      </c>
    </row>
    <row r="33" ht="15" customHeight="1" s="131">
      <c r="A33" s="261" t="n">
        <v>46508</v>
      </c>
      <c r="B33" s="171" t="inlineStr">
        <is>
          <t>2027-05</t>
        </is>
      </c>
      <c r="C33" s="164" t="n">
        <v>2027</v>
      </c>
      <c r="D33" s="164" t="n">
        <v>5</v>
      </c>
      <c r="E33" s="164" t="n">
        <v>202705</v>
      </c>
      <c r="F33" s="164">
        <f>COUNTIF('DADM-01 EVASAO'!$A$5:$A$1200,$B33)+COUNTIF('DADM-09 CUSTOS'!$A$5:$A$1200,$B33)+COUNTIF('DADM-09 ALUNOS'!$A$5:$A$1200,$B33)+COUNTIF('DADM-10 INFRA'!$A$5:$A$1200,$B33)</f>
        <v/>
      </c>
      <c r="G33" s="256">
        <f>IF($F33&gt;0,$E33,999999)</f>
        <v/>
      </c>
      <c r="H33" s="256">
        <f>IF($F33&gt;0,$E33,0)</f>
        <v/>
      </c>
    </row>
    <row r="34" ht="15" customHeight="1" s="131">
      <c r="A34" s="261" t="n">
        <v>46539</v>
      </c>
      <c r="B34" s="171" t="inlineStr">
        <is>
          <t>2027-06</t>
        </is>
      </c>
      <c r="C34" s="164" t="n">
        <v>2027</v>
      </c>
      <c r="D34" s="164" t="n">
        <v>6</v>
      </c>
      <c r="E34" s="164" t="n">
        <v>202706</v>
      </c>
      <c r="F34" s="164">
        <f>COUNTIF('DADM-01 EVASAO'!$A$5:$A$1200,$B34)+COUNTIF('DADM-09 CUSTOS'!$A$5:$A$1200,$B34)+COUNTIF('DADM-09 ALUNOS'!$A$5:$A$1200,$B34)+COUNTIF('DADM-10 INFRA'!$A$5:$A$1200,$B34)</f>
        <v/>
      </c>
      <c r="G34" s="256">
        <f>IF($F34&gt;0,$E34,999999)</f>
        <v/>
      </c>
      <c r="H34" s="256">
        <f>IF($F34&gt;0,$E34,0)</f>
        <v/>
      </c>
    </row>
    <row r="35" ht="15" customHeight="1" s="131">
      <c r="A35" s="261" t="n">
        <v>46569</v>
      </c>
      <c r="B35" s="171" t="inlineStr">
        <is>
          <t>2027-07</t>
        </is>
      </c>
      <c r="C35" s="164" t="n">
        <v>2027</v>
      </c>
      <c r="D35" s="164" t="n">
        <v>7</v>
      </c>
      <c r="E35" s="164" t="n">
        <v>202707</v>
      </c>
      <c r="F35" s="164">
        <f>COUNTIF('DADM-01 EVASAO'!$A$5:$A$1200,$B35)+COUNTIF('DADM-09 CUSTOS'!$A$5:$A$1200,$B35)+COUNTIF('DADM-09 ALUNOS'!$A$5:$A$1200,$B35)+COUNTIF('DADM-10 INFRA'!$A$5:$A$1200,$B35)</f>
        <v/>
      </c>
      <c r="G35" s="256">
        <f>IF($F35&gt;0,$E35,999999)</f>
        <v/>
      </c>
      <c r="H35" s="256">
        <f>IF($F35&gt;0,$E35,0)</f>
        <v/>
      </c>
    </row>
    <row r="36" ht="15" customHeight="1" s="131">
      <c r="A36" s="261" t="n">
        <v>46600</v>
      </c>
      <c r="B36" s="171" t="inlineStr">
        <is>
          <t>2027-08</t>
        </is>
      </c>
      <c r="C36" s="164" t="n">
        <v>2027</v>
      </c>
      <c r="D36" s="164" t="n">
        <v>8</v>
      </c>
      <c r="E36" s="164" t="n">
        <v>202708</v>
      </c>
      <c r="F36" s="164">
        <f>COUNTIF('DADM-01 EVASAO'!$A$5:$A$1200,$B36)+COUNTIF('DADM-09 CUSTOS'!$A$5:$A$1200,$B36)+COUNTIF('DADM-09 ALUNOS'!$A$5:$A$1200,$B36)+COUNTIF('DADM-10 INFRA'!$A$5:$A$1200,$B36)</f>
        <v/>
      </c>
      <c r="G36" s="256">
        <f>IF($F36&gt;0,$E36,999999)</f>
        <v/>
      </c>
      <c r="H36" s="256">
        <f>IF($F36&gt;0,$E36,0)</f>
        <v/>
      </c>
    </row>
    <row r="37" ht="15" customHeight="1" s="131">
      <c r="A37" s="261" t="n">
        <v>46631</v>
      </c>
      <c r="B37" s="171" t="inlineStr">
        <is>
          <t>2027-09</t>
        </is>
      </c>
      <c r="C37" s="164" t="n">
        <v>2027</v>
      </c>
      <c r="D37" s="164" t="n">
        <v>9</v>
      </c>
      <c r="E37" s="164" t="n">
        <v>202709</v>
      </c>
      <c r="F37" s="164">
        <f>COUNTIF('DADM-01 EVASAO'!$A$5:$A$1200,$B37)+COUNTIF('DADM-09 CUSTOS'!$A$5:$A$1200,$B37)+COUNTIF('DADM-09 ALUNOS'!$A$5:$A$1200,$B37)+COUNTIF('DADM-10 INFRA'!$A$5:$A$1200,$B37)</f>
        <v/>
      </c>
      <c r="G37" s="256">
        <f>IF($F37&gt;0,$E37,999999)</f>
        <v/>
      </c>
      <c r="H37" s="256">
        <f>IF($F37&gt;0,$E37,0)</f>
        <v/>
      </c>
    </row>
    <row r="38" ht="15" customHeight="1" s="131">
      <c r="A38" s="261" t="n">
        <v>46661</v>
      </c>
      <c r="B38" s="171" t="inlineStr">
        <is>
          <t>2027-10</t>
        </is>
      </c>
      <c r="C38" s="164" t="n">
        <v>2027</v>
      </c>
      <c r="D38" s="164" t="n">
        <v>10</v>
      </c>
      <c r="E38" s="164" t="n">
        <v>202710</v>
      </c>
      <c r="F38" s="164">
        <f>COUNTIF('DADM-01 EVASAO'!$A$5:$A$1200,$B38)+COUNTIF('DADM-09 CUSTOS'!$A$5:$A$1200,$B38)+COUNTIF('DADM-09 ALUNOS'!$A$5:$A$1200,$B38)+COUNTIF('DADM-10 INFRA'!$A$5:$A$1200,$B38)</f>
        <v/>
      </c>
      <c r="G38" s="256">
        <f>IF($F38&gt;0,$E38,999999)</f>
        <v/>
      </c>
      <c r="H38" s="256">
        <f>IF($F38&gt;0,$E38,0)</f>
        <v/>
      </c>
    </row>
    <row r="39" ht="15" customHeight="1" s="131">
      <c r="A39" s="261" t="n">
        <v>46692</v>
      </c>
      <c r="B39" s="171" t="inlineStr">
        <is>
          <t>2027-11</t>
        </is>
      </c>
      <c r="C39" s="164" t="n">
        <v>2027</v>
      </c>
      <c r="D39" s="164" t="n">
        <v>11</v>
      </c>
      <c r="E39" s="164" t="n">
        <v>202711</v>
      </c>
      <c r="F39" s="164">
        <f>COUNTIF('DADM-01 EVASAO'!$A$5:$A$1200,$B39)+COUNTIF('DADM-09 CUSTOS'!$A$5:$A$1200,$B39)+COUNTIF('DADM-09 ALUNOS'!$A$5:$A$1200,$B39)+COUNTIF('DADM-10 INFRA'!$A$5:$A$1200,$B39)</f>
        <v/>
      </c>
      <c r="G39" s="256">
        <f>IF($F39&gt;0,$E39,999999)</f>
        <v/>
      </c>
      <c r="H39" s="256">
        <f>IF($F39&gt;0,$E39,0)</f>
        <v/>
      </c>
    </row>
    <row r="40" ht="15" customHeight="1" s="131">
      <c r="A40" s="261" t="n">
        <v>46722</v>
      </c>
      <c r="B40" s="171" t="inlineStr">
        <is>
          <t>2027-12</t>
        </is>
      </c>
      <c r="C40" s="164" t="n">
        <v>2027</v>
      </c>
      <c r="D40" s="164" t="n">
        <v>12</v>
      </c>
      <c r="E40" s="164" t="n">
        <v>202712</v>
      </c>
      <c r="F40" s="164">
        <f>COUNTIF('DADM-01 EVASAO'!$A$5:$A$1200,$B40)+COUNTIF('DADM-09 CUSTOS'!$A$5:$A$1200,$B40)+COUNTIF('DADM-09 ALUNOS'!$A$5:$A$1200,$B40)+COUNTIF('DADM-10 INFRA'!$A$5:$A$1200,$B40)</f>
        <v/>
      </c>
      <c r="G40" s="256">
        <f>IF($F40&gt;0,$E40,999999)</f>
        <v/>
      </c>
      <c r="H40" s="256">
        <f>IF($F40&gt;0,$E40,0)</f>
        <v/>
      </c>
    </row>
    <row r="41" ht="15" customHeight="1" s="131">
      <c r="A41" s="261" t="n">
        <v>46753</v>
      </c>
      <c r="B41" s="171" t="inlineStr">
        <is>
          <t>2028-01</t>
        </is>
      </c>
      <c r="C41" s="164" t="n">
        <v>2028</v>
      </c>
      <c r="D41" s="164" t="n">
        <v>1</v>
      </c>
      <c r="E41" s="164" t="n">
        <v>202801</v>
      </c>
      <c r="F41" s="164">
        <f>COUNTIF('DADM-01 EVASAO'!$A$5:$A$1200,$B41)+COUNTIF('DADM-09 CUSTOS'!$A$5:$A$1200,$B41)+COUNTIF('DADM-09 ALUNOS'!$A$5:$A$1200,$B41)+COUNTIF('DADM-10 INFRA'!$A$5:$A$1200,$B41)</f>
        <v/>
      </c>
      <c r="G41" s="256">
        <f>IF($F41&gt;0,$E41,999999)</f>
        <v/>
      </c>
      <c r="H41" s="256">
        <f>IF($F41&gt;0,$E41,0)</f>
        <v/>
      </c>
    </row>
    <row r="42" ht="15" customHeight="1" s="131">
      <c r="A42" s="261" t="n">
        <v>46784</v>
      </c>
      <c r="B42" s="171" t="inlineStr">
        <is>
          <t>2028-02</t>
        </is>
      </c>
      <c r="C42" s="164" t="n">
        <v>2028</v>
      </c>
      <c r="D42" s="164" t="n">
        <v>2</v>
      </c>
      <c r="E42" s="164" t="n">
        <v>202802</v>
      </c>
      <c r="F42" s="164">
        <f>COUNTIF('DADM-01 EVASAO'!$A$5:$A$1200,$B42)+COUNTIF('DADM-09 CUSTOS'!$A$5:$A$1200,$B42)+COUNTIF('DADM-09 ALUNOS'!$A$5:$A$1200,$B42)+COUNTIF('DADM-10 INFRA'!$A$5:$A$1200,$B42)</f>
        <v/>
      </c>
      <c r="G42" s="256">
        <f>IF($F42&gt;0,$E42,999999)</f>
        <v/>
      </c>
      <c r="H42" s="256">
        <f>IF($F42&gt;0,$E42,0)</f>
        <v/>
      </c>
    </row>
    <row r="43" ht="15" customHeight="1" s="131">
      <c r="A43" s="261" t="n">
        <v>46813</v>
      </c>
      <c r="B43" s="171" t="inlineStr">
        <is>
          <t>2028-03</t>
        </is>
      </c>
      <c r="C43" s="164" t="n">
        <v>2028</v>
      </c>
      <c r="D43" s="164" t="n">
        <v>3</v>
      </c>
      <c r="E43" s="164" t="n">
        <v>202803</v>
      </c>
      <c r="F43" s="164">
        <f>COUNTIF('DADM-01 EVASAO'!$A$5:$A$1200,$B43)+COUNTIF('DADM-09 CUSTOS'!$A$5:$A$1200,$B43)+COUNTIF('DADM-09 ALUNOS'!$A$5:$A$1200,$B43)+COUNTIF('DADM-10 INFRA'!$A$5:$A$1200,$B43)</f>
        <v/>
      </c>
      <c r="G43" s="256">
        <f>IF($F43&gt;0,$E43,999999)</f>
        <v/>
      </c>
      <c r="H43" s="256">
        <f>IF($F43&gt;0,$E43,0)</f>
        <v/>
      </c>
    </row>
    <row r="44" ht="15" customHeight="1" s="131">
      <c r="A44" s="261" t="n">
        <v>46844</v>
      </c>
      <c r="B44" s="171" t="inlineStr">
        <is>
          <t>2028-04</t>
        </is>
      </c>
      <c r="C44" s="164" t="n">
        <v>2028</v>
      </c>
      <c r="D44" s="164" t="n">
        <v>4</v>
      </c>
      <c r="E44" s="164" t="n">
        <v>202804</v>
      </c>
      <c r="F44" s="164">
        <f>COUNTIF('DADM-01 EVASAO'!$A$5:$A$1200,$B44)+COUNTIF('DADM-09 CUSTOS'!$A$5:$A$1200,$B44)+COUNTIF('DADM-09 ALUNOS'!$A$5:$A$1200,$B44)+COUNTIF('DADM-10 INFRA'!$A$5:$A$1200,$B44)</f>
        <v/>
      </c>
      <c r="G44" s="256">
        <f>IF($F44&gt;0,$E44,999999)</f>
        <v/>
      </c>
      <c r="H44" s="256">
        <f>IF($F44&gt;0,$E44,0)</f>
        <v/>
      </c>
    </row>
    <row r="45" ht="15" customHeight="1" s="131">
      <c r="A45" s="261" t="n">
        <v>46874</v>
      </c>
      <c r="B45" s="171" t="inlineStr">
        <is>
          <t>2028-05</t>
        </is>
      </c>
      <c r="C45" s="164" t="n">
        <v>2028</v>
      </c>
      <c r="D45" s="164" t="n">
        <v>5</v>
      </c>
      <c r="E45" s="164" t="n">
        <v>202805</v>
      </c>
      <c r="F45" s="164">
        <f>COUNTIF('DADM-01 EVASAO'!$A$5:$A$1200,$B45)+COUNTIF('DADM-09 CUSTOS'!$A$5:$A$1200,$B45)+COUNTIF('DADM-09 ALUNOS'!$A$5:$A$1200,$B45)+COUNTIF('DADM-10 INFRA'!$A$5:$A$1200,$B45)</f>
        <v/>
      </c>
      <c r="G45" s="256">
        <f>IF($F45&gt;0,$E45,999999)</f>
        <v/>
      </c>
      <c r="H45" s="256">
        <f>IF($F45&gt;0,$E45,0)</f>
        <v/>
      </c>
    </row>
    <row r="46" ht="15" customHeight="1" s="131">
      <c r="A46" s="261" t="n">
        <v>46905</v>
      </c>
      <c r="B46" s="171" t="inlineStr">
        <is>
          <t>2028-06</t>
        </is>
      </c>
      <c r="C46" s="164" t="n">
        <v>2028</v>
      </c>
      <c r="D46" s="164" t="n">
        <v>6</v>
      </c>
      <c r="E46" s="164" t="n">
        <v>202806</v>
      </c>
      <c r="F46" s="164">
        <f>COUNTIF('DADM-01 EVASAO'!$A$5:$A$1200,$B46)+COUNTIF('DADM-09 CUSTOS'!$A$5:$A$1200,$B46)+COUNTIF('DADM-09 ALUNOS'!$A$5:$A$1200,$B46)+COUNTIF('DADM-10 INFRA'!$A$5:$A$1200,$B46)</f>
        <v/>
      </c>
      <c r="G46" s="256">
        <f>IF($F46&gt;0,$E46,999999)</f>
        <v/>
      </c>
      <c r="H46" s="256">
        <f>IF($F46&gt;0,$E46,0)</f>
        <v/>
      </c>
    </row>
    <row r="47" ht="15" customHeight="1" s="131">
      <c r="A47" s="261" t="n">
        <v>46935</v>
      </c>
      <c r="B47" s="171" t="inlineStr">
        <is>
          <t>2028-07</t>
        </is>
      </c>
      <c r="C47" s="164" t="n">
        <v>2028</v>
      </c>
      <c r="D47" s="164" t="n">
        <v>7</v>
      </c>
      <c r="E47" s="164" t="n">
        <v>202807</v>
      </c>
      <c r="F47" s="164">
        <f>COUNTIF('DADM-01 EVASAO'!$A$5:$A$1200,$B47)+COUNTIF('DADM-09 CUSTOS'!$A$5:$A$1200,$B47)+COUNTIF('DADM-09 ALUNOS'!$A$5:$A$1200,$B47)+COUNTIF('DADM-10 INFRA'!$A$5:$A$1200,$B47)</f>
        <v/>
      </c>
      <c r="G47" s="256">
        <f>IF($F47&gt;0,$E47,999999)</f>
        <v/>
      </c>
      <c r="H47" s="256">
        <f>IF($F47&gt;0,$E47,0)</f>
        <v/>
      </c>
    </row>
    <row r="48" ht="15" customHeight="1" s="131">
      <c r="A48" s="261" t="n">
        <v>46966</v>
      </c>
      <c r="B48" s="171" t="inlineStr">
        <is>
          <t>2028-08</t>
        </is>
      </c>
      <c r="C48" s="164" t="n">
        <v>2028</v>
      </c>
      <c r="D48" s="164" t="n">
        <v>8</v>
      </c>
      <c r="E48" s="164" t="n">
        <v>202808</v>
      </c>
      <c r="F48" s="164">
        <f>COUNTIF('DADM-01 EVASAO'!$A$5:$A$1200,$B48)+COUNTIF('DADM-09 CUSTOS'!$A$5:$A$1200,$B48)+COUNTIF('DADM-09 ALUNOS'!$A$5:$A$1200,$B48)+COUNTIF('DADM-10 INFRA'!$A$5:$A$1200,$B48)</f>
        <v/>
      </c>
      <c r="G48" s="256">
        <f>IF($F48&gt;0,$E48,999999)</f>
        <v/>
      </c>
      <c r="H48" s="256">
        <f>IF($F48&gt;0,$E48,0)</f>
        <v/>
      </c>
    </row>
    <row r="49" ht="15" customHeight="1" s="131">
      <c r="A49" s="261" t="n">
        <v>46997</v>
      </c>
      <c r="B49" s="171" t="inlineStr">
        <is>
          <t>2028-09</t>
        </is>
      </c>
      <c r="C49" s="164" t="n">
        <v>2028</v>
      </c>
      <c r="D49" s="164" t="n">
        <v>9</v>
      </c>
      <c r="E49" s="164" t="n">
        <v>202809</v>
      </c>
      <c r="F49" s="164">
        <f>COUNTIF('DADM-01 EVASAO'!$A$5:$A$1200,$B49)+COUNTIF('DADM-09 CUSTOS'!$A$5:$A$1200,$B49)+COUNTIF('DADM-09 ALUNOS'!$A$5:$A$1200,$B49)+COUNTIF('DADM-10 INFRA'!$A$5:$A$1200,$B49)</f>
        <v/>
      </c>
      <c r="G49" s="256">
        <f>IF($F49&gt;0,$E49,999999)</f>
        <v/>
      </c>
      <c r="H49" s="256">
        <f>IF($F49&gt;0,$E49,0)</f>
        <v/>
      </c>
    </row>
    <row r="50" ht="15" customHeight="1" s="131">
      <c r="A50" s="261" t="n">
        <v>47027</v>
      </c>
      <c r="B50" s="171" t="inlineStr">
        <is>
          <t>2028-10</t>
        </is>
      </c>
      <c r="C50" s="164" t="n">
        <v>2028</v>
      </c>
      <c r="D50" s="164" t="n">
        <v>10</v>
      </c>
      <c r="E50" s="164" t="n">
        <v>202810</v>
      </c>
      <c r="F50" s="164">
        <f>COUNTIF('DADM-01 EVASAO'!$A$5:$A$1200,$B50)+COUNTIF('DADM-09 CUSTOS'!$A$5:$A$1200,$B50)+COUNTIF('DADM-09 ALUNOS'!$A$5:$A$1200,$B50)+COUNTIF('DADM-10 INFRA'!$A$5:$A$1200,$B50)</f>
        <v/>
      </c>
      <c r="G50" s="256">
        <f>IF($F50&gt;0,$E50,999999)</f>
        <v/>
      </c>
      <c r="H50" s="256">
        <f>IF($F50&gt;0,$E50,0)</f>
        <v/>
      </c>
    </row>
    <row r="51" ht="15" customHeight="1" s="131">
      <c r="A51" s="261" t="n">
        <v>47058</v>
      </c>
      <c r="B51" s="171" t="inlineStr">
        <is>
          <t>2028-11</t>
        </is>
      </c>
      <c r="C51" s="164" t="n">
        <v>2028</v>
      </c>
      <c r="D51" s="164" t="n">
        <v>11</v>
      </c>
      <c r="E51" s="164" t="n">
        <v>202811</v>
      </c>
      <c r="F51" s="164">
        <f>COUNTIF('DADM-01 EVASAO'!$A$5:$A$1200,$B51)+COUNTIF('DADM-09 CUSTOS'!$A$5:$A$1200,$B51)+COUNTIF('DADM-09 ALUNOS'!$A$5:$A$1200,$B51)+COUNTIF('DADM-10 INFRA'!$A$5:$A$1200,$B51)</f>
        <v/>
      </c>
      <c r="G51" s="256">
        <f>IF($F51&gt;0,$E51,999999)</f>
        <v/>
      </c>
      <c r="H51" s="256">
        <f>IF($F51&gt;0,$E51,0)</f>
        <v/>
      </c>
    </row>
    <row r="52" ht="15" customHeight="1" s="131">
      <c r="A52" s="261" t="n">
        <v>47088</v>
      </c>
      <c r="B52" s="171" t="inlineStr">
        <is>
          <t>2028-12</t>
        </is>
      </c>
      <c r="C52" s="164" t="n">
        <v>2028</v>
      </c>
      <c r="D52" s="164" t="n">
        <v>12</v>
      </c>
      <c r="E52" s="164" t="n">
        <v>202812</v>
      </c>
      <c r="F52" s="164">
        <f>COUNTIF('DADM-01 EVASAO'!$A$5:$A$1200,$B52)+COUNTIF('DADM-09 CUSTOS'!$A$5:$A$1200,$B52)+COUNTIF('DADM-09 ALUNOS'!$A$5:$A$1200,$B52)+COUNTIF('DADM-10 INFRA'!$A$5:$A$1200,$B52)</f>
        <v/>
      </c>
      <c r="G52" s="256">
        <f>IF($F52&gt;0,$E52,999999)</f>
        <v/>
      </c>
      <c r="H52" s="256">
        <f>IF($F52&gt;0,$E52,0)</f>
        <v/>
      </c>
    </row>
    <row r="53" ht="15" customHeight="1" s="131">
      <c r="A53" s="261" t="n">
        <v>47119</v>
      </c>
      <c r="B53" s="171" t="inlineStr">
        <is>
          <t>2029-01</t>
        </is>
      </c>
      <c r="C53" s="164" t="n">
        <v>2029</v>
      </c>
      <c r="D53" s="164" t="n">
        <v>1</v>
      </c>
      <c r="E53" s="164" t="n">
        <v>202901</v>
      </c>
      <c r="F53" s="164">
        <f>COUNTIF('DADM-01 EVASAO'!$A$5:$A$1200,$B53)+COUNTIF('DADM-09 CUSTOS'!$A$5:$A$1200,$B53)+COUNTIF('DADM-09 ALUNOS'!$A$5:$A$1200,$B53)+COUNTIF('DADM-10 INFRA'!$A$5:$A$1200,$B53)</f>
        <v/>
      </c>
      <c r="G53" s="256">
        <f>IF($F53&gt;0,$E53,999999)</f>
        <v/>
      </c>
      <c r="H53" s="256">
        <f>IF($F53&gt;0,$E53,0)</f>
        <v/>
      </c>
    </row>
    <row r="54" ht="15" customHeight="1" s="131">
      <c r="A54" s="261" t="n">
        <v>47150</v>
      </c>
      <c r="B54" s="171" t="inlineStr">
        <is>
          <t>2029-02</t>
        </is>
      </c>
      <c r="C54" s="164" t="n">
        <v>2029</v>
      </c>
      <c r="D54" s="164" t="n">
        <v>2</v>
      </c>
      <c r="E54" s="164" t="n">
        <v>202902</v>
      </c>
      <c r="F54" s="164">
        <f>COUNTIF('DADM-01 EVASAO'!$A$5:$A$1200,$B54)+COUNTIF('DADM-09 CUSTOS'!$A$5:$A$1200,$B54)+COUNTIF('DADM-09 ALUNOS'!$A$5:$A$1200,$B54)+COUNTIF('DADM-10 INFRA'!$A$5:$A$1200,$B54)</f>
        <v/>
      </c>
      <c r="G54" s="256">
        <f>IF($F54&gt;0,$E54,999999)</f>
        <v/>
      </c>
      <c r="H54" s="256">
        <f>IF($F54&gt;0,$E54,0)</f>
        <v/>
      </c>
    </row>
    <row r="55" ht="15" customHeight="1" s="131">
      <c r="A55" s="261" t="n">
        <v>47178</v>
      </c>
      <c r="B55" s="171" t="inlineStr">
        <is>
          <t>2029-03</t>
        </is>
      </c>
      <c r="C55" s="164" t="n">
        <v>2029</v>
      </c>
      <c r="D55" s="164" t="n">
        <v>3</v>
      </c>
      <c r="E55" s="164" t="n">
        <v>202903</v>
      </c>
      <c r="F55" s="164">
        <f>COUNTIF('DADM-01 EVASAO'!$A$5:$A$1200,$B55)+COUNTIF('DADM-09 CUSTOS'!$A$5:$A$1200,$B55)+COUNTIF('DADM-09 ALUNOS'!$A$5:$A$1200,$B55)+COUNTIF('DADM-10 INFRA'!$A$5:$A$1200,$B55)</f>
        <v/>
      </c>
      <c r="G55" s="256">
        <f>IF($F55&gt;0,$E55,999999)</f>
        <v/>
      </c>
      <c r="H55" s="256">
        <f>IF($F55&gt;0,$E55,0)</f>
        <v/>
      </c>
    </row>
    <row r="56" ht="15" customHeight="1" s="131">
      <c r="A56" s="261" t="n">
        <v>47209</v>
      </c>
      <c r="B56" s="171" t="inlineStr">
        <is>
          <t>2029-04</t>
        </is>
      </c>
      <c r="C56" s="164" t="n">
        <v>2029</v>
      </c>
      <c r="D56" s="164" t="n">
        <v>4</v>
      </c>
      <c r="E56" s="164" t="n">
        <v>202904</v>
      </c>
      <c r="F56" s="164">
        <f>COUNTIF('DADM-01 EVASAO'!$A$5:$A$1200,$B56)+COUNTIF('DADM-09 CUSTOS'!$A$5:$A$1200,$B56)+COUNTIF('DADM-09 ALUNOS'!$A$5:$A$1200,$B56)+COUNTIF('DADM-10 INFRA'!$A$5:$A$1200,$B56)</f>
        <v/>
      </c>
      <c r="G56" s="256">
        <f>IF($F56&gt;0,$E56,999999)</f>
        <v/>
      </c>
      <c r="H56" s="256">
        <f>IF($F56&gt;0,$E56,0)</f>
        <v/>
      </c>
    </row>
    <row r="57" ht="15" customHeight="1" s="131">
      <c r="A57" s="261" t="n">
        <v>47239</v>
      </c>
      <c r="B57" s="171" t="inlineStr">
        <is>
          <t>2029-05</t>
        </is>
      </c>
      <c r="C57" s="164" t="n">
        <v>2029</v>
      </c>
      <c r="D57" s="164" t="n">
        <v>5</v>
      </c>
      <c r="E57" s="164" t="n">
        <v>202905</v>
      </c>
      <c r="F57" s="164">
        <f>COUNTIF('DADM-01 EVASAO'!$A$5:$A$1200,$B57)+COUNTIF('DADM-09 CUSTOS'!$A$5:$A$1200,$B57)+COUNTIF('DADM-09 ALUNOS'!$A$5:$A$1200,$B57)+COUNTIF('DADM-10 INFRA'!$A$5:$A$1200,$B57)</f>
        <v/>
      </c>
      <c r="G57" s="256">
        <f>IF($F57&gt;0,$E57,999999)</f>
        <v/>
      </c>
      <c r="H57" s="256">
        <f>IF($F57&gt;0,$E57,0)</f>
        <v/>
      </c>
    </row>
    <row r="58" ht="15" customHeight="1" s="131">
      <c r="A58" s="261" t="n">
        <v>47270</v>
      </c>
      <c r="B58" s="171" t="inlineStr">
        <is>
          <t>2029-06</t>
        </is>
      </c>
      <c r="C58" s="164" t="n">
        <v>2029</v>
      </c>
      <c r="D58" s="164" t="n">
        <v>6</v>
      </c>
      <c r="E58" s="164" t="n">
        <v>202906</v>
      </c>
      <c r="F58" s="164">
        <f>COUNTIF('DADM-01 EVASAO'!$A$5:$A$1200,$B58)+COUNTIF('DADM-09 CUSTOS'!$A$5:$A$1200,$B58)+COUNTIF('DADM-09 ALUNOS'!$A$5:$A$1200,$B58)+COUNTIF('DADM-10 INFRA'!$A$5:$A$1200,$B58)</f>
        <v/>
      </c>
      <c r="G58" s="256">
        <f>IF($F58&gt;0,$E58,999999)</f>
        <v/>
      </c>
      <c r="H58" s="256">
        <f>IF($F58&gt;0,$E58,0)</f>
        <v/>
      </c>
    </row>
    <row r="59" ht="15" customHeight="1" s="131">
      <c r="A59" s="261" t="n">
        <v>47300</v>
      </c>
      <c r="B59" s="171" t="inlineStr">
        <is>
          <t>2029-07</t>
        </is>
      </c>
      <c r="C59" s="164" t="n">
        <v>2029</v>
      </c>
      <c r="D59" s="164" t="n">
        <v>7</v>
      </c>
      <c r="E59" s="164" t="n">
        <v>202907</v>
      </c>
      <c r="F59" s="164">
        <f>COUNTIF('DADM-01 EVASAO'!$A$5:$A$1200,$B59)+COUNTIF('DADM-09 CUSTOS'!$A$5:$A$1200,$B59)+COUNTIF('DADM-09 ALUNOS'!$A$5:$A$1200,$B59)+COUNTIF('DADM-10 INFRA'!$A$5:$A$1200,$B59)</f>
        <v/>
      </c>
      <c r="G59" s="256">
        <f>IF($F59&gt;0,$E59,999999)</f>
        <v/>
      </c>
      <c r="H59" s="256">
        <f>IF($F59&gt;0,$E59,0)</f>
        <v/>
      </c>
    </row>
    <row r="60" ht="15" customHeight="1" s="131">
      <c r="A60" s="261" t="n">
        <v>47331</v>
      </c>
      <c r="B60" s="171" t="inlineStr">
        <is>
          <t>2029-08</t>
        </is>
      </c>
      <c r="C60" s="164" t="n">
        <v>2029</v>
      </c>
      <c r="D60" s="164" t="n">
        <v>8</v>
      </c>
      <c r="E60" s="164" t="n">
        <v>202908</v>
      </c>
      <c r="F60" s="164">
        <f>COUNTIF('DADM-01 EVASAO'!$A$5:$A$1200,$B60)+COUNTIF('DADM-09 CUSTOS'!$A$5:$A$1200,$B60)+COUNTIF('DADM-09 ALUNOS'!$A$5:$A$1200,$B60)+COUNTIF('DADM-10 INFRA'!$A$5:$A$1200,$B60)</f>
        <v/>
      </c>
      <c r="G60" s="256">
        <f>IF($F60&gt;0,$E60,999999)</f>
        <v/>
      </c>
      <c r="H60" s="256">
        <f>IF($F60&gt;0,$E60,0)</f>
        <v/>
      </c>
    </row>
    <row r="61" ht="15" customHeight="1" s="131">
      <c r="A61" s="261" t="n">
        <v>47362</v>
      </c>
      <c r="B61" s="171" t="inlineStr">
        <is>
          <t>2029-09</t>
        </is>
      </c>
      <c r="C61" s="164" t="n">
        <v>2029</v>
      </c>
      <c r="D61" s="164" t="n">
        <v>9</v>
      </c>
      <c r="E61" s="164" t="n">
        <v>202909</v>
      </c>
      <c r="F61" s="164">
        <f>COUNTIF('DADM-01 EVASAO'!$A$5:$A$1200,$B61)+COUNTIF('DADM-09 CUSTOS'!$A$5:$A$1200,$B61)+COUNTIF('DADM-09 ALUNOS'!$A$5:$A$1200,$B61)+COUNTIF('DADM-10 INFRA'!$A$5:$A$1200,$B61)</f>
        <v/>
      </c>
      <c r="G61" s="256">
        <f>IF($F61&gt;0,$E61,999999)</f>
        <v/>
      </c>
      <c r="H61" s="256">
        <f>IF($F61&gt;0,$E61,0)</f>
        <v/>
      </c>
    </row>
    <row r="62" ht="15" customHeight="1" s="131">
      <c r="A62" s="261" t="n">
        <v>47392</v>
      </c>
      <c r="B62" s="171" t="inlineStr">
        <is>
          <t>2029-10</t>
        </is>
      </c>
      <c r="C62" s="164" t="n">
        <v>2029</v>
      </c>
      <c r="D62" s="164" t="n">
        <v>10</v>
      </c>
      <c r="E62" s="164" t="n">
        <v>202910</v>
      </c>
      <c r="F62" s="164">
        <f>COUNTIF('DADM-01 EVASAO'!$A$5:$A$1200,$B62)+COUNTIF('DADM-09 CUSTOS'!$A$5:$A$1200,$B62)+COUNTIF('DADM-09 ALUNOS'!$A$5:$A$1200,$B62)+COUNTIF('DADM-10 INFRA'!$A$5:$A$1200,$B62)</f>
        <v/>
      </c>
      <c r="G62" s="256">
        <f>IF($F62&gt;0,$E62,999999)</f>
        <v/>
      </c>
      <c r="H62" s="256">
        <f>IF($F62&gt;0,$E62,0)</f>
        <v/>
      </c>
    </row>
    <row r="63" ht="15" customHeight="1" s="131">
      <c r="A63" s="261" t="n">
        <v>47423</v>
      </c>
      <c r="B63" s="171" t="inlineStr">
        <is>
          <t>2029-11</t>
        </is>
      </c>
      <c r="C63" s="164" t="n">
        <v>2029</v>
      </c>
      <c r="D63" s="164" t="n">
        <v>11</v>
      </c>
      <c r="E63" s="164" t="n">
        <v>202911</v>
      </c>
      <c r="F63" s="164">
        <f>COUNTIF('DADM-01 EVASAO'!$A$5:$A$1200,$B63)+COUNTIF('DADM-09 CUSTOS'!$A$5:$A$1200,$B63)+COUNTIF('DADM-09 ALUNOS'!$A$5:$A$1200,$B63)+COUNTIF('DADM-10 INFRA'!$A$5:$A$1200,$B63)</f>
        <v/>
      </c>
      <c r="G63" s="256">
        <f>IF($F63&gt;0,$E63,999999)</f>
        <v/>
      </c>
      <c r="H63" s="256">
        <f>IF($F63&gt;0,$E63,0)</f>
        <v/>
      </c>
    </row>
    <row r="64" ht="15" customHeight="1" s="131">
      <c r="A64" s="261" t="n">
        <v>47453</v>
      </c>
      <c r="B64" s="171" t="inlineStr">
        <is>
          <t>2029-12</t>
        </is>
      </c>
      <c r="C64" s="164" t="n">
        <v>2029</v>
      </c>
      <c r="D64" s="164" t="n">
        <v>12</v>
      </c>
      <c r="E64" s="164" t="n">
        <v>202912</v>
      </c>
      <c r="F64" s="164">
        <f>COUNTIF('DADM-01 EVASAO'!$A$5:$A$1200,$B64)+COUNTIF('DADM-09 CUSTOS'!$A$5:$A$1200,$B64)+COUNTIF('DADM-09 ALUNOS'!$A$5:$A$1200,$B64)+COUNTIF('DADM-10 INFRA'!$A$5:$A$1200,$B64)</f>
        <v/>
      </c>
      <c r="G64" s="256">
        <f>IF($F64&gt;0,$E64,999999)</f>
        <v/>
      </c>
      <c r="H64" s="256">
        <f>IF($F64&gt;0,$E64,0)</f>
        <v/>
      </c>
    </row>
    <row r="65" ht="15" customHeight="1" s="131">
      <c r="A65" s="261" t="n">
        <v>47484</v>
      </c>
      <c r="B65" s="171" t="inlineStr">
        <is>
          <t>2030-01</t>
        </is>
      </c>
      <c r="C65" s="164" t="n">
        <v>2030</v>
      </c>
      <c r="D65" s="164" t="n">
        <v>1</v>
      </c>
      <c r="E65" s="164" t="n">
        <v>203001</v>
      </c>
      <c r="F65" s="164">
        <f>COUNTIF('DADM-01 EVASAO'!$A$5:$A$1200,$B65)+COUNTIF('DADM-09 CUSTOS'!$A$5:$A$1200,$B65)+COUNTIF('DADM-09 ALUNOS'!$A$5:$A$1200,$B65)+COUNTIF('DADM-10 INFRA'!$A$5:$A$1200,$B65)</f>
        <v/>
      </c>
      <c r="G65" s="256">
        <f>IF($F65&gt;0,$E65,999999)</f>
        <v/>
      </c>
      <c r="H65" s="256">
        <f>IF($F65&gt;0,$E65,0)</f>
        <v/>
      </c>
    </row>
    <row r="66" ht="15" customHeight="1" s="131">
      <c r="A66" s="261" t="n">
        <v>47515</v>
      </c>
      <c r="B66" s="171" t="inlineStr">
        <is>
          <t>2030-02</t>
        </is>
      </c>
      <c r="C66" s="164" t="n">
        <v>2030</v>
      </c>
      <c r="D66" s="164" t="n">
        <v>2</v>
      </c>
      <c r="E66" s="164" t="n">
        <v>203002</v>
      </c>
      <c r="F66" s="164">
        <f>COUNTIF('DADM-01 EVASAO'!$A$5:$A$1200,$B66)+COUNTIF('DADM-09 CUSTOS'!$A$5:$A$1200,$B66)+COUNTIF('DADM-09 ALUNOS'!$A$5:$A$1200,$B66)+COUNTIF('DADM-10 INFRA'!$A$5:$A$1200,$B66)</f>
        <v/>
      </c>
      <c r="G66" s="256">
        <f>IF($F66&gt;0,$E66,999999)</f>
        <v/>
      </c>
      <c r="H66" s="256">
        <f>IF($F66&gt;0,$E66,0)</f>
        <v/>
      </c>
    </row>
    <row r="67" ht="15" customHeight="1" s="131">
      <c r="A67" s="261" t="n">
        <v>47543</v>
      </c>
      <c r="B67" s="171" t="inlineStr">
        <is>
          <t>2030-03</t>
        </is>
      </c>
      <c r="C67" s="164" t="n">
        <v>2030</v>
      </c>
      <c r="D67" s="164" t="n">
        <v>3</v>
      </c>
      <c r="E67" s="164" t="n">
        <v>203003</v>
      </c>
      <c r="F67" s="164">
        <f>COUNTIF('DADM-01 EVASAO'!$A$5:$A$1200,$B67)+COUNTIF('DADM-09 CUSTOS'!$A$5:$A$1200,$B67)+COUNTIF('DADM-09 ALUNOS'!$A$5:$A$1200,$B67)+COUNTIF('DADM-10 INFRA'!$A$5:$A$1200,$B67)</f>
        <v/>
      </c>
      <c r="G67" s="256">
        <f>IF($F67&gt;0,$E67,999999)</f>
        <v/>
      </c>
      <c r="H67" s="256">
        <f>IF($F67&gt;0,$E67,0)</f>
        <v/>
      </c>
    </row>
    <row r="68" ht="15" customHeight="1" s="131">
      <c r="A68" s="261" t="n">
        <v>47574</v>
      </c>
      <c r="B68" s="171" t="inlineStr">
        <is>
          <t>2030-04</t>
        </is>
      </c>
      <c r="C68" s="164" t="n">
        <v>2030</v>
      </c>
      <c r="D68" s="164" t="n">
        <v>4</v>
      </c>
      <c r="E68" s="164" t="n">
        <v>203004</v>
      </c>
      <c r="F68" s="164">
        <f>COUNTIF('DADM-01 EVASAO'!$A$5:$A$1200,$B68)+COUNTIF('DADM-09 CUSTOS'!$A$5:$A$1200,$B68)+COUNTIF('DADM-09 ALUNOS'!$A$5:$A$1200,$B68)+COUNTIF('DADM-10 INFRA'!$A$5:$A$1200,$B68)</f>
        <v/>
      </c>
      <c r="G68" s="256">
        <f>IF($F68&gt;0,$E68,999999)</f>
        <v/>
      </c>
      <c r="H68" s="256">
        <f>IF($F68&gt;0,$E68,0)</f>
        <v/>
      </c>
    </row>
    <row r="69" ht="15" customHeight="1" s="131">
      <c r="A69" s="261" t="n">
        <v>47604</v>
      </c>
      <c r="B69" s="171" t="inlineStr">
        <is>
          <t>2030-05</t>
        </is>
      </c>
      <c r="C69" s="164" t="n">
        <v>2030</v>
      </c>
      <c r="D69" s="164" t="n">
        <v>5</v>
      </c>
      <c r="E69" s="164" t="n">
        <v>203005</v>
      </c>
      <c r="F69" s="164">
        <f>COUNTIF('DADM-01 EVASAO'!$A$5:$A$1200,$B69)+COUNTIF('DADM-09 CUSTOS'!$A$5:$A$1200,$B69)+COUNTIF('DADM-09 ALUNOS'!$A$5:$A$1200,$B69)+COUNTIF('DADM-10 INFRA'!$A$5:$A$1200,$B69)</f>
        <v/>
      </c>
      <c r="G69" s="256">
        <f>IF($F69&gt;0,$E69,999999)</f>
        <v/>
      </c>
      <c r="H69" s="256">
        <f>IF($F69&gt;0,$E69,0)</f>
        <v/>
      </c>
    </row>
    <row r="70" ht="15" customHeight="1" s="131">
      <c r="A70" s="261" t="n">
        <v>47635</v>
      </c>
      <c r="B70" s="171" t="inlineStr">
        <is>
          <t>2030-06</t>
        </is>
      </c>
      <c r="C70" s="164" t="n">
        <v>2030</v>
      </c>
      <c r="D70" s="164" t="n">
        <v>6</v>
      </c>
      <c r="E70" s="164" t="n">
        <v>203006</v>
      </c>
      <c r="F70" s="164">
        <f>COUNTIF('DADM-01 EVASAO'!$A$5:$A$1200,$B70)+COUNTIF('DADM-09 CUSTOS'!$A$5:$A$1200,$B70)+COUNTIF('DADM-09 ALUNOS'!$A$5:$A$1200,$B70)+COUNTIF('DADM-10 INFRA'!$A$5:$A$1200,$B70)</f>
        <v/>
      </c>
      <c r="G70" s="256">
        <f>IF($F70&gt;0,$E70,999999)</f>
        <v/>
      </c>
      <c r="H70" s="256">
        <f>IF($F70&gt;0,$E70,0)</f>
        <v/>
      </c>
    </row>
    <row r="71" ht="15" customHeight="1" s="131">
      <c r="A71" s="261" t="n">
        <v>47665</v>
      </c>
      <c r="B71" s="171" t="inlineStr">
        <is>
          <t>2030-07</t>
        </is>
      </c>
      <c r="C71" s="164" t="n">
        <v>2030</v>
      </c>
      <c r="D71" s="164" t="n">
        <v>7</v>
      </c>
      <c r="E71" s="164" t="n">
        <v>203007</v>
      </c>
      <c r="F71" s="164">
        <f>COUNTIF('DADM-01 EVASAO'!$A$5:$A$1200,$B71)+COUNTIF('DADM-09 CUSTOS'!$A$5:$A$1200,$B71)+COUNTIF('DADM-09 ALUNOS'!$A$5:$A$1200,$B71)+COUNTIF('DADM-10 INFRA'!$A$5:$A$1200,$B71)</f>
        <v/>
      </c>
      <c r="G71" s="256">
        <f>IF($F71&gt;0,$E71,999999)</f>
        <v/>
      </c>
      <c r="H71" s="256">
        <f>IF($F71&gt;0,$E71,0)</f>
        <v/>
      </c>
    </row>
    <row r="72" ht="15" customHeight="1" s="131">
      <c r="A72" s="261" t="n">
        <v>47696</v>
      </c>
      <c r="B72" s="171" t="inlineStr">
        <is>
          <t>2030-08</t>
        </is>
      </c>
      <c r="C72" s="164" t="n">
        <v>2030</v>
      </c>
      <c r="D72" s="164" t="n">
        <v>8</v>
      </c>
      <c r="E72" s="164" t="n">
        <v>203008</v>
      </c>
      <c r="F72" s="164">
        <f>COUNTIF('DADM-01 EVASAO'!$A$5:$A$1200,$B72)+COUNTIF('DADM-09 CUSTOS'!$A$5:$A$1200,$B72)+COUNTIF('DADM-09 ALUNOS'!$A$5:$A$1200,$B72)+COUNTIF('DADM-10 INFRA'!$A$5:$A$1200,$B72)</f>
        <v/>
      </c>
      <c r="G72" s="256">
        <f>IF($F72&gt;0,$E72,999999)</f>
        <v/>
      </c>
      <c r="H72" s="256">
        <f>IF($F72&gt;0,$E72,0)</f>
        <v/>
      </c>
    </row>
    <row r="73" ht="15" customHeight="1" s="131">
      <c r="A73" s="261" t="n">
        <v>47727</v>
      </c>
      <c r="B73" s="171" t="inlineStr">
        <is>
          <t>2030-09</t>
        </is>
      </c>
      <c r="C73" s="164" t="n">
        <v>2030</v>
      </c>
      <c r="D73" s="164" t="n">
        <v>9</v>
      </c>
      <c r="E73" s="164" t="n">
        <v>203009</v>
      </c>
      <c r="F73" s="164">
        <f>COUNTIF('DADM-01 EVASAO'!$A$5:$A$1200,$B73)+COUNTIF('DADM-09 CUSTOS'!$A$5:$A$1200,$B73)+COUNTIF('DADM-09 ALUNOS'!$A$5:$A$1200,$B73)+COUNTIF('DADM-10 INFRA'!$A$5:$A$1200,$B73)</f>
        <v/>
      </c>
      <c r="G73" s="256">
        <f>IF($F73&gt;0,$E73,999999)</f>
        <v/>
      </c>
      <c r="H73" s="256">
        <f>IF($F73&gt;0,$E73,0)</f>
        <v/>
      </c>
    </row>
    <row r="74" ht="15" customHeight="1" s="131">
      <c r="A74" s="261" t="n">
        <v>47757</v>
      </c>
      <c r="B74" s="171" t="inlineStr">
        <is>
          <t>2030-10</t>
        </is>
      </c>
      <c r="C74" s="164" t="n">
        <v>2030</v>
      </c>
      <c r="D74" s="164" t="n">
        <v>10</v>
      </c>
      <c r="E74" s="164" t="n">
        <v>203010</v>
      </c>
      <c r="F74" s="164">
        <f>COUNTIF('DADM-01 EVASAO'!$A$5:$A$1200,$B74)+COUNTIF('DADM-09 CUSTOS'!$A$5:$A$1200,$B74)+COUNTIF('DADM-09 ALUNOS'!$A$5:$A$1200,$B74)+COUNTIF('DADM-10 INFRA'!$A$5:$A$1200,$B74)</f>
        <v/>
      </c>
      <c r="G74" s="256">
        <f>IF($F74&gt;0,$E74,999999)</f>
        <v/>
      </c>
      <c r="H74" s="256">
        <f>IF($F74&gt;0,$E74,0)</f>
        <v/>
      </c>
    </row>
    <row r="75" ht="15" customHeight="1" s="131">
      <c r="A75" s="261" t="n">
        <v>47788</v>
      </c>
      <c r="B75" s="171" t="inlineStr">
        <is>
          <t>2030-11</t>
        </is>
      </c>
      <c r="C75" s="164" t="n">
        <v>2030</v>
      </c>
      <c r="D75" s="164" t="n">
        <v>11</v>
      </c>
      <c r="E75" s="164" t="n">
        <v>203011</v>
      </c>
      <c r="F75" s="164">
        <f>COUNTIF('DADM-01 EVASAO'!$A$5:$A$1200,$B75)+COUNTIF('DADM-09 CUSTOS'!$A$5:$A$1200,$B75)+COUNTIF('DADM-09 ALUNOS'!$A$5:$A$1200,$B75)+COUNTIF('DADM-10 INFRA'!$A$5:$A$1200,$B75)</f>
        <v/>
      </c>
      <c r="G75" s="256">
        <f>IF($F75&gt;0,$E75,999999)</f>
        <v/>
      </c>
      <c r="H75" s="256">
        <f>IF($F75&gt;0,$E75,0)</f>
        <v/>
      </c>
    </row>
    <row r="76" ht="15" customHeight="1" s="131">
      <c r="A76" s="261" t="n">
        <v>47818</v>
      </c>
      <c r="B76" s="171" t="inlineStr">
        <is>
          <t>2030-12</t>
        </is>
      </c>
      <c r="C76" s="164" t="n">
        <v>2030</v>
      </c>
      <c r="D76" s="164" t="n">
        <v>12</v>
      </c>
      <c r="E76" s="164" t="n">
        <v>203012</v>
      </c>
      <c r="F76" s="164">
        <f>COUNTIF('DADM-01 EVASAO'!$A$5:$A$1200,$B76)+COUNTIF('DADM-09 CUSTOS'!$A$5:$A$1200,$B76)+COUNTIF('DADM-09 ALUNOS'!$A$5:$A$1200,$B76)+COUNTIF('DADM-10 INFRA'!$A$5:$A$1200,$B76)</f>
        <v/>
      </c>
      <c r="G76" s="256">
        <f>IF($F76&gt;0,$E76,999999)</f>
        <v/>
      </c>
      <c r="H76" s="256">
        <f>IF($F76&gt;0,$E76,0)</f>
        <v/>
      </c>
    </row>
    <row r="77" ht="15" customHeight="1" s="131">
      <c r="A77" s="261" t="n">
        <v>47849</v>
      </c>
      <c r="B77" s="171" t="inlineStr">
        <is>
          <t>2031-01</t>
        </is>
      </c>
      <c r="C77" s="164" t="n">
        <v>2031</v>
      </c>
      <c r="D77" s="164" t="n">
        <v>1</v>
      </c>
      <c r="E77" s="164" t="n">
        <v>203101</v>
      </c>
      <c r="F77" s="164">
        <f>COUNTIF('DADM-01 EVASAO'!$A$5:$A$1200,$B77)+COUNTIF('DADM-09 CUSTOS'!$A$5:$A$1200,$B77)+COUNTIF('DADM-09 ALUNOS'!$A$5:$A$1200,$B77)+COUNTIF('DADM-10 INFRA'!$A$5:$A$1200,$B77)</f>
        <v/>
      </c>
      <c r="G77" s="256">
        <f>IF($F77&gt;0,$E77,999999)</f>
        <v/>
      </c>
      <c r="H77" s="256">
        <f>IF($F77&gt;0,$E77,0)</f>
        <v/>
      </c>
    </row>
    <row r="78" ht="15" customHeight="1" s="131">
      <c r="A78" s="261" t="n">
        <v>47880</v>
      </c>
      <c r="B78" s="171" t="inlineStr">
        <is>
          <t>2031-02</t>
        </is>
      </c>
      <c r="C78" s="164" t="n">
        <v>2031</v>
      </c>
      <c r="D78" s="164" t="n">
        <v>2</v>
      </c>
      <c r="E78" s="164" t="n">
        <v>203102</v>
      </c>
      <c r="F78" s="164">
        <f>COUNTIF('DADM-01 EVASAO'!$A$5:$A$1200,$B78)+COUNTIF('DADM-09 CUSTOS'!$A$5:$A$1200,$B78)+COUNTIF('DADM-09 ALUNOS'!$A$5:$A$1200,$B78)+COUNTIF('DADM-10 INFRA'!$A$5:$A$1200,$B78)</f>
        <v/>
      </c>
      <c r="G78" s="256">
        <f>IF($F78&gt;0,$E78,999999)</f>
        <v/>
      </c>
      <c r="H78" s="256">
        <f>IF($F78&gt;0,$E78,0)</f>
        <v/>
      </c>
    </row>
    <row r="79" ht="15" customHeight="1" s="131">
      <c r="A79" s="261" t="n">
        <v>47908</v>
      </c>
      <c r="B79" s="171" t="inlineStr">
        <is>
          <t>2031-03</t>
        </is>
      </c>
      <c r="C79" s="164" t="n">
        <v>2031</v>
      </c>
      <c r="D79" s="164" t="n">
        <v>3</v>
      </c>
      <c r="E79" s="164" t="n">
        <v>203103</v>
      </c>
      <c r="F79" s="164">
        <f>COUNTIF('DADM-01 EVASAO'!$A$5:$A$1200,$B79)+COUNTIF('DADM-09 CUSTOS'!$A$5:$A$1200,$B79)+COUNTIF('DADM-09 ALUNOS'!$A$5:$A$1200,$B79)+COUNTIF('DADM-10 INFRA'!$A$5:$A$1200,$B79)</f>
        <v/>
      </c>
      <c r="G79" s="256">
        <f>IF($F79&gt;0,$E79,999999)</f>
        <v/>
      </c>
      <c r="H79" s="256">
        <f>IF($F79&gt;0,$E79,0)</f>
        <v/>
      </c>
    </row>
    <row r="80" ht="15" customHeight="1" s="131">
      <c r="A80" s="261" t="n">
        <v>47939</v>
      </c>
      <c r="B80" s="171" t="inlineStr">
        <is>
          <t>2031-04</t>
        </is>
      </c>
      <c r="C80" s="164" t="n">
        <v>2031</v>
      </c>
      <c r="D80" s="164" t="n">
        <v>4</v>
      </c>
      <c r="E80" s="164" t="n">
        <v>203104</v>
      </c>
      <c r="F80" s="164">
        <f>COUNTIF('DADM-01 EVASAO'!$A$5:$A$1200,$B80)+COUNTIF('DADM-09 CUSTOS'!$A$5:$A$1200,$B80)+COUNTIF('DADM-09 ALUNOS'!$A$5:$A$1200,$B80)+COUNTIF('DADM-10 INFRA'!$A$5:$A$1200,$B80)</f>
        <v/>
      </c>
      <c r="G80" s="256">
        <f>IF($F80&gt;0,$E80,999999)</f>
        <v/>
      </c>
      <c r="H80" s="256">
        <f>IF($F80&gt;0,$E80,0)</f>
        <v/>
      </c>
    </row>
    <row r="81" ht="15" customHeight="1" s="131">
      <c r="A81" s="261" t="n">
        <v>47969</v>
      </c>
      <c r="B81" s="171" t="inlineStr">
        <is>
          <t>2031-05</t>
        </is>
      </c>
      <c r="C81" s="164" t="n">
        <v>2031</v>
      </c>
      <c r="D81" s="164" t="n">
        <v>5</v>
      </c>
      <c r="E81" s="164" t="n">
        <v>203105</v>
      </c>
      <c r="F81" s="164">
        <f>COUNTIF('DADM-01 EVASAO'!$A$5:$A$1200,$B81)+COUNTIF('DADM-09 CUSTOS'!$A$5:$A$1200,$B81)+COUNTIF('DADM-09 ALUNOS'!$A$5:$A$1200,$B81)+COUNTIF('DADM-10 INFRA'!$A$5:$A$1200,$B81)</f>
        <v/>
      </c>
      <c r="G81" s="256">
        <f>IF($F81&gt;0,$E81,999999)</f>
        <v/>
      </c>
      <c r="H81" s="256">
        <f>IF($F81&gt;0,$E81,0)</f>
        <v/>
      </c>
    </row>
    <row r="82" ht="15" customHeight="1" s="131">
      <c r="A82" s="261" t="n">
        <v>48000</v>
      </c>
      <c r="B82" s="171" t="inlineStr">
        <is>
          <t>2031-06</t>
        </is>
      </c>
      <c r="C82" s="164" t="n">
        <v>2031</v>
      </c>
      <c r="D82" s="164" t="n">
        <v>6</v>
      </c>
      <c r="E82" s="164" t="n">
        <v>203106</v>
      </c>
      <c r="F82" s="164">
        <f>COUNTIF('DADM-01 EVASAO'!$A$5:$A$1200,$B82)+COUNTIF('DADM-09 CUSTOS'!$A$5:$A$1200,$B82)+COUNTIF('DADM-09 ALUNOS'!$A$5:$A$1200,$B82)+COUNTIF('DADM-10 INFRA'!$A$5:$A$1200,$B82)</f>
        <v/>
      </c>
      <c r="G82" s="256">
        <f>IF($F82&gt;0,$E82,999999)</f>
        <v/>
      </c>
      <c r="H82" s="256">
        <f>IF($F82&gt;0,$E82,0)</f>
        <v/>
      </c>
    </row>
    <row r="83" ht="15" customHeight="1" s="131">
      <c r="A83" s="261" t="n">
        <v>48030</v>
      </c>
      <c r="B83" s="171" t="inlineStr">
        <is>
          <t>2031-07</t>
        </is>
      </c>
      <c r="C83" s="164" t="n">
        <v>2031</v>
      </c>
      <c r="D83" s="164" t="n">
        <v>7</v>
      </c>
      <c r="E83" s="164" t="n">
        <v>203107</v>
      </c>
      <c r="F83" s="164">
        <f>COUNTIF('DADM-01 EVASAO'!$A$5:$A$1200,$B83)+COUNTIF('DADM-09 CUSTOS'!$A$5:$A$1200,$B83)+COUNTIF('DADM-09 ALUNOS'!$A$5:$A$1200,$B83)+COUNTIF('DADM-10 INFRA'!$A$5:$A$1200,$B83)</f>
        <v/>
      </c>
      <c r="G83" s="256">
        <f>IF($F83&gt;0,$E83,999999)</f>
        <v/>
      </c>
      <c r="H83" s="256">
        <f>IF($F83&gt;0,$E83,0)</f>
        <v/>
      </c>
    </row>
    <row r="84" ht="15" customHeight="1" s="131">
      <c r="A84" s="261" t="n">
        <v>48061</v>
      </c>
      <c r="B84" s="171" t="inlineStr">
        <is>
          <t>2031-08</t>
        </is>
      </c>
      <c r="C84" s="164" t="n">
        <v>2031</v>
      </c>
      <c r="D84" s="164" t="n">
        <v>8</v>
      </c>
      <c r="E84" s="164" t="n">
        <v>203108</v>
      </c>
      <c r="F84" s="164">
        <f>COUNTIF('DADM-01 EVASAO'!$A$5:$A$1200,$B84)+COUNTIF('DADM-09 CUSTOS'!$A$5:$A$1200,$B84)+COUNTIF('DADM-09 ALUNOS'!$A$5:$A$1200,$B84)+COUNTIF('DADM-10 INFRA'!$A$5:$A$1200,$B84)</f>
        <v/>
      </c>
      <c r="G84" s="256">
        <f>IF($F84&gt;0,$E84,999999)</f>
        <v/>
      </c>
      <c r="H84" s="256">
        <f>IF($F84&gt;0,$E84,0)</f>
        <v/>
      </c>
    </row>
    <row r="85" ht="15" customHeight="1" s="131">
      <c r="A85" s="261" t="n">
        <v>48092</v>
      </c>
      <c r="B85" s="171" t="inlineStr">
        <is>
          <t>2031-09</t>
        </is>
      </c>
      <c r="C85" s="164" t="n">
        <v>2031</v>
      </c>
      <c r="D85" s="164" t="n">
        <v>9</v>
      </c>
      <c r="E85" s="164" t="n">
        <v>203109</v>
      </c>
      <c r="F85" s="164">
        <f>COUNTIF('DADM-01 EVASAO'!$A$5:$A$1200,$B85)+COUNTIF('DADM-09 CUSTOS'!$A$5:$A$1200,$B85)+COUNTIF('DADM-09 ALUNOS'!$A$5:$A$1200,$B85)+COUNTIF('DADM-10 INFRA'!$A$5:$A$1200,$B85)</f>
        <v/>
      </c>
      <c r="G85" s="256">
        <f>IF($F85&gt;0,$E85,999999)</f>
        <v/>
      </c>
      <c r="H85" s="256">
        <f>IF($F85&gt;0,$E85,0)</f>
        <v/>
      </c>
    </row>
    <row r="86" ht="15" customHeight="1" s="131">
      <c r="A86" s="261" t="n">
        <v>48122</v>
      </c>
      <c r="B86" s="171" t="inlineStr">
        <is>
          <t>2031-10</t>
        </is>
      </c>
      <c r="C86" s="164" t="n">
        <v>2031</v>
      </c>
      <c r="D86" s="164" t="n">
        <v>10</v>
      </c>
      <c r="E86" s="164" t="n">
        <v>203110</v>
      </c>
      <c r="F86" s="164">
        <f>COUNTIF('DADM-01 EVASAO'!$A$5:$A$1200,$B86)+COUNTIF('DADM-09 CUSTOS'!$A$5:$A$1200,$B86)+COUNTIF('DADM-09 ALUNOS'!$A$5:$A$1200,$B86)+COUNTIF('DADM-10 INFRA'!$A$5:$A$1200,$B86)</f>
        <v/>
      </c>
      <c r="G86" s="256">
        <f>IF($F86&gt;0,$E86,999999)</f>
        <v/>
      </c>
      <c r="H86" s="256">
        <f>IF($F86&gt;0,$E86,0)</f>
        <v/>
      </c>
    </row>
    <row r="87" ht="15" customHeight="1" s="131">
      <c r="A87" s="261" t="n">
        <v>48153</v>
      </c>
      <c r="B87" s="171" t="inlineStr">
        <is>
          <t>2031-11</t>
        </is>
      </c>
      <c r="C87" s="164" t="n">
        <v>2031</v>
      </c>
      <c r="D87" s="164" t="n">
        <v>11</v>
      </c>
      <c r="E87" s="164" t="n">
        <v>203111</v>
      </c>
      <c r="F87" s="164">
        <f>COUNTIF('DADM-01 EVASAO'!$A$5:$A$1200,$B87)+COUNTIF('DADM-09 CUSTOS'!$A$5:$A$1200,$B87)+COUNTIF('DADM-09 ALUNOS'!$A$5:$A$1200,$B87)+COUNTIF('DADM-10 INFRA'!$A$5:$A$1200,$B87)</f>
        <v/>
      </c>
      <c r="G87" s="256">
        <f>IF($F87&gt;0,$E87,999999)</f>
        <v/>
      </c>
      <c r="H87" s="256">
        <f>IF($F87&gt;0,$E87,0)</f>
        <v/>
      </c>
    </row>
    <row r="88" ht="15" customHeight="1" s="131">
      <c r="A88" s="261" t="n">
        <v>48183</v>
      </c>
      <c r="B88" s="171" t="inlineStr">
        <is>
          <t>2031-12</t>
        </is>
      </c>
      <c r="C88" s="164" t="n">
        <v>2031</v>
      </c>
      <c r="D88" s="164" t="n">
        <v>12</v>
      </c>
      <c r="E88" s="164" t="n">
        <v>203112</v>
      </c>
      <c r="F88" s="164">
        <f>COUNTIF('DADM-01 EVASAO'!$A$5:$A$1200,$B88)+COUNTIF('DADM-09 CUSTOS'!$A$5:$A$1200,$B88)+COUNTIF('DADM-09 ALUNOS'!$A$5:$A$1200,$B88)+COUNTIF('DADM-10 INFRA'!$A$5:$A$1200,$B88)</f>
        <v/>
      </c>
      <c r="G88" s="256">
        <f>IF($F88&gt;0,$E88,999999)</f>
        <v/>
      </c>
      <c r="H88" s="256">
        <f>IF($F88&gt;0,$E88,0)</f>
        <v/>
      </c>
    </row>
    <row r="89" ht="15" customHeight="1" s="131">
      <c r="A89" s="261" t="n">
        <v>48214</v>
      </c>
      <c r="B89" s="171" t="inlineStr">
        <is>
          <t>2032-01</t>
        </is>
      </c>
      <c r="C89" s="164" t="n">
        <v>2032</v>
      </c>
      <c r="D89" s="164" t="n">
        <v>1</v>
      </c>
      <c r="E89" s="164" t="n">
        <v>203201</v>
      </c>
      <c r="F89" s="164">
        <f>COUNTIF('DADM-01 EVASAO'!$A$5:$A$1200,$B89)+COUNTIF('DADM-09 CUSTOS'!$A$5:$A$1200,$B89)+COUNTIF('DADM-09 ALUNOS'!$A$5:$A$1200,$B89)+COUNTIF('DADM-10 INFRA'!$A$5:$A$1200,$B89)</f>
        <v/>
      </c>
      <c r="G89" s="256">
        <f>IF($F89&gt;0,$E89,999999)</f>
        <v/>
      </c>
      <c r="H89" s="256">
        <f>IF($F89&gt;0,$E89,0)</f>
        <v/>
      </c>
    </row>
    <row r="90" ht="15" customHeight="1" s="131">
      <c r="A90" s="261" t="n">
        <v>48245</v>
      </c>
      <c r="B90" s="171" t="inlineStr">
        <is>
          <t>2032-02</t>
        </is>
      </c>
      <c r="C90" s="164" t="n">
        <v>2032</v>
      </c>
      <c r="D90" s="164" t="n">
        <v>2</v>
      </c>
      <c r="E90" s="164" t="n">
        <v>203202</v>
      </c>
      <c r="F90" s="164">
        <f>COUNTIF('DADM-01 EVASAO'!$A$5:$A$1200,$B90)+COUNTIF('DADM-09 CUSTOS'!$A$5:$A$1200,$B90)+COUNTIF('DADM-09 ALUNOS'!$A$5:$A$1200,$B90)+COUNTIF('DADM-10 INFRA'!$A$5:$A$1200,$B90)</f>
        <v/>
      </c>
      <c r="G90" s="256">
        <f>IF($F90&gt;0,$E90,999999)</f>
        <v/>
      </c>
      <c r="H90" s="256">
        <f>IF($F90&gt;0,$E90,0)</f>
        <v/>
      </c>
    </row>
    <row r="91" ht="15" customHeight="1" s="131">
      <c r="A91" s="261" t="n">
        <v>48274</v>
      </c>
      <c r="B91" s="171" t="inlineStr">
        <is>
          <t>2032-03</t>
        </is>
      </c>
      <c r="C91" s="164" t="n">
        <v>2032</v>
      </c>
      <c r="D91" s="164" t="n">
        <v>3</v>
      </c>
      <c r="E91" s="164" t="n">
        <v>203203</v>
      </c>
      <c r="F91" s="164">
        <f>COUNTIF('DADM-01 EVASAO'!$A$5:$A$1200,$B91)+COUNTIF('DADM-09 CUSTOS'!$A$5:$A$1200,$B91)+COUNTIF('DADM-09 ALUNOS'!$A$5:$A$1200,$B91)+COUNTIF('DADM-10 INFRA'!$A$5:$A$1200,$B91)</f>
        <v/>
      </c>
      <c r="G91" s="256">
        <f>IF($F91&gt;0,$E91,999999)</f>
        <v/>
      </c>
      <c r="H91" s="256">
        <f>IF($F91&gt;0,$E91,0)</f>
        <v/>
      </c>
    </row>
    <row r="92" ht="15" customHeight="1" s="131">
      <c r="A92" s="261" t="n">
        <v>48305</v>
      </c>
      <c r="B92" s="171" t="inlineStr">
        <is>
          <t>2032-04</t>
        </is>
      </c>
      <c r="C92" s="164" t="n">
        <v>2032</v>
      </c>
      <c r="D92" s="164" t="n">
        <v>4</v>
      </c>
      <c r="E92" s="164" t="n">
        <v>203204</v>
      </c>
      <c r="F92" s="164">
        <f>COUNTIF('DADM-01 EVASAO'!$A$5:$A$1200,$B92)+COUNTIF('DADM-09 CUSTOS'!$A$5:$A$1200,$B92)+COUNTIF('DADM-09 ALUNOS'!$A$5:$A$1200,$B92)+COUNTIF('DADM-10 INFRA'!$A$5:$A$1200,$B92)</f>
        <v/>
      </c>
      <c r="G92" s="256">
        <f>IF($F92&gt;0,$E92,999999)</f>
        <v/>
      </c>
      <c r="H92" s="256">
        <f>IF($F92&gt;0,$E92,0)</f>
        <v/>
      </c>
    </row>
    <row r="93" ht="15" customHeight="1" s="131">
      <c r="A93" s="261" t="n">
        <v>48335</v>
      </c>
      <c r="B93" s="171" t="inlineStr">
        <is>
          <t>2032-05</t>
        </is>
      </c>
      <c r="C93" s="164" t="n">
        <v>2032</v>
      </c>
      <c r="D93" s="164" t="n">
        <v>5</v>
      </c>
      <c r="E93" s="164" t="n">
        <v>203205</v>
      </c>
      <c r="F93" s="164">
        <f>COUNTIF('DADM-01 EVASAO'!$A$5:$A$1200,$B93)+COUNTIF('DADM-09 CUSTOS'!$A$5:$A$1200,$B93)+COUNTIF('DADM-09 ALUNOS'!$A$5:$A$1200,$B93)+COUNTIF('DADM-10 INFRA'!$A$5:$A$1200,$B93)</f>
        <v/>
      </c>
      <c r="G93" s="256">
        <f>IF($F93&gt;0,$E93,999999)</f>
        <v/>
      </c>
      <c r="H93" s="256">
        <f>IF($F93&gt;0,$E93,0)</f>
        <v/>
      </c>
    </row>
    <row r="94" ht="15" customHeight="1" s="131">
      <c r="A94" s="261" t="n">
        <v>48366</v>
      </c>
      <c r="B94" s="171" t="inlineStr">
        <is>
          <t>2032-06</t>
        </is>
      </c>
      <c r="C94" s="164" t="n">
        <v>2032</v>
      </c>
      <c r="D94" s="164" t="n">
        <v>6</v>
      </c>
      <c r="E94" s="164" t="n">
        <v>203206</v>
      </c>
      <c r="F94" s="164">
        <f>COUNTIF('DADM-01 EVASAO'!$A$5:$A$1200,$B94)+COUNTIF('DADM-09 CUSTOS'!$A$5:$A$1200,$B94)+COUNTIF('DADM-09 ALUNOS'!$A$5:$A$1200,$B94)+COUNTIF('DADM-10 INFRA'!$A$5:$A$1200,$B94)</f>
        <v/>
      </c>
      <c r="G94" s="256">
        <f>IF($F94&gt;0,$E94,999999)</f>
        <v/>
      </c>
      <c r="H94" s="256">
        <f>IF($F94&gt;0,$E94,0)</f>
        <v/>
      </c>
    </row>
    <row r="95" ht="15" customHeight="1" s="131">
      <c r="A95" s="261" t="n">
        <v>48396</v>
      </c>
      <c r="B95" s="171" t="inlineStr">
        <is>
          <t>2032-07</t>
        </is>
      </c>
      <c r="C95" s="164" t="n">
        <v>2032</v>
      </c>
      <c r="D95" s="164" t="n">
        <v>7</v>
      </c>
      <c r="E95" s="164" t="n">
        <v>203207</v>
      </c>
      <c r="F95" s="164">
        <f>COUNTIF('DADM-01 EVASAO'!$A$5:$A$1200,$B95)+COUNTIF('DADM-09 CUSTOS'!$A$5:$A$1200,$B95)+COUNTIF('DADM-09 ALUNOS'!$A$5:$A$1200,$B95)+COUNTIF('DADM-10 INFRA'!$A$5:$A$1200,$B95)</f>
        <v/>
      </c>
      <c r="G95" s="256">
        <f>IF($F95&gt;0,$E95,999999)</f>
        <v/>
      </c>
      <c r="H95" s="256">
        <f>IF($F95&gt;0,$E95,0)</f>
        <v/>
      </c>
    </row>
    <row r="96" ht="15" customHeight="1" s="131">
      <c r="A96" s="261" t="n">
        <v>48427</v>
      </c>
      <c r="B96" s="171" t="inlineStr">
        <is>
          <t>2032-08</t>
        </is>
      </c>
      <c r="C96" s="164" t="n">
        <v>2032</v>
      </c>
      <c r="D96" s="164" t="n">
        <v>8</v>
      </c>
      <c r="E96" s="164" t="n">
        <v>203208</v>
      </c>
      <c r="F96" s="164">
        <f>COUNTIF('DADM-01 EVASAO'!$A$5:$A$1200,$B96)+COUNTIF('DADM-09 CUSTOS'!$A$5:$A$1200,$B96)+COUNTIF('DADM-09 ALUNOS'!$A$5:$A$1200,$B96)+COUNTIF('DADM-10 INFRA'!$A$5:$A$1200,$B96)</f>
        <v/>
      </c>
      <c r="G96" s="256">
        <f>IF($F96&gt;0,$E96,999999)</f>
        <v/>
      </c>
      <c r="H96" s="256">
        <f>IF($F96&gt;0,$E96,0)</f>
        <v/>
      </c>
    </row>
    <row r="97" ht="15" customHeight="1" s="131">
      <c r="A97" s="261" t="n">
        <v>48458</v>
      </c>
      <c r="B97" s="171" t="inlineStr">
        <is>
          <t>2032-09</t>
        </is>
      </c>
      <c r="C97" s="164" t="n">
        <v>2032</v>
      </c>
      <c r="D97" s="164" t="n">
        <v>9</v>
      </c>
      <c r="E97" s="164" t="n">
        <v>203209</v>
      </c>
      <c r="F97" s="164">
        <f>COUNTIF('DADM-01 EVASAO'!$A$5:$A$1200,$B97)+COUNTIF('DADM-09 CUSTOS'!$A$5:$A$1200,$B97)+COUNTIF('DADM-09 ALUNOS'!$A$5:$A$1200,$B97)+COUNTIF('DADM-10 INFRA'!$A$5:$A$1200,$B97)</f>
        <v/>
      </c>
      <c r="G97" s="256">
        <f>IF($F97&gt;0,$E97,999999)</f>
        <v/>
      </c>
      <c r="H97" s="256">
        <f>IF($F97&gt;0,$E97,0)</f>
        <v/>
      </c>
    </row>
    <row r="98" ht="15" customHeight="1" s="131">
      <c r="A98" s="261" t="n">
        <v>48488</v>
      </c>
      <c r="B98" s="171" t="inlineStr">
        <is>
          <t>2032-10</t>
        </is>
      </c>
      <c r="C98" s="164" t="n">
        <v>2032</v>
      </c>
      <c r="D98" s="164" t="n">
        <v>10</v>
      </c>
      <c r="E98" s="164" t="n">
        <v>203210</v>
      </c>
      <c r="F98" s="164">
        <f>COUNTIF('DADM-01 EVASAO'!$A$5:$A$1200,$B98)+COUNTIF('DADM-09 CUSTOS'!$A$5:$A$1200,$B98)+COUNTIF('DADM-09 ALUNOS'!$A$5:$A$1200,$B98)+COUNTIF('DADM-10 INFRA'!$A$5:$A$1200,$B98)</f>
        <v/>
      </c>
      <c r="G98" s="256">
        <f>IF($F98&gt;0,$E98,999999)</f>
        <v/>
      </c>
      <c r="H98" s="256">
        <f>IF($F98&gt;0,$E98,0)</f>
        <v/>
      </c>
    </row>
    <row r="99" ht="15" customHeight="1" s="131">
      <c r="A99" s="261" t="n">
        <v>48519</v>
      </c>
      <c r="B99" s="171" t="inlineStr">
        <is>
          <t>2032-11</t>
        </is>
      </c>
      <c r="C99" s="164" t="n">
        <v>2032</v>
      </c>
      <c r="D99" s="164" t="n">
        <v>11</v>
      </c>
      <c r="E99" s="164" t="n">
        <v>203211</v>
      </c>
      <c r="F99" s="164">
        <f>COUNTIF('DADM-01 EVASAO'!$A$5:$A$1200,$B99)+COUNTIF('DADM-09 CUSTOS'!$A$5:$A$1200,$B99)+COUNTIF('DADM-09 ALUNOS'!$A$5:$A$1200,$B99)+COUNTIF('DADM-10 INFRA'!$A$5:$A$1200,$B99)</f>
        <v/>
      </c>
      <c r="G99" s="256">
        <f>IF($F99&gt;0,$E99,999999)</f>
        <v/>
      </c>
      <c r="H99" s="256">
        <f>IF($F99&gt;0,$E99,0)</f>
        <v/>
      </c>
    </row>
    <row r="100" ht="15" customHeight="1" s="131">
      <c r="A100" s="261" t="n">
        <v>48549</v>
      </c>
      <c r="B100" s="171" t="inlineStr">
        <is>
          <t>2032-12</t>
        </is>
      </c>
      <c r="C100" s="164" t="n">
        <v>2032</v>
      </c>
      <c r="D100" s="164" t="n">
        <v>12</v>
      </c>
      <c r="E100" s="164" t="n">
        <v>203212</v>
      </c>
      <c r="F100" s="164">
        <f>COUNTIF('DADM-01 EVASAO'!$A$5:$A$1200,$B100)+COUNTIF('DADM-09 CUSTOS'!$A$5:$A$1200,$B100)+COUNTIF('DADM-09 ALUNOS'!$A$5:$A$1200,$B100)+COUNTIF('DADM-10 INFRA'!$A$5:$A$1200,$B100)</f>
        <v/>
      </c>
      <c r="G100" s="256">
        <f>IF($F100&gt;0,$E100,999999)</f>
        <v/>
      </c>
      <c r="H100" s="256">
        <f>IF($F100&gt;0,$E100,0)</f>
        <v/>
      </c>
    </row>
    <row r="101" ht="15" customHeight="1" s="131">
      <c r="A101" s="261" t="n">
        <v>48580</v>
      </c>
      <c r="B101" s="171" t="inlineStr">
        <is>
          <t>2033-01</t>
        </is>
      </c>
      <c r="C101" s="164" t="n">
        <v>2033</v>
      </c>
      <c r="D101" s="164" t="n">
        <v>1</v>
      </c>
      <c r="E101" s="164" t="n">
        <v>203301</v>
      </c>
      <c r="F101" s="164">
        <f>COUNTIF('DADM-01 EVASAO'!$A$5:$A$1200,$B101)+COUNTIF('DADM-09 CUSTOS'!$A$5:$A$1200,$B101)+COUNTIF('DADM-09 ALUNOS'!$A$5:$A$1200,$B101)+COUNTIF('DADM-10 INFRA'!$A$5:$A$1200,$B101)</f>
        <v/>
      </c>
      <c r="G101" s="256">
        <f>IF($F101&gt;0,$E101,999999)</f>
        <v/>
      </c>
      <c r="H101" s="256">
        <f>IF($F101&gt;0,$E101,0)</f>
        <v/>
      </c>
    </row>
    <row r="102" ht="15" customHeight="1" s="131">
      <c r="A102" s="261" t="n">
        <v>48611</v>
      </c>
      <c r="B102" s="171" t="inlineStr">
        <is>
          <t>2033-02</t>
        </is>
      </c>
      <c r="C102" s="164" t="n">
        <v>2033</v>
      </c>
      <c r="D102" s="164" t="n">
        <v>2</v>
      </c>
      <c r="E102" s="164" t="n">
        <v>203302</v>
      </c>
      <c r="F102" s="164">
        <f>COUNTIF('DADM-01 EVASAO'!$A$5:$A$1200,$B102)+COUNTIF('DADM-09 CUSTOS'!$A$5:$A$1200,$B102)+COUNTIF('DADM-09 ALUNOS'!$A$5:$A$1200,$B102)+COUNTIF('DADM-10 INFRA'!$A$5:$A$1200,$B102)</f>
        <v/>
      </c>
      <c r="G102" s="256">
        <f>IF($F102&gt;0,$E102,999999)</f>
        <v/>
      </c>
      <c r="H102" s="256">
        <f>IF($F102&gt;0,$E102,0)</f>
        <v/>
      </c>
    </row>
    <row r="103" ht="15" customHeight="1" s="131">
      <c r="A103" s="261" t="n">
        <v>48639</v>
      </c>
      <c r="B103" s="171" t="inlineStr">
        <is>
          <t>2033-03</t>
        </is>
      </c>
      <c r="C103" s="164" t="n">
        <v>2033</v>
      </c>
      <c r="D103" s="164" t="n">
        <v>3</v>
      </c>
      <c r="E103" s="164" t="n">
        <v>203303</v>
      </c>
      <c r="F103" s="164">
        <f>COUNTIF('DADM-01 EVASAO'!$A$5:$A$1200,$B103)+COUNTIF('DADM-09 CUSTOS'!$A$5:$A$1200,$B103)+COUNTIF('DADM-09 ALUNOS'!$A$5:$A$1200,$B103)+COUNTIF('DADM-10 INFRA'!$A$5:$A$1200,$B103)</f>
        <v/>
      </c>
      <c r="G103" s="256">
        <f>IF($F103&gt;0,$E103,999999)</f>
        <v/>
      </c>
      <c r="H103" s="256">
        <f>IF($F103&gt;0,$E103,0)</f>
        <v/>
      </c>
    </row>
    <row r="104" ht="15" customHeight="1" s="131">
      <c r="A104" s="261" t="n">
        <v>48670</v>
      </c>
      <c r="B104" s="171" t="inlineStr">
        <is>
          <t>2033-04</t>
        </is>
      </c>
      <c r="C104" s="164" t="n">
        <v>2033</v>
      </c>
      <c r="D104" s="164" t="n">
        <v>4</v>
      </c>
      <c r="E104" s="164" t="n">
        <v>203304</v>
      </c>
      <c r="F104" s="164">
        <f>COUNTIF('DADM-01 EVASAO'!$A$5:$A$1200,$B104)+COUNTIF('DADM-09 CUSTOS'!$A$5:$A$1200,$B104)+COUNTIF('DADM-09 ALUNOS'!$A$5:$A$1200,$B104)+COUNTIF('DADM-10 INFRA'!$A$5:$A$1200,$B104)</f>
        <v/>
      </c>
      <c r="G104" s="256">
        <f>IF($F104&gt;0,$E104,999999)</f>
        <v/>
      </c>
      <c r="H104" s="256">
        <f>IF($F104&gt;0,$E104,0)</f>
        <v/>
      </c>
    </row>
    <row r="105" ht="15" customHeight="1" s="131">
      <c r="A105" s="261" t="n">
        <v>48700</v>
      </c>
      <c r="B105" s="171" t="inlineStr">
        <is>
          <t>2033-05</t>
        </is>
      </c>
      <c r="C105" s="164" t="n">
        <v>2033</v>
      </c>
      <c r="D105" s="164" t="n">
        <v>5</v>
      </c>
      <c r="E105" s="164" t="n">
        <v>203305</v>
      </c>
      <c r="F105" s="164">
        <f>COUNTIF('DADM-01 EVASAO'!$A$5:$A$1200,$B105)+COUNTIF('DADM-09 CUSTOS'!$A$5:$A$1200,$B105)+COUNTIF('DADM-09 ALUNOS'!$A$5:$A$1200,$B105)+COUNTIF('DADM-10 INFRA'!$A$5:$A$1200,$B105)</f>
        <v/>
      </c>
      <c r="G105" s="256">
        <f>IF($F105&gt;0,$E105,999999)</f>
        <v/>
      </c>
      <c r="H105" s="256">
        <f>IF($F105&gt;0,$E105,0)</f>
        <v/>
      </c>
    </row>
    <row r="106" ht="15" customHeight="1" s="131">
      <c r="A106" s="261" t="n">
        <v>48731</v>
      </c>
      <c r="B106" s="171" t="inlineStr">
        <is>
          <t>2033-06</t>
        </is>
      </c>
      <c r="C106" s="164" t="n">
        <v>2033</v>
      </c>
      <c r="D106" s="164" t="n">
        <v>6</v>
      </c>
      <c r="E106" s="164" t="n">
        <v>203306</v>
      </c>
      <c r="F106" s="164">
        <f>COUNTIF('DADM-01 EVASAO'!$A$5:$A$1200,$B106)+COUNTIF('DADM-09 CUSTOS'!$A$5:$A$1200,$B106)+COUNTIF('DADM-09 ALUNOS'!$A$5:$A$1200,$B106)+COUNTIF('DADM-10 INFRA'!$A$5:$A$1200,$B106)</f>
        <v/>
      </c>
      <c r="G106" s="256">
        <f>IF($F106&gt;0,$E106,999999)</f>
        <v/>
      </c>
      <c r="H106" s="256">
        <f>IF($F106&gt;0,$E106,0)</f>
        <v/>
      </c>
    </row>
    <row r="107" ht="15" customHeight="1" s="131">
      <c r="A107" s="261" t="n">
        <v>48761</v>
      </c>
      <c r="B107" s="171" t="inlineStr">
        <is>
          <t>2033-07</t>
        </is>
      </c>
      <c r="C107" s="164" t="n">
        <v>2033</v>
      </c>
      <c r="D107" s="164" t="n">
        <v>7</v>
      </c>
      <c r="E107" s="164" t="n">
        <v>203307</v>
      </c>
      <c r="F107" s="164">
        <f>COUNTIF('DADM-01 EVASAO'!$A$5:$A$1200,$B107)+COUNTIF('DADM-09 CUSTOS'!$A$5:$A$1200,$B107)+COUNTIF('DADM-09 ALUNOS'!$A$5:$A$1200,$B107)+COUNTIF('DADM-10 INFRA'!$A$5:$A$1200,$B107)</f>
        <v/>
      </c>
      <c r="G107" s="256">
        <f>IF($F107&gt;0,$E107,999999)</f>
        <v/>
      </c>
      <c r="H107" s="256">
        <f>IF($F107&gt;0,$E107,0)</f>
        <v/>
      </c>
    </row>
    <row r="108" ht="15" customHeight="1" s="131">
      <c r="A108" s="261" t="n">
        <v>48792</v>
      </c>
      <c r="B108" s="171" t="inlineStr">
        <is>
          <t>2033-08</t>
        </is>
      </c>
      <c r="C108" s="164" t="n">
        <v>2033</v>
      </c>
      <c r="D108" s="164" t="n">
        <v>8</v>
      </c>
      <c r="E108" s="164" t="n">
        <v>203308</v>
      </c>
      <c r="F108" s="164">
        <f>COUNTIF('DADM-01 EVASAO'!$A$5:$A$1200,$B108)+COUNTIF('DADM-09 CUSTOS'!$A$5:$A$1200,$B108)+COUNTIF('DADM-09 ALUNOS'!$A$5:$A$1200,$B108)+COUNTIF('DADM-10 INFRA'!$A$5:$A$1200,$B108)</f>
        <v/>
      </c>
      <c r="G108" s="256">
        <f>IF($F108&gt;0,$E108,999999)</f>
        <v/>
      </c>
      <c r="H108" s="256">
        <f>IF($F108&gt;0,$E108,0)</f>
        <v/>
      </c>
    </row>
    <row r="109" ht="15" customHeight="1" s="131">
      <c r="A109" s="261" t="n">
        <v>48823</v>
      </c>
      <c r="B109" s="171" t="inlineStr">
        <is>
          <t>2033-09</t>
        </is>
      </c>
      <c r="C109" s="164" t="n">
        <v>2033</v>
      </c>
      <c r="D109" s="164" t="n">
        <v>9</v>
      </c>
      <c r="E109" s="164" t="n">
        <v>203309</v>
      </c>
      <c r="F109" s="164">
        <f>COUNTIF('DADM-01 EVASAO'!$A$5:$A$1200,$B109)+COUNTIF('DADM-09 CUSTOS'!$A$5:$A$1200,$B109)+COUNTIF('DADM-09 ALUNOS'!$A$5:$A$1200,$B109)+COUNTIF('DADM-10 INFRA'!$A$5:$A$1200,$B109)</f>
        <v/>
      </c>
      <c r="G109" s="256">
        <f>IF($F109&gt;0,$E109,999999)</f>
        <v/>
      </c>
      <c r="H109" s="256">
        <f>IF($F109&gt;0,$E109,0)</f>
        <v/>
      </c>
    </row>
    <row r="110" ht="15" customHeight="1" s="131">
      <c r="A110" s="261" t="n">
        <v>48853</v>
      </c>
      <c r="B110" s="171" t="inlineStr">
        <is>
          <t>2033-10</t>
        </is>
      </c>
      <c r="C110" s="164" t="n">
        <v>2033</v>
      </c>
      <c r="D110" s="164" t="n">
        <v>10</v>
      </c>
      <c r="E110" s="164" t="n">
        <v>203310</v>
      </c>
      <c r="F110" s="164">
        <f>COUNTIF('DADM-01 EVASAO'!$A$5:$A$1200,$B110)+COUNTIF('DADM-09 CUSTOS'!$A$5:$A$1200,$B110)+COUNTIF('DADM-09 ALUNOS'!$A$5:$A$1200,$B110)+COUNTIF('DADM-10 INFRA'!$A$5:$A$1200,$B110)</f>
        <v/>
      </c>
      <c r="G110" s="256">
        <f>IF($F110&gt;0,$E110,999999)</f>
        <v/>
      </c>
      <c r="H110" s="256">
        <f>IF($F110&gt;0,$E110,0)</f>
        <v/>
      </c>
    </row>
    <row r="111" ht="15" customHeight="1" s="131">
      <c r="A111" s="261" t="n">
        <v>48884</v>
      </c>
      <c r="B111" s="171" t="inlineStr">
        <is>
          <t>2033-11</t>
        </is>
      </c>
      <c r="C111" s="164" t="n">
        <v>2033</v>
      </c>
      <c r="D111" s="164" t="n">
        <v>11</v>
      </c>
      <c r="E111" s="164" t="n">
        <v>203311</v>
      </c>
      <c r="F111" s="164">
        <f>COUNTIF('DADM-01 EVASAO'!$A$5:$A$1200,$B111)+COUNTIF('DADM-09 CUSTOS'!$A$5:$A$1200,$B111)+COUNTIF('DADM-09 ALUNOS'!$A$5:$A$1200,$B111)+COUNTIF('DADM-10 INFRA'!$A$5:$A$1200,$B111)</f>
        <v/>
      </c>
      <c r="G111" s="256">
        <f>IF($F111&gt;0,$E111,999999)</f>
        <v/>
      </c>
      <c r="H111" s="256">
        <f>IF($F111&gt;0,$E111,0)</f>
        <v/>
      </c>
    </row>
    <row r="112" ht="15" customHeight="1" s="131">
      <c r="A112" s="261" t="n">
        <v>48914</v>
      </c>
      <c r="B112" s="171" t="inlineStr">
        <is>
          <t>2033-12</t>
        </is>
      </c>
      <c r="C112" s="164" t="n">
        <v>2033</v>
      </c>
      <c r="D112" s="164" t="n">
        <v>12</v>
      </c>
      <c r="E112" s="164" t="n">
        <v>203312</v>
      </c>
      <c r="F112" s="164">
        <f>COUNTIF('DADM-01 EVASAO'!$A$5:$A$1200,$B112)+COUNTIF('DADM-09 CUSTOS'!$A$5:$A$1200,$B112)+COUNTIF('DADM-09 ALUNOS'!$A$5:$A$1200,$B112)+COUNTIF('DADM-10 INFRA'!$A$5:$A$1200,$B112)</f>
        <v/>
      </c>
      <c r="G112" s="256">
        <f>IF($F112&gt;0,$E112,999999)</f>
        <v/>
      </c>
      <c r="H112" s="256">
        <f>IF($F112&gt;0,$E112,0)</f>
        <v/>
      </c>
    </row>
    <row r="113" ht="15" customHeight="1" s="131">
      <c r="A113" s="261" t="n">
        <v>48945</v>
      </c>
      <c r="B113" s="171" t="inlineStr">
        <is>
          <t>2034-01</t>
        </is>
      </c>
      <c r="C113" s="164" t="n">
        <v>2034</v>
      </c>
      <c r="D113" s="164" t="n">
        <v>1</v>
      </c>
      <c r="E113" s="164" t="n">
        <v>203401</v>
      </c>
      <c r="F113" s="164">
        <f>COUNTIF('DADM-01 EVASAO'!$A$5:$A$1200,$B113)+COUNTIF('DADM-09 CUSTOS'!$A$5:$A$1200,$B113)+COUNTIF('DADM-09 ALUNOS'!$A$5:$A$1200,$B113)+COUNTIF('DADM-10 INFRA'!$A$5:$A$1200,$B113)</f>
        <v/>
      </c>
      <c r="G113" s="256">
        <f>IF($F113&gt;0,$E113,999999)</f>
        <v/>
      </c>
      <c r="H113" s="256">
        <f>IF($F113&gt;0,$E113,0)</f>
        <v/>
      </c>
    </row>
    <row r="114" ht="15" customHeight="1" s="131">
      <c r="A114" s="261" t="n">
        <v>48976</v>
      </c>
      <c r="B114" s="171" t="inlineStr">
        <is>
          <t>2034-02</t>
        </is>
      </c>
      <c r="C114" s="164" t="n">
        <v>2034</v>
      </c>
      <c r="D114" s="164" t="n">
        <v>2</v>
      </c>
      <c r="E114" s="164" t="n">
        <v>203402</v>
      </c>
      <c r="F114" s="164">
        <f>COUNTIF('DADM-01 EVASAO'!$A$5:$A$1200,$B114)+COUNTIF('DADM-09 CUSTOS'!$A$5:$A$1200,$B114)+COUNTIF('DADM-09 ALUNOS'!$A$5:$A$1200,$B114)+COUNTIF('DADM-10 INFRA'!$A$5:$A$1200,$B114)</f>
        <v/>
      </c>
      <c r="G114" s="256">
        <f>IF($F114&gt;0,$E114,999999)</f>
        <v/>
      </c>
      <c r="H114" s="256">
        <f>IF($F114&gt;0,$E114,0)</f>
        <v/>
      </c>
    </row>
    <row r="115" ht="15" customHeight="1" s="131">
      <c r="A115" s="261" t="n">
        <v>49004</v>
      </c>
      <c r="B115" s="171" t="inlineStr">
        <is>
          <t>2034-03</t>
        </is>
      </c>
      <c r="C115" s="164" t="n">
        <v>2034</v>
      </c>
      <c r="D115" s="164" t="n">
        <v>3</v>
      </c>
      <c r="E115" s="164" t="n">
        <v>203403</v>
      </c>
      <c r="F115" s="164">
        <f>COUNTIF('DADM-01 EVASAO'!$A$5:$A$1200,$B115)+COUNTIF('DADM-09 CUSTOS'!$A$5:$A$1200,$B115)+COUNTIF('DADM-09 ALUNOS'!$A$5:$A$1200,$B115)+COUNTIF('DADM-10 INFRA'!$A$5:$A$1200,$B115)</f>
        <v/>
      </c>
      <c r="G115" s="256">
        <f>IF($F115&gt;0,$E115,999999)</f>
        <v/>
      </c>
      <c r="H115" s="256">
        <f>IF($F115&gt;0,$E115,0)</f>
        <v/>
      </c>
    </row>
    <row r="116" ht="15" customHeight="1" s="131">
      <c r="A116" s="261" t="n">
        <v>49035</v>
      </c>
      <c r="B116" s="171" t="inlineStr">
        <is>
          <t>2034-04</t>
        </is>
      </c>
      <c r="C116" s="164" t="n">
        <v>2034</v>
      </c>
      <c r="D116" s="164" t="n">
        <v>4</v>
      </c>
      <c r="E116" s="164" t="n">
        <v>203404</v>
      </c>
      <c r="F116" s="164">
        <f>COUNTIF('DADM-01 EVASAO'!$A$5:$A$1200,$B116)+COUNTIF('DADM-09 CUSTOS'!$A$5:$A$1200,$B116)+COUNTIF('DADM-09 ALUNOS'!$A$5:$A$1200,$B116)+COUNTIF('DADM-10 INFRA'!$A$5:$A$1200,$B116)</f>
        <v/>
      </c>
      <c r="G116" s="256">
        <f>IF($F116&gt;0,$E116,999999)</f>
        <v/>
      </c>
      <c r="H116" s="256">
        <f>IF($F116&gt;0,$E116,0)</f>
        <v/>
      </c>
    </row>
    <row r="117" ht="15" customHeight="1" s="131">
      <c r="A117" s="261" t="n">
        <v>49065</v>
      </c>
      <c r="B117" s="171" t="inlineStr">
        <is>
          <t>2034-05</t>
        </is>
      </c>
      <c r="C117" s="164" t="n">
        <v>2034</v>
      </c>
      <c r="D117" s="164" t="n">
        <v>5</v>
      </c>
      <c r="E117" s="164" t="n">
        <v>203405</v>
      </c>
      <c r="F117" s="164">
        <f>COUNTIF('DADM-01 EVASAO'!$A$5:$A$1200,$B117)+COUNTIF('DADM-09 CUSTOS'!$A$5:$A$1200,$B117)+COUNTIF('DADM-09 ALUNOS'!$A$5:$A$1200,$B117)+COUNTIF('DADM-10 INFRA'!$A$5:$A$1200,$B117)</f>
        <v/>
      </c>
      <c r="G117" s="256">
        <f>IF($F117&gt;0,$E117,999999)</f>
        <v/>
      </c>
      <c r="H117" s="256">
        <f>IF($F117&gt;0,$E117,0)</f>
        <v/>
      </c>
    </row>
    <row r="118" ht="15" customHeight="1" s="131">
      <c r="A118" s="261" t="n">
        <v>49096</v>
      </c>
      <c r="B118" s="171" t="inlineStr">
        <is>
          <t>2034-06</t>
        </is>
      </c>
      <c r="C118" s="164" t="n">
        <v>2034</v>
      </c>
      <c r="D118" s="164" t="n">
        <v>6</v>
      </c>
      <c r="E118" s="164" t="n">
        <v>203406</v>
      </c>
      <c r="F118" s="164">
        <f>COUNTIF('DADM-01 EVASAO'!$A$5:$A$1200,$B118)+COUNTIF('DADM-09 CUSTOS'!$A$5:$A$1200,$B118)+COUNTIF('DADM-09 ALUNOS'!$A$5:$A$1200,$B118)+COUNTIF('DADM-10 INFRA'!$A$5:$A$1200,$B118)</f>
        <v/>
      </c>
      <c r="G118" s="256">
        <f>IF($F118&gt;0,$E118,999999)</f>
        <v/>
      </c>
      <c r="H118" s="256">
        <f>IF($F118&gt;0,$E118,0)</f>
        <v/>
      </c>
    </row>
    <row r="119" ht="15" customHeight="1" s="131">
      <c r="A119" s="261" t="n">
        <v>49126</v>
      </c>
      <c r="B119" s="171" t="inlineStr">
        <is>
          <t>2034-07</t>
        </is>
      </c>
      <c r="C119" s="164" t="n">
        <v>2034</v>
      </c>
      <c r="D119" s="164" t="n">
        <v>7</v>
      </c>
      <c r="E119" s="164" t="n">
        <v>203407</v>
      </c>
      <c r="F119" s="164">
        <f>COUNTIF('DADM-01 EVASAO'!$A$5:$A$1200,$B119)+COUNTIF('DADM-09 CUSTOS'!$A$5:$A$1200,$B119)+COUNTIF('DADM-09 ALUNOS'!$A$5:$A$1200,$B119)+COUNTIF('DADM-10 INFRA'!$A$5:$A$1200,$B119)</f>
        <v/>
      </c>
      <c r="G119" s="256">
        <f>IF($F119&gt;0,$E119,999999)</f>
        <v/>
      </c>
      <c r="H119" s="256">
        <f>IF($F119&gt;0,$E119,0)</f>
        <v/>
      </c>
    </row>
    <row r="120" ht="15" customHeight="1" s="131">
      <c r="A120" s="261" t="n">
        <v>49157</v>
      </c>
      <c r="B120" s="171" t="inlineStr">
        <is>
          <t>2034-08</t>
        </is>
      </c>
      <c r="C120" s="164" t="n">
        <v>2034</v>
      </c>
      <c r="D120" s="164" t="n">
        <v>8</v>
      </c>
      <c r="E120" s="164" t="n">
        <v>203408</v>
      </c>
      <c r="F120" s="164">
        <f>COUNTIF('DADM-01 EVASAO'!$A$5:$A$1200,$B120)+COUNTIF('DADM-09 CUSTOS'!$A$5:$A$1200,$B120)+COUNTIF('DADM-09 ALUNOS'!$A$5:$A$1200,$B120)+COUNTIF('DADM-10 INFRA'!$A$5:$A$1200,$B120)</f>
        <v/>
      </c>
      <c r="G120" s="256">
        <f>IF($F120&gt;0,$E120,999999)</f>
        <v/>
      </c>
      <c r="H120" s="256">
        <f>IF($F120&gt;0,$E120,0)</f>
        <v/>
      </c>
    </row>
    <row r="121" ht="15" customHeight="1" s="131">
      <c r="A121" s="261" t="n">
        <v>49188</v>
      </c>
      <c r="B121" s="171" t="inlineStr">
        <is>
          <t>2034-09</t>
        </is>
      </c>
      <c r="C121" s="164" t="n">
        <v>2034</v>
      </c>
      <c r="D121" s="164" t="n">
        <v>9</v>
      </c>
      <c r="E121" s="164" t="n">
        <v>203409</v>
      </c>
      <c r="F121" s="164">
        <f>COUNTIF('DADM-01 EVASAO'!$A$5:$A$1200,$B121)+COUNTIF('DADM-09 CUSTOS'!$A$5:$A$1200,$B121)+COUNTIF('DADM-09 ALUNOS'!$A$5:$A$1200,$B121)+COUNTIF('DADM-10 INFRA'!$A$5:$A$1200,$B121)</f>
        <v/>
      </c>
      <c r="G121" s="256">
        <f>IF($F121&gt;0,$E121,999999)</f>
        <v/>
      </c>
      <c r="H121" s="256">
        <f>IF($F121&gt;0,$E121,0)</f>
        <v/>
      </c>
    </row>
    <row r="122" ht="15" customHeight="1" s="131">
      <c r="A122" s="261" t="n">
        <v>49218</v>
      </c>
      <c r="B122" s="171" t="inlineStr">
        <is>
          <t>2034-10</t>
        </is>
      </c>
      <c r="C122" s="164" t="n">
        <v>2034</v>
      </c>
      <c r="D122" s="164" t="n">
        <v>10</v>
      </c>
      <c r="E122" s="164" t="n">
        <v>203410</v>
      </c>
      <c r="F122" s="164">
        <f>COUNTIF('DADM-01 EVASAO'!$A$5:$A$1200,$B122)+COUNTIF('DADM-09 CUSTOS'!$A$5:$A$1200,$B122)+COUNTIF('DADM-09 ALUNOS'!$A$5:$A$1200,$B122)+COUNTIF('DADM-10 INFRA'!$A$5:$A$1200,$B122)</f>
        <v/>
      </c>
      <c r="G122" s="256">
        <f>IF($F122&gt;0,$E122,999999)</f>
        <v/>
      </c>
      <c r="H122" s="256">
        <f>IF($F122&gt;0,$E122,0)</f>
        <v/>
      </c>
    </row>
    <row r="123" ht="15" customHeight="1" s="131">
      <c r="A123" s="261" t="n">
        <v>49249</v>
      </c>
      <c r="B123" s="171" t="inlineStr">
        <is>
          <t>2034-11</t>
        </is>
      </c>
      <c r="C123" s="164" t="n">
        <v>2034</v>
      </c>
      <c r="D123" s="164" t="n">
        <v>11</v>
      </c>
      <c r="E123" s="164" t="n">
        <v>203411</v>
      </c>
      <c r="F123" s="164">
        <f>COUNTIF('DADM-01 EVASAO'!$A$5:$A$1200,$B123)+COUNTIF('DADM-09 CUSTOS'!$A$5:$A$1200,$B123)+COUNTIF('DADM-09 ALUNOS'!$A$5:$A$1200,$B123)+COUNTIF('DADM-10 INFRA'!$A$5:$A$1200,$B123)</f>
        <v/>
      </c>
      <c r="G123" s="256">
        <f>IF($F123&gt;0,$E123,999999)</f>
        <v/>
      </c>
      <c r="H123" s="256">
        <f>IF($F123&gt;0,$E123,0)</f>
        <v/>
      </c>
    </row>
    <row r="124" ht="15" customHeight="1" s="131">
      <c r="A124" s="261" t="n">
        <v>49279</v>
      </c>
      <c r="B124" s="171" t="inlineStr">
        <is>
          <t>2034-12</t>
        </is>
      </c>
      <c r="C124" s="164" t="n">
        <v>2034</v>
      </c>
      <c r="D124" s="164" t="n">
        <v>12</v>
      </c>
      <c r="E124" s="164" t="n">
        <v>203412</v>
      </c>
      <c r="F124" s="164">
        <f>COUNTIF('DADM-01 EVASAO'!$A$5:$A$1200,$B124)+COUNTIF('DADM-09 CUSTOS'!$A$5:$A$1200,$B124)+COUNTIF('DADM-09 ALUNOS'!$A$5:$A$1200,$B124)+COUNTIF('DADM-10 INFRA'!$A$5:$A$1200,$B124)</f>
        <v/>
      </c>
      <c r="G124" s="256">
        <f>IF($F124&gt;0,$E124,999999)</f>
        <v/>
      </c>
      <c r="H124" s="256">
        <f>IF($F124&gt;0,$E124,0)</f>
        <v/>
      </c>
    </row>
    <row r="125" ht="15" customHeight="1" s="131">
      <c r="A125" s="261" t="n">
        <v>49310</v>
      </c>
      <c r="B125" s="171" t="inlineStr">
        <is>
          <t>2035-01</t>
        </is>
      </c>
      <c r="C125" s="164" t="n">
        <v>2035</v>
      </c>
      <c r="D125" s="164" t="n">
        <v>1</v>
      </c>
      <c r="E125" s="164" t="n">
        <v>203501</v>
      </c>
      <c r="F125" s="164">
        <f>COUNTIF('DADM-01 EVASAO'!$A$5:$A$1200,$B125)+COUNTIF('DADM-09 CUSTOS'!$A$5:$A$1200,$B125)+COUNTIF('DADM-09 ALUNOS'!$A$5:$A$1200,$B125)+COUNTIF('DADM-10 INFRA'!$A$5:$A$1200,$B125)</f>
        <v/>
      </c>
      <c r="G125" s="256">
        <f>IF($F125&gt;0,$E125,999999)</f>
        <v/>
      </c>
      <c r="H125" s="256">
        <f>IF($F125&gt;0,$E125,0)</f>
        <v/>
      </c>
    </row>
    <row r="126" ht="15" customHeight="1" s="131">
      <c r="A126" s="261" t="n">
        <v>49341</v>
      </c>
      <c r="B126" s="171" t="inlineStr">
        <is>
          <t>2035-02</t>
        </is>
      </c>
      <c r="C126" s="164" t="n">
        <v>2035</v>
      </c>
      <c r="D126" s="164" t="n">
        <v>2</v>
      </c>
      <c r="E126" s="164" t="n">
        <v>203502</v>
      </c>
      <c r="F126" s="164">
        <f>COUNTIF('DADM-01 EVASAO'!$A$5:$A$1200,$B126)+COUNTIF('DADM-09 CUSTOS'!$A$5:$A$1200,$B126)+COUNTIF('DADM-09 ALUNOS'!$A$5:$A$1200,$B126)+COUNTIF('DADM-10 INFRA'!$A$5:$A$1200,$B126)</f>
        <v/>
      </c>
      <c r="G126" s="256">
        <f>IF($F126&gt;0,$E126,999999)</f>
        <v/>
      </c>
      <c r="H126" s="256">
        <f>IF($F126&gt;0,$E126,0)</f>
        <v/>
      </c>
    </row>
    <row r="127" ht="15" customHeight="1" s="131">
      <c r="A127" s="261" t="n">
        <v>49369</v>
      </c>
      <c r="B127" s="171" t="inlineStr">
        <is>
          <t>2035-03</t>
        </is>
      </c>
      <c r="C127" s="164" t="n">
        <v>2035</v>
      </c>
      <c r="D127" s="164" t="n">
        <v>3</v>
      </c>
      <c r="E127" s="164" t="n">
        <v>203503</v>
      </c>
      <c r="F127" s="164">
        <f>COUNTIF('DADM-01 EVASAO'!$A$5:$A$1200,$B127)+COUNTIF('DADM-09 CUSTOS'!$A$5:$A$1200,$B127)+COUNTIF('DADM-09 ALUNOS'!$A$5:$A$1200,$B127)+COUNTIF('DADM-10 INFRA'!$A$5:$A$1200,$B127)</f>
        <v/>
      </c>
      <c r="G127" s="256">
        <f>IF($F127&gt;0,$E127,999999)</f>
        <v/>
      </c>
      <c r="H127" s="256">
        <f>IF($F127&gt;0,$E127,0)</f>
        <v/>
      </c>
    </row>
    <row r="128" ht="15" customHeight="1" s="131">
      <c r="A128" s="261" t="n">
        <v>49400</v>
      </c>
      <c r="B128" s="171" t="inlineStr">
        <is>
          <t>2035-04</t>
        </is>
      </c>
      <c r="C128" s="164" t="n">
        <v>2035</v>
      </c>
      <c r="D128" s="164" t="n">
        <v>4</v>
      </c>
      <c r="E128" s="164" t="n">
        <v>203504</v>
      </c>
      <c r="F128" s="164">
        <f>COUNTIF('DADM-01 EVASAO'!$A$5:$A$1200,$B128)+COUNTIF('DADM-09 CUSTOS'!$A$5:$A$1200,$B128)+COUNTIF('DADM-09 ALUNOS'!$A$5:$A$1200,$B128)+COUNTIF('DADM-10 INFRA'!$A$5:$A$1200,$B128)</f>
        <v/>
      </c>
      <c r="G128" s="256">
        <f>IF($F128&gt;0,$E128,999999)</f>
        <v/>
      </c>
      <c r="H128" s="256">
        <f>IF($F128&gt;0,$E128,0)</f>
        <v/>
      </c>
    </row>
    <row r="129" ht="15" customHeight="1" s="131">
      <c r="A129" s="261" t="n">
        <v>49430</v>
      </c>
      <c r="B129" s="171" t="inlineStr">
        <is>
          <t>2035-05</t>
        </is>
      </c>
      <c r="C129" s="164" t="n">
        <v>2035</v>
      </c>
      <c r="D129" s="164" t="n">
        <v>5</v>
      </c>
      <c r="E129" s="164" t="n">
        <v>203505</v>
      </c>
      <c r="F129" s="164">
        <f>COUNTIF('DADM-01 EVASAO'!$A$5:$A$1200,$B129)+COUNTIF('DADM-09 CUSTOS'!$A$5:$A$1200,$B129)+COUNTIF('DADM-09 ALUNOS'!$A$5:$A$1200,$B129)+COUNTIF('DADM-10 INFRA'!$A$5:$A$1200,$B129)</f>
        <v/>
      </c>
      <c r="G129" s="256">
        <f>IF($F129&gt;0,$E129,999999)</f>
        <v/>
      </c>
      <c r="H129" s="256">
        <f>IF($F129&gt;0,$E129,0)</f>
        <v/>
      </c>
    </row>
    <row r="130" ht="15" customHeight="1" s="131">
      <c r="A130" s="261" t="n">
        <v>49461</v>
      </c>
      <c r="B130" s="171" t="inlineStr">
        <is>
          <t>2035-06</t>
        </is>
      </c>
      <c r="C130" s="164" t="n">
        <v>2035</v>
      </c>
      <c r="D130" s="164" t="n">
        <v>6</v>
      </c>
      <c r="E130" s="164" t="n">
        <v>203506</v>
      </c>
      <c r="F130" s="164">
        <f>COUNTIF('DADM-01 EVASAO'!$A$5:$A$1200,$B130)+COUNTIF('DADM-09 CUSTOS'!$A$5:$A$1200,$B130)+COUNTIF('DADM-09 ALUNOS'!$A$5:$A$1200,$B130)+COUNTIF('DADM-10 INFRA'!$A$5:$A$1200,$B130)</f>
        <v/>
      </c>
      <c r="G130" s="256">
        <f>IF($F130&gt;0,$E130,999999)</f>
        <v/>
      </c>
      <c r="H130" s="256">
        <f>IF($F130&gt;0,$E130,0)</f>
        <v/>
      </c>
    </row>
    <row r="131" ht="15" customHeight="1" s="131">
      <c r="A131" s="261" t="n">
        <v>49491</v>
      </c>
      <c r="B131" s="171" t="inlineStr">
        <is>
          <t>2035-07</t>
        </is>
      </c>
      <c r="C131" s="164" t="n">
        <v>2035</v>
      </c>
      <c r="D131" s="164" t="n">
        <v>7</v>
      </c>
      <c r="E131" s="164" t="n">
        <v>203507</v>
      </c>
      <c r="F131" s="164">
        <f>COUNTIF('DADM-01 EVASAO'!$A$5:$A$1200,$B131)+COUNTIF('DADM-09 CUSTOS'!$A$5:$A$1200,$B131)+COUNTIF('DADM-09 ALUNOS'!$A$5:$A$1200,$B131)+COUNTIF('DADM-10 INFRA'!$A$5:$A$1200,$B131)</f>
        <v/>
      </c>
      <c r="G131" s="256">
        <f>IF($F131&gt;0,$E131,999999)</f>
        <v/>
      </c>
      <c r="H131" s="256">
        <f>IF($F131&gt;0,$E131,0)</f>
        <v/>
      </c>
    </row>
    <row r="132" ht="15" customHeight="1" s="131">
      <c r="A132" s="261" t="n">
        <v>49522</v>
      </c>
      <c r="B132" s="171" t="inlineStr">
        <is>
          <t>2035-08</t>
        </is>
      </c>
      <c r="C132" s="164" t="n">
        <v>2035</v>
      </c>
      <c r="D132" s="164" t="n">
        <v>8</v>
      </c>
      <c r="E132" s="164" t="n">
        <v>203508</v>
      </c>
      <c r="F132" s="164">
        <f>COUNTIF('DADM-01 EVASAO'!$A$5:$A$1200,$B132)+COUNTIF('DADM-09 CUSTOS'!$A$5:$A$1200,$B132)+COUNTIF('DADM-09 ALUNOS'!$A$5:$A$1200,$B132)+COUNTIF('DADM-10 INFRA'!$A$5:$A$1200,$B132)</f>
        <v/>
      </c>
      <c r="G132" s="256">
        <f>IF($F132&gt;0,$E132,999999)</f>
        <v/>
      </c>
      <c r="H132" s="256">
        <f>IF($F132&gt;0,$E132,0)</f>
        <v/>
      </c>
    </row>
    <row r="133" ht="15" customHeight="1" s="131">
      <c r="A133" s="261" t="n">
        <v>49553</v>
      </c>
      <c r="B133" s="171" t="inlineStr">
        <is>
          <t>2035-09</t>
        </is>
      </c>
      <c r="C133" s="164" t="n">
        <v>2035</v>
      </c>
      <c r="D133" s="164" t="n">
        <v>9</v>
      </c>
      <c r="E133" s="164" t="n">
        <v>203509</v>
      </c>
      <c r="F133" s="164">
        <f>COUNTIF('DADM-01 EVASAO'!$A$5:$A$1200,$B133)+COUNTIF('DADM-09 CUSTOS'!$A$5:$A$1200,$B133)+COUNTIF('DADM-09 ALUNOS'!$A$5:$A$1200,$B133)+COUNTIF('DADM-10 INFRA'!$A$5:$A$1200,$B133)</f>
        <v/>
      </c>
      <c r="G133" s="256">
        <f>IF($F133&gt;0,$E133,999999)</f>
        <v/>
      </c>
      <c r="H133" s="256">
        <f>IF($F133&gt;0,$E133,0)</f>
        <v/>
      </c>
    </row>
    <row r="134" ht="15" customHeight="1" s="131">
      <c r="A134" s="261" t="n">
        <v>49583</v>
      </c>
      <c r="B134" s="171" t="inlineStr">
        <is>
          <t>2035-10</t>
        </is>
      </c>
      <c r="C134" s="164" t="n">
        <v>2035</v>
      </c>
      <c r="D134" s="164" t="n">
        <v>10</v>
      </c>
      <c r="E134" s="164" t="n">
        <v>203510</v>
      </c>
      <c r="F134" s="164">
        <f>COUNTIF('DADM-01 EVASAO'!$A$5:$A$1200,$B134)+COUNTIF('DADM-09 CUSTOS'!$A$5:$A$1200,$B134)+COUNTIF('DADM-09 ALUNOS'!$A$5:$A$1200,$B134)+COUNTIF('DADM-10 INFRA'!$A$5:$A$1200,$B134)</f>
        <v/>
      </c>
      <c r="G134" s="256">
        <f>IF($F134&gt;0,$E134,999999)</f>
        <v/>
      </c>
      <c r="H134" s="256">
        <f>IF($F134&gt;0,$E134,0)</f>
        <v/>
      </c>
    </row>
    <row r="135" ht="15" customHeight="1" s="131">
      <c r="A135" s="261" t="n">
        <v>49614</v>
      </c>
      <c r="B135" s="171" t="inlineStr">
        <is>
          <t>2035-11</t>
        </is>
      </c>
      <c r="C135" s="164" t="n">
        <v>2035</v>
      </c>
      <c r="D135" s="164" t="n">
        <v>11</v>
      </c>
      <c r="E135" s="164" t="n">
        <v>203511</v>
      </c>
      <c r="F135" s="164">
        <f>COUNTIF('DADM-01 EVASAO'!$A$5:$A$1200,$B135)+COUNTIF('DADM-09 CUSTOS'!$A$5:$A$1200,$B135)+COUNTIF('DADM-09 ALUNOS'!$A$5:$A$1200,$B135)+COUNTIF('DADM-10 INFRA'!$A$5:$A$1200,$B135)</f>
        <v/>
      </c>
      <c r="G135" s="256">
        <f>IF($F135&gt;0,$E135,999999)</f>
        <v/>
      </c>
      <c r="H135" s="256">
        <f>IF($F135&gt;0,$E135,0)</f>
        <v/>
      </c>
    </row>
    <row r="136" ht="15" customHeight="1" s="131">
      <c r="A136" s="261" t="n">
        <v>49644</v>
      </c>
      <c r="B136" s="171" t="inlineStr">
        <is>
          <t>2035-12</t>
        </is>
      </c>
      <c r="C136" s="164" t="n">
        <v>2035</v>
      </c>
      <c r="D136" s="164" t="n">
        <v>12</v>
      </c>
      <c r="E136" s="164" t="n">
        <v>203512</v>
      </c>
      <c r="F136" s="164">
        <f>COUNTIF('DADM-01 EVASAO'!$A$5:$A$1200,$B136)+COUNTIF('DADM-09 CUSTOS'!$A$5:$A$1200,$B136)+COUNTIF('DADM-09 ALUNOS'!$A$5:$A$1200,$B136)+COUNTIF('DADM-10 INFRA'!$A$5:$A$1200,$B136)</f>
        <v/>
      </c>
      <c r="G136" s="256">
        <f>IF($F136&gt;0,$E136,999999)</f>
        <v/>
      </c>
      <c r="H136" s="256">
        <f>IF($F136&gt;0,$E136,0)</f>
        <v/>
      </c>
    </row>
    <row r="137" ht="15" customHeight="1" s="131">
      <c r="A137" s="261" t="n">
        <v>49675</v>
      </c>
      <c r="B137" s="171" t="inlineStr">
        <is>
          <t>2036-01</t>
        </is>
      </c>
      <c r="C137" s="164" t="n">
        <v>2036</v>
      </c>
      <c r="D137" s="164" t="n">
        <v>1</v>
      </c>
      <c r="E137" s="164" t="n">
        <v>203601</v>
      </c>
      <c r="F137" s="164">
        <f>COUNTIF('DADM-01 EVASAO'!$A$5:$A$1200,$B137)+COUNTIF('DADM-09 CUSTOS'!$A$5:$A$1200,$B137)+COUNTIF('DADM-09 ALUNOS'!$A$5:$A$1200,$B137)+COUNTIF('DADM-10 INFRA'!$A$5:$A$1200,$B137)</f>
        <v/>
      </c>
      <c r="G137" s="256">
        <f>IF($F137&gt;0,$E137,999999)</f>
        <v/>
      </c>
      <c r="H137" s="256">
        <f>IF($F137&gt;0,$E137,0)</f>
        <v/>
      </c>
    </row>
    <row r="138" ht="15" customHeight="1" s="131">
      <c r="A138" s="261" t="n">
        <v>49706</v>
      </c>
      <c r="B138" s="171" t="inlineStr">
        <is>
          <t>2036-02</t>
        </is>
      </c>
      <c r="C138" s="164" t="n">
        <v>2036</v>
      </c>
      <c r="D138" s="164" t="n">
        <v>2</v>
      </c>
      <c r="E138" s="164" t="n">
        <v>203602</v>
      </c>
      <c r="F138" s="164">
        <f>COUNTIF('DADM-01 EVASAO'!$A$5:$A$1200,$B138)+COUNTIF('DADM-09 CUSTOS'!$A$5:$A$1200,$B138)+COUNTIF('DADM-09 ALUNOS'!$A$5:$A$1200,$B138)+COUNTIF('DADM-10 INFRA'!$A$5:$A$1200,$B138)</f>
        <v/>
      </c>
      <c r="G138" s="256">
        <f>IF($F138&gt;0,$E138,999999)</f>
        <v/>
      </c>
      <c r="H138" s="256">
        <f>IF($F138&gt;0,$E138,0)</f>
        <v/>
      </c>
    </row>
    <row r="139" ht="15" customHeight="1" s="131">
      <c r="A139" s="261" t="n">
        <v>49735</v>
      </c>
      <c r="B139" s="171" t="inlineStr">
        <is>
          <t>2036-03</t>
        </is>
      </c>
      <c r="C139" s="164" t="n">
        <v>2036</v>
      </c>
      <c r="D139" s="164" t="n">
        <v>3</v>
      </c>
      <c r="E139" s="164" t="n">
        <v>203603</v>
      </c>
      <c r="F139" s="164">
        <f>COUNTIF('DADM-01 EVASAO'!$A$5:$A$1200,$B139)+COUNTIF('DADM-09 CUSTOS'!$A$5:$A$1200,$B139)+COUNTIF('DADM-09 ALUNOS'!$A$5:$A$1200,$B139)+COUNTIF('DADM-10 INFRA'!$A$5:$A$1200,$B139)</f>
        <v/>
      </c>
      <c r="G139" s="256">
        <f>IF($F139&gt;0,$E139,999999)</f>
        <v/>
      </c>
      <c r="H139" s="256">
        <f>IF($F139&gt;0,$E139,0)</f>
        <v/>
      </c>
    </row>
    <row r="140" ht="15" customHeight="1" s="131">
      <c r="A140" s="261" t="n">
        <v>49766</v>
      </c>
      <c r="B140" s="171" t="inlineStr">
        <is>
          <t>2036-04</t>
        </is>
      </c>
      <c r="C140" s="164" t="n">
        <v>2036</v>
      </c>
      <c r="D140" s="164" t="n">
        <v>4</v>
      </c>
      <c r="E140" s="164" t="n">
        <v>203604</v>
      </c>
      <c r="F140" s="164">
        <f>COUNTIF('DADM-01 EVASAO'!$A$5:$A$1200,$B140)+COUNTIF('DADM-09 CUSTOS'!$A$5:$A$1200,$B140)+COUNTIF('DADM-09 ALUNOS'!$A$5:$A$1200,$B140)+COUNTIF('DADM-10 INFRA'!$A$5:$A$1200,$B140)</f>
        <v/>
      </c>
      <c r="G140" s="256">
        <f>IF($F140&gt;0,$E140,999999)</f>
        <v/>
      </c>
      <c r="H140" s="256">
        <f>IF($F140&gt;0,$E140,0)</f>
        <v/>
      </c>
    </row>
    <row r="141" ht="15" customHeight="1" s="131">
      <c r="A141" s="261" t="n">
        <v>49796</v>
      </c>
      <c r="B141" s="171" t="inlineStr">
        <is>
          <t>2036-05</t>
        </is>
      </c>
      <c r="C141" s="164" t="n">
        <v>2036</v>
      </c>
      <c r="D141" s="164" t="n">
        <v>5</v>
      </c>
      <c r="E141" s="164" t="n">
        <v>203605</v>
      </c>
      <c r="F141" s="164">
        <f>COUNTIF('DADM-01 EVASAO'!$A$5:$A$1200,$B141)+COUNTIF('DADM-09 CUSTOS'!$A$5:$A$1200,$B141)+COUNTIF('DADM-09 ALUNOS'!$A$5:$A$1200,$B141)+COUNTIF('DADM-10 INFRA'!$A$5:$A$1200,$B141)</f>
        <v/>
      </c>
      <c r="G141" s="256">
        <f>IF($F141&gt;0,$E141,999999)</f>
        <v/>
      </c>
      <c r="H141" s="256">
        <f>IF($F141&gt;0,$E141,0)</f>
        <v/>
      </c>
    </row>
    <row r="142" ht="15" customHeight="1" s="131">
      <c r="A142" s="261" t="n">
        <v>49827</v>
      </c>
      <c r="B142" s="171" t="inlineStr">
        <is>
          <t>2036-06</t>
        </is>
      </c>
      <c r="C142" s="164" t="n">
        <v>2036</v>
      </c>
      <c r="D142" s="164" t="n">
        <v>6</v>
      </c>
      <c r="E142" s="164" t="n">
        <v>203606</v>
      </c>
      <c r="F142" s="164">
        <f>COUNTIF('DADM-01 EVASAO'!$A$5:$A$1200,$B142)+COUNTIF('DADM-09 CUSTOS'!$A$5:$A$1200,$B142)+COUNTIF('DADM-09 ALUNOS'!$A$5:$A$1200,$B142)+COUNTIF('DADM-10 INFRA'!$A$5:$A$1200,$B142)</f>
        <v/>
      </c>
      <c r="G142" s="256">
        <f>IF($F142&gt;0,$E142,999999)</f>
        <v/>
      </c>
      <c r="H142" s="256">
        <f>IF($F142&gt;0,$E142,0)</f>
        <v/>
      </c>
    </row>
    <row r="143" ht="15" customHeight="1" s="131">
      <c r="A143" s="261" t="n">
        <v>49857</v>
      </c>
      <c r="B143" s="171" t="inlineStr">
        <is>
          <t>2036-07</t>
        </is>
      </c>
      <c r="C143" s="164" t="n">
        <v>2036</v>
      </c>
      <c r="D143" s="164" t="n">
        <v>7</v>
      </c>
      <c r="E143" s="164" t="n">
        <v>203607</v>
      </c>
      <c r="F143" s="164">
        <f>COUNTIF('DADM-01 EVASAO'!$A$5:$A$1200,$B143)+COUNTIF('DADM-09 CUSTOS'!$A$5:$A$1200,$B143)+COUNTIF('DADM-09 ALUNOS'!$A$5:$A$1200,$B143)+COUNTIF('DADM-10 INFRA'!$A$5:$A$1200,$B143)</f>
        <v/>
      </c>
      <c r="G143" s="256">
        <f>IF($F143&gt;0,$E143,999999)</f>
        <v/>
      </c>
      <c r="H143" s="256">
        <f>IF($F143&gt;0,$E143,0)</f>
        <v/>
      </c>
    </row>
    <row r="144" ht="15" customHeight="1" s="131">
      <c r="A144" s="261" t="n">
        <v>49888</v>
      </c>
      <c r="B144" s="171" t="inlineStr">
        <is>
          <t>2036-08</t>
        </is>
      </c>
      <c r="C144" s="164" t="n">
        <v>2036</v>
      </c>
      <c r="D144" s="164" t="n">
        <v>8</v>
      </c>
      <c r="E144" s="164" t="n">
        <v>203608</v>
      </c>
      <c r="F144" s="164">
        <f>COUNTIF('DADM-01 EVASAO'!$A$5:$A$1200,$B144)+COUNTIF('DADM-09 CUSTOS'!$A$5:$A$1200,$B144)+COUNTIF('DADM-09 ALUNOS'!$A$5:$A$1200,$B144)+COUNTIF('DADM-10 INFRA'!$A$5:$A$1200,$B144)</f>
        <v/>
      </c>
      <c r="G144" s="256">
        <f>IF($F144&gt;0,$E144,999999)</f>
        <v/>
      </c>
      <c r="H144" s="256">
        <f>IF($F144&gt;0,$E144,0)</f>
        <v/>
      </c>
    </row>
    <row r="145" ht="15" customHeight="1" s="131">
      <c r="A145" s="261" t="n">
        <v>49919</v>
      </c>
      <c r="B145" s="171" t="inlineStr">
        <is>
          <t>2036-09</t>
        </is>
      </c>
      <c r="C145" s="164" t="n">
        <v>2036</v>
      </c>
      <c r="D145" s="164" t="n">
        <v>9</v>
      </c>
      <c r="E145" s="164" t="n">
        <v>203609</v>
      </c>
      <c r="F145" s="164">
        <f>COUNTIF('DADM-01 EVASAO'!$A$5:$A$1200,$B145)+COUNTIF('DADM-09 CUSTOS'!$A$5:$A$1200,$B145)+COUNTIF('DADM-09 ALUNOS'!$A$5:$A$1200,$B145)+COUNTIF('DADM-10 INFRA'!$A$5:$A$1200,$B145)</f>
        <v/>
      </c>
      <c r="G145" s="256">
        <f>IF($F145&gt;0,$E145,999999)</f>
        <v/>
      </c>
      <c r="H145" s="256">
        <f>IF($F145&gt;0,$E145,0)</f>
        <v/>
      </c>
    </row>
    <row r="146" ht="15" customHeight="1" s="131">
      <c r="A146" s="261" t="n">
        <v>49949</v>
      </c>
      <c r="B146" s="171" t="inlineStr">
        <is>
          <t>2036-10</t>
        </is>
      </c>
      <c r="C146" s="164" t="n">
        <v>2036</v>
      </c>
      <c r="D146" s="164" t="n">
        <v>10</v>
      </c>
      <c r="E146" s="164" t="n">
        <v>203610</v>
      </c>
      <c r="F146" s="164">
        <f>COUNTIF('DADM-01 EVASAO'!$A$5:$A$1200,$B146)+COUNTIF('DADM-09 CUSTOS'!$A$5:$A$1200,$B146)+COUNTIF('DADM-09 ALUNOS'!$A$5:$A$1200,$B146)+COUNTIF('DADM-10 INFRA'!$A$5:$A$1200,$B146)</f>
        <v/>
      </c>
      <c r="G146" s="256">
        <f>IF($F146&gt;0,$E146,999999)</f>
        <v/>
      </c>
      <c r="H146" s="256">
        <f>IF($F146&gt;0,$E146,0)</f>
        <v/>
      </c>
    </row>
    <row r="147" ht="15" customHeight="1" s="131">
      <c r="A147" s="261" t="n">
        <v>49980</v>
      </c>
      <c r="B147" s="171" t="inlineStr">
        <is>
          <t>2036-11</t>
        </is>
      </c>
      <c r="C147" s="164" t="n">
        <v>2036</v>
      </c>
      <c r="D147" s="164" t="n">
        <v>11</v>
      </c>
      <c r="E147" s="164" t="n">
        <v>203611</v>
      </c>
      <c r="F147" s="164">
        <f>COUNTIF('DADM-01 EVASAO'!$A$5:$A$1200,$B147)+COUNTIF('DADM-09 CUSTOS'!$A$5:$A$1200,$B147)+COUNTIF('DADM-09 ALUNOS'!$A$5:$A$1200,$B147)+COUNTIF('DADM-10 INFRA'!$A$5:$A$1200,$B147)</f>
        <v/>
      </c>
      <c r="G147" s="256">
        <f>IF($F147&gt;0,$E147,999999)</f>
        <v/>
      </c>
      <c r="H147" s="256">
        <f>IF($F147&gt;0,$E147,0)</f>
        <v/>
      </c>
    </row>
    <row r="148" ht="15" customHeight="1" s="131">
      <c r="A148" s="261" t="n">
        <v>50010</v>
      </c>
      <c r="B148" s="171" t="inlineStr">
        <is>
          <t>2036-12</t>
        </is>
      </c>
      <c r="C148" s="164" t="n">
        <v>2036</v>
      </c>
      <c r="D148" s="164" t="n">
        <v>12</v>
      </c>
      <c r="E148" s="164" t="n">
        <v>203612</v>
      </c>
      <c r="F148" s="164">
        <f>COUNTIF('DADM-01 EVASAO'!$A$5:$A$1200,$B148)+COUNTIF('DADM-09 CUSTOS'!$A$5:$A$1200,$B148)+COUNTIF('DADM-09 ALUNOS'!$A$5:$A$1200,$B148)+COUNTIF('DADM-10 INFRA'!$A$5:$A$1200,$B148)</f>
        <v/>
      </c>
      <c r="G148" s="256">
        <f>IF($F148&gt;0,$E148,999999)</f>
        <v/>
      </c>
      <c r="H148" s="256">
        <f>IF($F148&gt;0,$E148,0)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2026-08-06T20:09:51Z</dcterms:created>
  <dcterms:modified xmlns:dcterms="http://purl.org/dc/terms/" xmlns:xsi="http://www.w3.org/2001/XMLSchema-instance" xsi:type="dcterms:W3CDTF">2026-08-18T14:54:04Z</dcterms:modified>
  <cp:revision>1</cp:revision>
</cp:coreProperties>
</file>